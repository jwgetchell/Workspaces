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charts/chart49.xml" ContentType="application/vnd.openxmlformats-officedocument.drawingml.chart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" yWindow="0" windowWidth="10035" windowHeight="5340" tabRatio="827"/>
  </bookViews>
  <sheets>
    <sheet name="Summary" sheetId="12" r:id="rId1"/>
    <sheet name="data0" sheetId="3" r:id="rId2"/>
    <sheet name="data1" sheetId="4" r:id="rId3"/>
    <sheet name="data2" sheetId="5" r:id="rId4"/>
    <sheet name="data3" sheetId="6" r:id="rId5"/>
    <sheet name="data4" sheetId="7" r:id="rId6"/>
  </sheets>
  <functionGroups/>
  <externalReferences>
    <externalReference r:id="rId7"/>
  </externalReferences>
  <definedNames>
    <definedName name="Comp38">Summary!$C$21</definedName>
    <definedName name="count" localSheetId="0">[1]Calculations0!$C$2</definedName>
    <definedName name="count">#REF!</definedName>
    <definedName name="mult">data0!$AM$28</definedName>
    <definedName name="nPoint">data3!$D$1</definedName>
    <definedName name="nRange">data3!$C$1</definedName>
    <definedName name="nStep">data3!$B$1</definedName>
    <definedName name="useDutAvg">Summary!$I$4</definedName>
    <definedName name="v_0" localSheetId="0">Summary!$F$3</definedName>
    <definedName name="v_0">#REF!</definedName>
    <definedName name="v_1" localSheetId="0">Summary!$F$4</definedName>
    <definedName name="v_1">#REF!</definedName>
    <definedName name="v_2" localSheetId="0">Summary!$F$5</definedName>
    <definedName name="v_2">#REF!</definedName>
    <definedName name="v_3" localSheetId="0">Summary!$K$2</definedName>
    <definedName name="v_3">#REF!</definedName>
    <definedName name="v_4" localSheetId="0">Summary!$J$3</definedName>
    <definedName name="v_4">#REF!</definedName>
  </definedNames>
  <calcPr calcId="125725"/>
</workbook>
</file>

<file path=xl/calcChain.xml><?xml version="1.0" encoding="utf-8"?>
<calcChain xmlns="http://schemas.openxmlformats.org/spreadsheetml/2006/main">
  <c r="AP28" i="3"/>
  <c r="AN28"/>
  <c r="AL28"/>
  <c r="AN28" i="4"/>
  <c r="AL28"/>
  <c r="AN28" i="5"/>
  <c r="AL28"/>
  <c r="AG44" i="3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G46" i="4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G45" i="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B43" i="6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C18" i="12"/>
  <c r="C17"/>
  <c r="C16"/>
  <c r="C15"/>
  <c r="C14"/>
  <c r="C13"/>
  <c r="C12"/>
  <c r="C11"/>
  <c r="C10"/>
  <c r="C9"/>
  <c r="T2" i="7" l="1"/>
  <c r="U2" s="1"/>
  <c r="AG47" i="6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K75"/>
  <c r="AK103" s="1"/>
  <c r="AJ75"/>
  <c r="AJ103" s="1"/>
  <c r="AI75"/>
  <c r="AI103" s="1"/>
  <c r="AH75"/>
  <c r="AH103" s="1"/>
  <c r="AK68"/>
  <c r="AJ68"/>
  <c r="AI68"/>
  <c r="AH68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G55" i="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K73"/>
  <c r="AK99" s="1"/>
  <c r="AJ73"/>
  <c r="AJ99" s="1"/>
  <c r="AI73"/>
  <c r="AI99" s="1"/>
  <c r="AH73"/>
  <c r="AH99" s="1"/>
  <c r="AK66"/>
  <c r="AJ66"/>
  <c r="AI66"/>
  <c r="AH66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G48" i="4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K64"/>
  <c r="AK81" s="1"/>
  <c r="AJ64"/>
  <c r="AJ81" s="1"/>
  <c r="AI64"/>
  <c r="AI81" s="1"/>
  <c r="AH64"/>
  <c r="AH81" s="1"/>
  <c r="AK57"/>
  <c r="AJ57"/>
  <c r="AI57"/>
  <c r="AH57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K60" i="3"/>
  <c r="AK73" s="1"/>
  <c r="AJ60"/>
  <c r="AJ73" s="1"/>
  <c r="AI60"/>
  <c r="AI73" s="1"/>
  <c r="AH60"/>
  <c r="AH73" s="1"/>
  <c r="B60"/>
  <c r="B73" s="1"/>
  <c r="AK53"/>
  <c r="AJ53"/>
  <c r="AI53"/>
  <c r="AH53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G45"/>
  <c r="AF45"/>
  <c r="AF55" s="1"/>
  <c r="AF54" s="1"/>
  <c r="AE45"/>
  <c r="AD45"/>
  <c r="AD55" s="1"/>
  <c r="AD54" s="1"/>
  <c r="AC45"/>
  <c r="AB45"/>
  <c r="AB55" s="1"/>
  <c r="AB54" s="1"/>
  <c r="AA45"/>
  <c r="Z45"/>
  <c r="Z55" s="1"/>
  <c r="Z54" s="1"/>
  <c r="Y45"/>
  <c r="X45"/>
  <c r="X55" s="1"/>
  <c r="X54" s="1"/>
  <c r="W45"/>
  <c r="V45"/>
  <c r="V55" s="1"/>
  <c r="V54" s="1"/>
  <c r="U45"/>
  <c r="T45"/>
  <c r="T55" s="1"/>
  <c r="T54" s="1"/>
  <c r="S45"/>
  <c r="R45"/>
  <c r="R55" s="1"/>
  <c r="R54" s="1"/>
  <c r="Q45"/>
  <c r="P45"/>
  <c r="P55" s="1"/>
  <c r="P54" s="1"/>
  <c r="O45"/>
  <c r="N45"/>
  <c r="N55" s="1"/>
  <c r="N54" s="1"/>
  <c r="M45"/>
  <c r="L45"/>
  <c r="L55" s="1"/>
  <c r="L54" s="1"/>
  <c r="K45"/>
  <c r="J45"/>
  <c r="J55" s="1"/>
  <c r="J54" s="1"/>
  <c r="I45"/>
  <c r="H45"/>
  <c r="H55" s="1"/>
  <c r="H54" s="1"/>
  <c r="G45"/>
  <c r="F45"/>
  <c r="F55" s="1"/>
  <c r="F54" s="1"/>
  <c r="E45"/>
  <c r="D45"/>
  <c r="D55" s="1"/>
  <c r="D54" s="1"/>
  <c r="C45"/>
  <c r="B45"/>
  <c r="AM28" i="6"/>
  <c r="AN28"/>
  <c r="AL28"/>
  <c r="AM28" i="5"/>
  <c r="AL26" i="6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L8"/>
  <c r="AL7"/>
  <c r="AL6"/>
  <c r="AL5"/>
  <c r="AL4"/>
  <c r="AL3"/>
  <c r="AL2"/>
  <c r="AL26" i="5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L8"/>
  <c r="AL7"/>
  <c r="AL6"/>
  <c r="AL5"/>
  <c r="AL4"/>
  <c r="AL3"/>
  <c r="AL2"/>
  <c r="AL26" i="4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L8"/>
  <c r="AL7"/>
  <c r="AL6"/>
  <c r="AL5"/>
  <c r="AL4"/>
  <c r="AL3"/>
  <c r="AL2"/>
  <c r="AM28"/>
  <c r="AL26" i="3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L8"/>
  <c r="AL7"/>
  <c r="AL6"/>
  <c r="AL5"/>
  <c r="AL4"/>
  <c r="AL3"/>
  <c r="AL2"/>
  <c r="AO1" i="5"/>
  <c r="AN1"/>
  <c r="AM1"/>
  <c r="AO1" i="4"/>
  <c r="AN1"/>
  <c r="AM1"/>
  <c r="C55" i="3" l="1"/>
  <c r="C54" s="1"/>
  <c r="G55"/>
  <c r="G54" s="1"/>
  <c r="K55"/>
  <c r="K54" s="1"/>
  <c r="O55"/>
  <c r="O54" s="1"/>
  <c r="S55"/>
  <c r="S54" s="1"/>
  <c r="W55"/>
  <c r="W54" s="1"/>
  <c r="AA55"/>
  <c r="AA54" s="1"/>
  <c r="AE55"/>
  <c r="AE54" s="1"/>
  <c r="B55"/>
  <c r="B54" s="1"/>
  <c r="E55"/>
  <c r="E54" s="1"/>
  <c r="I55"/>
  <c r="I54" s="1"/>
  <c r="M55"/>
  <c r="M54" s="1"/>
  <c r="Q55"/>
  <c r="Q54" s="1"/>
  <c r="U55"/>
  <c r="U54" s="1"/>
  <c r="Y55"/>
  <c r="Y54" s="1"/>
  <c r="AC55"/>
  <c r="AC54" s="1"/>
  <c r="AG55"/>
  <c r="AG54" s="1"/>
  <c r="C59" i="4"/>
  <c r="C58" s="1"/>
  <c r="G59"/>
  <c r="G58" s="1"/>
  <c r="K59"/>
  <c r="K58" s="1"/>
  <c r="O59"/>
  <c r="O58" s="1"/>
  <c r="S59"/>
  <c r="S58" s="1"/>
  <c r="W59"/>
  <c r="W58" s="1"/>
  <c r="AA59"/>
  <c r="AA58" s="1"/>
  <c r="AE59"/>
  <c r="AE58" s="1"/>
  <c r="B68" i="5"/>
  <c r="B67" s="1"/>
  <c r="F68"/>
  <c r="F67" s="1"/>
  <c r="J68"/>
  <c r="J67" s="1"/>
  <c r="N68"/>
  <c r="N67" s="1"/>
  <c r="R68"/>
  <c r="R67" s="1"/>
  <c r="V68"/>
  <c r="V67" s="1"/>
  <c r="Z68"/>
  <c r="Z67" s="1"/>
  <c r="AD68"/>
  <c r="AD67" s="1"/>
  <c r="E70" i="6"/>
  <c r="E69" s="1"/>
  <c r="I70"/>
  <c r="I69" s="1"/>
  <c r="M70"/>
  <c r="M69" s="1"/>
  <c r="Q70"/>
  <c r="Q69" s="1"/>
  <c r="U70"/>
  <c r="U69" s="1"/>
  <c r="Y70"/>
  <c r="Y69" s="1"/>
  <c r="AC70"/>
  <c r="AC69" s="1"/>
  <c r="AG70"/>
  <c r="AG69" s="1"/>
  <c r="B59" i="4"/>
  <c r="B58" s="1"/>
  <c r="F59"/>
  <c r="F58" s="1"/>
  <c r="J59"/>
  <c r="J58" s="1"/>
  <c r="N59"/>
  <c r="N58" s="1"/>
  <c r="R59"/>
  <c r="R58" s="1"/>
  <c r="V59"/>
  <c r="V58" s="1"/>
  <c r="Z59"/>
  <c r="Z58" s="1"/>
  <c r="AD59"/>
  <c r="AD58" s="1"/>
  <c r="E68" i="5"/>
  <c r="E67" s="1"/>
  <c r="I68"/>
  <c r="I67" s="1"/>
  <c r="M68"/>
  <c r="M67" s="1"/>
  <c r="Q68"/>
  <c r="Q67" s="1"/>
  <c r="U68"/>
  <c r="U67" s="1"/>
  <c r="Y68"/>
  <c r="Y67" s="1"/>
  <c r="AC68"/>
  <c r="AC67" s="1"/>
  <c r="AG68"/>
  <c r="AG67" s="1"/>
  <c r="D70" i="6"/>
  <c r="D69" s="1"/>
  <c r="H70"/>
  <c r="H69" s="1"/>
  <c r="L70"/>
  <c r="L69" s="1"/>
  <c r="P70"/>
  <c r="P69" s="1"/>
  <c r="T70"/>
  <c r="T69" s="1"/>
  <c r="X70"/>
  <c r="X69" s="1"/>
  <c r="AB70"/>
  <c r="AB69" s="1"/>
  <c r="AF70"/>
  <c r="AF69" s="1"/>
  <c r="E59" i="4"/>
  <c r="E58" s="1"/>
  <c r="I59"/>
  <c r="I58" s="1"/>
  <c r="M59"/>
  <c r="M58" s="1"/>
  <c r="Q59"/>
  <c r="Q58" s="1"/>
  <c r="U59"/>
  <c r="U58" s="1"/>
  <c r="Y59"/>
  <c r="Y58" s="1"/>
  <c r="AC59"/>
  <c r="AC58" s="1"/>
  <c r="AG59"/>
  <c r="AG58" s="1"/>
  <c r="D68" i="5"/>
  <c r="D67" s="1"/>
  <c r="H68"/>
  <c r="H67" s="1"/>
  <c r="L68"/>
  <c r="L67" s="1"/>
  <c r="P68"/>
  <c r="P67" s="1"/>
  <c r="T68"/>
  <c r="T67" s="1"/>
  <c r="X68"/>
  <c r="X67" s="1"/>
  <c r="AB68"/>
  <c r="AB67" s="1"/>
  <c r="AF68"/>
  <c r="AF67" s="1"/>
  <c r="C70" i="6"/>
  <c r="C69" s="1"/>
  <c r="G70"/>
  <c r="G69" s="1"/>
  <c r="K70"/>
  <c r="K69" s="1"/>
  <c r="O70"/>
  <c r="O69" s="1"/>
  <c r="S70"/>
  <c r="S69" s="1"/>
  <c r="W70"/>
  <c r="W69" s="1"/>
  <c r="AA70"/>
  <c r="AA69" s="1"/>
  <c r="AE70"/>
  <c r="AE69" s="1"/>
  <c r="D59" i="4"/>
  <c r="D58" s="1"/>
  <c r="H59"/>
  <c r="H58" s="1"/>
  <c r="L59"/>
  <c r="L58" s="1"/>
  <c r="P59"/>
  <c r="P58" s="1"/>
  <c r="T59"/>
  <c r="T58" s="1"/>
  <c r="X59"/>
  <c r="X58" s="1"/>
  <c r="AB59"/>
  <c r="AB58" s="1"/>
  <c r="AF59"/>
  <c r="AF58" s="1"/>
  <c r="C68" i="5"/>
  <c r="C67" s="1"/>
  <c r="G68"/>
  <c r="G67" s="1"/>
  <c r="K68"/>
  <c r="K67" s="1"/>
  <c r="O68"/>
  <c r="O67" s="1"/>
  <c r="S68"/>
  <c r="S67" s="1"/>
  <c r="W68"/>
  <c r="W67" s="1"/>
  <c r="AA68"/>
  <c r="AA67" s="1"/>
  <c r="AE68"/>
  <c r="AE67" s="1"/>
  <c r="F70" i="6"/>
  <c r="F69" s="1"/>
  <c r="J70"/>
  <c r="J69" s="1"/>
  <c r="N70"/>
  <c r="N69" s="1"/>
  <c r="R70"/>
  <c r="R69" s="1"/>
  <c r="V70"/>
  <c r="V69" s="1"/>
  <c r="Z70"/>
  <c r="Z69" s="1"/>
  <c r="AD70"/>
  <c r="AD69" s="1"/>
  <c r="B70"/>
  <c r="B69" s="1"/>
  <c r="AJ69" l="1"/>
  <c r="AH69"/>
  <c r="AH70"/>
  <c r="AJ70"/>
  <c r="AJ67" i="5"/>
  <c r="AH67"/>
  <c r="AJ68"/>
  <c r="AH68"/>
  <c r="AJ59" i="4"/>
  <c r="AH59"/>
  <c r="AH55" i="3"/>
  <c r="AJ55"/>
  <c r="AI69" i="6" l="1"/>
  <c r="AK69"/>
  <c r="AI70"/>
  <c r="AK70"/>
  <c r="AK67" i="5"/>
  <c r="AI67"/>
  <c r="AI68"/>
  <c r="AK68"/>
  <c r="AJ58" i="4"/>
  <c r="AH58"/>
  <c r="AI59"/>
  <c r="AK59"/>
  <c r="AH54" i="3"/>
  <c r="AJ54"/>
  <c r="AI55"/>
  <c r="AK55"/>
  <c r="AK58" i="4" l="1"/>
  <c r="AI58"/>
  <c r="AI54" i="3"/>
  <c r="AK54"/>
  <c r="AO1" l="1"/>
  <c r="AN1"/>
  <c r="AM1"/>
  <c r="AO1" i="6"/>
  <c r="AN1"/>
  <c r="AM1"/>
  <c r="S2" i="7"/>
  <c r="AJ26" i="6"/>
  <c r="AN26" s="1"/>
  <c r="AH26"/>
  <c r="AJ25"/>
  <c r="AN25" s="1"/>
  <c r="AH25"/>
  <c r="AJ24"/>
  <c r="AN24" s="1"/>
  <c r="AH24"/>
  <c r="AJ23"/>
  <c r="AN23" s="1"/>
  <c r="AH23"/>
  <c r="AJ22"/>
  <c r="AN22" s="1"/>
  <c r="AH22"/>
  <c r="AJ21"/>
  <c r="AN21" s="1"/>
  <c r="AH21"/>
  <c r="AJ20"/>
  <c r="AN20" s="1"/>
  <c r="AH20"/>
  <c r="AJ19"/>
  <c r="AN19" s="1"/>
  <c r="AH19"/>
  <c r="AJ18"/>
  <c r="AN18" s="1"/>
  <c r="AH18"/>
  <c r="AJ17"/>
  <c r="AN17" s="1"/>
  <c r="AH17"/>
  <c r="AJ16"/>
  <c r="AN16" s="1"/>
  <c r="AH16"/>
  <c r="AJ15"/>
  <c r="AN15" s="1"/>
  <c r="AH15"/>
  <c r="AJ14"/>
  <c r="AN14" s="1"/>
  <c r="AH14"/>
  <c r="AJ13"/>
  <c r="AN13" s="1"/>
  <c r="AH13"/>
  <c r="AJ12"/>
  <c r="AN12" s="1"/>
  <c r="AH12"/>
  <c r="AJ11"/>
  <c r="AN11" s="1"/>
  <c r="AH11"/>
  <c r="AJ10"/>
  <c r="AN10" s="1"/>
  <c r="AH10"/>
  <c r="AJ9"/>
  <c r="AN9" s="1"/>
  <c r="AH9"/>
  <c r="AJ8"/>
  <c r="AN8" s="1"/>
  <c r="AH8"/>
  <c r="AJ7"/>
  <c r="AN7" s="1"/>
  <c r="AH7"/>
  <c r="AJ6"/>
  <c r="AN6" s="1"/>
  <c r="AH6"/>
  <c r="AJ5"/>
  <c r="AN5" s="1"/>
  <c r="AH5"/>
  <c r="AJ4"/>
  <c r="AN4" s="1"/>
  <c r="AH4"/>
  <c r="AJ3"/>
  <c r="AN3" s="1"/>
  <c r="AH3"/>
  <c r="AH2"/>
  <c r="AJ2"/>
  <c r="AN2" s="1"/>
  <c r="AJ26" i="5"/>
  <c r="AN26" s="1"/>
  <c r="AH26"/>
  <c r="AJ25"/>
  <c r="AN25" s="1"/>
  <c r="AH25"/>
  <c r="AJ24"/>
  <c r="AN24" s="1"/>
  <c r="AH24"/>
  <c r="AJ23"/>
  <c r="AN23" s="1"/>
  <c r="AH23"/>
  <c r="AJ22"/>
  <c r="AN22" s="1"/>
  <c r="AH22"/>
  <c r="AJ21"/>
  <c r="AN21" s="1"/>
  <c r="AH21"/>
  <c r="AJ20"/>
  <c r="AN20" s="1"/>
  <c r="AH20"/>
  <c r="AJ19"/>
  <c r="AN19" s="1"/>
  <c r="AH19"/>
  <c r="AJ18"/>
  <c r="AN18" s="1"/>
  <c r="AH18"/>
  <c r="AJ17"/>
  <c r="AN17" s="1"/>
  <c r="AH17"/>
  <c r="AJ16"/>
  <c r="AN16" s="1"/>
  <c r="AH16"/>
  <c r="AJ15"/>
  <c r="AN15" s="1"/>
  <c r="AH15"/>
  <c r="AJ14"/>
  <c r="AN14" s="1"/>
  <c r="AH14"/>
  <c r="AJ13"/>
  <c r="AN13" s="1"/>
  <c r="AH13"/>
  <c r="AJ12"/>
  <c r="AN12" s="1"/>
  <c r="AH12"/>
  <c r="AJ11"/>
  <c r="AN11" s="1"/>
  <c r="AH11"/>
  <c r="AJ10"/>
  <c r="AN10" s="1"/>
  <c r="AH10"/>
  <c r="AJ9"/>
  <c r="AN9" s="1"/>
  <c r="AH9"/>
  <c r="AJ8"/>
  <c r="AN8" s="1"/>
  <c r="AH8"/>
  <c r="AJ7"/>
  <c r="AN7" s="1"/>
  <c r="AH7"/>
  <c r="AJ6"/>
  <c r="AN6" s="1"/>
  <c r="AH6"/>
  <c r="AJ5"/>
  <c r="AN5" s="1"/>
  <c r="AH5"/>
  <c r="AJ4"/>
  <c r="AN4" s="1"/>
  <c r="AH4"/>
  <c r="AJ3"/>
  <c r="AH3"/>
  <c r="AJ2"/>
  <c r="AH2"/>
  <c r="AJ26" i="4"/>
  <c r="AN26" s="1"/>
  <c r="AJ25"/>
  <c r="AN25" s="1"/>
  <c r="AJ24"/>
  <c r="AN24" s="1"/>
  <c r="AJ23"/>
  <c r="AN23" s="1"/>
  <c r="AJ22"/>
  <c r="AN22" s="1"/>
  <c r="AJ21"/>
  <c r="AN21" s="1"/>
  <c r="AJ20"/>
  <c r="AN20" s="1"/>
  <c r="AJ19"/>
  <c r="AN19" s="1"/>
  <c r="AJ18"/>
  <c r="AN18" s="1"/>
  <c r="AJ17"/>
  <c r="AN17" s="1"/>
  <c r="AJ16"/>
  <c r="AN16" s="1"/>
  <c r="AJ15"/>
  <c r="AN15" s="1"/>
  <c r="AJ14"/>
  <c r="AN14" s="1"/>
  <c r="AJ13"/>
  <c r="AN13" s="1"/>
  <c r="AJ12"/>
  <c r="AJ11"/>
  <c r="AJ10"/>
  <c r="AJ9"/>
  <c r="AJ8"/>
  <c r="AJ7"/>
  <c r="AJ6"/>
  <c r="AJ5"/>
  <c r="AJ4"/>
  <c r="AJ3"/>
  <c r="AJ2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H4"/>
  <c r="AH3"/>
  <c r="AH2"/>
  <c r="AJ26" i="3"/>
  <c r="AN26" s="1"/>
  <c r="AJ25"/>
  <c r="AN25" s="1"/>
  <c r="AJ24"/>
  <c r="AN24" s="1"/>
  <c r="AJ23"/>
  <c r="AN23" s="1"/>
  <c r="AJ22"/>
  <c r="AN22" s="1"/>
  <c r="AJ21"/>
  <c r="AN21" s="1"/>
  <c r="AJ20"/>
  <c r="AN20" s="1"/>
  <c r="AJ19"/>
  <c r="AN19" s="1"/>
  <c r="AJ18"/>
  <c r="AN18" s="1"/>
  <c r="AJ17"/>
  <c r="AN17" s="1"/>
  <c r="AJ16"/>
  <c r="AJ15"/>
  <c r="AJ14"/>
  <c r="AJ13"/>
  <c r="AJ12"/>
  <c r="AJ11"/>
  <c r="AJ10"/>
  <c r="AJ9"/>
  <c r="AJ8"/>
  <c r="AJ7"/>
  <c r="AJ6"/>
  <c r="AJ5"/>
  <c r="AJ4"/>
  <c r="AJ3"/>
  <c r="AJ2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H4"/>
  <c r="AH3"/>
  <c r="AH2"/>
  <c r="B1" i="6"/>
  <c r="B1" i="5"/>
  <c r="B1" i="4"/>
  <c r="D1" i="3"/>
  <c r="C1"/>
  <c r="C60" s="1"/>
  <c r="C73" s="1"/>
  <c r="B75" i="6" l="1"/>
  <c r="B103" s="1"/>
  <c r="B73" i="5"/>
  <c r="B99" s="1"/>
  <c r="B64" i="4"/>
  <c r="B81" s="1"/>
  <c r="D1"/>
  <c r="D1" i="5"/>
  <c r="D1" i="6"/>
  <c r="E1" i="3"/>
  <c r="D60"/>
  <c r="D73" s="1"/>
  <c r="C1" i="4"/>
  <c r="C1" i="5"/>
  <c r="C1" i="6"/>
  <c r="L26" i="7"/>
  <c r="L22"/>
  <c r="M22" s="1"/>
  <c r="L20"/>
  <c r="M20" s="1"/>
  <c r="L18"/>
  <c r="L16"/>
  <c r="M16" s="1"/>
  <c r="L14"/>
  <c r="A14" i="3" s="1"/>
  <c r="A14" i="6" s="1"/>
  <c r="A55" s="1"/>
  <c r="A88" s="1"/>
  <c r="A116" s="1"/>
  <c r="L12" i="7"/>
  <c r="L10"/>
  <c r="M10" s="1"/>
  <c r="L8"/>
  <c r="M8" s="1"/>
  <c r="L6"/>
  <c r="A6" i="3" s="1"/>
  <c r="A6" i="6" s="1"/>
  <c r="A47" s="1"/>
  <c r="A80" s="1"/>
  <c r="A108" s="1"/>
  <c r="L4" i="7"/>
  <c r="A4" i="3" s="1"/>
  <c r="A4" i="6" s="1"/>
  <c r="A45" s="1"/>
  <c r="A78" s="1"/>
  <c r="A106" s="1"/>
  <c r="L2" i="7"/>
  <c r="M2" s="1"/>
  <c r="L25"/>
  <c r="A25" i="3" s="1"/>
  <c r="L23" i="7"/>
  <c r="M23" s="1"/>
  <c r="L21"/>
  <c r="M21" s="1"/>
  <c r="L19"/>
  <c r="M19" s="1"/>
  <c r="L17"/>
  <c r="A17" i="3" s="1"/>
  <c r="L15" i="7"/>
  <c r="M15" s="1"/>
  <c r="L13"/>
  <c r="A13" i="3" s="1"/>
  <c r="A13" i="5" s="1"/>
  <c r="A52" s="1"/>
  <c r="A83" s="1"/>
  <c r="A109" s="1"/>
  <c r="L11" i="7"/>
  <c r="M11" s="1"/>
  <c r="L9"/>
  <c r="M9" s="1"/>
  <c r="L7"/>
  <c r="L5"/>
  <c r="L3"/>
  <c r="A3" i="3" s="1"/>
  <c r="A3" i="5" s="1"/>
  <c r="AK10" i="6"/>
  <c r="AO10" s="1"/>
  <c r="AK13"/>
  <c r="AO13" s="1"/>
  <c r="AK11"/>
  <c r="AO11" s="1"/>
  <c r="AK26"/>
  <c r="AO26" s="1"/>
  <c r="AK19"/>
  <c r="AO19" s="1"/>
  <c r="AK15"/>
  <c r="AO15" s="1"/>
  <c r="AK12"/>
  <c r="AO12" s="1"/>
  <c r="AK3"/>
  <c r="AO3" s="1"/>
  <c r="AK25" i="5"/>
  <c r="AO25" s="1"/>
  <c r="AK21"/>
  <c r="AO21" s="1"/>
  <c r="AK13"/>
  <c r="AO13" s="1"/>
  <c r="AK10"/>
  <c r="AO10" s="1"/>
  <c r="AK4"/>
  <c r="AO4" s="1"/>
  <c r="AK3"/>
  <c r="AK2"/>
  <c r="AK25" i="6"/>
  <c r="AO25" s="1"/>
  <c r="AK24"/>
  <c r="AO24" s="1"/>
  <c r="AK23"/>
  <c r="AO23" s="1"/>
  <c r="AK22"/>
  <c r="AO22" s="1"/>
  <c r="AK21"/>
  <c r="AO21" s="1"/>
  <c r="AK20"/>
  <c r="AO20" s="1"/>
  <c r="AK18"/>
  <c r="AO18" s="1"/>
  <c r="AK17"/>
  <c r="AO17" s="1"/>
  <c r="AK16"/>
  <c r="AO16" s="1"/>
  <c r="AK14"/>
  <c r="AO14" s="1"/>
  <c r="AK9"/>
  <c r="AO9" s="1"/>
  <c r="AK8"/>
  <c r="AO8" s="1"/>
  <c r="AK7"/>
  <c r="AO7" s="1"/>
  <c r="AK6"/>
  <c r="AO6" s="1"/>
  <c r="AK5"/>
  <c r="AO5" s="1"/>
  <c r="AK4"/>
  <c r="AO4" s="1"/>
  <c r="AK26" i="5"/>
  <c r="AO26" s="1"/>
  <c r="AK24"/>
  <c r="AO24" s="1"/>
  <c r="AK23"/>
  <c r="AO23" s="1"/>
  <c r="AK22"/>
  <c r="AO22" s="1"/>
  <c r="AK20"/>
  <c r="AO20" s="1"/>
  <c r="AK19"/>
  <c r="AO19" s="1"/>
  <c r="AK18"/>
  <c r="AO18" s="1"/>
  <c r="AK17"/>
  <c r="AO17" s="1"/>
  <c r="AK16"/>
  <c r="AO16" s="1"/>
  <c r="AK15"/>
  <c r="AO15" s="1"/>
  <c r="AK14"/>
  <c r="AO14" s="1"/>
  <c r="AK12"/>
  <c r="AO12" s="1"/>
  <c r="AK11"/>
  <c r="AO11" s="1"/>
  <c r="AK9"/>
  <c r="AO9" s="1"/>
  <c r="AK8"/>
  <c r="AO8" s="1"/>
  <c r="AK7"/>
  <c r="AO7" s="1"/>
  <c r="AK6"/>
  <c r="AO6" s="1"/>
  <c r="AK5"/>
  <c r="AO5" s="1"/>
  <c r="AK25" i="4"/>
  <c r="AO25" s="1"/>
  <c r="AK24"/>
  <c r="AO24" s="1"/>
  <c r="AK23"/>
  <c r="AO23" s="1"/>
  <c r="AK21"/>
  <c r="AO21" s="1"/>
  <c r="AK19"/>
  <c r="AO19" s="1"/>
  <c r="AK17"/>
  <c r="AO17" s="1"/>
  <c r="AK15"/>
  <c r="AO15" s="1"/>
  <c r="AK13"/>
  <c r="AO13" s="1"/>
  <c r="AK11"/>
  <c r="AK9"/>
  <c r="AK7"/>
  <c r="AK5"/>
  <c r="AK3"/>
  <c r="AK2" i="6"/>
  <c r="AO2" s="1"/>
  <c r="AI2" i="5"/>
  <c r="AI2" i="4"/>
  <c r="AI4"/>
  <c r="AI6"/>
  <c r="AI8"/>
  <c r="AI10"/>
  <c r="AI12"/>
  <c r="AI14"/>
  <c r="AM14" s="1"/>
  <c r="AI16"/>
  <c r="AM16" s="1"/>
  <c r="AI18"/>
  <c r="AM18" s="1"/>
  <c r="AI20"/>
  <c r="AM20" s="1"/>
  <c r="AI22"/>
  <c r="AM22" s="1"/>
  <c r="AI26"/>
  <c r="AM26" s="1"/>
  <c r="AI3"/>
  <c r="AI5"/>
  <c r="AI7"/>
  <c r="AI9"/>
  <c r="AI11"/>
  <c r="AI13"/>
  <c r="AM13" s="1"/>
  <c r="AI15"/>
  <c r="AM15" s="1"/>
  <c r="AI17"/>
  <c r="AM17" s="1"/>
  <c r="AI19"/>
  <c r="AM19" s="1"/>
  <c r="AI21"/>
  <c r="AM21" s="1"/>
  <c r="AI23"/>
  <c r="AM23" s="1"/>
  <c r="AI25"/>
  <c r="AM25" s="1"/>
  <c r="AI24"/>
  <c r="AM24" s="1"/>
  <c r="AK4"/>
  <c r="AK6"/>
  <c r="AK8"/>
  <c r="AK10"/>
  <c r="AK12"/>
  <c r="AK14"/>
  <c r="AO14" s="1"/>
  <c r="AK16"/>
  <c r="AO16" s="1"/>
  <c r="AK18"/>
  <c r="AO18" s="1"/>
  <c r="AK20"/>
  <c r="AO20" s="1"/>
  <c r="AK22"/>
  <c r="AO22" s="1"/>
  <c r="AK26"/>
  <c r="AO26" s="1"/>
  <c r="AI3" i="6"/>
  <c r="AM3" s="1"/>
  <c r="AI4"/>
  <c r="AM4" s="1"/>
  <c r="AI5"/>
  <c r="AM5" s="1"/>
  <c r="AI6"/>
  <c r="AM6" s="1"/>
  <c r="AI7"/>
  <c r="AM7" s="1"/>
  <c r="AI8"/>
  <c r="AM8" s="1"/>
  <c r="AI9"/>
  <c r="AM9" s="1"/>
  <c r="AI10"/>
  <c r="AM10" s="1"/>
  <c r="AI11"/>
  <c r="AM11" s="1"/>
  <c r="AI12"/>
  <c r="AM12" s="1"/>
  <c r="AI13"/>
  <c r="AM13" s="1"/>
  <c r="AI14"/>
  <c r="AM14" s="1"/>
  <c r="AI15"/>
  <c r="AM15" s="1"/>
  <c r="AI16"/>
  <c r="AM16" s="1"/>
  <c r="AI17"/>
  <c r="AM17" s="1"/>
  <c r="AI18"/>
  <c r="AM18" s="1"/>
  <c r="AI19"/>
  <c r="AM19" s="1"/>
  <c r="AI20"/>
  <c r="AM20" s="1"/>
  <c r="AI21"/>
  <c r="AM21" s="1"/>
  <c r="AI22"/>
  <c r="AM22" s="1"/>
  <c r="AI23"/>
  <c r="AM23" s="1"/>
  <c r="AI24"/>
  <c r="AM24" s="1"/>
  <c r="AI25"/>
  <c r="AM25" s="1"/>
  <c r="AI26"/>
  <c r="AM26" s="1"/>
  <c r="AI2"/>
  <c r="AM2" s="1"/>
  <c r="AI3" i="5"/>
  <c r="AI4"/>
  <c r="AM4" s="1"/>
  <c r="AI5"/>
  <c r="AM5" s="1"/>
  <c r="AI6"/>
  <c r="AM6" s="1"/>
  <c r="AI7"/>
  <c r="AM7" s="1"/>
  <c r="AI8"/>
  <c r="AM8" s="1"/>
  <c r="AI9"/>
  <c r="AM9" s="1"/>
  <c r="AI10"/>
  <c r="AM10" s="1"/>
  <c r="AI11"/>
  <c r="AM11" s="1"/>
  <c r="AI12"/>
  <c r="AM12" s="1"/>
  <c r="AI13"/>
  <c r="AM13" s="1"/>
  <c r="AI14"/>
  <c r="AM14" s="1"/>
  <c r="AI15"/>
  <c r="AM15" s="1"/>
  <c r="AI16"/>
  <c r="AM16" s="1"/>
  <c r="AI17"/>
  <c r="AM17" s="1"/>
  <c r="AI18"/>
  <c r="AM18" s="1"/>
  <c r="AI19"/>
  <c r="AM19" s="1"/>
  <c r="AI20"/>
  <c r="AM20" s="1"/>
  <c r="AI21"/>
  <c r="AM21" s="1"/>
  <c r="AI22"/>
  <c r="AM22" s="1"/>
  <c r="AI23"/>
  <c r="AM23" s="1"/>
  <c r="AI24"/>
  <c r="AM24" s="1"/>
  <c r="AI25"/>
  <c r="AM25" s="1"/>
  <c r="AI26"/>
  <c r="AM26" s="1"/>
  <c r="A23" i="3"/>
  <c r="A20"/>
  <c r="A18"/>
  <c r="A16"/>
  <c r="A16" i="6" s="1"/>
  <c r="A57" s="1"/>
  <c r="A90" s="1"/>
  <c r="A118" s="1"/>
  <c r="A15" i="3"/>
  <c r="A15" i="5" s="1"/>
  <c r="A54" s="1"/>
  <c r="A85" s="1"/>
  <c r="A111" s="1"/>
  <c r="A12" i="3"/>
  <c r="A12" i="6" s="1"/>
  <c r="A53" s="1"/>
  <c r="A86" s="1"/>
  <c r="A114" s="1"/>
  <c r="A10" i="3"/>
  <c r="A10" i="6" s="1"/>
  <c r="A51" s="1"/>
  <c r="A84" s="1"/>
  <c r="A112" s="1"/>
  <c r="A8" i="3"/>
  <c r="A8" i="6" s="1"/>
  <c r="A49" s="1"/>
  <c r="A82" s="1"/>
  <c r="A110" s="1"/>
  <c r="A7" i="3"/>
  <c r="A7" i="5" s="1"/>
  <c r="A46" s="1"/>
  <c r="A77" s="1"/>
  <c r="A103" s="1"/>
  <c r="A5" i="3"/>
  <c r="A5" i="5" s="1"/>
  <c r="A44" s="1"/>
  <c r="A75" s="1"/>
  <c r="A101" s="1"/>
  <c r="AK2" i="4"/>
  <c r="AK8" i="3"/>
  <c r="AI26"/>
  <c r="AM26" s="1"/>
  <c r="AK21"/>
  <c r="AO21" s="1"/>
  <c r="AI20"/>
  <c r="AM20" s="1"/>
  <c r="AK19"/>
  <c r="AO19" s="1"/>
  <c r="AI14"/>
  <c r="AI6"/>
  <c r="AI4"/>
  <c r="AI2"/>
  <c r="AK25"/>
  <c r="AO25" s="1"/>
  <c r="AI24"/>
  <c r="AM24" s="1"/>
  <c r="AK23"/>
  <c r="AO23" s="1"/>
  <c r="AI22"/>
  <c r="AM22" s="1"/>
  <c r="AI18"/>
  <c r="AM18" s="1"/>
  <c r="AK17"/>
  <c r="AO17" s="1"/>
  <c r="AI16"/>
  <c r="AK15"/>
  <c r="AK13"/>
  <c r="AI12"/>
  <c r="AK11"/>
  <c r="AI10"/>
  <c r="AK9"/>
  <c r="AI8"/>
  <c r="AK7"/>
  <c r="AK5"/>
  <c r="AK3"/>
  <c r="AK26"/>
  <c r="AO26" s="1"/>
  <c r="AI25"/>
  <c r="AM25" s="1"/>
  <c r="AK24"/>
  <c r="AO24" s="1"/>
  <c r="AI23"/>
  <c r="AM23" s="1"/>
  <c r="AK22"/>
  <c r="AO22" s="1"/>
  <c r="AI21"/>
  <c r="AM21" s="1"/>
  <c r="AK20"/>
  <c r="AO20" s="1"/>
  <c r="AI19"/>
  <c r="AM19" s="1"/>
  <c r="AK18"/>
  <c r="AO18" s="1"/>
  <c r="AI17"/>
  <c r="AM17" s="1"/>
  <c r="AK16"/>
  <c r="AI15"/>
  <c r="AK14"/>
  <c r="AI13"/>
  <c r="AK12"/>
  <c r="AI11"/>
  <c r="AK10"/>
  <c r="AI9"/>
  <c r="AI7"/>
  <c r="AK6"/>
  <c r="AI5"/>
  <c r="AK4"/>
  <c r="AI3"/>
  <c r="AK2"/>
  <c r="A18" i="6" l="1"/>
  <c r="A59" s="1"/>
  <c r="A92" s="1"/>
  <c r="A120" s="1"/>
  <c r="A44" i="3"/>
  <c r="A62" s="1"/>
  <c r="A75" s="1"/>
  <c r="A17" i="5"/>
  <c r="A56" s="1"/>
  <c r="A87" s="1"/>
  <c r="A113" s="1"/>
  <c r="AJ29" i="3"/>
  <c r="D4" i="12" s="1"/>
  <c r="AK29" i="3"/>
  <c r="F4" i="12" s="1"/>
  <c r="A43" i="3"/>
  <c r="A61" s="1"/>
  <c r="A74" s="1"/>
  <c r="D75" i="6"/>
  <c r="D103" s="1"/>
  <c r="C75"/>
  <c r="C103" s="1"/>
  <c r="D73" i="5"/>
  <c r="D99" s="1"/>
  <c r="C73"/>
  <c r="C99" s="1"/>
  <c r="C64" i="4"/>
  <c r="C81" s="1"/>
  <c r="D64"/>
  <c r="D81" s="1"/>
  <c r="F1" i="3"/>
  <c r="E60"/>
  <c r="E73" s="1"/>
  <c r="E1" i="6"/>
  <c r="E1" i="5"/>
  <c r="E1" i="4"/>
  <c r="A25" i="5"/>
  <c r="A64" s="1"/>
  <c r="A95" s="1"/>
  <c r="A121" s="1"/>
  <c r="A51" i="3"/>
  <c r="A69" s="1"/>
  <c r="A82" s="1"/>
  <c r="A23" i="5"/>
  <c r="A62" s="1"/>
  <c r="A93" s="1"/>
  <c r="A119" s="1"/>
  <c r="A49" i="3"/>
  <c r="A67" s="1"/>
  <c r="A80" s="1"/>
  <c r="A20" i="6"/>
  <c r="A61" s="1"/>
  <c r="A94" s="1"/>
  <c r="A122" s="1"/>
  <c r="A46" i="3"/>
  <c r="A64" s="1"/>
  <c r="A77" s="1"/>
  <c r="AK29" i="6"/>
  <c r="F7" i="12" s="1"/>
  <c r="A2" i="3"/>
  <c r="A2" i="6" s="1"/>
  <c r="AJ29" s="1"/>
  <c r="D7" i="12" s="1"/>
  <c r="A11" i="3"/>
  <c r="A11" i="5" s="1"/>
  <c r="A50" s="1"/>
  <c r="A81" s="1"/>
  <c r="A107" s="1"/>
  <c r="A19" i="3"/>
  <c r="A45" s="1"/>
  <c r="A22"/>
  <c r="A21"/>
  <c r="A21" i="6" s="1"/>
  <c r="A62" s="1"/>
  <c r="A95" s="1"/>
  <c r="A123" s="1"/>
  <c r="A9" i="3"/>
  <c r="A9" i="5" s="1"/>
  <c r="A48" s="1"/>
  <c r="A79" s="1"/>
  <c r="A105" s="1"/>
  <c r="L24" i="7"/>
  <c r="A24" i="3" s="1"/>
  <c r="A24" i="5" s="1"/>
  <c r="A63" s="1"/>
  <c r="A94" s="1"/>
  <c r="A120" s="1"/>
  <c r="M26" i="7"/>
  <c r="A26" i="3"/>
  <c r="M5" i="7"/>
  <c r="M13"/>
  <c r="M17"/>
  <c r="M25"/>
  <c r="M4"/>
  <c r="M12"/>
  <c r="M3"/>
  <c r="M7"/>
  <c r="M6"/>
  <c r="M14"/>
  <c r="M18"/>
  <c r="A6" i="5"/>
  <c r="A45" s="1"/>
  <c r="A76" s="1"/>
  <c r="A102" s="1"/>
  <c r="A16" i="4"/>
  <c r="A46" s="1"/>
  <c r="A68" s="1"/>
  <c r="A85" s="1"/>
  <c r="A3"/>
  <c r="A17" i="6"/>
  <c r="A58" s="1"/>
  <c r="A91" s="1"/>
  <c r="A119" s="1"/>
  <c r="A2" i="4"/>
  <c r="A16" i="5"/>
  <c r="A55" s="1"/>
  <c r="A86" s="1"/>
  <c r="A112" s="1"/>
  <c r="A14" i="4"/>
  <c r="A44" s="1"/>
  <c r="A66" s="1"/>
  <c r="A83" s="1"/>
  <c r="A14" i="5"/>
  <c r="A53" s="1"/>
  <c r="A84" s="1"/>
  <c r="A110" s="1"/>
  <c r="A18" i="4"/>
  <c r="A48" s="1"/>
  <c r="A70" s="1"/>
  <c r="A87" s="1"/>
  <c r="A18" i="5"/>
  <c r="A57" s="1"/>
  <c r="A88" s="1"/>
  <c r="A114" s="1"/>
  <c r="A23" i="6"/>
  <c r="A64" s="1"/>
  <c r="A97" s="1"/>
  <c r="A125" s="1"/>
  <c r="A15"/>
  <c r="A56" s="1"/>
  <c r="A89" s="1"/>
  <c r="A117" s="1"/>
  <c r="A10" i="4"/>
  <c r="A8"/>
  <c r="A5" i="6"/>
  <c r="A46" s="1"/>
  <c r="A79" s="1"/>
  <c r="A107" s="1"/>
  <c r="A8" i="5"/>
  <c r="A47" s="1"/>
  <c r="A78" s="1"/>
  <c r="A104" s="1"/>
  <c r="A23" i="4"/>
  <c r="A53" s="1"/>
  <c r="A75" s="1"/>
  <c r="A92" s="1"/>
  <c r="A15"/>
  <c r="A45" s="1"/>
  <c r="A67" s="1"/>
  <c r="A84" s="1"/>
  <c r="A12"/>
  <c r="A12" i="5"/>
  <c r="A51" s="1"/>
  <c r="A82" s="1"/>
  <c r="A108" s="1"/>
  <c r="A7" i="6"/>
  <c r="A48" s="1"/>
  <c r="A10" i="5"/>
  <c r="A49" s="1"/>
  <c r="A80" s="1"/>
  <c r="A106" s="1"/>
  <c r="A25" i="6"/>
  <c r="A66" s="1"/>
  <c r="A99" s="1"/>
  <c r="A127" s="1"/>
  <c r="A25" i="4"/>
  <c r="A55" s="1"/>
  <c r="A77" s="1"/>
  <c r="A94" s="1"/>
  <c r="A20"/>
  <c r="A50" s="1"/>
  <c r="A72" s="1"/>
  <c r="A89" s="1"/>
  <c r="A20" i="5"/>
  <c r="A59" s="1"/>
  <c r="A90" s="1"/>
  <c r="A116" s="1"/>
  <c r="A13" i="6"/>
  <c r="A54" s="1"/>
  <c r="A87" s="1"/>
  <c r="A115" s="1"/>
  <c r="A13" i="4"/>
  <c r="A43" s="1"/>
  <c r="A65" s="1"/>
  <c r="A82" s="1"/>
  <c r="A7"/>
  <c r="A6"/>
  <c r="A4"/>
  <c r="A3" i="6"/>
  <c r="A44" s="1"/>
  <c r="A77" s="1"/>
  <c r="A105" s="1"/>
  <c r="A5" i="4"/>
  <c r="A17"/>
  <c r="A47" s="1"/>
  <c r="A69" s="1"/>
  <c r="A86" s="1"/>
  <c r="A4" i="5"/>
  <c r="A19" i="6" l="1"/>
  <c r="A60" s="1"/>
  <c r="A93" s="1"/>
  <c r="A121" s="1"/>
  <c r="AL29"/>
  <c r="A43" i="5"/>
  <c r="A74" s="1"/>
  <c r="A100" s="1"/>
  <c r="AK29"/>
  <c r="F6" i="12" s="1"/>
  <c r="AJ29" i="5"/>
  <c r="A43" i="6"/>
  <c r="A76" s="1"/>
  <c r="A104" s="1"/>
  <c r="A2" i="5"/>
  <c r="E75" i="6"/>
  <c r="E103" s="1"/>
  <c r="A81"/>
  <c r="A109" s="1"/>
  <c r="E73" i="5"/>
  <c r="E99" s="1"/>
  <c r="E64" i="4"/>
  <c r="E81" s="1"/>
  <c r="G1" i="3"/>
  <c r="F60"/>
  <c r="F73" s="1"/>
  <c r="F1" i="6"/>
  <c r="F1" i="4"/>
  <c r="F1" i="5"/>
  <c r="A26" i="6"/>
  <c r="A67" s="1"/>
  <c r="A100" s="1"/>
  <c r="A128" s="1"/>
  <c r="A52" i="3"/>
  <c r="A70" s="1"/>
  <c r="A83" s="1"/>
  <c r="A24" i="6"/>
  <c r="A65" s="1"/>
  <c r="A98" s="1"/>
  <c r="A126" s="1"/>
  <c r="A50" i="3"/>
  <c r="A68" s="1"/>
  <c r="A81" s="1"/>
  <c r="A63"/>
  <c r="A76" s="1"/>
  <c r="A22" i="6"/>
  <c r="A63" s="1"/>
  <c r="A96" s="1"/>
  <c r="A124" s="1"/>
  <c r="A48" i="3"/>
  <c r="A66" s="1"/>
  <c r="A79" s="1"/>
  <c r="A21" i="5"/>
  <c r="A60" s="1"/>
  <c r="A91" s="1"/>
  <c r="A117" s="1"/>
  <c r="A47" i="3"/>
  <c r="A65" s="1"/>
  <c r="A78" s="1"/>
  <c r="A19" i="4"/>
  <c r="A49" s="1"/>
  <c r="AK29"/>
  <c r="F5" i="12" s="1"/>
  <c r="AJ29" i="4"/>
  <c r="D5" i="12" s="1"/>
  <c r="A26" i="4"/>
  <c r="A56" s="1"/>
  <c r="A78" s="1"/>
  <c r="A95" s="1"/>
  <c r="A22" i="5"/>
  <c r="A61" s="1"/>
  <c r="A92" s="1"/>
  <c r="A118" s="1"/>
  <c r="A22" i="4"/>
  <c r="A52" s="1"/>
  <c r="A74" s="1"/>
  <c r="A91" s="1"/>
  <c r="A19" i="5"/>
  <c r="A58" s="1"/>
  <c r="A89" s="1"/>
  <c r="A115" s="1"/>
  <c r="A24" i="4"/>
  <c r="A54" s="1"/>
  <c r="A76" s="1"/>
  <c r="A93" s="1"/>
  <c r="A11" i="6"/>
  <c r="A52" s="1"/>
  <c r="A85" s="1"/>
  <c r="A113" s="1"/>
  <c r="A9"/>
  <c r="A50" s="1"/>
  <c r="A83" s="1"/>
  <c r="A111" s="1"/>
  <c r="A11" i="4"/>
  <c r="A26" i="5"/>
  <c r="A65" s="1"/>
  <c r="A96" s="1"/>
  <c r="A122" s="1"/>
  <c r="A21" i="4"/>
  <c r="A51" s="1"/>
  <c r="A73" s="1"/>
  <c r="A90" s="1"/>
  <c r="M24" i="7"/>
  <c r="A9" i="4"/>
  <c r="AL29" i="5" l="1"/>
  <c r="D6" i="12"/>
  <c r="D8" s="1"/>
  <c r="E4" s="1"/>
  <c r="A55" i="3"/>
  <c r="A54" s="1"/>
  <c r="A59" i="4"/>
  <c r="A58" s="1"/>
  <c r="Y61" s="1"/>
  <c r="A68" i="5"/>
  <c r="A67" s="1"/>
  <c r="B70" s="1"/>
  <c r="A70" i="6"/>
  <c r="A69" s="1"/>
  <c r="B72" s="1"/>
  <c r="F8" i="12"/>
  <c r="F75" i="6"/>
  <c r="F103" s="1"/>
  <c r="F73" i="5"/>
  <c r="F99" s="1"/>
  <c r="A71" i="4"/>
  <c r="A88" s="1"/>
  <c r="F64"/>
  <c r="F81" s="1"/>
  <c r="H1" i="3"/>
  <c r="G60"/>
  <c r="G73" s="1"/>
  <c r="G1" i="6"/>
  <c r="G1" i="5"/>
  <c r="G1" i="4"/>
  <c r="AL29"/>
  <c r="AL29" i="3"/>
  <c r="AD57" l="1"/>
  <c r="AD58" s="1"/>
  <c r="Z57"/>
  <c r="Z58" s="1"/>
  <c r="V57"/>
  <c r="V58" s="1"/>
  <c r="R57"/>
  <c r="R58" s="1"/>
  <c r="N57"/>
  <c r="N58" s="1"/>
  <c r="J57"/>
  <c r="J58" s="1"/>
  <c r="F57"/>
  <c r="F58" s="1"/>
  <c r="AE57"/>
  <c r="AE58" s="1"/>
  <c r="AA57"/>
  <c r="AA58" s="1"/>
  <c r="W57"/>
  <c r="W58" s="1"/>
  <c r="S57"/>
  <c r="S58" s="1"/>
  <c r="O57"/>
  <c r="O58" s="1"/>
  <c r="K57"/>
  <c r="K58" s="1"/>
  <c r="G57"/>
  <c r="G58" s="1"/>
  <c r="C57"/>
  <c r="C58" s="1"/>
  <c r="AF57"/>
  <c r="AF58" s="1"/>
  <c r="AB57"/>
  <c r="AB58" s="1"/>
  <c r="X57"/>
  <c r="X58" s="1"/>
  <c r="T57"/>
  <c r="T58" s="1"/>
  <c r="P57"/>
  <c r="P58" s="1"/>
  <c r="L57"/>
  <c r="L58" s="1"/>
  <c r="H57"/>
  <c r="H58" s="1"/>
  <c r="D57"/>
  <c r="D58" s="1"/>
  <c r="AG57"/>
  <c r="AG58" s="1"/>
  <c r="AC57"/>
  <c r="AC58" s="1"/>
  <c r="Y57"/>
  <c r="Y58" s="1"/>
  <c r="U57"/>
  <c r="U58" s="1"/>
  <c r="Q57"/>
  <c r="Q58" s="1"/>
  <c r="M57"/>
  <c r="M58" s="1"/>
  <c r="I57"/>
  <c r="I58" s="1"/>
  <c r="E57"/>
  <c r="E58" s="1"/>
  <c r="D61" i="4"/>
  <c r="D62" s="1"/>
  <c r="D68" s="1"/>
  <c r="D85" s="1"/>
  <c r="T61"/>
  <c r="T62" s="1"/>
  <c r="T66" s="1"/>
  <c r="T83" s="1"/>
  <c r="C61"/>
  <c r="C62" s="1"/>
  <c r="C65" s="1"/>
  <c r="C82" s="1"/>
  <c r="S61"/>
  <c r="F61"/>
  <c r="F62" s="1"/>
  <c r="F66" s="1"/>
  <c r="F83" s="1"/>
  <c r="V61"/>
  <c r="V62" s="1"/>
  <c r="V67" s="1"/>
  <c r="V84" s="1"/>
  <c r="E61"/>
  <c r="E62" s="1"/>
  <c r="E67" s="1"/>
  <c r="E84" s="1"/>
  <c r="U61"/>
  <c r="U62" s="1"/>
  <c r="U65" s="1"/>
  <c r="U82" s="1"/>
  <c r="P61"/>
  <c r="AF61"/>
  <c r="AF62" s="1"/>
  <c r="O61"/>
  <c r="O62" s="1"/>
  <c r="O65" s="1"/>
  <c r="O82" s="1"/>
  <c r="AE61"/>
  <c r="AE62" s="1"/>
  <c r="AE67" s="1"/>
  <c r="AE84" s="1"/>
  <c r="R61"/>
  <c r="R62" s="1"/>
  <c r="R67" s="1"/>
  <c r="R84" s="1"/>
  <c r="B61"/>
  <c r="B62" s="1"/>
  <c r="B66" s="1"/>
  <c r="B83" s="1"/>
  <c r="Q61"/>
  <c r="Q62" s="1"/>
  <c r="Q67" s="1"/>
  <c r="Q84" s="1"/>
  <c r="AG61"/>
  <c r="L61"/>
  <c r="AC61"/>
  <c r="AC62" s="1"/>
  <c r="AC65" s="1"/>
  <c r="AC82" s="1"/>
  <c r="B73" i="6"/>
  <c r="B80" s="1"/>
  <c r="AB61" i="4"/>
  <c r="AB62" s="1"/>
  <c r="AB66" s="1"/>
  <c r="AB83" s="1"/>
  <c r="K61"/>
  <c r="K62" s="1"/>
  <c r="K65" s="1"/>
  <c r="K82" s="1"/>
  <c r="AA61"/>
  <c r="AA62" s="1"/>
  <c r="AA67" s="1"/>
  <c r="AA84" s="1"/>
  <c r="N61"/>
  <c r="AD61"/>
  <c r="AD62" s="1"/>
  <c r="AD68" s="1"/>
  <c r="AD85" s="1"/>
  <c r="M61"/>
  <c r="M62" s="1"/>
  <c r="M66" s="1"/>
  <c r="M83" s="1"/>
  <c r="H61"/>
  <c r="H62" s="1"/>
  <c r="X61"/>
  <c r="X62" s="1"/>
  <c r="G61"/>
  <c r="W61"/>
  <c r="W62" s="1"/>
  <c r="W67" s="1"/>
  <c r="W84" s="1"/>
  <c r="J61"/>
  <c r="Z61"/>
  <c r="Z62" s="1"/>
  <c r="I61"/>
  <c r="I62" s="1"/>
  <c r="I67" s="1"/>
  <c r="I84" s="1"/>
  <c r="L62"/>
  <c r="L65" s="1"/>
  <c r="L82" s="1"/>
  <c r="Y62"/>
  <c r="Y65" s="1"/>
  <c r="Y82" s="1"/>
  <c r="P62"/>
  <c r="P68" s="1"/>
  <c r="P85" s="1"/>
  <c r="B71" i="5"/>
  <c r="B76" s="1"/>
  <c r="B102" s="1"/>
  <c r="E5" i="12"/>
  <c r="G5" s="1"/>
  <c r="E6"/>
  <c r="G6" s="1"/>
  <c r="E7"/>
  <c r="G7" s="1"/>
  <c r="G4"/>
  <c r="P72" i="6"/>
  <c r="P73" s="1"/>
  <c r="J72"/>
  <c r="J73" s="1"/>
  <c r="AD72"/>
  <c r="AD73" s="1"/>
  <c r="L72"/>
  <c r="L73" s="1"/>
  <c r="V72"/>
  <c r="V73" s="1"/>
  <c r="E72"/>
  <c r="E73" s="1"/>
  <c r="AC72"/>
  <c r="AC73" s="1"/>
  <c r="M72"/>
  <c r="M73" s="1"/>
  <c r="AA72"/>
  <c r="AA73" s="1"/>
  <c r="AF72"/>
  <c r="AF73" s="1"/>
  <c r="T72"/>
  <c r="T73" s="1"/>
  <c r="X72"/>
  <c r="X73" s="1"/>
  <c r="D72"/>
  <c r="D73" s="1"/>
  <c r="H72"/>
  <c r="H73" s="1"/>
  <c r="AG72"/>
  <c r="AG73" s="1"/>
  <c r="Q72"/>
  <c r="Q73" s="1"/>
  <c r="Z72"/>
  <c r="Z73" s="1"/>
  <c r="AE72"/>
  <c r="AE73" s="1"/>
  <c r="G72"/>
  <c r="G73" s="1"/>
  <c r="O72"/>
  <c r="O73" s="1"/>
  <c r="C72"/>
  <c r="C73" s="1"/>
  <c r="AB72"/>
  <c r="AB73" s="1"/>
  <c r="U72"/>
  <c r="U73" s="1"/>
  <c r="W72"/>
  <c r="W73" s="1"/>
  <c r="R72"/>
  <c r="R73" s="1"/>
  <c r="S72"/>
  <c r="S73" s="1"/>
  <c r="N72"/>
  <c r="N73" s="1"/>
  <c r="K72"/>
  <c r="K73" s="1"/>
  <c r="F72"/>
  <c r="F73" s="1"/>
  <c r="Y72"/>
  <c r="Y73" s="1"/>
  <c r="I72"/>
  <c r="I73" s="1"/>
  <c r="G75"/>
  <c r="G103" s="1"/>
  <c r="P70" i="5"/>
  <c r="G70"/>
  <c r="AA70"/>
  <c r="AC70"/>
  <c r="S70"/>
  <c r="U70"/>
  <c r="V70"/>
  <c r="AD70"/>
  <c r="Q70"/>
  <c r="Y70"/>
  <c r="R70"/>
  <c r="Z70"/>
  <c r="AF70"/>
  <c r="W70"/>
  <c r="I70"/>
  <c r="L70"/>
  <c r="D70"/>
  <c r="J70"/>
  <c r="AE70"/>
  <c r="AG70"/>
  <c r="X70"/>
  <c r="H70"/>
  <c r="K70"/>
  <c r="M70"/>
  <c r="C70"/>
  <c r="E70"/>
  <c r="F70"/>
  <c r="N70"/>
  <c r="O70"/>
  <c r="AB70"/>
  <c r="T70"/>
  <c r="G73"/>
  <c r="G99" s="1"/>
  <c r="G64" i="4"/>
  <c r="G81" s="1"/>
  <c r="I1" i="3"/>
  <c r="H60"/>
  <c r="H73" s="1"/>
  <c r="H1" i="4"/>
  <c r="H1" i="6"/>
  <c r="H1" i="5"/>
  <c r="B57" i="3"/>
  <c r="B77" i="5" l="1"/>
  <c r="B103" s="1"/>
  <c r="L67" i="4"/>
  <c r="L84" s="1"/>
  <c r="L70"/>
  <c r="L87" s="1"/>
  <c r="B58" i="3"/>
  <c r="B61" s="1"/>
  <c r="B74" s="1"/>
  <c r="E69" i="4"/>
  <c r="E86" s="1"/>
  <c r="B83" i="5"/>
  <c r="B109" s="1"/>
  <c r="Y70" i="4"/>
  <c r="Y87" s="1"/>
  <c r="F70"/>
  <c r="F87" s="1"/>
  <c r="B77" i="6"/>
  <c r="B105" s="1"/>
  <c r="O66" i="4"/>
  <c r="O83" s="1"/>
  <c r="O68"/>
  <c r="O85" s="1"/>
  <c r="B84" i="5"/>
  <c r="B110" s="1"/>
  <c r="B75"/>
  <c r="B101" s="1"/>
  <c r="D67" i="4"/>
  <c r="D84" s="1"/>
  <c r="G62"/>
  <c r="G65" s="1"/>
  <c r="G82" s="1"/>
  <c r="AA65"/>
  <c r="AA82" s="1"/>
  <c r="D69"/>
  <c r="D86" s="1"/>
  <c r="Q66"/>
  <c r="Q83" s="1"/>
  <c r="Y66"/>
  <c r="Y83" s="1"/>
  <c r="J62"/>
  <c r="J67" s="1"/>
  <c r="J84" s="1"/>
  <c r="H68"/>
  <c r="H85" s="1"/>
  <c r="H67"/>
  <c r="H84" s="1"/>
  <c r="H70"/>
  <c r="H87" s="1"/>
  <c r="B74" i="5"/>
  <c r="B100" s="1"/>
  <c r="AE66" i="4"/>
  <c r="AE83" s="1"/>
  <c r="E66"/>
  <c r="E83" s="1"/>
  <c r="F65"/>
  <c r="F82" s="1"/>
  <c r="C66"/>
  <c r="C83" s="1"/>
  <c r="D65"/>
  <c r="D82" s="1"/>
  <c r="Y67"/>
  <c r="Y84" s="1"/>
  <c r="G68"/>
  <c r="G85" s="1"/>
  <c r="AA66"/>
  <c r="AA83" s="1"/>
  <c r="K68"/>
  <c r="K85" s="1"/>
  <c r="W66"/>
  <c r="W83" s="1"/>
  <c r="M68"/>
  <c r="M85" s="1"/>
  <c r="K66"/>
  <c r="K83" s="1"/>
  <c r="AC67"/>
  <c r="AC84" s="1"/>
  <c r="R66"/>
  <c r="R83" s="1"/>
  <c r="F68"/>
  <c r="F85" s="1"/>
  <c r="W68"/>
  <c r="W85" s="1"/>
  <c r="AA68"/>
  <c r="AA85" s="1"/>
  <c r="R65"/>
  <c r="R82" s="1"/>
  <c r="P67"/>
  <c r="P84" s="1"/>
  <c r="E68"/>
  <c r="E85" s="1"/>
  <c r="F67"/>
  <c r="F84" s="1"/>
  <c r="D66"/>
  <c r="D83" s="1"/>
  <c r="G66"/>
  <c r="G83" s="1"/>
  <c r="AE68"/>
  <c r="AE85" s="1"/>
  <c r="U67"/>
  <c r="U84" s="1"/>
  <c r="AF66"/>
  <c r="AF83" s="1"/>
  <c r="AF67"/>
  <c r="AF84" s="1"/>
  <c r="Z68"/>
  <c r="Z85" s="1"/>
  <c r="Z69"/>
  <c r="Z86" s="1"/>
  <c r="X65"/>
  <c r="X82" s="1"/>
  <c r="X67"/>
  <c r="X84" s="1"/>
  <c r="K69"/>
  <c r="K86" s="1"/>
  <c r="W70"/>
  <c r="W87" s="1"/>
  <c r="AG62"/>
  <c r="AG69" s="1"/>
  <c r="AG86" s="1"/>
  <c r="R68"/>
  <c r="R85" s="1"/>
  <c r="AE65"/>
  <c r="AE82" s="1"/>
  <c r="P65"/>
  <c r="P82" s="1"/>
  <c r="U66"/>
  <c r="U83" s="1"/>
  <c r="S62"/>
  <c r="S66" s="1"/>
  <c r="S83" s="1"/>
  <c r="J68"/>
  <c r="J85" s="1"/>
  <c r="W65"/>
  <c r="W82" s="1"/>
  <c r="H65"/>
  <c r="H82" s="1"/>
  <c r="AC66"/>
  <c r="AC83" s="1"/>
  <c r="N62"/>
  <c r="N65" s="1"/>
  <c r="N82" s="1"/>
  <c r="L66"/>
  <c r="L83" s="1"/>
  <c r="B76" i="6"/>
  <c r="B104" s="1"/>
  <c r="AH73"/>
  <c r="AK30" s="1"/>
  <c r="L68" i="4"/>
  <c r="L85" s="1"/>
  <c r="R69"/>
  <c r="R86" s="1"/>
  <c r="Q68"/>
  <c r="Q85" s="1"/>
  <c r="P66"/>
  <c r="P83" s="1"/>
  <c r="Y68"/>
  <c r="Y85" s="1"/>
  <c r="I68"/>
  <c r="I85" s="1"/>
  <c r="H66"/>
  <c r="H83" s="1"/>
  <c r="AD65"/>
  <c r="AD82" s="1"/>
  <c r="B78" i="6"/>
  <c r="B106" s="1"/>
  <c r="U68" i="4"/>
  <c r="U85" s="1"/>
  <c r="I66"/>
  <c r="I83" s="1"/>
  <c r="AC68"/>
  <c r="AC85" s="1"/>
  <c r="B79" i="6"/>
  <c r="B107" s="1"/>
  <c r="V65" i="4"/>
  <c r="V82" s="1"/>
  <c r="T67"/>
  <c r="T84" s="1"/>
  <c r="T69"/>
  <c r="T86" s="1"/>
  <c r="AD69"/>
  <c r="AD86" s="1"/>
  <c r="V68"/>
  <c r="V85" s="1"/>
  <c r="C68"/>
  <c r="C85" s="1"/>
  <c r="X66"/>
  <c r="X83" s="1"/>
  <c r="C70"/>
  <c r="C87" s="1"/>
  <c r="I70"/>
  <c r="I87" s="1"/>
  <c r="V69"/>
  <c r="V86" s="1"/>
  <c r="O69"/>
  <c r="O86" s="1"/>
  <c r="Q65"/>
  <c r="Q82" s="1"/>
  <c r="O67"/>
  <c r="O84" s="1"/>
  <c r="AF68"/>
  <c r="AF85" s="1"/>
  <c r="E65"/>
  <c r="E82" s="1"/>
  <c r="V66"/>
  <c r="C67"/>
  <c r="C84" s="1"/>
  <c r="T68"/>
  <c r="T85" s="1"/>
  <c r="I65"/>
  <c r="I82" s="1"/>
  <c r="Z66"/>
  <c r="Z83" s="1"/>
  <c r="X68"/>
  <c r="X85" s="1"/>
  <c r="M65"/>
  <c r="M82" s="1"/>
  <c r="AD66"/>
  <c r="AD83" s="1"/>
  <c r="K67"/>
  <c r="K84" s="1"/>
  <c r="AB68"/>
  <c r="AB85" s="1"/>
  <c r="B69"/>
  <c r="B86" s="1"/>
  <c r="AF69"/>
  <c r="AF86" s="1"/>
  <c r="U69"/>
  <c r="U86" s="1"/>
  <c r="Q70"/>
  <c r="Q87" s="1"/>
  <c r="X69"/>
  <c r="X86" s="1"/>
  <c r="M70"/>
  <c r="M87" s="1"/>
  <c r="B67"/>
  <c r="B84" s="1"/>
  <c r="AF65"/>
  <c r="AF82" s="1"/>
  <c r="T65"/>
  <c r="T82" s="1"/>
  <c r="Z67"/>
  <c r="Z84" s="1"/>
  <c r="M67"/>
  <c r="M84" s="1"/>
  <c r="AD67"/>
  <c r="AD84" s="1"/>
  <c r="AB65"/>
  <c r="AB82" s="1"/>
  <c r="Z65"/>
  <c r="Z82" s="1"/>
  <c r="AB67"/>
  <c r="AB84" s="1"/>
  <c r="B68"/>
  <c r="B85" s="1"/>
  <c r="B65"/>
  <c r="B82" s="1"/>
  <c r="AB71" i="5"/>
  <c r="AB74" s="1"/>
  <c r="AB100" s="1"/>
  <c r="E71"/>
  <c r="E74" s="1"/>
  <c r="E100" s="1"/>
  <c r="H71"/>
  <c r="H74" s="1"/>
  <c r="H100" s="1"/>
  <c r="J71"/>
  <c r="J76" s="1"/>
  <c r="J102" s="1"/>
  <c r="W71"/>
  <c r="W75" s="1"/>
  <c r="W101" s="1"/>
  <c r="Y71"/>
  <c r="Y74" s="1"/>
  <c r="Y100" s="1"/>
  <c r="U71"/>
  <c r="U74" s="1"/>
  <c r="U100" s="1"/>
  <c r="G71"/>
  <c r="G75" s="1"/>
  <c r="G101" s="1"/>
  <c r="T71"/>
  <c r="T74" s="1"/>
  <c r="T100" s="1"/>
  <c r="F71"/>
  <c r="F76" s="1"/>
  <c r="F102" s="1"/>
  <c r="K71"/>
  <c r="K75" s="1"/>
  <c r="K101" s="1"/>
  <c r="AE71"/>
  <c r="AE75" s="1"/>
  <c r="AE101" s="1"/>
  <c r="I71"/>
  <c r="I74" s="1"/>
  <c r="I100" s="1"/>
  <c r="R71"/>
  <c r="R76" s="1"/>
  <c r="R102" s="1"/>
  <c r="V71"/>
  <c r="V76" s="1"/>
  <c r="V102" s="1"/>
  <c r="AA71"/>
  <c r="AA75" s="1"/>
  <c r="AA101" s="1"/>
  <c r="N71"/>
  <c r="N76" s="1"/>
  <c r="N102" s="1"/>
  <c r="M71"/>
  <c r="M75" s="1"/>
  <c r="M101" s="1"/>
  <c r="AG71"/>
  <c r="AG75" s="1"/>
  <c r="AG101" s="1"/>
  <c r="L71"/>
  <c r="L75" s="1"/>
  <c r="L101" s="1"/>
  <c r="Z71"/>
  <c r="Z74" s="1"/>
  <c r="Z100" s="1"/>
  <c r="AD71"/>
  <c r="AD74" s="1"/>
  <c r="AD100" s="1"/>
  <c r="AC71"/>
  <c r="AC75" s="1"/>
  <c r="AC101" s="1"/>
  <c r="O71"/>
  <c r="O75" s="1"/>
  <c r="O101" s="1"/>
  <c r="C71"/>
  <c r="C75" s="1"/>
  <c r="X71"/>
  <c r="X74" s="1"/>
  <c r="X100" s="1"/>
  <c r="D71"/>
  <c r="D74" s="1"/>
  <c r="D100" s="1"/>
  <c r="AF71"/>
  <c r="AF74" s="1"/>
  <c r="AF100" s="1"/>
  <c r="Q71"/>
  <c r="Q74" s="1"/>
  <c r="Q100" s="1"/>
  <c r="S71"/>
  <c r="S75" s="1"/>
  <c r="S101" s="1"/>
  <c r="P71"/>
  <c r="P74" s="1"/>
  <c r="P100" s="1"/>
  <c r="B82"/>
  <c r="B108" s="1"/>
  <c r="B79"/>
  <c r="B105" s="1"/>
  <c r="X70" i="4"/>
  <c r="X87" s="1"/>
  <c r="O70"/>
  <c r="O87" s="1"/>
  <c r="B85" i="5"/>
  <c r="B111" s="1"/>
  <c r="G8" i="12"/>
  <c r="E8"/>
  <c r="AC70" i="4"/>
  <c r="AC87" s="1"/>
  <c r="G70"/>
  <c r="G87" s="1"/>
  <c r="V70"/>
  <c r="V87" s="1"/>
  <c r="AA70"/>
  <c r="AA87" s="1"/>
  <c r="AE70"/>
  <c r="AE87" s="1"/>
  <c r="AF70"/>
  <c r="AF87" s="1"/>
  <c r="AB69"/>
  <c r="AB86" s="1"/>
  <c r="F69"/>
  <c r="F86" s="1"/>
  <c r="M69"/>
  <c r="M86" s="1"/>
  <c r="B108" i="6"/>
  <c r="R70" i="4"/>
  <c r="R87" s="1"/>
  <c r="Z70"/>
  <c r="Z87" s="1"/>
  <c r="I69"/>
  <c r="I86" s="1"/>
  <c r="P69"/>
  <c r="P86" s="1"/>
  <c r="P70"/>
  <c r="P87" s="1"/>
  <c r="U70"/>
  <c r="U87" s="1"/>
  <c r="B78" i="5"/>
  <c r="B104" s="1"/>
  <c r="B81"/>
  <c r="B107" s="1"/>
  <c r="B87"/>
  <c r="B113" s="1"/>
  <c r="L69" i="4"/>
  <c r="L86" s="1"/>
  <c r="K70"/>
  <c r="K87" s="1"/>
  <c r="H69"/>
  <c r="H86" s="1"/>
  <c r="B86" i="5"/>
  <c r="B112" s="1"/>
  <c r="B80"/>
  <c r="B106" s="1"/>
  <c r="K78" i="6"/>
  <c r="K106" s="1"/>
  <c r="F79"/>
  <c r="F107" s="1"/>
  <c r="R79"/>
  <c r="R107" s="1"/>
  <c r="C78"/>
  <c r="C106" s="1"/>
  <c r="Z79"/>
  <c r="Z107" s="1"/>
  <c r="D80"/>
  <c r="AA78"/>
  <c r="AA106" s="1"/>
  <c r="V79"/>
  <c r="V107" s="1"/>
  <c r="P80"/>
  <c r="P108" s="1"/>
  <c r="Y80"/>
  <c r="Y108" s="1"/>
  <c r="AB80"/>
  <c r="AB108" s="1"/>
  <c r="AE78"/>
  <c r="AE106" s="1"/>
  <c r="H80"/>
  <c r="H108" s="1"/>
  <c r="AF80"/>
  <c r="AF108" s="1"/>
  <c r="E80"/>
  <c r="E108" s="1"/>
  <c r="J79"/>
  <c r="J107" s="1"/>
  <c r="S80"/>
  <c r="S108" s="1"/>
  <c r="I79"/>
  <c r="I107" s="1"/>
  <c r="N78"/>
  <c r="N106" s="1"/>
  <c r="U79"/>
  <c r="G80"/>
  <c r="AG79"/>
  <c r="AG107" s="1"/>
  <c r="T78"/>
  <c r="T106" s="1"/>
  <c r="AC78"/>
  <c r="AC106" s="1"/>
  <c r="AD80"/>
  <c r="AD108" s="1"/>
  <c r="W80"/>
  <c r="W108" s="1"/>
  <c r="O80"/>
  <c r="O108" s="1"/>
  <c r="Q79"/>
  <c r="Q107" s="1"/>
  <c r="X79"/>
  <c r="X107" s="1"/>
  <c r="M79"/>
  <c r="M107" s="1"/>
  <c r="L79"/>
  <c r="L107" s="1"/>
  <c r="C98"/>
  <c r="C126" s="1"/>
  <c r="Z89"/>
  <c r="Z117" s="1"/>
  <c r="AA96"/>
  <c r="AA124" s="1"/>
  <c r="AA90"/>
  <c r="AA118" s="1"/>
  <c r="AA82"/>
  <c r="AA110" s="1"/>
  <c r="AA83"/>
  <c r="AA111" s="1"/>
  <c r="AA93"/>
  <c r="AA121" s="1"/>
  <c r="F100"/>
  <c r="F128" s="1"/>
  <c r="AB99"/>
  <c r="AB127" s="1"/>
  <c r="AB82"/>
  <c r="AB110" s="1"/>
  <c r="AB90"/>
  <c r="AB118" s="1"/>
  <c r="H94"/>
  <c r="H122" s="1"/>
  <c r="E96"/>
  <c r="E124" s="1"/>
  <c r="E94"/>
  <c r="E122" s="1"/>
  <c r="E92"/>
  <c r="E120" s="1"/>
  <c r="E88"/>
  <c r="E116" s="1"/>
  <c r="B96"/>
  <c r="AJ72"/>
  <c r="AH72"/>
  <c r="B100"/>
  <c r="B85"/>
  <c r="B92"/>
  <c r="B98"/>
  <c r="B88"/>
  <c r="B91"/>
  <c r="B93"/>
  <c r="AG100"/>
  <c r="AG128" s="1"/>
  <c r="T99"/>
  <c r="T127" s="1"/>
  <c r="T100"/>
  <c r="T128" s="1"/>
  <c r="AD88"/>
  <c r="AD116" s="1"/>
  <c r="H75"/>
  <c r="H103" s="1"/>
  <c r="N85"/>
  <c r="N113" s="1"/>
  <c r="N100"/>
  <c r="N128" s="1"/>
  <c r="O99"/>
  <c r="O127" s="1"/>
  <c r="M82"/>
  <c r="M110" s="1"/>
  <c r="L99"/>
  <c r="L127" s="1"/>
  <c r="AB77" i="5"/>
  <c r="AB103" s="1"/>
  <c r="B93"/>
  <c r="AJ70"/>
  <c r="AH70"/>
  <c r="B92"/>
  <c r="H73"/>
  <c r="H99" s="1"/>
  <c r="T70" i="4"/>
  <c r="T87" s="1"/>
  <c r="E70"/>
  <c r="E87" s="1"/>
  <c r="C69"/>
  <c r="C86" s="1"/>
  <c r="W69"/>
  <c r="W86" s="1"/>
  <c r="AD70"/>
  <c r="AD87" s="1"/>
  <c r="B70"/>
  <c r="B87" s="1"/>
  <c r="D70"/>
  <c r="D87" s="1"/>
  <c r="Q69"/>
  <c r="Q86" s="1"/>
  <c r="Y69"/>
  <c r="Y86" s="1"/>
  <c r="H64"/>
  <c r="H81" s="1"/>
  <c r="M76"/>
  <c r="M93" s="1"/>
  <c r="G76"/>
  <c r="G93" s="1"/>
  <c r="D78"/>
  <c r="D95" s="1"/>
  <c r="E76"/>
  <c r="E93" s="1"/>
  <c r="AC76"/>
  <c r="AC93" s="1"/>
  <c r="L78"/>
  <c r="L95" s="1"/>
  <c r="R75"/>
  <c r="R92" s="1"/>
  <c r="B77"/>
  <c r="AJ61"/>
  <c r="AH61"/>
  <c r="B76"/>
  <c r="K78"/>
  <c r="K95" s="1"/>
  <c r="K72"/>
  <c r="K89" s="1"/>
  <c r="K75"/>
  <c r="K92" s="1"/>
  <c r="F76"/>
  <c r="F93" s="1"/>
  <c r="S77"/>
  <c r="S94" s="1"/>
  <c r="Q77"/>
  <c r="Q94" s="1"/>
  <c r="C75"/>
  <c r="C92" s="1"/>
  <c r="T77"/>
  <c r="T94" s="1"/>
  <c r="W78"/>
  <c r="W95" s="1"/>
  <c r="X77"/>
  <c r="X94" s="1"/>
  <c r="V76"/>
  <c r="V93" s="1"/>
  <c r="Z76"/>
  <c r="Z93" s="1"/>
  <c r="O78"/>
  <c r="O95" s="1"/>
  <c r="O76"/>
  <c r="O93" s="1"/>
  <c r="J75"/>
  <c r="J92" s="1"/>
  <c r="AF74"/>
  <c r="AF91" s="1"/>
  <c r="U76"/>
  <c r="U93" s="1"/>
  <c r="U78"/>
  <c r="U95" s="1"/>
  <c r="P77"/>
  <c r="P94" s="1"/>
  <c r="AB73"/>
  <c r="AB90" s="1"/>
  <c r="AD75"/>
  <c r="AD92" s="1"/>
  <c r="Y78"/>
  <c r="Y95" s="1"/>
  <c r="H78"/>
  <c r="H95" s="1"/>
  <c r="I76"/>
  <c r="I93" s="1"/>
  <c r="AA78"/>
  <c r="AA95" s="1"/>
  <c r="J1" i="3"/>
  <c r="I60"/>
  <c r="I73" s="1"/>
  <c r="I1" i="6"/>
  <c r="I1" i="5"/>
  <c r="I1" i="4"/>
  <c r="AH57" i="3"/>
  <c r="AJ57"/>
  <c r="AF68"/>
  <c r="AF81" s="1"/>
  <c r="V70"/>
  <c r="V83" s="1"/>
  <c r="T68"/>
  <c r="T81" s="1"/>
  <c r="Z69"/>
  <c r="Z82" s="1"/>
  <c r="X68"/>
  <c r="X81" s="1"/>
  <c r="AD70"/>
  <c r="AD83" s="1"/>
  <c r="AB68"/>
  <c r="AB81" s="1"/>
  <c r="O70"/>
  <c r="O83" s="1"/>
  <c r="Q69"/>
  <c r="Q82" s="1"/>
  <c r="C67"/>
  <c r="C80" s="1"/>
  <c r="E69"/>
  <c r="E82" s="1"/>
  <c r="G70"/>
  <c r="G83" s="1"/>
  <c r="I69"/>
  <c r="I82" s="1"/>
  <c r="K67"/>
  <c r="K80" s="1"/>
  <c r="M69"/>
  <c r="M82" s="1"/>
  <c r="AE70"/>
  <c r="AE83" s="1"/>
  <c r="AG69"/>
  <c r="AG82" s="1"/>
  <c r="S67"/>
  <c r="S80" s="1"/>
  <c r="U69"/>
  <c r="U82" s="1"/>
  <c r="W70"/>
  <c r="W83" s="1"/>
  <c r="Y69"/>
  <c r="Y82" s="1"/>
  <c r="AA67"/>
  <c r="AA80" s="1"/>
  <c r="AC69"/>
  <c r="AC82" s="1"/>
  <c r="R69"/>
  <c r="R82" s="1"/>
  <c r="P68"/>
  <c r="P81" s="1"/>
  <c r="F70"/>
  <c r="F83" s="1"/>
  <c r="D68"/>
  <c r="D81" s="1"/>
  <c r="J69"/>
  <c r="J82" s="1"/>
  <c r="H68"/>
  <c r="H81" s="1"/>
  <c r="N70"/>
  <c r="N83" s="1"/>
  <c r="L68"/>
  <c r="L81" s="1"/>
  <c r="B68" l="1"/>
  <c r="AG77" i="4"/>
  <c r="AG94" s="1"/>
  <c r="N76"/>
  <c r="N93" s="1"/>
  <c r="J70"/>
  <c r="J87" s="1"/>
  <c r="G67"/>
  <c r="G84" s="1"/>
  <c r="F84" i="5"/>
  <c r="F110" s="1"/>
  <c r="H81"/>
  <c r="H107" s="1"/>
  <c r="AB90"/>
  <c r="AB116" s="1"/>
  <c r="Q84"/>
  <c r="Q110" s="1"/>
  <c r="V87"/>
  <c r="V113" s="1"/>
  <c r="AG85"/>
  <c r="AG111" s="1"/>
  <c r="AG70" i="4"/>
  <c r="AG87" s="1"/>
  <c r="AC84" i="5"/>
  <c r="AC110" s="1"/>
  <c r="L81"/>
  <c r="L107" s="1"/>
  <c r="R84"/>
  <c r="R110" s="1"/>
  <c r="G86"/>
  <c r="G112" s="1"/>
  <c r="AD83"/>
  <c r="AD109" s="1"/>
  <c r="AA86"/>
  <c r="AA112" s="1"/>
  <c r="S69" i="4"/>
  <c r="S86" s="1"/>
  <c r="D77" i="5"/>
  <c r="D103" s="1"/>
  <c r="P77"/>
  <c r="P103" s="1"/>
  <c r="L93"/>
  <c r="L119" s="1"/>
  <c r="N70" i="4"/>
  <c r="N87" s="1"/>
  <c r="J66"/>
  <c r="J83" s="1"/>
  <c r="AE82" i="5"/>
  <c r="AE108" s="1"/>
  <c r="C82"/>
  <c r="C108" s="1"/>
  <c r="J74"/>
  <c r="J100" s="1"/>
  <c r="J69" i="4"/>
  <c r="J86" s="1"/>
  <c r="Y85" i="5"/>
  <c r="Y111" s="1"/>
  <c r="Z79"/>
  <c r="Z105" s="1"/>
  <c r="Z75"/>
  <c r="Z101" s="1"/>
  <c r="Y75"/>
  <c r="Y101" s="1"/>
  <c r="AA62" i="3"/>
  <c r="AA75" s="1"/>
  <c r="K62"/>
  <c r="K75" s="1"/>
  <c r="G62"/>
  <c r="G75" s="1"/>
  <c r="C62"/>
  <c r="C75" s="1"/>
  <c r="O62"/>
  <c r="O75" s="1"/>
  <c r="X62"/>
  <c r="X75" s="1"/>
  <c r="T62"/>
  <c r="T75" s="1"/>
  <c r="V61"/>
  <c r="V74" s="1"/>
  <c r="L61"/>
  <c r="L74" s="1"/>
  <c r="H61"/>
  <c r="H74" s="1"/>
  <c r="D61"/>
  <c r="D74" s="1"/>
  <c r="P61"/>
  <c r="P74" s="1"/>
  <c r="AC61"/>
  <c r="AC74" s="1"/>
  <c r="W61"/>
  <c r="W74" s="1"/>
  <c r="S61"/>
  <c r="S74" s="1"/>
  <c r="G69" i="4"/>
  <c r="G86" s="1"/>
  <c r="AE61" i="3"/>
  <c r="AE74" s="1"/>
  <c r="M61"/>
  <c r="M74" s="1"/>
  <c r="I61"/>
  <c r="I74" s="1"/>
  <c r="E61"/>
  <c r="E74" s="1"/>
  <c r="Q61"/>
  <c r="Q74" s="1"/>
  <c r="AB61"/>
  <c r="AB74" s="1"/>
  <c r="Z62"/>
  <c r="Z75" s="1"/>
  <c r="AF61"/>
  <c r="AF74" s="1"/>
  <c r="AD62"/>
  <c r="AD75" s="1"/>
  <c r="L62"/>
  <c r="L75" s="1"/>
  <c r="H62"/>
  <c r="H75" s="1"/>
  <c r="D62"/>
  <c r="D75" s="1"/>
  <c r="P62"/>
  <c r="P75" s="1"/>
  <c r="AC62"/>
  <c r="AC75" s="1"/>
  <c r="W62"/>
  <c r="W75" s="1"/>
  <c r="S62"/>
  <c r="S75" s="1"/>
  <c r="E75" i="5"/>
  <c r="E101" s="1"/>
  <c r="AE62" i="3"/>
  <c r="AE75" s="1"/>
  <c r="M62"/>
  <c r="M75" s="1"/>
  <c r="I62"/>
  <c r="I75" s="1"/>
  <c r="E62"/>
  <c r="E75" s="1"/>
  <c r="Q62"/>
  <c r="Q75" s="1"/>
  <c r="AB62"/>
  <c r="AB75" s="1"/>
  <c r="Z61"/>
  <c r="Z74" s="1"/>
  <c r="AF62"/>
  <c r="AF75" s="1"/>
  <c r="AD61"/>
  <c r="AD74" s="1"/>
  <c r="J65" i="4"/>
  <c r="J82" s="1"/>
  <c r="N62" i="3"/>
  <c r="N75" s="1"/>
  <c r="J62"/>
  <c r="J75" s="1"/>
  <c r="F62"/>
  <c r="F75" s="1"/>
  <c r="R62"/>
  <c r="R75" s="1"/>
  <c r="Y61"/>
  <c r="Y74" s="1"/>
  <c r="U61"/>
  <c r="U74" s="1"/>
  <c r="AG61"/>
  <c r="AG74" s="1"/>
  <c r="AA61"/>
  <c r="AA74" s="1"/>
  <c r="K61"/>
  <c r="K74" s="1"/>
  <c r="G61"/>
  <c r="G74" s="1"/>
  <c r="C61"/>
  <c r="C74" s="1"/>
  <c r="O61"/>
  <c r="O74" s="1"/>
  <c r="X61"/>
  <c r="X74" s="1"/>
  <c r="T61"/>
  <c r="T74" s="1"/>
  <c r="B62"/>
  <c r="B75" s="1"/>
  <c r="V62"/>
  <c r="V75" s="1"/>
  <c r="N61"/>
  <c r="N74" s="1"/>
  <c r="J61"/>
  <c r="J74" s="1"/>
  <c r="F61"/>
  <c r="F74" s="1"/>
  <c r="R61"/>
  <c r="R74" s="1"/>
  <c r="Y62"/>
  <c r="Y75" s="1"/>
  <c r="U62"/>
  <c r="U75" s="1"/>
  <c r="AG62"/>
  <c r="AG75" s="1"/>
  <c r="P75" i="5"/>
  <c r="P101" s="1"/>
  <c r="Q75"/>
  <c r="Q101" s="1"/>
  <c r="D75"/>
  <c r="D101" s="1"/>
  <c r="C76"/>
  <c r="C102" s="1"/>
  <c r="AC74"/>
  <c r="AC100" s="1"/>
  <c r="Z76"/>
  <c r="Z102" s="1"/>
  <c r="AG74"/>
  <c r="AG100" s="1"/>
  <c r="AA76"/>
  <c r="AA102" s="1"/>
  <c r="R74"/>
  <c r="R100" s="1"/>
  <c r="AE76"/>
  <c r="AE102" s="1"/>
  <c r="F74"/>
  <c r="F100" s="1"/>
  <c r="G76"/>
  <c r="G102" s="1"/>
  <c r="S76"/>
  <c r="S102" s="1"/>
  <c r="AF75"/>
  <c r="AF101" s="1"/>
  <c r="X75"/>
  <c r="X101" s="1"/>
  <c r="O76"/>
  <c r="O102" s="1"/>
  <c r="L76"/>
  <c r="L102" s="1"/>
  <c r="V74"/>
  <c r="V100" s="1"/>
  <c r="I75"/>
  <c r="I101" s="1"/>
  <c r="K76"/>
  <c r="K102" s="1"/>
  <c r="T75"/>
  <c r="T101" s="1"/>
  <c r="U75"/>
  <c r="U101" s="1"/>
  <c r="W76"/>
  <c r="W102" s="1"/>
  <c r="H75"/>
  <c r="H101" s="1"/>
  <c r="AB75"/>
  <c r="AB101" s="1"/>
  <c r="C101"/>
  <c r="S67" i="4"/>
  <c r="S84" s="1"/>
  <c r="S68"/>
  <c r="S85" s="1"/>
  <c r="S70"/>
  <c r="S87" s="1"/>
  <c r="S65"/>
  <c r="S82" s="1"/>
  <c r="H90" i="5"/>
  <c r="H116" s="1"/>
  <c r="V79"/>
  <c r="V105" s="1"/>
  <c r="K82"/>
  <c r="K108" s="1"/>
  <c r="U80"/>
  <c r="U106" s="1"/>
  <c r="E80"/>
  <c r="E106" s="1"/>
  <c r="S78"/>
  <c r="S104" s="1"/>
  <c r="X81"/>
  <c r="X107" s="1"/>
  <c r="P76"/>
  <c r="P102" s="1"/>
  <c r="S74"/>
  <c r="S100" s="1"/>
  <c r="Q76"/>
  <c r="Q102" s="1"/>
  <c r="AF76"/>
  <c r="AF102" s="1"/>
  <c r="D76"/>
  <c r="D102" s="1"/>
  <c r="X76"/>
  <c r="X102" s="1"/>
  <c r="C74"/>
  <c r="C100" s="1"/>
  <c r="O74"/>
  <c r="O100" s="1"/>
  <c r="AC76"/>
  <c r="AC102" s="1"/>
  <c r="AD76"/>
  <c r="AD102" s="1"/>
  <c r="AG76"/>
  <c r="AG102" s="1"/>
  <c r="M74"/>
  <c r="M100" s="1"/>
  <c r="AA74"/>
  <c r="AA100" s="1"/>
  <c r="V75"/>
  <c r="V101" s="1"/>
  <c r="R75"/>
  <c r="R101" s="1"/>
  <c r="I76"/>
  <c r="I102" s="1"/>
  <c r="AE74"/>
  <c r="AE100" s="1"/>
  <c r="K74"/>
  <c r="K100" s="1"/>
  <c r="F75"/>
  <c r="F101" s="1"/>
  <c r="T76"/>
  <c r="T102" s="1"/>
  <c r="G74"/>
  <c r="G100" s="1"/>
  <c r="U76"/>
  <c r="U102" s="1"/>
  <c r="Y76"/>
  <c r="Y102" s="1"/>
  <c r="W74"/>
  <c r="W100" s="1"/>
  <c r="J75"/>
  <c r="J101" s="1"/>
  <c r="H76"/>
  <c r="H102" s="1"/>
  <c r="E76"/>
  <c r="E102" s="1"/>
  <c r="AB76"/>
  <c r="AB102" s="1"/>
  <c r="AG68" i="4"/>
  <c r="AG85" s="1"/>
  <c r="V83"/>
  <c r="AD75" i="5"/>
  <c r="AD101" s="1"/>
  <c r="M76"/>
  <c r="M102" s="1"/>
  <c r="N67" i="4"/>
  <c r="N84" s="1"/>
  <c r="N68"/>
  <c r="N85" s="1"/>
  <c r="N69"/>
  <c r="N86" s="1"/>
  <c r="T94" i="5"/>
  <c r="T120" s="1"/>
  <c r="P90"/>
  <c r="P116" s="1"/>
  <c r="N79"/>
  <c r="N105" s="1"/>
  <c r="I85"/>
  <c r="I111" s="1"/>
  <c r="T81"/>
  <c r="T107" s="1"/>
  <c r="J79"/>
  <c r="J105" s="1"/>
  <c r="W82"/>
  <c r="W108" s="1"/>
  <c r="AF77"/>
  <c r="AF103" s="1"/>
  <c r="O78"/>
  <c r="O104" s="1"/>
  <c r="M84"/>
  <c r="M110" s="1"/>
  <c r="L74"/>
  <c r="L100" s="1"/>
  <c r="N75"/>
  <c r="N101" s="1"/>
  <c r="N66" i="4"/>
  <c r="AG65"/>
  <c r="AG82" s="1"/>
  <c r="AG66"/>
  <c r="AG83" s="1"/>
  <c r="AG67"/>
  <c r="AG84" s="1"/>
  <c r="AE74"/>
  <c r="AE91" s="1"/>
  <c r="N74" i="5"/>
  <c r="C95"/>
  <c r="C121" s="1"/>
  <c r="M88"/>
  <c r="M114" s="1"/>
  <c r="W95"/>
  <c r="W121" s="1"/>
  <c r="O90"/>
  <c r="O116" s="1"/>
  <c r="D89"/>
  <c r="D115" s="1"/>
  <c r="AD87"/>
  <c r="AD113" s="1"/>
  <c r="E79"/>
  <c r="E105" s="1"/>
  <c r="E88"/>
  <c r="E114" s="1"/>
  <c r="AG88"/>
  <c r="AG114" s="1"/>
  <c r="AB81"/>
  <c r="AB107" s="1"/>
  <c r="Z93"/>
  <c r="Z119" s="1"/>
  <c r="N96"/>
  <c r="N122" s="1"/>
  <c r="F85" i="6"/>
  <c r="F113" s="1"/>
  <c r="K95" i="5"/>
  <c r="K121" s="1"/>
  <c r="J95"/>
  <c r="J121" s="1"/>
  <c r="AF94"/>
  <c r="AF120" s="1"/>
  <c r="AF97" i="6"/>
  <c r="AF125" s="1"/>
  <c r="AE90"/>
  <c r="AE118" s="1"/>
  <c r="S95" i="5"/>
  <c r="S121" s="1"/>
  <c r="AB80"/>
  <c r="AB106" s="1"/>
  <c r="V96" i="6"/>
  <c r="V124" s="1"/>
  <c r="C96"/>
  <c r="C124" s="1"/>
  <c r="X94" i="5"/>
  <c r="X120" s="1"/>
  <c r="AC88"/>
  <c r="AC114" s="1"/>
  <c r="C95" i="6"/>
  <c r="C123" s="1"/>
  <c r="N87" i="5"/>
  <c r="N113" s="1"/>
  <c r="N77"/>
  <c r="N103" s="1"/>
  <c r="R86"/>
  <c r="R112" s="1"/>
  <c r="K77"/>
  <c r="K103" s="1"/>
  <c r="G77"/>
  <c r="G103" s="1"/>
  <c r="E81"/>
  <c r="E107" s="1"/>
  <c r="AB86"/>
  <c r="AB112" s="1"/>
  <c r="S77" i="6"/>
  <c r="S105" s="1"/>
  <c r="R76"/>
  <c r="R104" s="1"/>
  <c r="K76"/>
  <c r="K104" s="1"/>
  <c r="N77"/>
  <c r="N105" s="1"/>
  <c r="E78" i="5"/>
  <c r="E104" s="1"/>
  <c r="AB79"/>
  <c r="AB105" s="1"/>
  <c r="AB76" i="6"/>
  <c r="AB104" s="1"/>
  <c r="Z76"/>
  <c r="Z104" s="1"/>
  <c r="O76"/>
  <c r="O104" s="1"/>
  <c r="G76"/>
  <c r="G104" s="1"/>
  <c r="H76"/>
  <c r="H104" s="1"/>
  <c r="AA77"/>
  <c r="AA105" s="1"/>
  <c r="X77"/>
  <c r="X105" s="1"/>
  <c r="T77"/>
  <c r="T105" s="1"/>
  <c r="E76"/>
  <c r="E104" s="1"/>
  <c r="P76"/>
  <c r="P104" s="1"/>
  <c r="L77"/>
  <c r="L105" s="1"/>
  <c r="AD77"/>
  <c r="AD105" s="1"/>
  <c r="Q100"/>
  <c r="Q128" s="1"/>
  <c r="I93"/>
  <c r="I121" s="1"/>
  <c r="Y100"/>
  <c r="Y128" s="1"/>
  <c r="AE99"/>
  <c r="AE127" s="1"/>
  <c r="F99"/>
  <c r="F127" s="1"/>
  <c r="C92"/>
  <c r="C120" s="1"/>
  <c r="E77"/>
  <c r="E105" s="1"/>
  <c r="H77"/>
  <c r="H105" s="1"/>
  <c r="AB77"/>
  <c r="AB105" s="1"/>
  <c r="Y77"/>
  <c r="Y105" s="1"/>
  <c r="V77"/>
  <c r="V105" s="1"/>
  <c r="D77"/>
  <c r="D105" s="1"/>
  <c r="C76"/>
  <c r="C104" s="1"/>
  <c r="F77"/>
  <c r="F105" s="1"/>
  <c r="L76"/>
  <c r="L104" s="1"/>
  <c r="X76"/>
  <c r="X104" s="1"/>
  <c r="O77"/>
  <c r="O105" s="1"/>
  <c r="K77"/>
  <c r="K105" s="1"/>
  <c r="AC76"/>
  <c r="AC104" s="1"/>
  <c r="AG76"/>
  <c r="AG104" s="1"/>
  <c r="U76"/>
  <c r="U104" s="1"/>
  <c r="I76"/>
  <c r="I104" s="1"/>
  <c r="J76"/>
  <c r="J104" s="1"/>
  <c r="AF76"/>
  <c r="AF104" s="1"/>
  <c r="AE77"/>
  <c r="AE105" s="1"/>
  <c r="AC77"/>
  <c r="AC105" s="1"/>
  <c r="AG77"/>
  <c r="AG105" s="1"/>
  <c r="U77"/>
  <c r="U105" s="1"/>
  <c r="I77"/>
  <c r="I105" s="1"/>
  <c r="AF85"/>
  <c r="AF113" s="1"/>
  <c r="F94"/>
  <c r="F122" s="1"/>
  <c r="V95"/>
  <c r="V123" s="1"/>
  <c r="C89"/>
  <c r="C117" s="1"/>
  <c r="J77"/>
  <c r="J105" s="1"/>
  <c r="AF77"/>
  <c r="AF105" s="1"/>
  <c r="AE76"/>
  <c r="AE104" s="1"/>
  <c r="S76"/>
  <c r="S104" s="1"/>
  <c r="P77"/>
  <c r="P105" s="1"/>
  <c r="AA76"/>
  <c r="AA104" s="1"/>
  <c r="Z77"/>
  <c r="Z105" s="1"/>
  <c r="R77"/>
  <c r="R105" s="1"/>
  <c r="M76"/>
  <c r="M104" s="1"/>
  <c r="Q76"/>
  <c r="Q104" s="1"/>
  <c r="W77"/>
  <c r="W105" s="1"/>
  <c r="AD76"/>
  <c r="AD104" s="1"/>
  <c r="T76"/>
  <c r="T104" s="1"/>
  <c r="G77"/>
  <c r="G105" s="1"/>
  <c r="N76"/>
  <c r="N104" s="1"/>
  <c r="Y76"/>
  <c r="Y104" s="1"/>
  <c r="V76"/>
  <c r="V104" s="1"/>
  <c r="D76"/>
  <c r="D104" s="1"/>
  <c r="C77"/>
  <c r="C105" s="1"/>
  <c r="F76"/>
  <c r="M77"/>
  <c r="M105" s="1"/>
  <c r="Q77"/>
  <c r="Q105" s="1"/>
  <c r="W76"/>
  <c r="W104" s="1"/>
  <c r="W95"/>
  <c r="W123" s="1"/>
  <c r="W87"/>
  <c r="W115" s="1"/>
  <c r="Q78"/>
  <c r="Q106" s="1"/>
  <c r="O79"/>
  <c r="O107" s="1"/>
  <c r="AD93"/>
  <c r="AD121" s="1"/>
  <c r="H89"/>
  <c r="H117" s="1"/>
  <c r="P99"/>
  <c r="P127" s="1"/>
  <c r="Z83"/>
  <c r="Z111" s="1"/>
  <c r="AD79"/>
  <c r="AD107" s="1"/>
  <c r="M96"/>
  <c r="M124" s="1"/>
  <c r="AD98"/>
  <c r="AD126" s="1"/>
  <c r="AD84"/>
  <c r="AD112" s="1"/>
  <c r="G99"/>
  <c r="G127" s="1"/>
  <c r="H86"/>
  <c r="H114" s="1"/>
  <c r="P83"/>
  <c r="P111" s="1"/>
  <c r="K81"/>
  <c r="K109" s="1"/>
  <c r="M93"/>
  <c r="M121" s="1"/>
  <c r="AD81"/>
  <c r="AD109" s="1"/>
  <c r="AD95"/>
  <c r="AD123" s="1"/>
  <c r="S81"/>
  <c r="S109" s="1"/>
  <c r="H100"/>
  <c r="H128" s="1"/>
  <c r="Z86"/>
  <c r="Z114" s="1"/>
  <c r="K98"/>
  <c r="K126" s="1"/>
  <c r="M97"/>
  <c r="M125" s="1"/>
  <c r="M98"/>
  <c r="M126" s="1"/>
  <c r="O100"/>
  <c r="O128" s="1"/>
  <c r="AC98"/>
  <c r="AC126" s="1"/>
  <c r="E90"/>
  <c r="E118" s="1"/>
  <c r="H93"/>
  <c r="H121" s="1"/>
  <c r="H96"/>
  <c r="H124" s="1"/>
  <c r="AE100"/>
  <c r="AE128" s="1"/>
  <c r="F83"/>
  <c r="F111" s="1"/>
  <c r="F92"/>
  <c r="F120" s="1"/>
  <c r="F84"/>
  <c r="F112" s="1"/>
  <c r="Z96"/>
  <c r="Z124" s="1"/>
  <c r="Z84"/>
  <c r="Z112" s="1"/>
  <c r="W88"/>
  <c r="W116" s="1"/>
  <c r="L80"/>
  <c r="L108" s="1"/>
  <c r="M80"/>
  <c r="M108" s="1"/>
  <c r="X80"/>
  <c r="X108" s="1"/>
  <c r="Q80"/>
  <c r="Q108" s="1"/>
  <c r="O78"/>
  <c r="O106" s="1"/>
  <c r="W78"/>
  <c r="W106" s="1"/>
  <c r="L78"/>
  <c r="L106" s="1"/>
  <c r="M78"/>
  <c r="M106" s="1"/>
  <c r="X78"/>
  <c r="X106" s="1"/>
  <c r="W79"/>
  <c r="W107" s="1"/>
  <c r="P79"/>
  <c r="P107" s="1"/>
  <c r="M89"/>
  <c r="M117" s="1"/>
  <c r="X87"/>
  <c r="X115" s="1"/>
  <c r="U98"/>
  <c r="U126" s="1"/>
  <c r="T83"/>
  <c r="T111" s="1"/>
  <c r="E82"/>
  <c r="E110" s="1"/>
  <c r="H97"/>
  <c r="H125" s="1"/>
  <c r="AE81"/>
  <c r="AE109" s="1"/>
  <c r="F96"/>
  <c r="F124" s="1"/>
  <c r="F91"/>
  <c r="F119" s="1"/>
  <c r="P91"/>
  <c r="P119" s="1"/>
  <c r="Z92"/>
  <c r="Z120" s="1"/>
  <c r="W100"/>
  <c r="W128" s="1"/>
  <c r="H79"/>
  <c r="H107" s="1"/>
  <c r="R78"/>
  <c r="R106" s="1"/>
  <c r="L80" i="5"/>
  <c r="L106" s="1"/>
  <c r="Q81"/>
  <c r="Q107" s="1"/>
  <c r="X80"/>
  <c r="X106" s="1"/>
  <c r="M86"/>
  <c r="M112" s="1"/>
  <c r="X78"/>
  <c r="X104" s="1"/>
  <c r="V78"/>
  <c r="V104" s="1"/>
  <c r="R81"/>
  <c r="R107" s="1"/>
  <c r="F86"/>
  <c r="F112" s="1"/>
  <c r="G83"/>
  <c r="G109" s="1"/>
  <c r="J85"/>
  <c r="J111" s="1"/>
  <c r="E83"/>
  <c r="E109" s="1"/>
  <c r="E85"/>
  <c r="E111" s="1"/>
  <c r="O77"/>
  <c r="O103" s="1"/>
  <c r="AD78" i="6"/>
  <c r="AD106" s="1"/>
  <c r="AG80"/>
  <c r="AG108" s="1"/>
  <c r="K80"/>
  <c r="K108" s="1"/>
  <c r="R78" i="5"/>
  <c r="R104" s="1"/>
  <c r="I78"/>
  <c r="I104" s="1"/>
  <c r="K85"/>
  <c r="K111" s="1"/>
  <c r="E77"/>
  <c r="E103" s="1"/>
  <c r="Q78"/>
  <c r="Q104" s="1"/>
  <c r="D79"/>
  <c r="D105" s="1"/>
  <c r="AD86"/>
  <c r="AD112" s="1"/>
  <c r="M79"/>
  <c r="M105" s="1"/>
  <c r="S78" i="6"/>
  <c r="S106" s="1"/>
  <c r="AB79"/>
  <c r="AB107" s="1"/>
  <c r="Z78"/>
  <c r="Z106" s="1"/>
  <c r="N91" i="5"/>
  <c r="N117" s="1"/>
  <c r="AC79"/>
  <c r="AC105" s="1"/>
  <c r="AA77"/>
  <c r="AA103" s="1"/>
  <c r="AE77"/>
  <c r="AE103" s="1"/>
  <c r="K79"/>
  <c r="K105" s="1"/>
  <c r="T79"/>
  <c r="T105" s="1"/>
  <c r="G85"/>
  <c r="G111" s="1"/>
  <c r="U79"/>
  <c r="U105" s="1"/>
  <c r="J82"/>
  <c r="J108" s="1"/>
  <c r="E82"/>
  <c r="E108" s="1"/>
  <c r="E84"/>
  <c r="E110" s="1"/>
  <c r="AB78"/>
  <c r="AB104" s="1"/>
  <c r="W77"/>
  <c r="W103" s="1"/>
  <c r="S85"/>
  <c r="S111" s="1"/>
  <c r="C77"/>
  <c r="C103" s="1"/>
  <c r="O84"/>
  <c r="O110" s="1"/>
  <c r="M78"/>
  <c r="M104" s="1"/>
  <c r="M85"/>
  <c r="M111" s="1"/>
  <c r="AC79" i="6"/>
  <c r="AC107" s="1"/>
  <c r="E79"/>
  <c r="E107" s="1"/>
  <c r="AA80"/>
  <c r="AA108" s="1"/>
  <c r="O85" i="5"/>
  <c r="O111" s="1"/>
  <c r="M83"/>
  <c r="M109" s="1"/>
  <c r="M81"/>
  <c r="M107" s="1"/>
  <c r="AC69" i="4"/>
  <c r="AC86" s="1"/>
  <c r="AA69"/>
  <c r="AA86" s="1"/>
  <c r="N93" i="5"/>
  <c r="N119" s="1"/>
  <c r="AC80"/>
  <c r="AC106" s="1"/>
  <c r="N82"/>
  <c r="N108" s="1"/>
  <c r="AA85"/>
  <c r="AA111" s="1"/>
  <c r="I79"/>
  <c r="I105" s="1"/>
  <c r="T86"/>
  <c r="T112" s="1"/>
  <c r="G84"/>
  <c r="G110" s="1"/>
  <c r="U77"/>
  <c r="U103" s="1"/>
  <c r="J77"/>
  <c r="J103" s="1"/>
  <c r="W79"/>
  <c r="W105" s="1"/>
  <c r="AF79"/>
  <c r="AF105" s="1"/>
  <c r="M82"/>
  <c r="M108" s="1"/>
  <c r="M80"/>
  <c r="M106" s="1"/>
  <c r="AC78"/>
  <c r="AC104" s="1"/>
  <c r="N85"/>
  <c r="N111" s="1"/>
  <c r="R80"/>
  <c r="R106" s="1"/>
  <c r="I86"/>
  <c r="I112" s="1"/>
  <c r="T83"/>
  <c r="T109" s="1"/>
  <c r="T77"/>
  <c r="T103" s="1"/>
  <c r="G82"/>
  <c r="G108" s="1"/>
  <c r="AF78"/>
  <c r="AF104" s="1"/>
  <c r="X84"/>
  <c r="X110" s="1"/>
  <c r="X82"/>
  <c r="X108" s="1"/>
  <c r="T80" i="6"/>
  <c r="T108" s="1"/>
  <c r="I80"/>
  <c r="I108" s="1"/>
  <c r="AE69" i="4"/>
  <c r="AE86" s="1"/>
  <c r="I80" i="5"/>
  <c r="I106" s="1"/>
  <c r="T84"/>
  <c r="T110" s="1"/>
  <c r="T82"/>
  <c r="T108" s="1"/>
  <c r="T85"/>
  <c r="T111" s="1"/>
  <c r="P79"/>
  <c r="P105" s="1"/>
  <c r="AF84"/>
  <c r="AF110" s="1"/>
  <c r="AF81"/>
  <c r="AF107" s="1"/>
  <c r="X83"/>
  <c r="X109" s="1"/>
  <c r="X85"/>
  <c r="X111" s="1"/>
  <c r="AC86"/>
  <c r="AC112" s="1"/>
  <c r="N84"/>
  <c r="N110" s="1"/>
  <c r="AA82"/>
  <c r="AA108" s="1"/>
  <c r="I81"/>
  <c r="I107" s="1"/>
  <c r="K78"/>
  <c r="K104" s="1"/>
  <c r="T80"/>
  <c r="T106" s="1"/>
  <c r="T78"/>
  <c r="T104" s="1"/>
  <c r="J84"/>
  <c r="J110" s="1"/>
  <c r="AF80"/>
  <c r="AF106" s="1"/>
  <c r="AF86"/>
  <c r="AF112" s="1"/>
  <c r="D86"/>
  <c r="D112" s="1"/>
  <c r="X79"/>
  <c r="X105" s="1"/>
  <c r="X86"/>
  <c r="X112" s="1"/>
  <c r="O83"/>
  <c r="O109" s="1"/>
  <c r="Z85"/>
  <c r="Z111" s="1"/>
  <c r="M77"/>
  <c r="M103" s="1"/>
  <c r="AC80" i="6"/>
  <c r="AC108" s="1"/>
  <c r="T79"/>
  <c r="T107" s="1"/>
  <c r="I78"/>
  <c r="I106" s="1"/>
  <c r="J78"/>
  <c r="J106" s="1"/>
  <c r="AF79"/>
  <c r="AF107" s="1"/>
  <c r="AE80"/>
  <c r="AE108" s="1"/>
  <c r="Y79"/>
  <c r="Y107" s="1"/>
  <c r="V78"/>
  <c r="V106" s="1"/>
  <c r="D79"/>
  <c r="D107" s="1"/>
  <c r="C80"/>
  <c r="C108" s="1"/>
  <c r="F78"/>
  <c r="F106" s="1"/>
  <c r="L86" i="5"/>
  <c r="L112" s="1"/>
  <c r="N86"/>
  <c r="N112" s="1"/>
  <c r="N80"/>
  <c r="N106" s="1"/>
  <c r="V84"/>
  <c r="V110" s="1"/>
  <c r="AE83"/>
  <c r="AE109" s="1"/>
  <c r="F80"/>
  <c r="F106" s="1"/>
  <c r="U78"/>
  <c r="U104" s="1"/>
  <c r="Y78"/>
  <c r="Y104" s="1"/>
  <c r="J86"/>
  <c r="J112" s="1"/>
  <c r="J80"/>
  <c r="J106" s="1"/>
  <c r="H80"/>
  <c r="H106" s="1"/>
  <c r="W78"/>
  <c r="W104" s="1"/>
  <c r="P86"/>
  <c r="P112" s="1"/>
  <c r="S84"/>
  <c r="S110" s="1"/>
  <c r="AF82"/>
  <c r="AF108" s="1"/>
  <c r="AF85"/>
  <c r="AF111" s="1"/>
  <c r="D78"/>
  <c r="D104" s="1"/>
  <c r="Z86"/>
  <c r="Z112" s="1"/>
  <c r="AG78"/>
  <c r="AG104" s="1"/>
  <c r="N79" i="6"/>
  <c r="N107" s="1"/>
  <c r="AB70" i="4"/>
  <c r="AB87" s="1"/>
  <c r="L78" i="5"/>
  <c r="L104" s="1"/>
  <c r="V85"/>
  <c r="V111" s="1"/>
  <c r="AE84"/>
  <c r="AE110" s="1"/>
  <c r="AC81"/>
  <c r="AC107" s="1"/>
  <c r="L79"/>
  <c r="L105" s="1"/>
  <c r="N78"/>
  <c r="N104" s="1"/>
  <c r="N81"/>
  <c r="N107" s="1"/>
  <c r="N83"/>
  <c r="N109" s="1"/>
  <c r="AA84"/>
  <c r="AA110" s="1"/>
  <c r="V86"/>
  <c r="V112" s="1"/>
  <c r="AE85"/>
  <c r="AE111" s="1"/>
  <c r="U85"/>
  <c r="U111" s="1"/>
  <c r="J78"/>
  <c r="J104" s="1"/>
  <c r="J81"/>
  <c r="J107" s="1"/>
  <c r="J83"/>
  <c r="J109" s="1"/>
  <c r="W85"/>
  <c r="W111" s="1"/>
  <c r="P80"/>
  <c r="P106" s="1"/>
  <c r="S77"/>
  <c r="S103" s="1"/>
  <c r="S82"/>
  <c r="S108" s="1"/>
  <c r="AF83"/>
  <c r="AF109" s="1"/>
  <c r="D80"/>
  <c r="D106" s="1"/>
  <c r="D81"/>
  <c r="D107" s="1"/>
  <c r="C83"/>
  <c r="C109" s="1"/>
  <c r="AD80"/>
  <c r="AD106" s="1"/>
  <c r="Z84"/>
  <c r="Z110" s="1"/>
  <c r="AG78" i="6"/>
  <c r="AG106" s="1"/>
  <c r="U78"/>
  <c r="U106" s="1"/>
  <c r="N80"/>
  <c r="N108" s="1"/>
  <c r="S83" i="5"/>
  <c r="S109" s="1"/>
  <c r="U80" i="6"/>
  <c r="U108" s="1"/>
  <c r="D108"/>
  <c r="U93" i="5"/>
  <c r="U119" s="1"/>
  <c r="Q92"/>
  <c r="Q118" s="1"/>
  <c r="AC82"/>
  <c r="AC108" s="1"/>
  <c r="AC85"/>
  <c r="AC111" s="1"/>
  <c r="V77"/>
  <c r="V103" s="1"/>
  <c r="V83"/>
  <c r="V109" s="1"/>
  <c r="I83"/>
  <c r="I109" s="1"/>
  <c r="I77"/>
  <c r="I103" s="1"/>
  <c r="I84"/>
  <c r="I110" s="1"/>
  <c r="K81"/>
  <c r="K107" s="1"/>
  <c r="K83"/>
  <c r="K109" s="1"/>
  <c r="F78"/>
  <c r="F104" s="1"/>
  <c r="F79"/>
  <c r="F105" s="1"/>
  <c r="U83"/>
  <c r="U109" s="1"/>
  <c r="U81"/>
  <c r="U107" s="1"/>
  <c r="Y79"/>
  <c r="Y105" s="1"/>
  <c r="Y80"/>
  <c r="Y106" s="1"/>
  <c r="H86"/>
  <c r="H112" s="1"/>
  <c r="W80"/>
  <c r="W106" s="1"/>
  <c r="W86"/>
  <c r="W112" s="1"/>
  <c r="P78"/>
  <c r="P104" s="1"/>
  <c r="S81"/>
  <c r="S107" s="1"/>
  <c r="S79"/>
  <c r="S105" s="1"/>
  <c r="S86"/>
  <c r="S112" s="1"/>
  <c r="Q86"/>
  <c r="Q112" s="1"/>
  <c r="X77"/>
  <c r="X103" s="1"/>
  <c r="C85"/>
  <c r="C111" s="1"/>
  <c r="O81"/>
  <c r="O107" s="1"/>
  <c r="O79"/>
  <c r="O105" s="1"/>
  <c r="O86"/>
  <c r="O112" s="1"/>
  <c r="AD81"/>
  <c r="AD107" s="1"/>
  <c r="Z82"/>
  <c r="Z108" s="1"/>
  <c r="Z80"/>
  <c r="Z106" s="1"/>
  <c r="AG79"/>
  <c r="AG105" s="1"/>
  <c r="AG80"/>
  <c r="AG106" s="1"/>
  <c r="S89" i="6"/>
  <c r="S117" s="1"/>
  <c r="J84"/>
  <c r="J112" s="1"/>
  <c r="E98"/>
  <c r="E126" s="1"/>
  <c r="E83"/>
  <c r="E111" s="1"/>
  <c r="AF84"/>
  <c r="AF112" s="1"/>
  <c r="AF99"/>
  <c r="AF127" s="1"/>
  <c r="H99"/>
  <c r="H127" s="1"/>
  <c r="H85"/>
  <c r="H113" s="1"/>
  <c r="H81"/>
  <c r="H109" s="1"/>
  <c r="AE89"/>
  <c r="AE117" s="1"/>
  <c r="AE92"/>
  <c r="AE120" s="1"/>
  <c r="AB89"/>
  <c r="AB117" s="1"/>
  <c r="R85"/>
  <c r="R113" s="1"/>
  <c r="F93"/>
  <c r="F121" s="1"/>
  <c r="F89"/>
  <c r="F117" s="1"/>
  <c r="F90"/>
  <c r="F118" s="1"/>
  <c r="F86"/>
  <c r="F114" s="1"/>
  <c r="P90"/>
  <c r="P118" s="1"/>
  <c r="V83"/>
  <c r="V111" s="1"/>
  <c r="AA85"/>
  <c r="AA113" s="1"/>
  <c r="AA91"/>
  <c r="AA119" s="1"/>
  <c r="AA81"/>
  <c r="AA109" s="1"/>
  <c r="Z82"/>
  <c r="Z110" s="1"/>
  <c r="Z97"/>
  <c r="Z125" s="1"/>
  <c r="Z85"/>
  <c r="Z113" s="1"/>
  <c r="C87"/>
  <c r="C115" s="1"/>
  <c r="C90"/>
  <c r="C118" s="1"/>
  <c r="K84"/>
  <c r="K112" s="1"/>
  <c r="K96"/>
  <c r="K124" s="1"/>
  <c r="S79"/>
  <c r="S107" s="1"/>
  <c r="J80"/>
  <c r="J108" s="1"/>
  <c r="E78"/>
  <c r="E106" s="1"/>
  <c r="AF78"/>
  <c r="AF106" s="1"/>
  <c r="H78"/>
  <c r="H106" s="1"/>
  <c r="AE79"/>
  <c r="AE107" s="1"/>
  <c r="AB78"/>
  <c r="AB106" s="1"/>
  <c r="Y78"/>
  <c r="Y106" s="1"/>
  <c r="P78"/>
  <c r="P106" s="1"/>
  <c r="V80"/>
  <c r="V108" s="1"/>
  <c r="AA79"/>
  <c r="AA107" s="1"/>
  <c r="D78"/>
  <c r="D106" s="1"/>
  <c r="Z80"/>
  <c r="Z108" s="1"/>
  <c r="C79"/>
  <c r="C107" s="1"/>
  <c r="R80"/>
  <c r="R108" s="1"/>
  <c r="F80"/>
  <c r="F108" s="1"/>
  <c r="K79"/>
  <c r="K107" s="1"/>
  <c r="G108"/>
  <c r="Y81" i="5"/>
  <c r="Y107" s="1"/>
  <c r="H78"/>
  <c r="H104" s="1"/>
  <c r="O82"/>
  <c r="O108" s="1"/>
  <c r="AG81"/>
  <c r="AG107" s="1"/>
  <c r="U107" i="6"/>
  <c r="I88" i="5"/>
  <c r="I114" s="1"/>
  <c r="S93"/>
  <c r="S119" s="1"/>
  <c r="AC83"/>
  <c r="AC109" s="1"/>
  <c r="AC77"/>
  <c r="AC103" s="1"/>
  <c r="AA83"/>
  <c r="AA109" s="1"/>
  <c r="V82"/>
  <c r="V108" s="1"/>
  <c r="V80"/>
  <c r="V106" s="1"/>
  <c r="I82"/>
  <c r="I108" s="1"/>
  <c r="K80"/>
  <c r="K106" s="1"/>
  <c r="K86"/>
  <c r="K112" s="1"/>
  <c r="F81"/>
  <c r="F107" s="1"/>
  <c r="U82"/>
  <c r="U108" s="1"/>
  <c r="U84"/>
  <c r="U110" s="1"/>
  <c r="Y86"/>
  <c r="Y112" s="1"/>
  <c r="H79"/>
  <c r="H105" s="1"/>
  <c r="W81"/>
  <c r="W107" s="1"/>
  <c r="W83"/>
  <c r="W109" s="1"/>
  <c r="S80"/>
  <c r="S106" s="1"/>
  <c r="Q79"/>
  <c r="Q105" s="1"/>
  <c r="Q80"/>
  <c r="Q106" s="1"/>
  <c r="O80"/>
  <c r="O106" s="1"/>
  <c r="AD78"/>
  <c r="AD104" s="1"/>
  <c r="AD79"/>
  <c r="AD105" s="1"/>
  <c r="Z77"/>
  <c r="Z103" s="1"/>
  <c r="Z83"/>
  <c r="Z109" s="1"/>
  <c r="AG86"/>
  <c r="AG112" s="1"/>
  <c r="S88" i="6"/>
  <c r="S116" s="1"/>
  <c r="E87"/>
  <c r="E115" s="1"/>
  <c r="E91"/>
  <c r="E119" s="1"/>
  <c r="E99"/>
  <c r="E127" s="1"/>
  <c r="AF93"/>
  <c r="AF121" s="1"/>
  <c r="H98"/>
  <c r="H126" s="1"/>
  <c r="H83"/>
  <c r="H111" s="1"/>
  <c r="H88"/>
  <c r="H116" s="1"/>
  <c r="H95"/>
  <c r="H123" s="1"/>
  <c r="AE88"/>
  <c r="AE116" s="1"/>
  <c r="AB91"/>
  <c r="AB119" s="1"/>
  <c r="AB85"/>
  <c r="AB113" s="1"/>
  <c r="F82"/>
  <c r="F110" s="1"/>
  <c r="F98"/>
  <c r="F126" s="1"/>
  <c r="F97"/>
  <c r="F125" s="1"/>
  <c r="F88"/>
  <c r="F116" s="1"/>
  <c r="F95"/>
  <c r="F123" s="1"/>
  <c r="P93"/>
  <c r="P121" s="1"/>
  <c r="V92"/>
  <c r="V120" s="1"/>
  <c r="AA84"/>
  <c r="AA112" s="1"/>
  <c r="AA98"/>
  <c r="AA126" s="1"/>
  <c r="D99"/>
  <c r="D127" s="1"/>
  <c r="Z94"/>
  <c r="Z122" s="1"/>
  <c r="Z88"/>
  <c r="Z116" s="1"/>
  <c r="C86"/>
  <c r="C114" s="1"/>
  <c r="C88"/>
  <c r="C116" s="1"/>
  <c r="C99"/>
  <c r="C127" s="1"/>
  <c r="K83"/>
  <c r="K111" s="1"/>
  <c r="G79"/>
  <c r="G107" s="1"/>
  <c r="G78"/>
  <c r="G106" s="1"/>
  <c r="M88"/>
  <c r="M116" s="1"/>
  <c r="M99"/>
  <c r="M127" s="1"/>
  <c r="X82"/>
  <c r="X110" s="1"/>
  <c r="I90"/>
  <c r="I118" s="1"/>
  <c r="AD82"/>
  <c r="AD110" s="1"/>
  <c r="AD89"/>
  <c r="AD117" s="1"/>
  <c r="AC88"/>
  <c r="AC116" s="1"/>
  <c r="S91"/>
  <c r="S119" s="1"/>
  <c r="AF92"/>
  <c r="AF120" s="1"/>
  <c r="AF82"/>
  <c r="AF110" s="1"/>
  <c r="AF95"/>
  <c r="AF123" s="1"/>
  <c r="AE98"/>
  <c r="AE126" s="1"/>
  <c r="AE86"/>
  <c r="AE114" s="1"/>
  <c r="AE87"/>
  <c r="AE115" s="1"/>
  <c r="AE82"/>
  <c r="AE110" s="1"/>
  <c r="P92"/>
  <c r="P120" s="1"/>
  <c r="P85"/>
  <c r="P113" s="1"/>
  <c r="V100"/>
  <c r="V128" s="1"/>
  <c r="V89"/>
  <c r="V117" s="1"/>
  <c r="Z98"/>
  <c r="Z126" s="1"/>
  <c r="Z93"/>
  <c r="Z121" s="1"/>
  <c r="Z90"/>
  <c r="Z118" s="1"/>
  <c r="Z87"/>
  <c r="Z115" s="1"/>
  <c r="Z95"/>
  <c r="Z123" s="1"/>
  <c r="C84"/>
  <c r="C112" s="1"/>
  <c r="C93"/>
  <c r="C121" s="1"/>
  <c r="C83"/>
  <c r="C111" s="1"/>
  <c r="C94"/>
  <c r="C122" s="1"/>
  <c r="C85"/>
  <c r="C113" s="1"/>
  <c r="W99"/>
  <c r="W127" s="1"/>
  <c r="W98"/>
  <c r="W126" s="1"/>
  <c r="S98"/>
  <c r="S126" s="1"/>
  <c r="AF90"/>
  <c r="AF118" s="1"/>
  <c r="AF87"/>
  <c r="AF115" s="1"/>
  <c r="AE95"/>
  <c r="AE123" s="1"/>
  <c r="AE97"/>
  <c r="AE125" s="1"/>
  <c r="AE96"/>
  <c r="AE124" s="1"/>
  <c r="AB81"/>
  <c r="AB109" s="1"/>
  <c r="P82"/>
  <c r="P110" s="1"/>
  <c r="P97"/>
  <c r="P125" s="1"/>
  <c r="V81"/>
  <c r="V109" s="1"/>
  <c r="V91"/>
  <c r="V119" s="1"/>
  <c r="Z81"/>
  <c r="Z109" s="1"/>
  <c r="Z100"/>
  <c r="Z128" s="1"/>
  <c r="Z91"/>
  <c r="Z119" s="1"/>
  <c r="Z99"/>
  <c r="Z127" s="1"/>
  <c r="C81"/>
  <c r="C109" s="1"/>
  <c r="C91"/>
  <c r="C119" s="1"/>
  <c r="C97"/>
  <c r="C125" s="1"/>
  <c r="C100"/>
  <c r="C128" s="1"/>
  <c r="C82"/>
  <c r="C110" s="1"/>
  <c r="W81"/>
  <c r="W109" s="1"/>
  <c r="W97"/>
  <c r="W125" s="1"/>
  <c r="W84"/>
  <c r="W112" s="1"/>
  <c r="W85"/>
  <c r="W113" s="1"/>
  <c r="S99"/>
  <c r="S127" s="1"/>
  <c r="R89"/>
  <c r="R117" s="1"/>
  <c r="O96"/>
  <c r="O124" s="1"/>
  <c r="O87"/>
  <c r="O115" s="1"/>
  <c r="U82"/>
  <c r="U110" s="1"/>
  <c r="U84"/>
  <c r="U112" s="1"/>
  <c r="N92"/>
  <c r="N120" s="1"/>
  <c r="I96"/>
  <c r="I124" s="1"/>
  <c r="I99"/>
  <c r="I127" s="1"/>
  <c r="T92"/>
  <c r="T120" s="1"/>
  <c r="T96"/>
  <c r="T124" s="1"/>
  <c r="T88"/>
  <c r="T116" s="1"/>
  <c r="G94"/>
  <c r="G122" s="1"/>
  <c r="AF88"/>
  <c r="AF116" s="1"/>
  <c r="AE94"/>
  <c r="AE122" s="1"/>
  <c r="M95"/>
  <c r="M123" s="1"/>
  <c r="M90"/>
  <c r="M118" s="1"/>
  <c r="M92"/>
  <c r="M120" s="1"/>
  <c r="M84"/>
  <c r="M112" s="1"/>
  <c r="X86"/>
  <c r="X114" s="1"/>
  <c r="Q94"/>
  <c r="Q122" s="1"/>
  <c r="O94"/>
  <c r="O122" s="1"/>
  <c r="O85"/>
  <c r="O113" s="1"/>
  <c r="U86"/>
  <c r="U114" s="1"/>
  <c r="N81"/>
  <c r="N109" s="1"/>
  <c r="N86"/>
  <c r="N114" s="1"/>
  <c r="I83"/>
  <c r="I111" s="1"/>
  <c r="I81"/>
  <c r="I109" s="1"/>
  <c r="AD83"/>
  <c r="AD111" s="1"/>
  <c r="AD100"/>
  <c r="AD128" s="1"/>
  <c r="AD97"/>
  <c r="AD125" s="1"/>
  <c r="AD85"/>
  <c r="AD113" s="1"/>
  <c r="T82"/>
  <c r="T110" s="1"/>
  <c r="T81"/>
  <c r="T109" s="1"/>
  <c r="AG84"/>
  <c r="AG112" s="1"/>
  <c r="G81"/>
  <c r="G109" s="1"/>
  <c r="D82"/>
  <c r="D110" s="1"/>
  <c r="M87"/>
  <c r="M115" s="1"/>
  <c r="M83"/>
  <c r="M111" s="1"/>
  <c r="M85"/>
  <c r="M113" s="1"/>
  <c r="X81"/>
  <c r="X109" s="1"/>
  <c r="Q87"/>
  <c r="Q115" s="1"/>
  <c r="O97"/>
  <c r="O125" s="1"/>
  <c r="O81"/>
  <c r="O109" s="1"/>
  <c r="U92"/>
  <c r="U120" s="1"/>
  <c r="N83"/>
  <c r="N111" s="1"/>
  <c r="N89"/>
  <c r="N117" s="1"/>
  <c r="I91"/>
  <c r="I119" s="1"/>
  <c r="I86"/>
  <c r="I114" s="1"/>
  <c r="AD94"/>
  <c r="AD122" s="1"/>
  <c r="AD92"/>
  <c r="AD120" s="1"/>
  <c r="AD87"/>
  <c r="AD115" s="1"/>
  <c r="T93"/>
  <c r="T121" s="1"/>
  <c r="T95"/>
  <c r="T123" s="1"/>
  <c r="AG93"/>
  <c r="AG121" s="1"/>
  <c r="G84"/>
  <c r="G112" s="1"/>
  <c r="AE93"/>
  <c r="AE121" s="1"/>
  <c r="V99"/>
  <c r="V127" s="1"/>
  <c r="D83"/>
  <c r="D111" s="1"/>
  <c r="W93"/>
  <c r="W121" s="1"/>
  <c r="L93"/>
  <c r="L121" s="1"/>
  <c r="O86"/>
  <c r="O114" s="1"/>
  <c r="O93"/>
  <c r="O121" s="1"/>
  <c r="O83"/>
  <c r="O111" s="1"/>
  <c r="O98"/>
  <c r="O126" s="1"/>
  <c r="U81"/>
  <c r="U109" s="1"/>
  <c r="U90"/>
  <c r="U118" s="1"/>
  <c r="AD90"/>
  <c r="AD118" s="1"/>
  <c r="AD86"/>
  <c r="AD114" s="1"/>
  <c r="AC82"/>
  <c r="AC110" s="1"/>
  <c r="AG97"/>
  <c r="AG125" s="1"/>
  <c r="G100"/>
  <c r="G128" s="1"/>
  <c r="B95"/>
  <c r="B86"/>
  <c r="B114" s="1"/>
  <c r="S93"/>
  <c r="S121" s="1"/>
  <c r="Y98"/>
  <c r="Y126" s="1"/>
  <c r="J87"/>
  <c r="J115" s="1"/>
  <c r="H92"/>
  <c r="H120" s="1"/>
  <c r="H90"/>
  <c r="H118" s="1"/>
  <c r="AB96"/>
  <c r="AB124" s="1"/>
  <c r="R96"/>
  <c r="R124" s="1"/>
  <c r="F81"/>
  <c r="F109" s="1"/>
  <c r="P84"/>
  <c r="P112" s="1"/>
  <c r="V86"/>
  <c r="V114" s="1"/>
  <c r="O84"/>
  <c r="O112" s="1"/>
  <c r="O95"/>
  <c r="O123" s="1"/>
  <c r="O82"/>
  <c r="O110" s="1"/>
  <c r="AC93"/>
  <c r="AC121" s="1"/>
  <c r="AG91"/>
  <c r="AG119" s="1"/>
  <c r="J97"/>
  <c r="J125" s="1"/>
  <c r="H91"/>
  <c r="H119" s="1"/>
  <c r="P94"/>
  <c r="P122" s="1"/>
  <c r="S97"/>
  <c r="S125" s="1"/>
  <c r="J96"/>
  <c r="J124" s="1"/>
  <c r="H84"/>
  <c r="H112" s="1"/>
  <c r="AE85"/>
  <c r="AE113" s="1"/>
  <c r="AB87"/>
  <c r="AB115" s="1"/>
  <c r="F87"/>
  <c r="F115" s="1"/>
  <c r="P88"/>
  <c r="P116" s="1"/>
  <c r="D93"/>
  <c r="D121" s="1"/>
  <c r="X89"/>
  <c r="X117" s="1"/>
  <c r="X83"/>
  <c r="X111" s="1"/>
  <c r="X93"/>
  <c r="X121" s="1"/>
  <c r="X100"/>
  <c r="X128" s="1"/>
  <c r="Q95"/>
  <c r="Q123" s="1"/>
  <c r="Q99"/>
  <c r="Q127" s="1"/>
  <c r="Q90"/>
  <c r="Q118" s="1"/>
  <c r="U100"/>
  <c r="U128" s="1"/>
  <c r="U83"/>
  <c r="U111" s="1"/>
  <c r="Y93"/>
  <c r="Y121" s="1"/>
  <c r="Y81"/>
  <c r="Y109" s="1"/>
  <c r="J98"/>
  <c r="J126" s="1"/>
  <c r="J92"/>
  <c r="J120" s="1"/>
  <c r="J88"/>
  <c r="J116" s="1"/>
  <c r="J95"/>
  <c r="J123" s="1"/>
  <c r="R81"/>
  <c r="R109" s="1"/>
  <c r="R91"/>
  <c r="R119" s="1"/>
  <c r="R84"/>
  <c r="R112" s="1"/>
  <c r="P95"/>
  <c r="P123" s="1"/>
  <c r="W96"/>
  <c r="W124" s="1"/>
  <c r="K97"/>
  <c r="K125" s="1"/>
  <c r="K92"/>
  <c r="K120" s="1"/>
  <c r="K85"/>
  <c r="K113" s="1"/>
  <c r="K82"/>
  <c r="K110" s="1"/>
  <c r="K90"/>
  <c r="K118" s="1"/>
  <c r="X92"/>
  <c r="X120" s="1"/>
  <c r="X94"/>
  <c r="X122" s="1"/>
  <c r="X99"/>
  <c r="X127" s="1"/>
  <c r="X97"/>
  <c r="X125" s="1"/>
  <c r="Q88"/>
  <c r="Q116" s="1"/>
  <c r="Q98"/>
  <c r="Q126" s="1"/>
  <c r="Q82"/>
  <c r="Q110" s="1"/>
  <c r="Q83"/>
  <c r="Q111" s="1"/>
  <c r="U95"/>
  <c r="U123" s="1"/>
  <c r="U93"/>
  <c r="U121" s="1"/>
  <c r="U94"/>
  <c r="U122" s="1"/>
  <c r="U91"/>
  <c r="U119" s="1"/>
  <c r="U96"/>
  <c r="U124" s="1"/>
  <c r="AC95"/>
  <c r="AC123" s="1"/>
  <c r="AC90"/>
  <c r="AC118" s="1"/>
  <c r="T90"/>
  <c r="T118" s="1"/>
  <c r="T85"/>
  <c r="T113" s="1"/>
  <c r="T84"/>
  <c r="T112" s="1"/>
  <c r="T87"/>
  <c r="T115" s="1"/>
  <c r="T94"/>
  <c r="T122" s="1"/>
  <c r="AG94"/>
  <c r="AG122" s="1"/>
  <c r="AG85"/>
  <c r="AG113" s="1"/>
  <c r="AG88"/>
  <c r="AG116" s="1"/>
  <c r="G87"/>
  <c r="G115" s="1"/>
  <c r="Y95"/>
  <c r="Y123" s="1"/>
  <c r="Y91"/>
  <c r="Y119" s="1"/>
  <c r="J86"/>
  <c r="J114" s="1"/>
  <c r="J93"/>
  <c r="J121" s="1"/>
  <c r="J89"/>
  <c r="J117" s="1"/>
  <c r="J85"/>
  <c r="J113" s="1"/>
  <c r="E95"/>
  <c r="E123" s="1"/>
  <c r="E89"/>
  <c r="E117" s="1"/>
  <c r="AF98"/>
  <c r="AF126" s="1"/>
  <c r="R83"/>
  <c r="R111" s="1"/>
  <c r="R92"/>
  <c r="R120" s="1"/>
  <c r="R86"/>
  <c r="R114" s="1"/>
  <c r="P89"/>
  <c r="P117" s="1"/>
  <c r="V84"/>
  <c r="V112" s="1"/>
  <c r="W89"/>
  <c r="W117" s="1"/>
  <c r="W90"/>
  <c r="W118" s="1"/>
  <c r="K99"/>
  <c r="K127" s="1"/>
  <c r="K94"/>
  <c r="K122" s="1"/>
  <c r="K88"/>
  <c r="K116" s="1"/>
  <c r="K89"/>
  <c r="K117" s="1"/>
  <c r="K95"/>
  <c r="K123" s="1"/>
  <c r="X84"/>
  <c r="X112" s="1"/>
  <c r="X88"/>
  <c r="X116" s="1"/>
  <c r="X95"/>
  <c r="X123" s="1"/>
  <c r="Q85"/>
  <c r="Q113" s="1"/>
  <c r="Q86"/>
  <c r="Q114" s="1"/>
  <c r="Q84"/>
  <c r="Q112" s="1"/>
  <c r="Q91"/>
  <c r="Q119" s="1"/>
  <c r="U97"/>
  <c r="U125" s="1"/>
  <c r="U89"/>
  <c r="U117" s="1"/>
  <c r="U88"/>
  <c r="U116" s="1"/>
  <c r="U87"/>
  <c r="U115" s="1"/>
  <c r="AC87"/>
  <c r="AC115" s="1"/>
  <c r="AC85"/>
  <c r="AC113" s="1"/>
  <c r="T97"/>
  <c r="T125" s="1"/>
  <c r="T91"/>
  <c r="T119" s="1"/>
  <c r="T89"/>
  <c r="T117" s="1"/>
  <c r="T98"/>
  <c r="T126" s="1"/>
  <c r="T86"/>
  <c r="T114" s="1"/>
  <c r="AG99"/>
  <c r="AG127" s="1"/>
  <c r="AG95"/>
  <c r="AG123" s="1"/>
  <c r="Y85"/>
  <c r="Y113" s="1"/>
  <c r="J83"/>
  <c r="J111" s="1"/>
  <c r="J82"/>
  <c r="J110" s="1"/>
  <c r="J94"/>
  <c r="J122" s="1"/>
  <c r="J90"/>
  <c r="J118" s="1"/>
  <c r="E100"/>
  <c r="E128" s="1"/>
  <c r="E97"/>
  <c r="E125" s="1"/>
  <c r="AF81"/>
  <c r="AF109" s="1"/>
  <c r="AF96"/>
  <c r="AF124" s="1"/>
  <c r="R100"/>
  <c r="R128" s="1"/>
  <c r="R99"/>
  <c r="R127" s="1"/>
  <c r="P96"/>
  <c r="P124" s="1"/>
  <c r="K91"/>
  <c r="K119" s="1"/>
  <c r="K100"/>
  <c r="K128" s="1"/>
  <c r="K86"/>
  <c r="K114" s="1"/>
  <c r="K87"/>
  <c r="K115" s="1"/>
  <c r="K93"/>
  <c r="K121" s="1"/>
  <c r="B124"/>
  <c r="L90"/>
  <c r="L118" s="1"/>
  <c r="L86"/>
  <c r="L114" s="1"/>
  <c r="L95"/>
  <c r="L123" s="1"/>
  <c r="L97"/>
  <c r="L125" s="1"/>
  <c r="L94"/>
  <c r="L122" s="1"/>
  <c r="Q81"/>
  <c r="Q109" s="1"/>
  <c r="N94"/>
  <c r="N122" s="1"/>
  <c r="N93"/>
  <c r="N121" s="1"/>
  <c r="N90"/>
  <c r="N118" s="1"/>
  <c r="N87"/>
  <c r="N115" s="1"/>
  <c r="N95"/>
  <c r="N123" s="1"/>
  <c r="I88"/>
  <c r="I116" s="1"/>
  <c r="I87"/>
  <c r="I115" s="1"/>
  <c r="I82"/>
  <c r="I110" s="1"/>
  <c r="I95"/>
  <c r="I123" s="1"/>
  <c r="I94"/>
  <c r="I122" s="1"/>
  <c r="AC100"/>
  <c r="AC128" s="1"/>
  <c r="AC97"/>
  <c r="AC125" s="1"/>
  <c r="AC91"/>
  <c r="AC119" s="1"/>
  <c r="AC83"/>
  <c r="AC111" s="1"/>
  <c r="AC86"/>
  <c r="AC114" s="1"/>
  <c r="AG82"/>
  <c r="AG110" s="1"/>
  <c r="AG81"/>
  <c r="AG109" s="1"/>
  <c r="AG96"/>
  <c r="AG124" s="1"/>
  <c r="AG83"/>
  <c r="AG111" s="1"/>
  <c r="AG86"/>
  <c r="AG114" s="1"/>
  <c r="G91"/>
  <c r="G119" s="1"/>
  <c r="G88"/>
  <c r="G116" s="1"/>
  <c r="G85"/>
  <c r="G113" s="1"/>
  <c r="G82"/>
  <c r="G110" s="1"/>
  <c r="G95"/>
  <c r="G123" s="1"/>
  <c r="B81"/>
  <c r="B83"/>
  <c r="B82"/>
  <c r="B94"/>
  <c r="S87"/>
  <c r="S115" s="1"/>
  <c r="S94"/>
  <c r="S122" s="1"/>
  <c r="S100"/>
  <c r="S128" s="1"/>
  <c r="S83"/>
  <c r="S111" s="1"/>
  <c r="S82"/>
  <c r="S110" s="1"/>
  <c r="Y88"/>
  <c r="Y116" s="1"/>
  <c r="Y86"/>
  <c r="Y114" s="1"/>
  <c r="Y97"/>
  <c r="Y125" s="1"/>
  <c r="Y92"/>
  <c r="Y120" s="1"/>
  <c r="Y89"/>
  <c r="Y117" s="1"/>
  <c r="AF100"/>
  <c r="AF128" s="1"/>
  <c r="AE83"/>
  <c r="AE111" s="1"/>
  <c r="AB93"/>
  <c r="AB121" s="1"/>
  <c r="AB95"/>
  <c r="AB123" s="1"/>
  <c r="AB97"/>
  <c r="AB125" s="1"/>
  <c r="AB94"/>
  <c r="AB122" s="1"/>
  <c r="AB86"/>
  <c r="AB114" s="1"/>
  <c r="R98"/>
  <c r="R126" s="1"/>
  <c r="R93"/>
  <c r="R121" s="1"/>
  <c r="R90"/>
  <c r="R118" s="1"/>
  <c r="R87"/>
  <c r="R115" s="1"/>
  <c r="R95"/>
  <c r="R123" s="1"/>
  <c r="P100"/>
  <c r="P128" s="1"/>
  <c r="P81"/>
  <c r="P109" s="1"/>
  <c r="V82"/>
  <c r="V110" s="1"/>
  <c r="V98"/>
  <c r="V126" s="1"/>
  <c r="V97"/>
  <c r="V125" s="1"/>
  <c r="V88"/>
  <c r="V116" s="1"/>
  <c r="V85"/>
  <c r="V113" s="1"/>
  <c r="AA100"/>
  <c r="AA128" s="1"/>
  <c r="AA94"/>
  <c r="AA122" s="1"/>
  <c r="AA88"/>
  <c r="AA116" s="1"/>
  <c r="AA87"/>
  <c r="AA115" s="1"/>
  <c r="AA99"/>
  <c r="AA127" s="1"/>
  <c r="D92"/>
  <c r="D120" s="1"/>
  <c r="D91"/>
  <c r="D119" s="1"/>
  <c r="D84"/>
  <c r="D112" s="1"/>
  <c r="D100"/>
  <c r="D128" s="1"/>
  <c r="D95"/>
  <c r="D123" s="1"/>
  <c r="W86"/>
  <c r="W114" s="1"/>
  <c r="W91"/>
  <c r="W119" s="1"/>
  <c r="W92"/>
  <c r="W120" s="1"/>
  <c r="W94"/>
  <c r="W122" s="1"/>
  <c r="B121"/>
  <c r="B116"/>
  <c r="B123"/>
  <c r="B113"/>
  <c r="B99"/>
  <c r="AJ73"/>
  <c r="AJ30" s="1"/>
  <c r="F12" i="12"/>
  <c r="L91" i="6"/>
  <c r="L119" s="1"/>
  <c r="L83"/>
  <c r="L111" s="1"/>
  <c r="L82"/>
  <c r="L110" s="1"/>
  <c r="L96"/>
  <c r="L124" s="1"/>
  <c r="L87"/>
  <c r="L115" s="1"/>
  <c r="N96"/>
  <c r="N124" s="1"/>
  <c r="N91"/>
  <c r="N119" s="1"/>
  <c r="N99"/>
  <c r="N127" s="1"/>
  <c r="N84"/>
  <c r="N112" s="1"/>
  <c r="I97"/>
  <c r="I125" s="1"/>
  <c r="I92"/>
  <c r="I120" s="1"/>
  <c r="AC84"/>
  <c r="AC112" s="1"/>
  <c r="AC94"/>
  <c r="AC122" s="1"/>
  <c r="G92"/>
  <c r="G120" s="1"/>
  <c r="G89"/>
  <c r="G117" s="1"/>
  <c r="G86"/>
  <c r="G114" s="1"/>
  <c r="G98"/>
  <c r="G126" s="1"/>
  <c r="G97"/>
  <c r="G125" s="1"/>
  <c r="Y96"/>
  <c r="Y124" s="1"/>
  <c r="AB83"/>
  <c r="AB111" s="1"/>
  <c r="D85"/>
  <c r="D113" s="1"/>
  <c r="D86"/>
  <c r="D114" s="1"/>
  <c r="D87"/>
  <c r="D115" s="1"/>
  <c r="D94"/>
  <c r="D122" s="1"/>
  <c r="I75"/>
  <c r="I103" s="1"/>
  <c r="AK72"/>
  <c r="AI72"/>
  <c r="L92"/>
  <c r="L120" s="1"/>
  <c r="L100"/>
  <c r="L128" s="1"/>
  <c r="L98"/>
  <c r="L126" s="1"/>
  <c r="L88"/>
  <c r="L116" s="1"/>
  <c r="L84"/>
  <c r="L112" s="1"/>
  <c r="M100"/>
  <c r="M128" s="1"/>
  <c r="M81"/>
  <c r="M109" s="1"/>
  <c r="M91"/>
  <c r="M119" s="1"/>
  <c r="M94"/>
  <c r="M122" s="1"/>
  <c r="M86"/>
  <c r="M114" s="1"/>
  <c r="X96"/>
  <c r="X124" s="1"/>
  <c r="X90"/>
  <c r="X118" s="1"/>
  <c r="X91"/>
  <c r="X119" s="1"/>
  <c r="X98"/>
  <c r="X126" s="1"/>
  <c r="X85"/>
  <c r="X113" s="1"/>
  <c r="Q97"/>
  <c r="Q125" s="1"/>
  <c r="Q93"/>
  <c r="Q121" s="1"/>
  <c r="Q92"/>
  <c r="Q120" s="1"/>
  <c r="Q96"/>
  <c r="Q124" s="1"/>
  <c r="Q89"/>
  <c r="Q117" s="1"/>
  <c r="O89"/>
  <c r="O117" s="1"/>
  <c r="O88"/>
  <c r="O116" s="1"/>
  <c r="O90"/>
  <c r="O118" s="1"/>
  <c r="O92"/>
  <c r="O120" s="1"/>
  <c r="O91"/>
  <c r="O119" s="1"/>
  <c r="U85"/>
  <c r="U113" s="1"/>
  <c r="U99"/>
  <c r="U127" s="1"/>
  <c r="N82"/>
  <c r="N110" s="1"/>
  <c r="N98"/>
  <c r="N126" s="1"/>
  <c r="N97"/>
  <c r="N125" s="1"/>
  <c r="N88"/>
  <c r="N116" s="1"/>
  <c r="I84"/>
  <c r="I112" s="1"/>
  <c r="I89"/>
  <c r="I117" s="1"/>
  <c r="I98"/>
  <c r="I126" s="1"/>
  <c r="I85"/>
  <c r="I113" s="1"/>
  <c r="I100"/>
  <c r="I128" s="1"/>
  <c r="AD96"/>
  <c r="AD124" s="1"/>
  <c r="AD91"/>
  <c r="AD119" s="1"/>
  <c r="AD99"/>
  <c r="AD127" s="1"/>
  <c r="AC89"/>
  <c r="AC117" s="1"/>
  <c r="AC81"/>
  <c r="AC109" s="1"/>
  <c r="AC96"/>
  <c r="AC124" s="1"/>
  <c r="AC92"/>
  <c r="AC120" s="1"/>
  <c r="AC99"/>
  <c r="AC127" s="1"/>
  <c r="AG92"/>
  <c r="AG120" s="1"/>
  <c r="AG98"/>
  <c r="AG126" s="1"/>
  <c r="AG90"/>
  <c r="AG118" s="1"/>
  <c r="AG89"/>
  <c r="AG117" s="1"/>
  <c r="AG87"/>
  <c r="AG115" s="1"/>
  <c r="G93"/>
  <c r="G121" s="1"/>
  <c r="G90"/>
  <c r="G118" s="1"/>
  <c r="G96"/>
  <c r="G124" s="1"/>
  <c r="G83"/>
  <c r="G111" s="1"/>
  <c r="B89"/>
  <c r="B84"/>
  <c r="B90"/>
  <c r="B87"/>
  <c r="B97"/>
  <c r="S92"/>
  <c r="S120" s="1"/>
  <c r="S86"/>
  <c r="S114" s="1"/>
  <c r="S95"/>
  <c r="S123" s="1"/>
  <c r="S96"/>
  <c r="S124" s="1"/>
  <c r="S90"/>
  <c r="S118" s="1"/>
  <c r="Y87"/>
  <c r="Y115" s="1"/>
  <c r="Y99"/>
  <c r="Y127" s="1"/>
  <c r="Y83"/>
  <c r="Y111" s="1"/>
  <c r="Y94"/>
  <c r="Y122" s="1"/>
  <c r="Y82"/>
  <c r="Y110" s="1"/>
  <c r="J81"/>
  <c r="J109" s="1"/>
  <c r="J100"/>
  <c r="J128" s="1"/>
  <c r="J91"/>
  <c r="J119" s="1"/>
  <c r="J99"/>
  <c r="J127" s="1"/>
  <c r="E93"/>
  <c r="E121" s="1"/>
  <c r="E86"/>
  <c r="E114" s="1"/>
  <c r="E81"/>
  <c r="E109" s="1"/>
  <c r="E85"/>
  <c r="E113" s="1"/>
  <c r="E84"/>
  <c r="E112" s="1"/>
  <c r="AF91"/>
  <c r="AF119" s="1"/>
  <c r="AF83"/>
  <c r="AF111" s="1"/>
  <c r="AF89"/>
  <c r="AF117" s="1"/>
  <c r="AF94"/>
  <c r="AF122" s="1"/>
  <c r="AF86"/>
  <c r="AF114" s="1"/>
  <c r="H82"/>
  <c r="H110" s="1"/>
  <c r="H87"/>
  <c r="H115" s="1"/>
  <c r="AE84"/>
  <c r="AE112" s="1"/>
  <c r="AE91"/>
  <c r="AE119" s="1"/>
  <c r="AB92"/>
  <c r="AB120" s="1"/>
  <c r="AB98"/>
  <c r="AB126" s="1"/>
  <c r="AB88"/>
  <c r="AB116" s="1"/>
  <c r="AB84"/>
  <c r="AB112" s="1"/>
  <c r="AB100"/>
  <c r="AB128" s="1"/>
  <c r="R82"/>
  <c r="R110" s="1"/>
  <c r="R94"/>
  <c r="R122" s="1"/>
  <c r="R97"/>
  <c r="R125" s="1"/>
  <c r="R88"/>
  <c r="R116" s="1"/>
  <c r="P86"/>
  <c r="P114" s="1"/>
  <c r="P87"/>
  <c r="P115" s="1"/>
  <c r="P98"/>
  <c r="P126" s="1"/>
  <c r="V94"/>
  <c r="V122" s="1"/>
  <c r="V93"/>
  <c r="V121" s="1"/>
  <c r="V90"/>
  <c r="V118" s="1"/>
  <c r="V87"/>
  <c r="V115" s="1"/>
  <c r="AA89"/>
  <c r="AA117" s="1"/>
  <c r="AA97"/>
  <c r="AA125" s="1"/>
  <c r="AA92"/>
  <c r="AA120" s="1"/>
  <c r="AA86"/>
  <c r="AA114" s="1"/>
  <c r="AA95"/>
  <c r="AA123" s="1"/>
  <c r="D90"/>
  <c r="D118" s="1"/>
  <c r="D97"/>
  <c r="D125" s="1"/>
  <c r="D88"/>
  <c r="D116" s="1"/>
  <c r="D89"/>
  <c r="D117" s="1"/>
  <c r="D98"/>
  <c r="D126" s="1"/>
  <c r="W83"/>
  <c r="W111" s="1"/>
  <c r="W82"/>
  <c r="W110" s="1"/>
  <c r="B119"/>
  <c r="B126"/>
  <c r="B120"/>
  <c r="B128"/>
  <c r="L89"/>
  <c r="L117" s="1"/>
  <c r="L85"/>
  <c r="L113" s="1"/>
  <c r="L81"/>
  <c r="L109" s="1"/>
  <c r="S85"/>
  <c r="S113" s="1"/>
  <c r="S84"/>
  <c r="S112" s="1"/>
  <c r="Y90"/>
  <c r="Y118" s="1"/>
  <c r="Y84"/>
  <c r="Y112" s="1"/>
  <c r="D96"/>
  <c r="D124" s="1"/>
  <c r="D81"/>
  <c r="D109" s="1"/>
  <c r="R87" i="5"/>
  <c r="R113" s="1"/>
  <c r="F87"/>
  <c r="F113" s="1"/>
  <c r="G91"/>
  <c r="G117" s="1"/>
  <c r="L83"/>
  <c r="L109" s="1"/>
  <c r="L77"/>
  <c r="L103" s="1"/>
  <c r="AA80"/>
  <c r="AA106" s="1"/>
  <c r="AA78"/>
  <c r="AA104" s="1"/>
  <c r="V81"/>
  <c r="V107" s="1"/>
  <c r="R82"/>
  <c r="R108" s="1"/>
  <c r="R85"/>
  <c r="R111" s="1"/>
  <c r="R83"/>
  <c r="R109" s="1"/>
  <c r="AE80"/>
  <c r="AE106" s="1"/>
  <c r="AE78"/>
  <c r="AE104" s="1"/>
  <c r="K84"/>
  <c r="K110" s="1"/>
  <c r="F82"/>
  <c r="F108" s="1"/>
  <c r="F85"/>
  <c r="F111" s="1"/>
  <c r="F83"/>
  <c r="F109" s="1"/>
  <c r="G80"/>
  <c r="G106" s="1"/>
  <c r="G78"/>
  <c r="G104" s="1"/>
  <c r="U86"/>
  <c r="U112" s="1"/>
  <c r="Y83"/>
  <c r="Y109" s="1"/>
  <c r="Y77"/>
  <c r="Y103" s="1"/>
  <c r="Y84"/>
  <c r="Y110" s="1"/>
  <c r="H83"/>
  <c r="H77"/>
  <c r="H103" s="1"/>
  <c r="E86"/>
  <c r="E112" s="1"/>
  <c r="AB84"/>
  <c r="AB110" s="1"/>
  <c r="AB82"/>
  <c r="AB108" s="1"/>
  <c r="AB85"/>
  <c r="AB111" s="1"/>
  <c r="W84"/>
  <c r="W110" s="1"/>
  <c r="P84"/>
  <c r="P110" s="1"/>
  <c r="P82"/>
  <c r="P108" s="1"/>
  <c r="P85"/>
  <c r="P111" s="1"/>
  <c r="Q82"/>
  <c r="Q108" s="1"/>
  <c r="Q85"/>
  <c r="Q111" s="1"/>
  <c r="D84"/>
  <c r="D110" s="1"/>
  <c r="D82"/>
  <c r="D85"/>
  <c r="C80"/>
  <c r="C106" s="1"/>
  <c r="C78"/>
  <c r="C104" s="1"/>
  <c r="AD77"/>
  <c r="AD103" s="1"/>
  <c r="AD84"/>
  <c r="AD110" s="1"/>
  <c r="Z78"/>
  <c r="Z104" s="1"/>
  <c r="Z81"/>
  <c r="Z107" s="1"/>
  <c r="AG83"/>
  <c r="AG109" s="1"/>
  <c r="AG77"/>
  <c r="AG103" s="1"/>
  <c r="AG84"/>
  <c r="AG110" s="1"/>
  <c r="R79"/>
  <c r="R105" s="1"/>
  <c r="P81"/>
  <c r="P107" s="1"/>
  <c r="AA95"/>
  <c r="AA121" s="1"/>
  <c r="AE95"/>
  <c r="AE121" s="1"/>
  <c r="Y88"/>
  <c r="Y114" s="1"/>
  <c r="L84"/>
  <c r="L110" s="1"/>
  <c r="L82"/>
  <c r="L85"/>
  <c r="L111" s="1"/>
  <c r="AA81"/>
  <c r="AA107" s="1"/>
  <c r="AA79"/>
  <c r="AA105" s="1"/>
  <c r="R77"/>
  <c r="R103" s="1"/>
  <c r="AE81"/>
  <c r="AE107" s="1"/>
  <c r="AE79"/>
  <c r="AE105" s="1"/>
  <c r="AE86"/>
  <c r="AE112" s="1"/>
  <c r="F77"/>
  <c r="F103" s="1"/>
  <c r="G81"/>
  <c r="G107" s="1"/>
  <c r="G79"/>
  <c r="G105" s="1"/>
  <c r="Y82"/>
  <c r="Y108" s="1"/>
  <c r="H84"/>
  <c r="H110" s="1"/>
  <c r="H82"/>
  <c r="H108" s="1"/>
  <c r="H85"/>
  <c r="H111" s="1"/>
  <c r="AB83"/>
  <c r="AB109" s="1"/>
  <c r="P83"/>
  <c r="P109" s="1"/>
  <c r="Q83"/>
  <c r="Q109" s="1"/>
  <c r="Q77"/>
  <c r="Q103" s="1"/>
  <c r="D83"/>
  <c r="D109" s="1"/>
  <c r="C81"/>
  <c r="C107" s="1"/>
  <c r="C79"/>
  <c r="C105" s="1"/>
  <c r="C86"/>
  <c r="C112" s="1"/>
  <c r="AD82"/>
  <c r="AD108" s="1"/>
  <c r="AD85"/>
  <c r="AD111" s="1"/>
  <c r="AG82"/>
  <c r="AG108" s="1"/>
  <c r="C84"/>
  <c r="C110" s="1"/>
  <c r="AB89"/>
  <c r="AB115" s="1"/>
  <c r="Y90"/>
  <c r="Y116" s="1"/>
  <c r="AB96"/>
  <c r="AB122" s="1"/>
  <c r="AF93"/>
  <c r="AF119" s="1"/>
  <c r="N92"/>
  <c r="N118" s="1"/>
  <c r="T87"/>
  <c r="T113" s="1"/>
  <c r="W94"/>
  <c r="W120" s="1"/>
  <c r="E89"/>
  <c r="E115" s="1"/>
  <c r="AB95"/>
  <c r="AB121" s="1"/>
  <c r="Y92"/>
  <c r="Y118" s="1"/>
  <c r="AD91"/>
  <c r="AD117" s="1"/>
  <c r="AC91"/>
  <c r="AC117" s="1"/>
  <c r="B88"/>
  <c r="B114" s="1"/>
  <c r="U94"/>
  <c r="U120" s="1"/>
  <c r="Y93"/>
  <c r="Y119" s="1"/>
  <c r="J96"/>
  <c r="J122" s="1"/>
  <c r="Q95"/>
  <c r="Q121" s="1"/>
  <c r="AD90"/>
  <c r="AD116" s="1"/>
  <c r="AG89"/>
  <c r="AG115" s="1"/>
  <c r="E92"/>
  <c r="E118" s="1"/>
  <c r="AB87"/>
  <c r="AB113" s="1"/>
  <c r="AB92"/>
  <c r="AB118" s="1"/>
  <c r="S89"/>
  <c r="S115" s="1"/>
  <c r="Q93"/>
  <c r="Q119" s="1"/>
  <c r="AF92"/>
  <c r="AF118" s="1"/>
  <c r="AF90"/>
  <c r="AF116" s="1"/>
  <c r="C96"/>
  <c r="C122" s="1"/>
  <c r="L90"/>
  <c r="L116" s="1"/>
  <c r="R95"/>
  <c r="R121" s="1"/>
  <c r="E91"/>
  <c r="E117" s="1"/>
  <c r="E95"/>
  <c r="E121" s="1"/>
  <c r="AB88"/>
  <c r="AB114" s="1"/>
  <c r="S94"/>
  <c r="S120" s="1"/>
  <c r="AF87"/>
  <c r="AF113" s="1"/>
  <c r="AF91"/>
  <c r="AF117" s="1"/>
  <c r="Z90"/>
  <c r="Z116" s="1"/>
  <c r="M90"/>
  <c r="M116" s="1"/>
  <c r="AF95"/>
  <c r="AF121" s="1"/>
  <c r="D93"/>
  <c r="D119" s="1"/>
  <c r="Z95"/>
  <c r="Z121" s="1"/>
  <c r="L94"/>
  <c r="L120" s="1"/>
  <c r="M87"/>
  <c r="M113" s="1"/>
  <c r="AA92"/>
  <c r="AA118" s="1"/>
  <c r="AE89"/>
  <c r="AE115" s="1"/>
  <c r="T92"/>
  <c r="T118" s="1"/>
  <c r="T89"/>
  <c r="T115" s="1"/>
  <c r="Y91"/>
  <c r="Y117" s="1"/>
  <c r="Y94"/>
  <c r="Y120" s="1"/>
  <c r="E90"/>
  <c r="E116" s="1"/>
  <c r="D87"/>
  <c r="D113" s="1"/>
  <c r="X91"/>
  <c r="X117" s="1"/>
  <c r="AD95"/>
  <c r="AD121" s="1"/>
  <c r="AD94"/>
  <c r="AD120" s="1"/>
  <c r="Z91"/>
  <c r="Z117" s="1"/>
  <c r="Z88"/>
  <c r="Z114" s="1"/>
  <c r="M94"/>
  <c r="M120" s="1"/>
  <c r="AA87"/>
  <c r="AA113" s="1"/>
  <c r="T96"/>
  <c r="T122" s="1"/>
  <c r="AE91"/>
  <c r="AE117" s="1"/>
  <c r="F94"/>
  <c r="F120" s="1"/>
  <c r="T95"/>
  <c r="T121" s="1"/>
  <c r="T90"/>
  <c r="T116" s="1"/>
  <c r="Y95"/>
  <c r="Y121" s="1"/>
  <c r="Y89"/>
  <c r="Y115" s="1"/>
  <c r="AF88"/>
  <c r="AF114" s="1"/>
  <c r="X87"/>
  <c r="X113" s="1"/>
  <c r="AD93"/>
  <c r="AD119" s="1"/>
  <c r="AD88"/>
  <c r="AD114" s="1"/>
  <c r="Z96"/>
  <c r="Z122" s="1"/>
  <c r="Z89"/>
  <c r="Z115" s="1"/>
  <c r="M91"/>
  <c r="M117" s="1"/>
  <c r="M92"/>
  <c r="M118" s="1"/>
  <c r="AD89"/>
  <c r="AD115" s="1"/>
  <c r="AD96"/>
  <c r="AD122" s="1"/>
  <c r="Z94"/>
  <c r="Z120" s="1"/>
  <c r="M89"/>
  <c r="M115" s="1"/>
  <c r="AA96"/>
  <c r="AA122" s="1"/>
  <c r="AA93"/>
  <c r="AA119" s="1"/>
  <c r="AA91"/>
  <c r="AA117" s="1"/>
  <c r="V91"/>
  <c r="V117" s="1"/>
  <c r="K90"/>
  <c r="K116" s="1"/>
  <c r="H96"/>
  <c r="H122" s="1"/>
  <c r="G88"/>
  <c r="G114" s="1"/>
  <c r="S91"/>
  <c r="S117" s="1"/>
  <c r="S96"/>
  <c r="S122" s="1"/>
  <c r="Q87"/>
  <c r="Q113" s="1"/>
  <c r="Q89"/>
  <c r="Q115" s="1"/>
  <c r="C90"/>
  <c r="C116" s="1"/>
  <c r="P92"/>
  <c r="P118" s="1"/>
  <c r="AC90"/>
  <c r="AC116" s="1"/>
  <c r="Z87"/>
  <c r="Z113" s="1"/>
  <c r="Z92"/>
  <c r="Z118" s="1"/>
  <c r="L95"/>
  <c r="L121" s="1"/>
  <c r="L92"/>
  <c r="L118" s="1"/>
  <c r="AG93"/>
  <c r="AG119" s="1"/>
  <c r="M95"/>
  <c r="M121" s="1"/>
  <c r="M93"/>
  <c r="M119" s="1"/>
  <c r="N88"/>
  <c r="N114" s="1"/>
  <c r="N90"/>
  <c r="N116" s="1"/>
  <c r="N95"/>
  <c r="N121" s="1"/>
  <c r="AA89"/>
  <c r="AA115" s="1"/>
  <c r="AA94"/>
  <c r="AA120" s="1"/>
  <c r="V94"/>
  <c r="V120" s="1"/>
  <c r="K87"/>
  <c r="K113" s="1"/>
  <c r="G89"/>
  <c r="G115" s="1"/>
  <c r="Q88"/>
  <c r="Q114" s="1"/>
  <c r="L88"/>
  <c r="L114" s="1"/>
  <c r="AA88"/>
  <c r="AA114" s="1"/>
  <c r="AA90"/>
  <c r="AA116" s="1"/>
  <c r="V93"/>
  <c r="V119" s="1"/>
  <c r="V89"/>
  <c r="V115" s="1"/>
  <c r="AE92"/>
  <c r="AE118" s="1"/>
  <c r="K93"/>
  <c r="K119" s="1"/>
  <c r="K88"/>
  <c r="K114" s="1"/>
  <c r="T93"/>
  <c r="T119" s="1"/>
  <c r="T88"/>
  <c r="T114" s="1"/>
  <c r="T91"/>
  <c r="T117" s="1"/>
  <c r="Y87"/>
  <c r="Y113" s="1"/>
  <c r="Y96"/>
  <c r="Y122" s="1"/>
  <c r="J89"/>
  <c r="J115" s="1"/>
  <c r="S92"/>
  <c r="S118" s="1"/>
  <c r="S87"/>
  <c r="S113" s="1"/>
  <c r="S88"/>
  <c r="S114" s="1"/>
  <c r="Q90"/>
  <c r="Q116" s="1"/>
  <c r="Q96"/>
  <c r="Q122" s="1"/>
  <c r="AF96"/>
  <c r="AF122" s="1"/>
  <c r="X89"/>
  <c r="X115" s="1"/>
  <c r="O96"/>
  <c r="O122" s="1"/>
  <c r="P94"/>
  <c r="P120" s="1"/>
  <c r="AC93"/>
  <c r="AC119" s="1"/>
  <c r="L91"/>
  <c r="L117" s="1"/>
  <c r="AG90"/>
  <c r="AG116" s="1"/>
  <c r="N89"/>
  <c r="N115" s="1"/>
  <c r="N94"/>
  <c r="N120" s="1"/>
  <c r="P87"/>
  <c r="P113" s="1"/>
  <c r="B119"/>
  <c r="AI70"/>
  <c r="AK70"/>
  <c r="V92"/>
  <c r="V118" s="1"/>
  <c r="V96"/>
  <c r="V122" s="1"/>
  <c r="R93"/>
  <c r="R119" s="1"/>
  <c r="R90"/>
  <c r="R116" s="1"/>
  <c r="R88"/>
  <c r="R114" s="1"/>
  <c r="I96"/>
  <c r="I122" s="1"/>
  <c r="I93"/>
  <c r="I119" s="1"/>
  <c r="AE87"/>
  <c r="AE113" s="1"/>
  <c r="AE96"/>
  <c r="AE122" s="1"/>
  <c r="AE90"/>
  <c r="AE116" s="1"/>
  <c r="K94"/>
  <c r="K120" s="1"/>
  <c r="K91"/>
  <c r="K117" s="1"/>
  <c r="F89"/>
  <c r="F115" s="1"/>
  <c r="F90"/>
  <c r="F116" s="1"/>
  <c r="F95"/>
  <c r="F121" s="1"/>
  <c r="B89"/>
  <c r="U95"/>
  <c r="U121" s="1"/>
  <c r="U87"/>
  <c r="U113" s="1"/>
  <c r="U89"/>
  <c r="U115" s="1"/>
  <c r="W93"/>
  <c r="W119" s="1"/>
  <c r="W89"/>
  <c r="W115" s="1"/>
  <c r="W96"/>
  <c r="W122" s="1"/>
  <c r="J90"/>
  <c r="J116" s="1"/>
  <c r="J88"/>
  <c r="J114" s="1"/>
  <c r="H89"/>
  <c r="H115" s="1"/>
  <c r="H91"/>
  <c r="H117" s="1"/>
  <c r="H95"/>
  <c r="H121" s="1"/>
  <c r="E96"/>
  <c r="E122" s="1"/>
  <c r="E93"/>
  <c r="E119" s="1"/>
  <c r="AB94"/>
  <c r="AB120" s="1"/>
  <c r="AB91"/>
  <c r="AB117" s="1"/>
  <c r="AB93"/>
  <c r="AB119" s="1"/>
  <c r="G96"/>
  <c r="G122" s="1"/>
  <c r="G90"/>
  <c r="G116" s="1"/>
  <c r="S90"/>
  <c r="S116" s="1"/>
  <c r="Q94"/>
  <c r="Q120" s="1"/>
  <c r="Q91"/>
  <c r="Q117" s="1"/>
  <c r="AF89"/>
  <c r="AF115" s="1"/>
  <c r="D95"/>
  <c r="D121" s="1"/>
  <c r="D90"/>
  <c r="D116" s="1"/>
  <c r="X96"/>
  <c r="X122" s="1"/>
  <c r="X92"/>
  <c r="X118" s="1"/>
  <c r="X95"/>
  <c r="X121" s="1"/>
  <c r="C88"/>
  <c r="C114" s="1"/>
  <c r="C89"/>
  <c r="C115" s="1"/>
  <c r="O89"/>
  <c r="O115" s="1"/>
  <c r="O92"/>
  <c r="O118" s="1"/>
  <c r="O94"/>
  <c r="O120" s="1"/>
  <c r="P89"/>
  <c r="P115" s="1"/>
  <c r="P96"/>
  <c r="P122" s="1"/>
  <c r="AC95"/>
  <c r="AC121" s="1"/>
  <c r="AC87"/>
  <c r="AC113" s="1"/>
  <c r="AC96"/>
  <c r="AC122" s="1"/>
  <c r="L96"/>
  <c r="L122" s="1"/>
  <c r="AG94"/>
  <c r="AG120" s="1"/>
  <c r="AG92"/>
  <c r="AG118" s="1"/>
  <c r="I73"/>
  <c r="I99" s="1"/>
  <c r="R94"/>
  <c r="R120" s="1"/>
  <c r="R89"/>
  <c r="R115" s="1"/>
  <c r="R96"/>
  <c r="R122" s="1"/>
  <c r="I94"/>
  <c r="I120" s="1"/>
  <c r="I91"/>
  <c r="I117" s="1"/>
  <c r="AE88"/>
  <c r="AE114" s="1"/>
  <c r="F93"/>
  <c r="F119" s="1"/>
  <c r="F96"/>
  <c r="F122" s="1"/>
  <c r="F88"/>
  <c r="F114" s="1"/>
  <c r="B95"/>
  <c r="U92"/>
  <c r="U118" s="1"/>
  <c r="U88"/>
  <c r="U114" s="1"/>
  <c r="U96"/>
  <c r="U122" s="1"/>
  <c r="W92"/>
  <c r="W118" s="1"/>
  <c r="W88"/>
  <c r="W114" s="1"/>
  <c r="W91"/>
  <c r="W117" s="1"/>
  <c r="J87"/>
  <c r="J113" s="1"/>
  <c r="J93"/>
  <c r="J119" s="1"/>
  <c r="H94"/>
  <c r="H120" s="1"/>
  <c r="H87"/>
  <c r="H113" s="1"/>
  <c r="H93"/>
  <c r="H119" s="1"/>
  <c r="G93"/>
  <c r="G119" s="1"/>
  <c r="G92"/>
  <c r="G118" s="1"/>
  <c r="D91"/>
  <c r="D117" s="1"/>
  <c r="D92"/>
  <c r="D118" s="1"/>
  <c r="X93"/>
  <c r="X119" s="1"/>
  <c r="X88"/>
  <c r="X114" s="1"/>
  <c r="C94"/>
  <c r="C120" s="1"/>
  <c r="C91"/>
  <c r="C117" s="1"/>
  <c r="O95"/>
  <c r="O121" s="1"/>
  <c r="O91"/>
  <c r="O117" s="1"/>
  <c r="O93"/>
  <c r="O119" s="1"/>
  <c r="P93"/>
  <c r="P119" s="1"/>
  <c r="AC94"/>
  <c r="AC120" s="1"/>
  <c r="AG95"/>
  <c r="AG121" s="1"/>
  <c r="B118"/>
  <c r="AJ71"/>
  <c r="AJ30" s="1"/>
  <c r="D11" i="12" s="1"/>
  <c r="AH71" i="5"/>
  <c r="I92"/>
  <c r="I118" s="1"/>
  <c r="I89"/>
  <c r="I115" s="1"/>
  <c r="B96"/>
  <c r="AG87"/>
  <c r="AG113" s="1"/>
  <c r="V95"/>
  <c r="V121" s="1"/>
  <c r="V90"/>
  <c r="V116" s="1"/>
  <c r="V88"/>
  <c r="V114" s="1"/>
  <c r="R92"/>
  <c r="R118" s="1"/>
  <c r="R91"/>
  <c r="R117" s="1"/>
  <c r="I90"/>
  <c r="I116" s="1"/>
  <c r="I95"/>
  <c r="I121" s="1"/>
  <c r="I87"/>
  <c r="I113" s="1"/>
  <c r="AE93"/>
  <c r="AE119" s="1"/>
  <c r="AE94"/>
  <c r="AE120" s="1"/>
  <c r="K92"/>
  <c r="K118" s="1"/>
  <c r="K89"/>
  <c r="K115" s="1"/>
  <c r="K96"/>
  <c r="K122" s="1"/>
  <c r="F91"/>
  <c r="F117" s="1"/>
  <c r="F92"/>
  <c r="F118" s="1"/>
  <c r="B90"/>
  <c r="B91"/>
  <c r="B94"/>
  <c r="U90"/>
  <c r="U116" s="1"/>
  <c r="U91"/>
  <c r="U117" s="1"/>
  <c r="W87"/>
  <c r="W113" s="1"/>
  <c r="W90"/>
  <c r="W116" s="1"/>
  <c r="J92"/>
  <c r="J118" s="1"/>
  <c r="J94"/>
  <c r="J120" s="1"/>
  <c r="J91"/>
  <c r="J117" s="1"/>
  <c r="H88"/>
  <c r="H114" s="1"/>
  <c r="H92"/>
  <c r="H118" s="1"/>
  <c r="E87"/>
  <c r="E113" s="1"/>
  <c r="E94"/>
  <c r="E120" s="1"/>
  <c r="G95"/>
  <c r="G121" s="1"/>
  <c r="G87"/>
  <c r="G113" s="1"/>
  <c r="G94"/>
  <c r="G120" s="1"/>
  <c r="D88"/>
  <c r="D114" s="1"/>
  <c r="D96"/>
  <c r="D122" s="1"/>
  <c r="D94"/>
  <c r="D120" s="1"/>
  <c r="X90"/>
  <c r="X116" s="1"/>
  <c r="C92"/>
  <c r="C118" s="1"/>
  <c r="C93"/>
  <c r="C119" s="1"/>
  <c r="C87"/>
  <c r="C113" s="1"/>
  <c r="O88"/>
  <c r="O114" s="1"/>
  <c r="O87"/>
  <c r="O113" s="1"/>
  <c r="P91"/>
  <c r="P117" s="1"/>
  <c r="P95"/>
  <c r="P121" s="1"/>
  <c r="P88"/>
  <c r="P114" s="1"/>
  <c r="AC92"/>
  <c r="AC118" s="1"/>
  <c r="AC89"/>
  <c r="AC115" s="1"/>
  <c r="AD92"/>
  <c r="AD118" s="1"/>
  <c r="L87"/>
  <c r="L113" s="1"/>
  <c r="L89"/>
  <c r="L115" s="1"/>
  <c r="AG91"/>
  <c r="AG117" s="1"/>
  <c r="AG96"/>
  <c r="AG122" s="1"/>
  <c r="M96"/>
  <c r="M122" s="1"/>
  <c r="AH70" i="4"/>
  <c r="AJ70"/>
  <c r="P65" i="3"/>
  <c r="P78" s="1"/>
  <c r="T65"/>
  <c r="T78" s="1"/>
  <c r="O72" i="4"/>
  <c r="O89" s="1"/>
  <c r="O77"/>
  <c r="O94" s="1"/>
  <c r="AB77"/>
  <c r="AB94" s="1"/>
  <c r="V75"/>
  <c r="V92" s="1"/>
  <c r="C77"/>
  <c r="C94" s="1"/>
  <c r="C73"/>
  <c r="C90" s="1"/>
  <c r="G71"/>
  <c r="G88" s="1"/>
  <c r="T76"/>
  <c r="T93" s="1"/>
  <c r="C74"/>
  <c r="C91" s="1"/>
  <c r="V73"/>
  <c r="V90" s="1"/>
  <c r="T71"/>
  <c r="T88" s="1"/>
  <c r="C76"/>
  <c r="C93" s="1"/>
  <c r="E73"/>
  <c r="E90" s="1"/>
  <c r="D77"/>
  <c r="D94" s="1"/>
  <c r="Y76"/>
  <c r="Y93" s="1"/>
  <c r="O73"/>
  <c r="O90" s="1"/>
  <c r="V77"/>
  <c r="V94" s="1"/>
  <c r="V71"/>
  <c r="V88" s="1"/>
  <c r="K77"/>
  <c r="K94" s="1"/>
  <c r="K74"/>
  <c r="K91" s="1"/>
  <c r="D71"/>
  <c r="D88" s="1"/>
  <c r="M74"/>
  <c r="M91" s="1"/>
  <c r="AA74"/>
  <c r="AA91" s="1"/>
  <c r="H75"/>
  <c r="H92" s="1"/>
  <c r="AD77"/>
  <c r="AD94" s="1"/>
  <c r="U71"/>
  <c r="U88" s="1"/>
  <c r="O75"/>
  <c r="O92" s="1"/>
  <c r="O71"/>
  <c r="O88" s="1"/>
  <c r="V72"/>
  <c r="V89" s="1"/>
  <c r="W71"/>
  <c r="W88" s="1"/>
  <c r="N71"/>
  <c r="N88" s="1"/>
  <c r="E75"/>
  <c r="E92" s="1"/>
  <c r="D74"/>
  <c r="D91" s="1"/>
  <c r="U77"/>
  <c r="U94" s="1"/>
  <c r="U74"/>
  <c r="U91" s="1"/>
  <c r="O74"/>
  <c r="O91" s="1"/>
  <c r="F72"/>
  <c r="F89" s="1"/>
  <c r="AA76"/>
  <c r="AA93" s="1"/>
  <c r="U75"/>
  <c r="U92" s="1"/>
  <c r="U72"/>
  <c r="U89" s="1"/>
  <c r="W74"/>
  <c r="W91" s="1"/>
  <c r="C72"/>
  <c r="C89" s="1"/>
  <c r="F78"/>
  <c r="F95" s="1"/>
  <c r="K71"/>
  <c r="K88" s="1"/>
  <c r="M73"/>
  <c r="M90" s="1"/>
  <c r="AA72"/>
  <c r="AA89" s="1"/>
  <c r="AA75"/>
  <c r="AA92" s="1"/>
  <c r="AF72"/>
  <c r="AF89" s="1"/>
  <c r="W77"/>
  <c r="W94" s="1"/>
  <c r="T74"/>
  <c r="T91" s="1"/>
  <c r="T78"/>
  <c r="T95" s="1"/>
  <c r="C78"/>
  <c r="C95" s="1"/>
  <c r="C71"/>
  <c r="C88" s="1"/>
  <c r="S78"/>
  <c r="S95" s="1"/>
  <c r="AG76"/>
  <c r="AG93" s="1"/>
  <c r="AE73"/>
  <c r="AE90" s="1"/>
  <c r="B74"/>
  <c r="B91" s="1"/>
  <c r="R77"/>
  <c r="R94" s="1"/>
  <c r="N72"/>
  <c r="N89" s="1"/>
  <c r="AC75"/>
  <c r="AC92" s="1"/>
  <c r="E77"/>
  <c r="E94" s="1"/>
  <c r="E72"/>
  <c r="E89" s="1"/>
  <c r="G78"/>
  <c r="G95" s="1"/>
  <c r="M71"/>
  <c r="M88" s="1"/>
  <c r="S75"/>
  <c r="S92" s="1"/>
  <c r="AG72"/>
  <c r="AG89" s="1"/>
  <c r="AE76"/>
  <c r="AE93" s="1"/>
  <c r="G73"/>
  <c r="G90" s="1"/>
  <c r="AA73"/>
  <c r="AA90" s="1"/>
  <c r="U73"/>
  <c r="U90" s="1"/>
  <c r="J77"/>
  <c r="J94" s="1"/>
  <c r="T73"/>
  <c r="T90" s="1"/>
  <c r="AG71"/>
  <c r="AG88" s="1"/>
  <c r="AE72"/>
  <c r="AE89" s="1"/>
  <c r="N73"/>
  <c r="N90" s="1"/>
  <c r="L76"/>
  <c r="L93" s="1"/>
  <c r="AC72"/>
  <c r="AC89" s="1"/>
  <c r="E74"/>
  <c r="E91" s="1"/>
  <c r="G74"/>
  <c r="G91" s="1"/>
  <c r="G75"/>
  <c r="G92" s="1"/>
  <c r="B94"/>
  <c r="Y63" i="3"/>
  <c r="Y76" s="1"/>
  <c r="T67"/>
  <c r="T80" s="1"/>
  <c r="AA71" i="4"/>
  <c r="AA88" s="1"/>
  <c r="AA77"/>
  <c r="AA94" s="1"/>
  <c r="I75"/>
  <c r="I92" s="1"/>
  <c r="I72"/>
  <c r="I89" s="1"/>
  <c r="H71"/>
  <c r="H88" s="1"/>
  <c r="H74"/>
  <c r="H91" s="1"/>
  <c r="Y74"/>
  <c r="Y91" s="1"/>
  <c r="Y73"/>
  <c r="Y90" s="1"/>
  <c r="AD73"/>
  <c r="AD90" s="1"/>
  <c r="AD72"/>
  <c r="AD89" s="1"/>
  <c r="AB72"/>
  <c r="AB89" s="1"/>
  <c r="AB71"/>
  <c r="AB88" s="1"/>
  <c r="P75"/>
  <c r="P92" s="1"/>
  <c r="P74"/>
  <c r="P91" s="1"/>
  <c r="AF78"/>
  <c r="AF95" s="1"/>
  <c r="AF76"/>
  <c r="AF93" s="1"/>
  <c r="J73"/>
  <c r="J90" s="1"/>
  <c r="J72"/>
  <c r="J89" s="1"/>
  <c r="Z78"/>
  <c r="Z95" s="1"/>
  <c r="Z71"/>
  <c r="Z88" s="1"/>
  <c r="V78"/>
  <c r="V95" s="1"/>
  <c r="V74"/>
  <c r="V91" s="1"/>
  <c r="X75"/>
  <c r="X92" s="1"/>
  <c r="X71"/>
  <c r="X88" s="1"/>
  <c r="W76"/>
  <c r="W93" s="1"/>
  <c r="W73"/>
  <c r="W90" s="1"/>
  <c r="T75"/>
  <c r="T92" s="1"/>
  <c r="T72"/>
  <c r="T89" s="1"/>
  <c r="Q75"/>
  <c r="Q92" s="1"/>
  <c r="Q74"/>
  <c r="Q91" s="1"/>
  <c r="S76"/>
  <c r="S93" s="1"/>
  <c r="S71"/>
  <c r="S88" s="1"/>
  <c r="AG75"/>
  <c r="AG92" s="1"/>
  <c r="AG78"/>
  <c r="AG95" s="1"/>
  <c r="AE71"/>
  <c r="AE88" s="1"/>
  <c r="AE75"/>
  <c r="AE92" s="1"/>
  <c r="F77"/>
  <c r="F94" s="1"/>
  <c r="F73"/>
  <c r="F90" s="1"/>
  <c r="K76"/>
  <c r="K93" s="1"/>
  <c r="K73"/>
  <c r="K90" s="1"/>
  <c r="B73"/>
  <c r="B72"/>
  <c r="R78"/>
  <c r="R95" s="1"/>
  <c r="R71"/>
  <c r="R88" s="1"/>
  <c r="N75"/>
  <c r="N92" s="1"/>
  <c r="N78"/>
  <c r="N95" s="1"/>
  <c r="L75"/>
  <c r="L92" s="1"/>
  <c r="L73"/>
  <c r="L90" s="1"/>
  <c r="AC78"/>
  <c r="AC95" s="1"/>
  <c r="AC73"/>
  <c r="AC90" s="1"/>
  <c r="E78"/>
  <c r="E95" s="1"/>
  <c r="E71"/>
  <c r="E88" s="1"/>
  <c r="D72"/>
  <c r="D89" s="1"/>
  <c r="D73"/>
  <c r="D90" s="1"/>
  <c r="G72"/>
  <c r="G89" s="1"/>
  <c r="G77"/>
  <c r="G94" s="1"/>
  <c r="M78"/>
  <c r="M95" s="1"/>
  <c r="M77"/>
  <c r="M94" s="1"/>
  <c r="AH62"/>
  <c r="AK30" s="1"/>
  <c r="F10" i="12" s="1"/>
  <c r="AJ62" i="4"/>
  <c r="AJ30" s="1"/>
  <c r="D10" i="12" s="1"/>
  <c r="I71" i="4"/>
  <c r="I88" s="1"/>
  <c r="P73"/>
  <c r="P90" s="1"/>
  <c r="Z74"/>
  <c r="Z91" s="1"/>
  <c r="X74"/>
  <c r="X91" s="1"/>
  <c r="Q73"/>
  <c r="Q90" s="1"/>
  <c r="F71"/>
  <c r="F88" s="1"/>
  <c r="I64"/>
  <c r="I81" s="1"/>
  <c r="B93"/>
  <c r="AK61"/>
  <c r="AI61"/>
  <c r="H65" i="3"/>
  <c r="H78" s="1"/>
  <c r="I77" i="4"/>
  <c r="I94" s="1"/>
  <c r="I74"/>
  <c r="I91" s="1"/>
  <c r="H73"/>
  <c r="H90" s="1"/>
  <c r="H76"/>
  <c r="H93" s="1"/>
  <c r="Y72"/>
  <c r="Y89" s="1"/>
  <c r="Y75"/>
  <c r="Y92" s="1"/>
  <c r="AD71"/>
  <c r="AD88" s="1"/>
  <c r="AD78"/>
  <c r="AD95" s="1"/>
  <c r="AB74"/>
  <c r="AB91" s="1"/>
  <c r="AB76"/>
  <c r="AB93" s="1"/>
  <c r="P78"/>
  <c r="P95" s="1"/>
  <c r="P76"/>
  <c r="P93" s="1"/>
  <c r="AF75"/>
  <c r="AF92" s="1"/>
  <c r="AF77"/>
  <c r="AF94" s="1"/>
  <c r="J71"/>
  <c r="J88" s="1"/>
  <c r="J78"/>
  <c r="J95" s="1"/>
  <c r="Z75"/>
  <c r="Z92" s="1"/>
  <c r="Z73"/>
  <c r="Z90" s="1"/>
  <c r="X78"/>
  <c r="X95" s="1"/>
  <c r="X73"/>
  <c r="X90" s="1"/>
  <c r="Q76"/>
  <c r="Q93" s="1"/>
  <c r="Q72"/>
  <c r="Q89" s="1"/>
  <c r="S74"/>
  <c r="S91" s="1"/>
  <c r="B71"/>
  <c r="R74"/>
  <c r="R91" s="1"/>
  <c r="R73"/>
  <c r="R90" s="1"/>
  <c r="L72"/>
  <c r="L89" s="1"/>
  <c r="L71"/>
  <c r="L88" s="1"/>
  <c r="AC71"/>
  <c r="AC88" s="1"/>
  <c r="I78"/>
  <c r="I95" s="1"/>
  <c r="I73"/>
  <c r="I90" s="1"/>
  <c r="H72"/>
  <c r="H89" s="1"/>
  <c r="H77"/>
  <c r="H94" s="1"/>
  <c r="Y71"/>
  <c r="Y88" s="1"/>
  <c r="Y77"/>
  <c r="Y94" s="1"/>
  <c r="AD74"/>
  <c r="AD91" s="1"/>
  <c r="AD76"/>
  <c r="AD93" s="1"/>
  <c r="AB78"/>
  <c r="AB95" s="1"/>
  <c r="AB75"/>
  <c r="AB92" s="1"/>
  <c r="P72"/>
  <c r="P89" s="1"/>
  <c r="P71"/>
  <c r="P88" s="1"/>
  <c r="AF73"/>
  <c r="AF90" s="1"/>
  <c r="AF71"/>
  <c r="AF88" s="1"/>
  <c r="J74"/>
  <c r="J91" s="1"/>
  <c r="J76"/>
  <c r="J93" s="1"/>
  <c r="Z77"/>
  <c r="Z94" s="1"/>
  <c r="Z72"/>
  <c r="Z89" s="1"/>
  <c r="X76"/>
  <c r="X93" s="1"/>
  <c r="X72"/>
  <c r="X89" s="1"/>
  <c r="W72"/>
  <c r="W89" s="1"/>
  <c r="W75"/>
  <c r="W92" s="1"/>
  <c r="Q78"/>
  <c r="Q95" s="1"/>
  <c r="Q71"/>
  <c r="Q88" s="1"/>
  <c r="S73"/>
  <c r="S90" s="1"/>
  <c r="S72"/>
  <c r="S89" s="1"/>
  <c r="AG74"/>
  <c r="AG91" s="1"/>
  <c r="AG73"/>
  <c r="AG90" s="1"/>
  <c r="AE77"/>
  <c r="AE94" s="1"/>
  <c r="AE78"/>
  <c r="AE95" s="1"/>
  <c r="F75"/>
  <c r="F92" s="1"/>
  <c r="F74"/>
  <c r="F91" s="1"/>
  <c r="B75"/>
  <c r="B78"/>
  <c r="R76"/>
  <c r="R93" s="1"/>
  <c r="R72"/>
  <c r="R89" s="1"/>
  <c r="N74"/>
  <c r="N91" s="1"/>
  <c r="N77"/>
  <c r="N94" s="1"/>
  <c r="L77"/>
  <c r="L94" s="1"/>
  <c r="L74"/>
  <c r="L91" s="1"/>
  <c r="AC77"/>
  <c r="AC94" s="1"/>
  <c r="AC74"/>
  <c r="AC91" s="1"/>
  <c r="D76"/>
  <c r="D93" s="1"/>
  <c r="D75"/>
  <c r="D92" s="1"/>
  <c r="M72"/>
  <c r="M89" s="1"/>
  <c r="M75"/>
  <c r="M92" s="1"/>
  <c r="H63" i="3"/>
  <c r="H76" s="1"/>
  <c r="AC66"/>
  <c r="AC79" s="1"/>
  <c r="U66"/>
  <c r="U79" s="1"/>
  <c r="I66"/>
  <c r="I79" s="1"/>
  <c r="AB66"/>
  <c r="AB79" s="1"/>
  <c r="X66"/>
  <c r="X79" s="1"/>
  <c r="T66"/>
  <c r="T79" s="1"/>
  <c r="Q64"/>
  <c r="Q77" s="1"/>
  <c r="AB69"/>
  <c r="AB82" s="1"/>
  <c r="AC65"/>
  <c r="AC78" s="1"/>
  <c r="Q66"/>
  <c r="Q79" s="1"/>
  <c r="AB65"/>
  <c r="AB78" s="1"/>
  <c r="AC63"/>
  <c r="AC76" s="1"/>
  <c r="U68"/>
  <c r="U81" s="1"/>
  <c r="I64"/>
  <c r="I77" s="1"/>
  <c r="AB64"/>
  <c r="AB77" s="1"/>
  <c r="L66"/>
  <c r="L79" s="1"/>
  <c r="D67"/>
  <c r="D80" s="1"/>
  <c r="P63"/>
  <c r="P76" s="1"/>
  <c r="AC70"/>
  <c r="AC83" s="1"/>
  <c r="Y64"/>
  <c r="Y77" s="1"/>
  <c r="U63"/>
  <c r="U76" s="1"/>
  <c r="AG66"/>
  <c r="AG79" s="1"/>
  <c r="M66"/>
  <c r="M79" s="1"/>
  <c r="M65"/>
  <c r="M78" s="1"/>
  <c r="I63"/>
  <c r="I76" s="1"/>
  <c r="E66"/>
  <c r="E79" s="1"/>
  <c r="AB67"/>
  <c r="AB80" s="1"/>
  <c r="X65"/>
  <c r="X78" s="1"/>
  <c r="B69"/>
  <c r="B82" s="1"/>
  <c r="B63"/>
  <c r="B76" s="1"/>
  <c r="L69"/>
  <c r="L82" s="1"/>
  <c r="D66"/>
  <c r="D79" s="1"/>
  <c r="M68"/>
  <c r="M81" s="1"/>
  <c r="AF63"/>
  <c r="AF76" s="1"/>
  <c r="B70"/>
  <c r="B83" s="1"/>
  <c r="L65"/>
  <c r="L78" s="1"/>
  <c r="L64"/>
  <c r="L77" s="1"/>
  <c r="H66"/>
  <c r="H79" s="1"/>
  <c r="D65"/>
  <c r="D78" s="1"/>
  <c r="AC68"/>
  <c r="AC81" s="1"/>
  <c r="Y66"/>
  <c r="Y79" s="1"/>
  <c r="M63"/>
  <c r="M76" s="1"/>
  <c r="E68"/>
  <c r="E81" s="1"/>
  <c r="X63"/>
  <c r="X76" s="1"/>
  <c r="AF65"/>
  <c r="AF78" s="1"/>
  <c r="B64"/>
  <c r="B77" s="1"/>
  <c r="L67"/>
  <c r="L80" s="1"/>
  <c r="AG64"/>
  <c r="AG77" s="1"/>
  <c r="M70"/>
  <c r="M83" s="1"/>
  <c r="E63"/>
  <c r="E76" s="1"/>
  <c r="K1"/>
  <c r="J60"/>
  <c r="J73" s="1"/>
  <c r="J1" i="5"/>
  <c r="J1" i="6"/>
  <c r="J1" i="4"/>
  <c r="L63" i="3"/>
  <c r="L76" s="1"/>
  <c r="H64"/>
  <c r="H77" s="1"/>
  <c r="D69"/>
  <c r="D82" s="1"/>
  <c r="D64"/>
  <c r="D77" s="1"/>
  <c r="P66"/>
  <c r="P79" s="1"/>
  <c r="AC64"/>
  <c r="AC77" s="1"/>
  <c r="Y65"/>
  <c r="Y78" s="1"/>
  <c r="U70"/>
  <c r="U83" s="1"/>
  <c r="U65"/>
  <c r="U78" s="1"/>
  <c r="AG63"/>
  <c r="AG76" s="1"/>
  <c r="M64"/>
  <c r="M77" s="1"/>
  <c r="I65"/>
  <c r="I78" s="1"/>
  <c r="E70"/>
  <c r="E83" s="1"/>
  <c r="E65"/>
  <c r="E78" s="1"/>
  <c r="Q63"/>
  <c r="Q76" s="1"/>
  <c r="AB63"/>
  <c r="AB76" s="1"/>
  <c r="X64"/>
  <c r="X77" s="1"/>
  <c r="T69"/>
  <c r="T82" s="1"/>
  <c r="T64"/>
  <c r="T77" s="1"/>
  <c r="AF66"/>
  <c r="AF79" s="1"/>
  <c r="D63"/>
  <c r="D76" s="1"/>
  <c r="P64"/>
  <c r="P77" s="1"/>
  <c r="U64"/>
  <c r="U77" s="1"/>
  <c r="AG65"/>
  <c r="AG78" s="1"/>
  <c r="E64"/>
  <c r="E77" s="1"/>
  <c r="Q65"/>
  <c r="Q78" s="1"/>
  <c r="T63"/>
  <c r="T76" s="1"/>
  <c r="AF64"/>
  <c r="AF77" s="1"/>
  <c r="B67"/>
  <c r="AH58"/>
  <c r="AK30" s="1"/>
  <c r="F9" i="12" s="1"/>
  <c r="AJ58" i="3"/>
  <c r="AJ30" s="1"/>
  <c r="D9" i="12" s="1"/>
  <c r="L70" i="3"/>
  <c r="L83" s="1"/>
  <c r="N64"/>
  <c r="N77" s="1"/>
  <c r="N66"/>
  <c r="N79" s="1"/>
  <c r="H69"/>
  <c r="H82" s="1"/>
  <c r="H67"/>
  <c r="H80" s="1"/>
  <c r="J63"/>
  <c r="J76" s="1"/>
  <c r="J65"/>
  <c r="J78" s="1"/>
  <c r="D70"/>
  <c r="D83" s="1"/>
  <c r="F64"/>
  <c r="F77" s="1"/>
  <c r="F66"/>
  <c r="F79" s="1"/>
  <c r="P69"/>
  <c r="P82" s="1"/>
  <c r="P67"/>
  <c r="P80" s="1"/>
  <c r="R63"/>
  <c r="R76" s="1"/>
  <c r="R65"/>
  <c r="R78" s="1"/>
  <c r="AC67"/>
  <c r="AC80" s="1"/>
  <c r="AA65"/>
  <c r="AA78" s="1"/>
  <c r="AA63"/>
  <c r="AA76" s="1"/>
  <c r="Y70"/>
  <c r="Y83" s="1"/>
  <c r="Y68"/>
  <c r="Y81" s="1"/>
  <c r="W64"/>
  <c r="W77" s="1"/>
  <c r="W66"/>
  <c r="W79" s="1"/>
  <c r="U67"/>
  <c r="U80" s="1"/>
  <c r="S65"/>
  <c r="S78" s="1"/>
  <c r="S63"/>
  <c r="S76" s="1"/>
  <c r="AG70"/>
  <c r="AG83" s="1"/>
  <c r="AG68"/>
  <c r="AG81" s="1"/>
  <c r="AE64"/>
  <c r="AE77" s="1"/>
  <c r="AE66"/>
  <c r="AE79" s="1"/>
  <c r="M67"/>
  <c r="M80" s="1"/>
  <c r="K65"/>
  <c r="K78" s="1"/>
  <c r="K63"/>
  <c r="K76" s="1"/>
  <c r="I70"/>
  <c r="I83" s="1"/>
  <c r="I68"/>
  <c r="I81" s="1"/>
  <c r="G64"/>
  <c r="G77" s="1"/>
  <c r="G66"/>
  <c r="G79" s="1"/>
  <c r="E67"/>
  <c r="E80" s="1"/>
  <c r="C65"/>
  <c r="C78" s="1"/>
  <c r="C63"/>
  <c r="C76" s="1"/>
  <c r="Q70"/>
  <c r="Q83" s="1"/>
  <c r="Q68"/>
  <c r="Q81" s="1"/>
  <c r="O64"/>
  <c r="O77" s="1"/>
  <c r="O66"/>
  <c r="O79" s="1"/>
  <c r="AB70"/>
  <c r="AB83" s="1"/>
  <c r="AD64"/>
  <c r="AD77" s="1"/>
  <c r="AD66"/>
  <c r="AD79" s="1"/>
  <c r="X69"/>
  <c r="X82" s="1"/>
  <c r="X67"/>
  <c r="X80" s="1"/>
  <c r="Z63"/>
  <c r="Z76" s="1"/>
  <c r="Z65"/>
  <c r="Z78" s="1"/>
  <c r="T70"/>
  <c r="T83" s="1"/>
  <c r="V64"/>
  <c r="V77" s="1"/>
  <c r="V66"/>
  <c r="V79" s="1"/>
  <c r="AF69"/>
  <c r="AF82" s="1"/>
  <c r="AF67"/>
  <c r="AF80" s="1"/>
  <c r="B66"/>
  <c r="AI57"/>
  <c r="AK57"/>
  <c r="N67"/>
  <c r="N80" s="1"/>
  <c r="N69"/>
  <c r="N82" s="1"/>
  <c r="J68"/>
  <c r="J81" s="1"/>
  <c r="J70"/>
  <c r="J83" s="1"/>
  <c r="F67"/>
  <c r="F80" s="1"/>
  <c r="F69"/>
  <c r="F82" s="1"/>
  <c r="R68"/>
  <c r="R81" s="1"/>
  <c r="R70"/>
  <c r="R83" s="1"/>
  <c r="AA68"/>
  <c r="AA81" s="1"/>
  <c r="AA70"/>
  <c r="AA83" s="1"/>
  <c r="W69"/>
  <c r="W82" s="1"/>
  <c r="W67"/>
  <c r="W80" s="1"/>
  <c r="S68"/>
  <c r="S81" s="1"/>
  <c r="S70"/>
  <c r="S83" s="1"/>
  <c r="AE69"/>
  <c r="AE82" s="1"/>
  <c r="AE67"/>
  <c r="AE80" s="1"/>
  <c r="K68"/>
  <c r="K81" s="1"/>
  <c r="K70"/>
  <c r="K83" s="1"/>
  <c r="G69"/>
  <c r="G82" s="1"/>
  <c r="G67"/>
  <c r="G80" s="1"/>
  <c r="C68"/>
  <c r="C81" s="1"/>
  <c r="C70"/>
  <c r="C83" s="1"/>
  <c r="O69"/>
  <c r="O82" s="1"/>
  <c r="O67"/>
  <c r="O80" s="1"/>
  <c r="AD67"/>
  <c r="AD80" s="1"/>
  <c r="AD69"/>
  <c r="AD82" s="1"/>
  <c r="Z68"/>
  <c r="Z81" s="1"/>
  <c r="Z70"/>
  <c r="Z83" s="1"/>
  <c r="V67"/>
  <c r="V80" s="1"/>
  <c r="V69"/>
  <c r="V82" s="1"/>
  <c r="N63"/>
  <c r="N76" s="1"/>
  <c r="N65"/>
  <c r="N78" s="1"/>
  <c r="H70"/>
  <c r="H83" s="1"/>
  <c r="J64"/>
  <c r="J77" s="1"/>
  <c r="J66"/>
  <c r="J79" s="1"/>
  <c r="F63"/>
  <c r="F76" s="1"/>
  <c r="F65"/>
  <c r="F78" s="1"/>
  <c r="P70"/>
  <c r="P83" s="1"/>
  <c r="R64"/>
  <c r="R77" s="1"/>
  <c r="R66"/>
  <c r="R79" s="1"/>
  <c r="AA64"/>
  <c r="AA77" s="1"/>
  <c r="AA66"/>
  <c r="AA79" s="1"/>
  <c r="Y67"/>
  <c r="Y80" s="1"/>
  <c r="W65"/>
  <c r="W78" s="1"/>
  <c r="W63"/>
  <c r="W76" s="1"/>
  <c r="S64"/>
  <c r="S77" s="1"/>
  <c r="S66"/>
  <c r="S79" s="1"/>
  <c r="AG67"/>
  <c r="AG80" s="1"/>
  <c r="AE65"/>
  <c r="AE78" s="1"/>
  <c r="AE63"/>
  <c r="AE76" s="1"/>
  <c r="K64"/>
  <c r="K77" s="1"/>
  <c r="K66"/>
  <c r="K79" s="1"/>
  <c r="I67"/>
  <c r="I80" s="1"/>
  <c r="G65"/>
  <c r="G78" s="1"/>
  <c r="G63"/>
  <c r="G76" s="1"/>
  <c r="C64"/>
  <c r="C77" s="1"/>
  <c r="C66"/>
  <c r="C79" s="1"/>
  <c r="Q67"/>
  <c r="Q80" s="1"/>
  <c r="O65"/>
  <c r="O78" s="1"/>
  <c r="O63"/>
  <c r="O76" s="1"/>
  <c r="AD63"/>
  <c r="AD76" s="1"/>
  <c r="AD65"/>
  <c r="AD78" s="1"/>
  <c r="X70"/>
  <c r="X83" s="1"/>
  <c r="Z64"/>
  <c r="Z77" s="1"/>
  <c r="Z66"/>
  <c r="Z79" s="1"/>
  <c r="V63"/>
  <c r="V76" s="1"/>
  <c r="V65"/>
  <c r="V78" s="1"/>
  <c r="AF70"/>
  <c r="AF83" s="1"/>
  <c r="B65"/>
  <c r="B81"/>
  <c r="N68"/>
  <c r="N81" s="1"/>
  <c r="J67"/>
  <c r="J80" s="1"/>
  <c r="F68"/>
  <c r="F81" s="1"/>
  <c r="R67"/>
  <c r="R80" s="1"/>
  <c r="AA69"/>
  <c r="AA82" s="1"/>
  <c r="W68"/>
  <c r="W81" s="1"/>
  <c r="S69"/>
  <c r="S82" s="1"/>
  <c r="AE68"/>
  <c r="AE81" s="1"/>
  <c r="K69"/>
  <c r="K82" s="1"/>
  <c r="G68"/>
  <c r="G81" s="1"/>
  <c r="C69"/>
  <c r="C82" s="1"/>
  <c r="O68"/>
  <c r="O81" s="1"/>
  <c r="AD68"/>
  <c r="AD81" s="1"/>
  <c r="Z67"/>
  <c r="Z80" s="1"/>
  <c r="V68"/>
  <c r="V81" s="1"/>
  <c r="AK30" i="5" l="1"/>
  <c r="F11" i="12" s="1"/>
  <c r="AJ69" i="4"/>
  <c r="AJ87"/>
  <c r="AL87" s="1"/>
  <c r="AJ85"/>
  <c r="AL85" s="1"/>
  <c r="AH74" i="3"/>
  <c r="AJ74"/>
  <c r="AJ76"/>
  <c r="AH76"/>
  <c r="AH75"/>
  <c r="AJ75"/>
  <c r="AJ67" i="4"/>
  <c r="AH85"/>
  <c r="AJ68"/>
  <c r="AH84"/>
  <c r="AH82"/>
  <c r="AH62" i="3"/>
  <c r="AJ62"/>
  <c r="AJ65" i="4"/>
  <c r="AJ61" i="3"/>
  <c r="AH61"/>
  <c r="AH75" i="5"/>
  <c r="AH67" i="4"/>
  <c r="AJ86"/>
  <c r="AL86" s="1"/>
  <c r="AH66"/>
  <c r="AH86"/>
  <c r="AJ84"/>
  <c r="AI84" s="1"/>
  <c r="AH76" i="5"/>
  <c r="AH65" i="4"/>
  <c r="AJ82"/>
  <c r="AJ75" i="5"/>
  <c r="N83" i="4"/>
  <c r="AJ66"/>
  <c r="AJ101" i="5"/>
  <c r="AH101"/>
  <c r="AK73" i="6"/>
  <c r="AI73"/>
  <c r="AM73" s="1"/>
  <c r="AJ103" i="5"/>
  <c r="AH103"/>
  <c r="AH68" i="4"/>
  <c r="AJ76" i="5"/>
  <c r="AJ74"/>
  <c r="N100"/>
  <c r="AJ100" s="1"/>
  <c r="AJ102"/>
  <c r="AH102"/>
  <c r="F13" i="12"/>
  <c r="AH69" i="4"/>
  <c r="AH87"/>
  <c r="AK87" s="1"/>
  <c r="AH74" i="5"/>
  <c r="AH106"/>
  <c r="AH106" i="6"/>
  <c r="AH76"/>
  <c r="F104"/>
  <c r="AH104" s="1"/>
  <c r="AJ106"/>
  <c r="AJ105"/>
  <c r="AH105"/>
  <c r="AJ77"/>
  <c r="AH77"/>
  <c r="AJ76"/>
  <c r="AJ79"/>
  <c r="G11" i="12"/>
  <c r="AL30" i="5"/>
  <c r="AJ112"/>
  <c r="AL112" s="1"/>
  <c r="G10" i="12"/>
  <c r="AL30" i="4"/>
  <c r="D12" i="12"/>
  <c r="G12" s="1"/>
  <c r="AL30" i="6"/>
  <c r="AL30" i="3"/>
  <c r="AH107" i="5"/>
  <c r="AH108" i="6"/>
  <c r="AJ104" i="5"/>
  <c r="AL104" s="1"/>
  <c r="AH82"/>
  <c r="D108"/>
  <c r="AJ106"/>
  <c r="AH78" i="6"/>
  <c r="AH112" i="5"/>
  <c r="AJ77"/>
  <c r="AJ82"/>
  <c r="L108"/>
  <c r="AJ85"/>
  <c r="D111"/>
  <c r="AH111" s="1"/>
  <c r="AH107" i="6"/>
  <c r="AJ107"/>
  <c r="AL107" s="1"/>
  <c r="AH80"/>
  <c r="AH105" i="5"/>
  <c r="AJ105"/>
  <c r="AL105" s="1"/>
  <c r="AH79" i="6"/>
  <c r="AJ107" i="5"/>
  <c r="AL107" s="1"/>
  <c r="AJ80" i="6"/>
  <c r="AJ108"/>
  <c r="AL108" s="1"/>
  <c r="AH104" i="5"/>
  <c r="AH110"/>
  <c r="AJ110"/>
  <c r="AL110" s="1"/>
  <c r="AJ83"/>
  <c r="H109"/>
  <c r="AH109" s="1"/>
  <c r="AJ78" i="6"/>
  <c r="AJ91"/>
  <c r="AJ92"/>
  <c r="AH98"/>
  <c r="AJ100"/>
  <c r="AH97"/>
  <c r="B125"/>
  <c r="AJ97"/>
  <c r="B117"/>
  <c r="AJ89"/>
  <c r="AH89"/>
  <c r="B127"/>
  <c r="AJ99"/>
  <c r="AH99"/>
  <c r="AJ82"/>
  <c r="B110"/>
  <c r="AH82"/>
  <c r="AJ124"/>
  <c r="AL124" s="1"/>
  <c r="AH124"/>
  <c r="AH100"/>
  <c r="AH92"/>
  <c r="AJ98"/>
  <c r="AH85"/>
  <c r="AH95"/>
  <c r="AH88"/>
  <c r="AJ120"/>
  <c r="AL120" s="1"/>
  <c r="AH120"/>
  <c r="AJ119"/>
  <c r="AL119" s="1"/>
  <c r="AH119"/>
  <c r="B112"/>
  <c r="AJ84"/>
  <c r="AH84"/>
  <c r="AJ116"/>
  <c r="AL116" s="1"/>
  <c r="AH116"/>
  <c r="AJ121"/>
  <c r="AL121" s="1"/>
  <c r="AH121"/>
  <c r="AJ94"/>
  <c r="B122"/>
  <c r="AH94"/>
  <c r="AH86"/>
  <c r="AJ95"/>
  <c r="AJ96"/>
  <c r="AJ128"/>
  <c r="AH128"/>
  <c r="AH126"/>
  <c r="AJ126"/>
  <c r="AL126" s="1"/>
  <c r="B118"/>
  <c r="AH90"/>
  <c r="AJ90"/>
  <c r="AJ113"/>
  <c r="AL113" s="1"/>
  <c r="AH113"/>
  <c r="AH81"/>
  <c r="B109"/>
  <c r="AJ81"/>
  <c r="AH91"/>
  <c r="AJ86"/>
  <c r="AJ88"/>
  <c r="AJ93"/>
  <c r="AH96"/>
  <c r="J75"/>
  <c r="J103" s="1"/>
  <c r="B115"/>
  <c r="AH87"/>
  <c r="AJ87"/>
  <c r="AH114"/>
  <c r="AJ114"/>
  <c r="AL114" s="1"/>
  <c r="AJ123"/>
  <c r="AL123" s="1"/>
  <c r="AH123"/>
  <c r="AH83"/>
  <c r="AJ83"/>
  <c r="B111"/>
  <c r="AJ85"/>
  <c r="AH93"/>
  <c r="AK82" i="5"/>
  <c r="AJ79"/>
  <c r="AH79"/>
  <c r="AH80"/>
  <c r="AJ80"/>
  <c r="AH77"/>
  <c r="AH84"/>
  <c r="AJ84"/>
  <c r="AJ86"/>
  <c r="AH86"/>
  <c r="AJ78"/>
  <c r="AH78"/>
  <c r="AH83"/>
  <c r="AK83" s="1"/>
  <c r="AJ81"/>
  <c r="AH81"/>
  <c r="AH85"/>
  <c r="B120"/>
  <c r="AJ94"/>
  <c r="AH94"/>
  <c r="AH118"/>
  <c r="AJ118"/>
  <c r="AL118" s="1"/>
  <c r="AJ89"/>
  <c r="B115"/>
  <c r="AH89"/>
  <c r="AJ88"/>
  <c r="AH93"/>
  <c r="J73"/>
  <c r="J99" s="1"/>
  <c r="AH96"/>
  <c r="B122"/>
  <c r="AJ96"/>
  <c r="AK71"/>
  <c r="AI71"/>
  <c r="AM71" s="1"/>
  <c r="AH95"/>
  <c r="AJ95"/>
  <c r="B121"/>
  <c r="AH87"/>
  <c r="AJ87"/>
  <c r="AJ119"/>
  <c r="AL119" s="1"/>
  <c r="AH119"/>
  <c r="AH92"/>
  <c r="B116"/>
  <c r="AH90"/>
  <c r="AJ90"/>
  <c r="AJ114"/>
  <c r="AL114" s="1"/>
  <c r="AH114"/>
  <c r="AJ93"/>
  <c r="B117"/>
  <c r="AH91"/>
  <c r="AJ91"/>
  <c r="AH88"/>
  <c r="AJ92"/>
  <c r="AK70" i="4"/>
  <c r="AI70"/>
  <c r="B95"/>
  <c r="AH78"/>
  <c r="AJ78"/>
  <c r="AH94"/>
  <c r="AJ94"/>
  <c r="AL94" s="1"/>
  <c r="AH76"/>
  <c r="AJ74"/>
  <c r="J64"/>
  <c r="J81" s="1"/>
  <c r="AH71"/>
  <c r="B88"/>
  <c r="AJ71"/>
  <c r="AH93"/>
  <c r="AJ93"/>
  <c r="AL93" s="1"/>
  <c r="AJ91"/>
  <c r="AL91" s="1"/>
  <c r="AH91"/>
  <c r="B90"/>
  <c r="AH73"/>
  <c r="AJ73"/>
  <c r="AH77"/>
  <c r="AH72"/>
  <c r="B89"/>
  <c r="AJ72"/>
  <c r="AJ76"/>
  <c r="AJ77"/>
  <c r="B92"/>
  <c r="AJ75"/>
  <c r="AH75"/>
  <c r="AK62"/>
  <c r="AI62"/>
  <c r="AM62" s="1"/>
  <c r="AH74"/>
  <c r="L1" i="3"/>
  <c r="K60"/>
  <c r="K73" s="1"/>
  <c r="K1" i="6"/>
  <c r="K1" i="5"/>
  <c r="K1" i="4"/>
  <c r="AJ64" i="3"/>
  <c r="AH77"/>
  <c r="AJ77"/>
  <c r="AL77" s="1"/>
  <c r="AH82"/>
  <c r="AJ82"/>
  <c r="AL82" s="1"/>
  <c r="AH67"/>
  <c r="AJ67"/>
  <c r="B80"/>
  <c r="AH70"/>
  <c r="AH65"/>
  <c r="AJ65"/>
  <c r="B78"/>
  <c r="AH66"/>
  <c r="AJ66"/>
  <c r="B79"/>
  <c r="AH68"/>
  <c r="AJ70"/>
  <c r="AH63"/>
  <c r="AJ83"/>
  <c r="AI58"/>
  <c r="AM58" s="1"/>
  <c r="AK58"/>
  <c r="AJ68"/>
  <c r="AH64"/>
  <c r="AJ63"/>
  <c r="AH69"/>
  <c r="AH81"/>
  <c r="AJ81"/>
  <c r="AL81" s="1"/>
  <c r="AJ69"/>
  <c r="AI69" i="4" l="1"/>
  <c r="AI82" i="5"/>
  <c r="AK67" i="4"/>
  <c r="AK82"/>
  <c r="AK76" i="5"/>
  <c r="AK69" i="4"/>
  <c r="AI85"/>
  <c r="AK85"/>
  <c r="AK68"/>
  <c r="AI67"/>
  <c r="AI68"/>
  <c r="AI75" i="5"/>
  <c r="AI61" i="3"/>
  <c r="AK75" i="5"/>
  <c r="AK74" i="3"/>
  <c r="AL74"/>
  <c r="AI74"/>
  <c r="AI76"/>
  <c r="AL76"/>
  <c r="AK76"/>
  <c r="AL75"/>
  <c r="AK75"/>
  <c r="AI75"/>
  <c r="AK84" i="4"/>
  <c r="AI65"/>
  <c r="AL84"/>
  <c r="AK61" i="3"/>
  <c r="AK65" i="4"/>
  <c r="AI66"/>
  <c r="AK62" i="3"/>
  <c r="AI62"/>
  <c r="AK86" i="4"/>
  <c r="AM72" i="6"/>
  <c r="AM74" s="1"/>
  <c r="AM75" s="1"/>
  <c r="AM76" s="1"/>
  <c r="AM77" s="1"/>
  <c r="AM78" s="1"/>
  <c r="AI86" i="4"/>
  <c r="AK74" i="5"/>
  <c r="AL100"/>
  <c r="AL82" i="4"/>
  <c r="AI82"/>
  <c r="AK103" i="5"/>
  <c r="AH100"/>
  <c r="AK100" s="1"/>
  <c r="AK66" i="4"/>
  <c r="AL101" i="5"/>
  <c r="AI101"/>
  <c r="AH83" i="4"/>
  <c r="AJ83"/>
  <c r="AI102" i="5"/>
  <c r="AL102"/>
  <c r="AK102"/>
  <c r="AK101"/>
  <c r="AI76"/>
  <c r="AL103"/>
  <c r="AI103"/>
  <c r="AI87" i="4"/>
  <c r="AI74" i="5"/>
  <c r="AJ104" i="6"/>
  <c r="AL104" s="1"/>
  <c r="AI92"/>
  <c r="AK106"/>
  <c r="AI85" i="5"/>
  <c r="AL106" i="6"/>
  <c r="AI106"/>
  <c r="AM61" i="4"/>
  <c r="AM63" s="1"/>
  <c r="AM64" s="1"/>
  <c r="AM65" s="1"/>
  <c r="AM66" s="1"/>
  <c r="AM67" s="1"/>
  <c r="AI77" i="5"/>
  <c r="AK105" i="6"/>
  <c r="AL105"/>
  <c r="AI105"/>
  <c r="AJ111" i="5"/>
  <c r="AL111" s="1"/>
  <c r="AK77" i="6"/>
  <c r="AI77"/>
  <c r="AK76"/>
  <c r="AI76"/>
  <c r="AI79"/>
  <c r="AK112" i="5"/>
  <c r="AI106"/>
  <c r="AL106"/>
  <c r="AK92" i="6"/>
  <c r="AI78"/>
  <c r="AI104" i="5"/>
  <c r="D13" i="12"/>
  <c r="G9"/>
  <c r="G13" s="1"/>
  <c r="AM70" i="5"/>
  <c r="AM72" s="1"/>
  <c r="AM73" s="1"/>
  <c r="AM74" s="1"/>
  <c r="AM75" s="1"/>
  <c r="AM76" s="1"/>
  <c r="AI81"/>
  <c r="AK107"/>
  <c r="AK91" i="6"/>
  <c r="AK107"/>
  <c r="AM57" i="3"/>
  <c r="AM59" s="1"/>
  <c r="AM60" s="1"/>
  <c r="AM61" s="1"/>
  <c r="AM62" s="1"/>
  <c r="AM63" s="1"/>
  <c r="AK79" i="6"/>
  <c r="AK110" i="5"/>
  <c r="AK106"/>
  <c r="AI107" i="6"/>
  <c r="AK104" i="5"/>
  <c r="AI107"/>
  <c r="AK105"/>
  <c r="AI105"/>
  <c r="AJ108"/>
  <c r="AL108" s="1"/>
  <c r="AH108"/>
  <c r="AI80"/>
  <c r="AK85"/>
  <c r="AI80" i="6"/>
  <c r="AK80"/>
  <c r="AI110" i="5"/>
  <c r="AJ109"/>
  <c r="AL109" s="1"/>
  <c r="AI112"/>
  <c r="AK108" i="6"/>
  <c r="AI108"/>
  <c r="AK84" i="5"/>
  <c r="AK100" i="6"/>
  <c r="AK78"/>
  <c r="AI100"/>
  <c r="AI91"/>
  <c r="AJ118"/>
  <c r="AL118" s="1"/>
  <c r="AH118"/>
  <c r="AK128"/>
  <c r="AI128"/>
  <c r="AI83"/>
  <c r="AK83"/>
  <c r="AK114"/>
  <c r="AI114"/>
  <c r="AJ115"/>
  <c r="AL115" s="1"/>
  <c r="AH115"/>
  <c r="AK86"/>
  <c r="AI86"/>
  <c r="AJ112"/>
  <c r="AL112" s="1"/>
  <c r="AH112"/>
  <c r="AK120"/>
  <c r="AI120"/>
  <c r="AI98"/>
  <c r="AK98"/>
  <c r="AK124"/>
  <c r="AI124"/>
  <c r="AK89"/>
  <c r="AI89"/>
  <c r="AK88"/>
  <c r="AI88"/>
  <c r="AI90"/>
  <c r="AK90"/>
  <c r="AK95"/>
  <c r="AI95"/>
  <c r="AK94"/>
  <c r="AI94"/>
  <c r="AK84"/>
  <c r="AI84"/>
  <c r="AK82"/>
  <c r="AI82"/>
  <c r="AH125"/>
  <c r="AJ125"/>
  <c r="AL125" s="1"/>
  <c r="AJ111"/>
  <c r="AL111" s="1"/>
  <c r="AH111"/>
  <c r="AK123"/>
  <c r="AI123"/>
  <c r="AH109"/>
  <c r="AJ109"/>
  <c r="AL109" s="1"/>
  <c r="AI116"/>
  <c r="AK116"/>
  <c r="K75"/>
  <c r="K103" s="1"/>
  <c r="AI85"/>
  <c r="AK85"/>
  <c r="AI87"/>
  <c r="AK87"/>
  <c r="AI93"/>
  <c r="AK93"/>
  <c r="AI81"/>
  <c r="AK81"/>
  <c r="AI113"/>
  <c r="AK113"/>
  <c r="AK126"/>
  <c r="AI126"/>
  <c r="AK96"/>
  <c r="AI96"/>
  <c r="AJ122"/>
  <c r="AL122" s="1"/>
  <c r="AH122"/>
  <c r="AI119"/>
  <c r="AK119"/>
  <c r="AH110"/>
  <c r="AJ110"/>
  <c r="AL110" s="1"/>
  <c r="AH127"/>
  <c r="AJ127"/>
  <c r="AL127" s="1"/>
  <c r="AI97"/>
  <c r="AK97"/>
  <c r="AK121"/>
  <c r="AI121"/>
  <c r="AK99"/>
  <c r="AI99"/>
  <c r="AH117"/>
  <c r="AJ117"/>
  <c r="AL117" s="1"/>
  <c r="AI84" i="5"/>
  <c r="AK80"/>
  <c r="AI83"/>
  <c r="AK86"/>
  <c r="AI86"/>
  <c r="AI79"/>
  <c r="AK79"/>
  <c r="AK81"/>
  <c r="AK77"/>
  <c r="AK78"/>
  <c r="AI78"/>
  <c r="AI92"/>
  <c r="AK92"/>
  <c r="AH117"/>
  <c r="AJ117"/>
  <c r="AL117" s="1"/>
  <c r="AK90"/>
  <c r="AI90"/>
  <c r="AJ113"/>
  <c r="AL113" s="1"/>
  <c r="AH113"/>
  <c r="AI88"/>
  <c r="AK88"/>
  <c r="AK118"/>
  <c r="AI118"/>
  <c r="AH120"/>
  <c r="AJ120"/>
  <c r="AL120" s="1"/>
  <c r="AI114"/>
  <c r="AK114"/>
  <c r="AJ122"/>
  <c r="AK122" s="1"/>
  <c r="AK89"/>
  <c r="AI89"/>
  <c r="AK94"/>
  <c r="AI94"/>
  <c r="K73"/>
  <c r="K99" s="1"/>
  <c r="AK91"/>
  <c r="AI91"/>
  <c r="AH116"/>
  <c r="AJ116"/>
  <c r="AL116" s="1"/>
  <c r="AK87"/>
  <c r="AI87"/>
  <c r="AK95"/>
  <c r="AI95"/>
  <c r="AK96"/>
  <c r="AI96"/>
  <c r="AJ115"/>
  <c r="AL115" s="1"/>
  <c r="AH115"/>
  <c r="AI93"/>
  <c r="AK93"/>
  <c r="AK119"/>
  <c r="AI119"/>
  <c r="AH121"/>
  <c r="AJ121"/>
  <c r="AL121" s="1"/>
  <c r="AK75" i="4"/>
  <c r="AI75"/>
  <c r="AI73"/>
  <c r="AK73"/>
  <c r="AJ88"/>
  <c r="AL88" s="1"/>
  <c r="AH88"/>
  <c r="AI77"/>
  <c r="AK77"/>
  <c r="AH90"/>
  <c r="AJ90"/>
  <c r="AL90" s="1"/>
  <c r="AK94"/>
  <c r="AI94"/>
  <c r="AJ95"/>
  <c r="AI64" i="3"/>
  <c r="AJ92" i="4"/>
  <c r="AL92" s="1"/>
  <c r="AH92"/>
  <c r="AH89"/>
  <c r="AJ89"/>
  <c r="AL89" s="1"/>
  <c r="AI93"/>
  <c r="AK93"/>
  <c r="AI72"/>
  <c r="AK72"/>
  <c r="AK91"/>
  <c r="AI91"/>
  <c r="AK74"/>
  <c r="AI74"/>
  <c r="AK78"/>
  <c r="AI78"/>
  <c r="K64"/>
  <c r="K81" s="1"/>
  <c r="AI76"/>
  <c r="AK76"/>
  <c r="AK71"/>
  <c r="AI71"/>
  <c r="AK64" i="3"/>
  <c r="M1"/>
  <c r="L60"/>
  <c r="L73" s="1"/>
  <c r="L1" i="6"/>
  <c r="L1" i="5"/>
  <c r="L1" i="4"/>
  <c r="AI69" i="3"/>
  <c r="AK69"/>
  <c r="AI63"/>
  <c r="AK63"/>
  <c r="AI70"/>
  <c r="AK70"/>
  <c r="AI82"/>
  <c r="AK82"/>
  <c r="AI66"/>
  <c r="AK66"/>
  <c r="AI68"/>
  <c r="AK68"/>
  <c r="AI77"/>
  <c r="AK77"/>
  <c r="AH79"/>
  <c r="AJ79"/>
  <c r="AL79" s="1"/>
  <c r="AI65"/>
  <c r="AK65"/>
  <c r="AI67"/>
  <c r="AK67"/>
  <c r="AI81"/>
  <c r="AK81"/>
  <c r="AI83"/>
  <c r="AK83"/>
  <c r="AH78"/>
  <c r="AJ78"/>
  <c r="AL78" s="1"/>
  <c r="AH80"/>
  <c r="AJ80"/>
  <c r="AL80" s="1"/>
  <c r="AN61"/>
  <c r="AN63" i="4"/>
  <c r="AN67"/>
  <c r="AN74" i="5"/>
  <c r="AN74" i="6"/>
  <c r="AN78"/>
  <c r="AN73" i="5"/>
  <c r="AN63" i="3"/>
  <c r="AN72" i="5"/>
  <c r="AN73" i="6"/>
  <c r="AN76"/>
  <c r="AN58" i="3"/>
  <c r="AN62"/>
  <c r="AN64" i="4"/>
  <c r="AN71" i="5"/>
  <c r="AN75"/>
  <c r="AN75" i="6"/>
  <c r="AN60" i="3"/>
  <c r="AN62" i="4"/>
  <c r="AN66"/>
  <c r="AN77" i="6"/>
  <c r="AN59" i="3"/>
  <c r="AN65" i="4"/>
  <c r="AN76" i="5"/>
  <c r="AK31" i="3" l="1"/>
  <c r="F14" i="12" s="1"/>
  <c r="AJ31" i="3"/>
  <c r="AJ31" i="5"/>
  <c r="D16" i="12" s="1"/>
  <c r="AK31" i="4"/>
  <c r="F15" i="12" s="1"/>
  <c r="AK31" i="5"/>
  <c r="F16" i="12" s="1"/>
  <c r="AI104" i="6"/>
  <c r="AK31"/>
  <c r="F17" i="12" s="1"/>
  <c r="AK111" i="5"/>
  <c r="AJ31" i="6"/>
  <c r="AI100" i="5"/>
  <c r="AL83" i="4"/>
  <c r="AJ31" s="1"/>
  <c r="D15" i="12" s="1"/>
  <c r="AK83" i="4"/>
  <c r="AI83"/>
  <c r="AK104" i="6"/>
  <c r="AI111" i="5"/>
  <c r="AK109"/>
  <c r="AI109"/>
  <c r="AK108"/>
  <c r="AI108"/>
  <c r="AK117" i="6"/>
  <c r="AI117"/>
  <c r="AI127"/>
  <c r="AK127"/>
  <c r="AI125"/>
  <c r="AK125"/>
  <c r="L75"/>
  <c r="L103" s="1"/>
  <c r="AI122"/>
  <c r="AK122"/>
  <c r="AI111"/>
  <c r="AK111"/>
  <c r="AK112"/>
  <c r="AI112"/>
  <c r="AI115"/>
  <c r="AK115"/>
  <c r="AI118"/>
  <c r="AK118"/>
  <c r="AK110"/>
  <c r="AI110"/>
  <c r="AI109"/>
  <c r="AK109"/>
  <c r="AK116" i="5"/>
  <c r="AI116"/>
  <c r="L73"/>
  <c r="L99" s="1"/>
  <c r="AI121"/>
  <c r="AK121"/>
  <c r="AI122"/>
  <c r="AK120"/>
  <c r="AI120"/>
  <c r="AI115"/>
  <c r="AK115"/>
  <c r="AK113"/>
  <c r="AI113"/>
  <c r="AI117"/>
  <c r="AK117"/>
  <c r="AI92" i="4"/>
  <c r="AK92"/>
  <c r="AK95"/>
  <c r="AI95"/>
  <c r="AI88"/>
  <c r="AK88"/>
  <c r="AI89"/>
  <c r="AK89"/>
  <c r="L64"/>
  <c r="L81" s="1"/>
  <c r="AK90"/>
  <c r="AI90"/>
  <c r="N1" i="3"/>
  <c r="M60"/>
  <c r="M73" s="1"/>
  <c r="M1" i="6"/>
  <c r="M1" i="5"/>
  <c r="M1" i="4"/>
  <c r="AI78" i="3"/>
  <c r="AK78"/>
  <c r="AI79"/>
  <c r="AK79"/>
  <c r="AI80"/>
  <c r="AK80"/>
  <c r="D14" i="12" l="1"/>
  <c r="AL31" i="3"/>
  <c r="AL31" i="5"/>
  <c r="AL31" i="4"/>
  <c r="AL31" i="6"/>
  <c r="D17" i="12"/>
  <c r="D18" s="1"/>
  <c r="G14"/>
  <c r="G15"/>
  <c r="G16"/>
  <c r="G17"/>
  <c r="F18"/>
  <c r="M75" i="6"/>
  <c r="M103" s="1"/>
  <c r="M73" i="5"/>
  <c r="M99" s="1"/>
  <c r="M64" i="4"/>
  <c r="M81" s="1"/>
  <c r="O1" i="3"/>
  <c r="N60"/>
  <c r="N73" s="1"/>
  <c r="N1" i="6"/>
  <c r="N1" i="5"/>
  <c r="N1" i="4"/>
  <c r="G18" i="12" l="1"/>
  <c r="N75" i="6"/>
  <c r="N103" s="1"/>
  <c r="N73" i="5"/>
  <c r="N99" s="1"/>
  <c r="N64" i="4"/>
  <c r="N81" s="1"/>
  <c r="P1" i="3"/>
  <c r="O60"/>
  <c r="O73" s="1"/>
  <c r="O1" i="6"/>
  <c r="O1" i="5"/>
  <c r="O1" i="4"/>
  <c r="O75" i="6" l="1"/>
  <c r="O103" s="1"/>
  <c r="O73" i="5"/>
  <c r="O99" s="1"/>
  <c r="O64" i="4"/>
  <c r="O81" s="1"/>
  <c r="Q1" i="3"/>
  <c r="P60"/>
  <c r="P73" s="1"/>
  <c r="P1" i="4"/>
  <c r="P1" i="6"/>
  <c r="P1" i="5"/>
  <c r="P75" i="6" l="1"/>
  <c r="P103" s="1"/>
  <c r="P73" i="5"/>
  <c r="P99" s="1"/>
  <c r="P64" i="4"/>
  <c r="P81" s="1"/>
  <c r="R1" i="3"/>
  <c r="Q60"/>
  <c r="Q73" s="1"/>
  <c r="Q1" i="6"/>
  <c r="Q1" i="5"/>
  <c r="Q1" i="4"/>
  <c r="Q75" i="6" l="1"/>
  <c r="Q103" s="1"/>
  <c r="Q73" i="5"/>
  <c r="Q99" s="1"/>
  <c r="Q64" i="4"/>
  <c r="Q81" s="1"/>
  <c r="S1" i="3"/>
  <c r="R60"/>
  <c r="R73" s="1"/>
  <c r="R1" i="6"/>
  <c r="R1" i="4"/>
  <c r="R1" i="5"/>
  <c r="R75" i="6" l="1"/>
  <c r="R103" s="1"/>
  <c r="R73" i="5"/>
  <c r="R99" s="1"/>
  <c r="R64" i="4"/>
  <c r="R81" s="1"/>
  <c r="T1" i="3"/>
  <c r="S60"/>
  <c r="S73" s="1"/>
  <c r="S1" i="6"/>
  <c r="S1" i="5"/>
  <c r="S1" i="4"/>
  <c r="S75" i="6" l="1"/>
  <c r="S103" s="1"/>
  <c r="S73" i="5"/>
  <c r="S99" s="1"/>
  <c r="S64" i="4"/>
  <c r="S81" s="1"/>
  <c r="U1" i="3"/>
  <c r="T60"/>
  <c r="T73" s="1"/>
  <c r="T1" i="6"/>
  <c r="T1" i="5"/>
  <c r="T1" i="4"/>
  <c r="T75" i="6" l="1"/>
  <c r="T103" s="1"/>
  <c r="T73" i="5"/>
  <c r="T99" s="1"/>
  <c r="T64" i="4"/>
  <c r="T81" s="1"/>
  <c r="V1" i="3"/>
  <c r="U60"/>
  <c r="U73" s="1"/>
  <c r="U1" i="6"/>
  <c r="U1" i="5"/>
  <c r="U1" i="4"/>
  <c r="U75" i="6" l="1"/>
  <c r="U103" s="1"/>
  <c r="U73" i="5"/>
  <c r="U99" s="1"/>
  <c r="U64" i="4"/>
  <c r="U81" s="1"/>
  <c r="W1" i="3"/>
  <c r="V60"/>
  <c r="V73" s="1"/>
  <c r="V1" i="5"/>
  <c r="V1" i="6"/>
  <c r="V1" i="4"/>
  <c r="V75" i="6" l="1"/>
  <c r="V103" s="1"/>
  <c r="V73" i="5"/>
  <c r="V99" s="1"/>
  <c r="V64" i="4"/>
  <c r="V81" s="1"/>
  <c r="X1" i="3"/>
  <c r="W60"/>
  <c r="W73" s="1"/>
  <c r="W1" i="6"/>
  <c r="W1" i="5"/>
  <c r="W1" i="4"/>
  <c r="W75" i="6" l="1"/>
  <c r="W103" s="1"/>
  <c r="W73" i="5"/>
  <c r="W99" s="1"/>
  <c r="W64" i="4"/>
  <c r="W81" s="1"/>
  <c r="Y1" i="3"/>
  <c r="X60"/>
  <c r="X73" s="1"/>
  <c r="X1" i="6"/>
  <c r="X1" i="5"/>
  <c r="X1" i="4"/>
  <c r="X75" i="6" l="1"/>
  <c r="X103" s="1"/>
  <c r="X73" i="5"/>
  <c r="X99" s="1"/>
  <c r="X64" i="4"/>
  <c r="X81" s="1"/>
  <c r="Z1" i="3"/>
  <c r="Y60"/>
  <c r="Y73" s="1"/>
  <c r="Y1" i="6"/>
  <c r="Y1" i="5"/>
  <c r="Y1" i="4"/>
  <c r="Y75" i="6" l="1"/>
  <c r="Y103" s="1"/>
  <c r="Y73" i="5"/>
  <c r="Y99" s="1"/>
  <c r="Y64" i="4"/>
  <c r="Y81" s="1"/>
  <c r="Z60" i="3"/>
  <c r="Z73" s="1"/>
  <c r="Z1" i="6"/>
  <c r="Z1" i="5"/>
  <c r="Z1" i="4"/>
  <c r="AA1" i="3"/>
  <c r="Z75" i="6" l="1"/>
  <c r="Z103" s="1"/>
  <c r="Z73" i="5"/>
  <c r="Z99" s="1"/>
  <c r="Z64" i="4"/>
  <c r="Z81" s="1"/>
  <c r="AB1" i="3"/>
  <c r="AA60"/>
  <c r="AA73" s="1"/>
  <c r="AA1" i="6"/>
  <c r="AA1" i="5"/>
  <c r="AA1" i="4"/>
  <c r="AA75" i="6" l="1"/>
  <c r="AA103" s="1"/>
  <c r="AA73" i="5"/>
  <c r="AA99" s="1"/>
  <c r="AA64" i="4"/>
  <c r="AA81" s="1"/>
  <c r="AC1" i="3"/>
  <c r="AB60"/>
  <c r="AB73" s="1"/>
  <c r="AB1" i="4"/>
  <c r="AB1" i="6"/>
  <c r="AB1" i="5"/>
  <c r="AB75" i="6" l="1"/>
  <c r="AB103" s="1"/>
  <c r="AB73" i="5"/>
  <c r="AB99" s="1"/>
  <c r="AB64" i="4"/>
  <c r="AB81" s="1"/>
  <c r="AD1" i="3"/>
  <c r="AC60"/>
  <c r="AC73" s="1"/>
  <c r="AC1" i="6"/>
  <c r="AC1" i="5"/>
  <c r="AC1" i="4"/>
  <c r="AC75" i="6" l="1"/>
  <c r="AC103" s="1"/>
  <c r="AC73" i="5"/>
  <c r="AC99" s="1"/>
  <c r="AC64" i="4"/>
  <c r="AC81" s="1"/>
  <c r="AE1" i="3"/>
  <c r="AD60"/>
  <c r="AD73" s="1"/>
  <c r="AD1" i="6"/>
  <c r="AD1" i="5"/>
  <c r="AD1" i="4"/>
  <c r="AD75" i="6" l="1"/>
  <c r="AD103" s="1"/>
  <c r="AD73" i="5"/>
  <c r="AD99" s="1"/>
  <c r="AD64" i="4"/>
  <c r="AD81" s="1"/>
  <c r="AF1" i="3"/>
  <c r="AE60"/>
  <c r="AE73" s="1"/>
  <c r="AE1" i="6"/>
  <c r="AE1" i="5"/>
  <c r="AE1" i="4"/>
  <c r="AE75" i="6" l="1"/>
  <c r="AE103" s="1"/>
  <c r="AE73" i="5"/>
  <c r="AE99" s="1"/>
  <c r="AE64" i="4"/>
  <c r="AE81" s="1"/>
  <c r="AG1" i="3"/>
  <c r="AF60"/>
  <c r="AF73" s="1"/>
  <c r="AF1" i="6"/>
  <c r="AF1" i="5"/>
  <c r="AF1" i="4"/>
  <c r="AF75" i="6" l="1"/>
  <c r="AF103" s="1"/>
  <c r="AF73" i="5"/>
  <c r="AF99" s="1"/>
  <c r="AF64" i="4"/>
  <c r="AF81" s="1"/>
  <c r="AG60" i="3"/>
  <c r="AG73" s="1"/>
  <c r="AG1" i="6"/>
  <c r="AG1" i="5"/>
  <c r="AG1" i="4"/>
  <c r="AG75" i="6" l="1"/>
  <c r="AG103" s="1"/>
  <c r="AG73" i="5"/>
  <c r="AG99" s="1"/>
  <c r="AG64" i="4"/>
  <c r="AG81" s="1"/>
</calcChain>
</file>

<file path=xl/comments1.xml><?xml version="1.0" encoding="utf-8"?>
<comments xmlns="http://schemas.openxmlformats.org/spreadsheetml/2006/main">
  <authors>
    <author>Author</author>
  </authors>
  <commentList>
    <comment ref="I4" authorId="0">
      <text>
        <r>
          <rPr>
            <sz val="12"/>
            <color indexed="81"/>
            <rFont val="Tahoma"/>
            <family val="2"/>
          </rPr>
          <t>0: Use RAW Calibration
1: Use DUT Average</t>
        </r>
      </text>
    </comment>
  </commentList>
</comments>
</file>

<file path=xl/sharedStrings.xml><?xml version="1.0" encoding="utf-8"?>
<sst xmlns="http://schemas.openxmlformats.org/spreadsheetml/2006/main" count="81" uniqueCount="37">
  <si>
    <t>m</t>
  </si>
  <si>
    <t>b</t>
  </si>
  <si>
    <t>Gain (%FSR)</t>
  </si>
  <si>
    <t>Offset (Lux)</t>
  </si>
  <si>
    <t>Range</t>
  </si>
  <si>
    <t>Mean</t>
  </si>
  <si>
    <t>Stdev</t>
  </si>
  <si>
    <t>calibrated</t>
  </si>
  <si>
    <t>A/B</t>
  </si>
  <si>
    <t>Log</t>
  </si>
  <si>
    <t>Tlog</t>
  </si>
  <si>
    <t>A-B</t>
  </si>
  <si>
    <t>AVG</t>
  </si>
  <si>
    <t>STDEV</t>
  </si>
  <si>
    <t>MEAN</t>
  </si>
  <si>
    <t>Cal</t>
  </si>
  <si>
    <t>DUT</t>
  </si>
  <si>
    <t>K</t>
  </si>
  <si>
    <t>Error</t>
  </si>
  <si>
    <t>Max</t>
  </si>
  <si>
    <t>Mult</t>
  </si>
  <si>
    <t>Ideal</t>
  </si>
  <si>
    <r>
      <t>-1.5</t>
    </r>
    <r>
      <rPr>
        <sz val="11"/>
        <color theme="1"/>
        <rFont val="Calibri"/>
        <family val="2"/>
      </rPr>
      <t>σ</t>
    </r>
  </si>
  <si>
    <r>
      <t>+1.5</t>
    </r>
    <r>
      <rPr>
        <sz val="11"/>
        <color theme="1"/>
        <rFont val="Calibri"/>
        <family val="2"/>
      </rPr>
      <t>σ</t>
    </r>
  </si>
  <si>
    <t>σ</t>
  </si>
  <si>
    <r>
      <t>|X| + 1.5</t>
    </r>
    <r>
      <rPr>
        <sz val="11"/>
        <color theme="1"/>
        <rFont val="Calibri"/>
        <family val="2"/>
      </rPr>
      <t>σ</t>
    </r>
  </si>
  <si>
    <t>All</t>
  </si>
  <si>
    <t>|X-AVG|</t>
  </si>
  <si>
    <t>Linearity (Lux)</t>
  </si>
  <si>
    <t>absM</t>
  </si>
  <si>
    <r>
      <t>-3</t>
    </r>
    <r>
      <rPr>
        <sz val="11"/>
        <color theme="1"/>
        <rFont val="Calibri"/>
        <family val="2"/>
      </rPr>
      <t>σ</t>
    </r>
  </si>
  <si>
    <r>
      <t>+3</t>
    </r>
    <r>
      <rPr>
        <sz val="11"/>
        <color theme="1"/>
        <rFont val="Calibri"/>
        <family val="2"/>
      </rPr>
      <t>σ</t>
    </r>
  </si>
  <si>
    <t>Calibration</t>
  </si>
  <si>
    <t>Gain</t>
  </si>
  <si>
    <t>Offset</t>
  </si>
  <si>
    <t>Linearity</t>
  </si>
  <si>
    <t>Comp38=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</si>
</sst>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0.000"/>
  </numFmts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2"/>
      <color indexed="81"/>
      <name val="Tahoma"/>
      <family val="2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/>
    <xf numFmtId="164" fontId="0" fillId="0" borderId="0" xfId="0" applyNumberFormat="1"/>
    <xf numFmtId="2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1" xfId="0" applyFill="1" applyBorder="1" applyAlignment="1"/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1" fillId="0" borderId="0" xfId="0" applyFont="1" applyAlignment="1">
      <alignment readingOrder="1"/>
    </xf>
    <xf numFmtId="10" fontId="0" fillId="0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0" fillId="0" borderId="1" xfId="0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0" fontId="1" fillId="0" borderId="0" xfId="0" applyFont="1" applyAlignment="1">
      <alignment horizontal="center" readingOrder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data3!$AL$30</c:f>
              <c:strCache>
                <c:ptCount val="1"/>
                <c:pt idx="0">
                  <c:v>Range4 Offset Histogram: 0 +/- 0 Lux</c:v>
                </c:pt>
              </c:strCache>
            </c:strRef>
          </c:tx>
          <c:cat>
            <c:numRef>
              <c:f>data3!$AM$73:$AM$78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data3!$AN$73:$AN$78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6813056"/>
        <c:axId val="69789952"/>
      </c:barChart>
      <c:catAx>
        <c:axId val="568130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0.00" sourceLinked="1"/>
        <c:tickLblPos val="nextTo"/>
        <c:crossAx val="69789952"/>
        <c:crosses val="autoZero"/>
        <c:auto val="1"/>
        <c:lblAlgn val="ctr"/>
        <c:lblOffset val="100"/>
      </c:catAx>
      <c:valAx>
        <c:axId val="6978995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56813056"/>
        <c:crosses val="autoZero"/>
        <c:crossBetween val="between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data2!$AL$30</c:f>
          <c:strCache>
            <c:ptCount val="1"/>
            <c:pt idx="0">
              <c:v>Range3 Offset Histogram: 0 +/- 0 Lux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data2!$AL$30</c:f>
              <c:strCache>
                <c:ptCount val="1"/>
                <c:pt idx="0">
                  <c:v>Range3 Offset Histogram: 0 +/- 0 Lux</c:v>
                </c:pt>
              </c:strCache>
            </c:strRef>
          </c:tx>
          <c:cat>
            <c:numRef>
              <c:f>data2!$AM$71:$AM$76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data2!$AN$71:$AN$76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69257984"/>
        <c:axId val="169342080"/>
      </c:barChart>
      <c:catAx>
        <c:axId val="1692579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0.00" sourceLinked="1"/>
        <c:tickLblPos val="nextTo"/>
        <c:crossAx val="169342080"/>
        <c:crosses val="autoZero"/>
        <c:auto val="1"/>
        <c:lblAlgn val="ctr"/>
        <c:lblOffset val="100"/>
      </c:catAx>
      <c:valAx>
        <c:axId val="1693420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69257984"/>
        <c:crosses val="autoZero"/>
        <c:crossBetween val="between"/>
      </c:valAx>
    </c:plotArea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data1!$AL$30</c:f>
          <c:strCache>
            <c:ptCount val="1"/>
            <c:pt idx="0">
              <c:v>Range2 Offset Histogram: 0 +/- 0 Lux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data1!$AL$30</c:f>
              <c:strCache>
                <c:ptCount val="1"/>
                <c:pt idx="0">
                  <c:v>Range2 Offset Histogram: 0 +/- 0 Lux</c:v>
                </c:pt>
              </c:strCache>
            </c:strRef>
          </c:tx>
          <c:cat>
            <c:numRef>
              <c:f>data1!$AM$62:$AM$68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data1!$AN$62:$AN$68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71050496"/>
        <c:axId val="171061248"/>
      </c:barChart>
      <c:catAx>
        <c:axId val="1710504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0.00" sourceLinked="1"/>
        <c:tickLblPos val="nextTo"/>
        <c:crossAx val="171061248"/>
        <c:crosses val="autoZero"/>
        <c:auto val="1"/>
        <c:lblAlgn val="ctr"/>
        <c:lblOffset val="100"/>
      </c:catAx>
      <c:valAx>
        <c:axId val="1710612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71050496"/>
        <c:crosses val="autoZero"/>
        <c:crossBetween val="between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data0!$AL$30</c:f>
              <c:strCache>
                <c:ptCount val="1"/>
                <c:pt idx="0">
                  <c:v>Range1 Offset Histogram: 0 +/- 0 Lux</c:v>
                </c:pt>
              </c:strCache>
            </c:strRef>
          </c:tx>
          <c:cat>
            <c:numRef>
              <c:f>data0!$AM$58:$AM$63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data0!$AN$58:$AN$63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76943872"/>
        <c:axId val="176945792"/>
      </c:barChart>
      <c:catAx>
        <c:axId val="1769438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0.00" sourceLinked="1"/>
        <c:tickLblPos val="nextTo"/>
        <c:crossAx val="176945792"/>
        <c:crosses val="autoZero"/>
        <c:auto val="1"/>
        <c:lblAlgn val="ctr"/>
        <c:lblOffset val="100"/>
      </c:catAx>
      <c:valAx>
        <c:axId val="1769457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76943872"/>
        <c:crosses val="autoZero"/>
        <c:crossBetween val="between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data3!$AL$31</c:f>
          <c:strCache>
            <c:ptCount val="1"/>
            <c:pt idx="0">
              <c:v>Range 4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data3!$AI$103</c:f>
              <c:strCache>
                <c:ptCount val="1"/>
                <c:pt idx="0">
                  <c:v>-3σ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data3!$AI$104:$AI$128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data3!$AJ$103</c:f>
              <c:strCache>
                <c:ptCount val="1"/>
                <c:pt idx="0">
                  <c:v>MEAN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data3!$AJ$104:$AJ$128</c:f>
              <c:numCache>
                <c:formatCode>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data3!$AK$103</c:f>
              <c:strCache>
                <c:ptCount val="1"/>
                <c:pt idx="0">
                  <c:v>+3σ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data3!$AK$104:$AK$128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78475776"/>
        <c:axId val="178478080"/>
      </c:scatterChart>
      <c:valAx>
        <c:axId val="178475776"/>
        <c:scaling>
          <c:orientation val="minMax"/>
          <c:max val="12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78478080"/>
        <c:crosses val="autoZero"/>
        <c:crossBetween val="midCat"/>
      </c:valAx>
      <c:valAx>
        <c:axId val="1784780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1784757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data2!$AL$31</c:f>
          <c:strCache>
            <c:ptCount val="1"/>
            <c:pt idx="0">
              <c:v>Range 3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data2!$AI$99</c:f>
              <c:strCache>
                <c:ptCount val="1"/>
                <c:pt idx="0">
                  <c:v>-1.5σ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data2!$AI$100:$AI$122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data2!$AJ$99</c:f>
              <c:strCache>
                <c:ptCount val="1"/>
                <c:pt idx="0">
                  <c:v>MEAN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data2!$AJ$100:$AJ$122</c:f>
              <c:numCache>
                <c:formatCode>0.0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data2!$AK$99</c:f>
              <c:strCache>
                <c:ptCount val="1"/>
                <c:pt idx="0">
                  <c:v>+1.5σ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data2!$AK$100:$AK$122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axId val="181814016"/>
        <c:axId val="181816704"/>
      </c:scatterChart>
      <c:valAx>
        <c:axId val="181814016"/>
        <c:scaling>
          <c:orientation val="minMax"/>
          <c:max val="8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81816704"/>
        <c:crosses val="autoZero"/>
        <c:crossBetween val="midCat"/>
      </c:valAx>
      <c:valAx>
        <c:axId val="1818167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1818140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data1!$AL$31</c:f>
          <c:strCache>
            <c:ptCount val="1"/>
            <c:pt idx="0">
              <c:v>Range 2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data1!$AI$81</c:f>
              <c:strCache>
                <c:ptCount val="1"/>
                <c:pt idx="0">
                  <c:v>-1.5σ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data1!$AI$82:$AI$95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data1!$AJ$81</c:f>
              <c:strCache>
                <c:ptCount val="1"/>
                <c:pt idx="0">
                  <c:v>MEAN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data1!$AJ$82:$AJ$95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data1!$AK$81</c:f>
              <c:strCache>
                <c:ptCount val="1"/>
                <c:pt idx="0">
                  <c:v>+1.5σ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data1!$AK$82:$AK$95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axId val="183906304"/>
        <c:axId val="183908608"/>
      </c:scatterChart>
      <c:valAx>
        <c:axId val="1839063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83908608"/>
        <c:crosses val="autoZero"/>
        <c:crossBetween val="midCat"/>
      </c:valAx>
      <c:valAx>
        <c:axId val="1839086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1839063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data0!$AL$31</c:f>
          <c:strCache>
            <c:ptCount val="1"/>
            <c:pt idx="0">
              <c:v>Range 1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data0!$AI$73</c:f>
              <c:strCache>
                <c:ptCount val="1"/>
                <c:pt idx="0">
                  <c:v>-1.5σ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data0!$AI$74:$AI$83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data0!$AJ$73</c:f>
              <c:strCache>
                <c:ptCount val="1"/>
                <c:pt idx="0">
                  <c:v>MEAN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data0!$AJ$74:$AJ$83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data0!$AK$73</c:f>
              <c:strCache>
                <c:ptCount val="1"/>
                <c:pt idx="0">
                  <c:v>+1.5σ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data0!$AK$74:$AK$83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axId val="200082944"/>
        <c:axId val="200929664"/>
      </c:scatterChart>
      <c:valAx>
        <c:axId val="2000829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200929664"/>
        <c:crosses val="autoZero"/>
        <c:crossBetween val="midCat"/>
      </c:valAx>
      <c:valAx>
        <c:axId val="2009296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2000829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data3!$AL$29</c:f>
          <c:strCache>
            <c:ptCount val="1"/>
            <c:pt idx="0">
              <c:v>#DIV/0!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data3!$AM$1</c:f>
              <c:strCache>
                <c:ptCount val="1"/>
                <c:pt idx="0">
                  <c:v>-3σ</c:v>
                </c:pt>
              </c:strCache>
            </c:strRef>
          </c:tx>
          <c:xVal>
            <c:numRef>
              <c:f>data3!$A$4:$A$26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data3!$AM$4:$AM$26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data3!$AN$1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data3!$A$4:$A$26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data3!$AN$4:$AN$26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data3!$AO$1</c:f>
              <c:strCache>
                <c:ptCount val="1"/>
                <c:pt idx="0">
                  <c:v>+3σ</c:v>
                </c:pt>
              </c:strCache>
            </c:strRef>
          </c:tx>
          <c:xVal>
            <c:numRef>
              <c:f>data3!$A$4:$A$26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data3!$AO$4:$AO$26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axId val="204233728"/>
        <c:axId val="204236672"/>
      </c:scatterChart>
      <c:valAx>
        <c:axId val="2042337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204236672"/>
        <c:crosses val="autoZero"/>
        <c:crossBetween val="midCat"/>
      </c:valAx>
      <c:valAx>
        <c:axId val="2042366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2042337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data2!$AL$29</c:f>
          <c:strCache>
            <c:ptCount val="1"/>
            <c:pt idx="0">
              <c:v>#DIV/0!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data2!$AM$1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data2!$A$7:$A$26</c:f>
              <c:numCache>
                <c:formatCode>General</c:formatCode>
                <c:ptCount val="20"/>
                <c:pt idx="0">
                  <c:v>924.54020385742183</c:v>
                </c:pt>
                <c:pt idx="1">
                  <c:v>761.20014648437495</c:v>
                </c:pt>
                <c:pt idx="2">
                  <c:v>618.7050842285156</c:v>
                </c:pt>
                <c:pt idx="3">
                  <c:v>506.39999389648438</c:v>
                </c:pt>
                <c:pt idx="4">
                  <c:v>421.14996337890625</c:v>
                </c:pt>
                <c:pt idx="5">
                  <c:v>313.39996337890625</c:v>
                </c:pt>
                <c:pt idx="6">
                  <c:v>283.35547790527346</c:v>
                </c:pt>
                <c:pt idx="7">
                  <c:v>233.5469970703125</c:v>
                </c:pt>
                <c:pt idx="8">
                  <c:v>188.09650726318358</c:v>
                </c:pt>
                <c:pt idx="9">
                  <c:v>156.44500579833985</c:v>
                </c:pt>
                <c:pt idx="10">
                  <c:v>116.47100143432617</c:v>
                </c:pt>
                <c:pt idx="11">
                  <c:v>87.306494903564456</c:v>
                </c:pt>
                <c:pt idx="12">
                  <c:v>21.315652084350585</c:v>
                </c:pt>
                <c:pt idx="13">
                  <c:v>17.340450096130372</c:v>
                </c:pt>
                <c:pt idx="14">
                  <c:v>14.188851261138916</c:v>
                </c:pt>
                <c:pt idx="15">
                  <c:v>11.795599174499511</c:v>
                </c:pt>
                <c:pt idx="16">
                  <c:v>8.797748947143555</c:v>
                </c:pt>
                <c:pt idx="17">
                  <c:v>6.5973999023437502</c:v>
                </c:pt>
                <c:pt idx="18">
                  <c:v>2.3447998762130737</c:v>
                </c:pt>
                <c:pt idx="19">
                  <c:v>1.9071000814437866</c:v>
                </c:pt>
              </c:numCache>
            </c:numRef>
          </c:xVal>
          <c:yVal>
            <c:numRef>
              <c:f>data2!$AM$7:$AM$26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data2!$AN$1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data2!$A$7:$A$26</c:f>
              <c:numCache>
                <c:formatCode>General</c:formatCode>
                <c:ptCount val="20"/>
                <c:pt idx="0">
                  <c:v>924.54020385742183</c:v>
                </c:pt>
                <c:pt idx="1">
                  <c:v>761.20014648437495</c:v>
                </c:pt>
                <c:pt idx="2">
                  <c:v>618.7050842285156</c:v>
                </c:pt>
                <c:pt idx="3">
                  <c:v>506.39999389648438</c:v>
                </c:pt>
                <c:pt idx="4">
                  <c:v>421.14996337890625</c:v>
                </c:pt>
                <c:pt idx="5">
                  <c:v>313.39996337890625</c:v>
                </c:pt>
                <c:pt idx="6">
                  <c:v>283.35547790527346</c:v>
                </c:pt>
                <c:pt idx="7">
                  <c:v>233.5469970703125</c:v>
                </c:pt>
                <c:pt idx="8">
                  <c:v>188.09650726318358</c:v>
                </c:pt>
                <c:pt idx="9">
                  <c:v>156.44500579833985</c:v>
                </c:pt>
                <c:pt idx="10">
                  <c:v>116.47100143432617</c:v>
                </c:pt>
                <c:pt idx="11">
                  <c:v>87.306494903564456</c:v>
                </c:pt>
                <c:pt idx="12">
                  <c:v>21.315652084350585</c:v>
                </c:pt>
                <c:pt idx="13">
                  <c:v>17.340450096130372</c:v>
                </c:pt>
                <c:pt idx="14">
                  <c:v>14.188851261138916</c:v>
                </c:pt>
                <c:pt idx="15">
                  <c:v>11.795599174499511</c:v>
                </c:pt>
                <c:pt idx="16">
                  <c:v>8.797748947143555</c:v>
                </c:pt>
                <c:pt idx="17">
                  <c:v>6.5973999023437502</c:v>
                </c:pt>
                <c:pt idx="18">
                  <c:v>2.3447998762130737</c:v>
                </c:pt>
                <c:pt idx="19">
                  <c:v>1.9071000814437866</c:v>
                </c:pt>
              </c:numCache>
            </c:numRef>
          </c:xVal>
          <c:yVal>
            <c:numRef>
              <c:f>data2!$AN$7:$AN$26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data2!$AO$1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data2!$A$7:$A$26</c:f>
              <c:numCache>
                <c:formatCode>General</c:formatCode>
                <c:ptCount val="20"/>
                <c:pt idx="0">
                  <c:v>924.54020385742183</c:v>
                </c:pt>
                <c:pt idx="1">
                  <c:v>761.20014648437495</c:v>
                </c:pt>
                <c:pt idx="2">
                  <c:v>618.7050842285156</c:v>
                </c:pt>
                <c:pt idx="3">
                  <c:v>506.39999389648438</c:v>
                </c:pt>
                <c:pt idx="4">
                  <c:v>421.14996337890625</c:v>
                </c:pt>
                <c:pt idx="5">
                  <c:v>313.39996337890625</c:v>
                </c:pt>
                <c:pt idx="6">
                  <c:v>283.35547790527346</c:v>
                </c:pt>
                <c:pt idx="7">
                  <c:v>233.5469970703125</c:v>
                </c:pt>
                <c:pt idx="8">
                  <c:v>188.09650726318358</c:v>
                </c:pt>
                <c:pt idx="9">
                  <c:v>156.44500579833985</c:v>
                </c:pt>
                <c:pt idx="10">
                  <c:v>116.47100143432617</c:v>
                </c:pt>
                <c:pt idx="11">
                  <c:v>87.306494903564456</c:v>
                </c:pt>
                <c:pt idx="12">
                  <c:v>21.315652084350585</c:v>
                </c:pt>
                <c:pt idx="13">
                  <c:v>17.340450096130372</c:v>
                </c:pt>
                <c:pt idx="14">
                  <c:v>14.188851261138916</c:v>
                </c:pt>
                <c:pt idx="15">
                  <c:v>11.795599174499511</c:v>
                </c:pt>
                <c:pt idx="16">
                  <c:v>8.797748947143555</c:v>
                </c:pt>
                <c:pt idx="17">
                  <c:v>6.5973999023437502</c:v>
                </c:pt>
                <c:pt idx="18">
                  <c:v>2.3447998762130737</c:v>
                </c:pt>
                <c:pt idx="19">
                  <c:v>1.9071000814437866</c:v>
                </c:pt>
              </c:numCache>
            </c:numRef>
          </c:xVal>
          <c:yVal>
            <c:numRef>
              <c:f>data2!$AO$7:$AO$26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</c:ser>
        <c:axId val="206458880"/>
        <c:axId val="206460800"/>
      </c:scatterChart>
      <c:valAx>
        <c:axId val="2064588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</a:t>
                </a:r>
                <a:r>
                  <a:rPr lang="en-US" baseline="0"/>
                  <a:t> In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206460800"/>
        <c:crosses val="autoZero"/>
        <c:crossBetween val="midCat"/>
      </c:valAx>
      <c:valAx>
        <c:axId val="2064608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</a:t>
                </a:r>
                <a:r>
                  <a:rPr lang="en-US" baseline="0"/>
                  <a:t> Lux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2064588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data1!$AL$29</c:f>
          <c:strCache>
            <c:ptCount val="1"/>
            <c:pt idx="0">
              <c:v>#DIV/0!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data1!$AM$1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data1!$A$17:$A$26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data1!$AM$17:$AM$26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data1!$AN$1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data1!$A$17:$A$26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data1!$AN$17:$AN$26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data1!$AO$1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data1!$A$17:$A$26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data1!$AO$17:$AO$26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axId val="230532608"/>
        <c:axId val="240803840"/>
      </c:scatterChart>
      <c:valAx>
        <c:axId val="2305326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240803840"/>
        <c:crosses val="autoZero"/>
        <c:crossBetween val="midCat"/>
      </c:valAx>
      <c:valAx>
        <c:axId val="2408038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 Lux</a:t>
                </a:r>
              </a:p>
            </c:rich>
          </c:tx>
          <c:layout/>
        </c:title>
        <c:numFmt formatCode="General" sourceLinked="1"/>
        <c:tickLblPos val="nextTo"/>
        <c:crossAx val="2305326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data0!$AL$29</c:f>
          <c:strCache>
            <c:ptCount val="1"/>
            <c:pt idx="0">
              <c:v>#DIV/0!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data0!$AM$1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data0!$A$17:$A$26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data0!$AM$17:$AM$26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data0!$AN$1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data0!$A$17:$A$26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data0!$AN$17:$AN$26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data0!$AO$1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data0!$A$17:$A$26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data0!$AO$17:$AO$26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axId val="255183872"/>
        <c:axId val="255248640"/>
      </c:scatterChart>
      <c:valAx>
        <c:axId val="2551838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255248640"/>
        <c:crosses val="autoZero"/>
        <c:crossBetween val="midCat"/>
      </c:valAx>
      <c:valAx>
        <c:axId val="2552486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/>
                  <a:t>Measured Lux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2551838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Lux out vs. Lux in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data0!$B$2:$B$26</c:f>
              <c:numCache>
                <c:formatCode>0.0</c:formatCode>
                <c:ptCount val="25"/>
              </c:numCache>
            </c:numRef>
          </c:yVal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data0!$C$2:$C$26</c:f>
              <c:numCache>
                <c:formatCode>0.0</c:formatCode>
                <c:ptCount val="25"/>
              </c:numCache>
            </c:numRef>
          </c:yVal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data0!$D$2:$D$26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data0!$E$2:$E$26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data0!$F$2:$F$26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data0!$G$2:$G$26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data0!$H$2:$H$26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data0!$I$2:$I$26</c:f>
              <c:numCache>
                <c:formatCode>General</c:formatCode>
                <c:ptCount val="25"/>
              </c:numCache>
            </c:numRef>
          </c:yVal>
        </c:ser>
        <c:axId val="10396032"/>
        <c:axId val="10397952"/>
      </c:scatterChart>
      <c:valAx>
        <c:axId val="10396032"/>
        <c:scaling>
          <c:orientation val="minMax"/>
          <c:max val="2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0397952"/>
        <c:crosses val="autoZero"/>
        <c:crossBetween val="midCat"/>
      </c:valAx>
      <c:valAx>
        <c:axId val="1039795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0.0" sourceLinked="1"/>
        <c:tickLblPos val="nextTo"/>
        <c:crossAx val="103960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Lux out vs. Lux in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data0!$J$2:$J$26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data0!$K$2:$K$26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data0!$L$2:$L$26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data0!$M$2:$M$26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data0!$N$2:$N$26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data0!$O$2:$O$26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data0!$P$2:$P$26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data0!$Q$2:$Q$26</c:f>
              <c:numCache>
                <c:formatCode>General</c:formatCode>
                <c:ptCount val="25"/>
              </c:numCache>
            </c:numRef>
          </c:yVal>
        </c:ser>
        <c:axId val="10559488"/>
        <c:axId val="10561408"/>
      </c:scatterChart>
      <c:valAx>
        <c:axId val="10559488"/>
        <c:scaling>
          <c:orientation val="minMax"/>
          <c:max val="2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0561408"/>
        <c:crosses val="autoZero"/>
        <c:crossBetween val="midCat"/>
      </c:valAx>
      <c:valAx>
        <c:axId val="105614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105594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Lux out vs. Lux in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data0!$R$2:$R$26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data0!$S$2:$S$26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data0!$T$2:$T$26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data0!$U$2:$U$26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data0!$V$2:$V$26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data0!$W$2:$W$26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data0!$X$2:$X$26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data0!$Y$2:$Y$26</c:f>
              <c:numCache>
                <c:formatCode>General</c:formatCode>
                <c:ptCount val="25"/>
              </c:numCache>
            </c:numRef>
          </c:yVal>
        </c:ser>
        <c:axId val="10588160"/>
        <c:axId val="10590080"/>
      </c:scatterChart>
      <c:valAx>
        <c:axId val="10588160"/>
        <c:scaling>
          <c:orientation val="minMax"/>
          <c:max val="2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0590080"/>
        <c:crosses val="autoZero"/>
        <c:crossBetween val="midCat"/>
      </c:valAx>
      <c:valAx>
        <c:axId val="105900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105881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Lux out vs. Lux in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data0!$Z$2:$Z$26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data0!$AA$2:$AA$26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data0!$AB$2:$AB$26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data0!$AC$2:$AC$26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data0!$AD$2:$AD$26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data0!$AE$2:$AE$26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data0!$AF$2:$AF$26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data0!$AG$2:$AG$26</c:f>
              <c:numCache>
                <c:formatCode>General</c:formatCode>
                <c:ptCount val="25"/>
              </c:numCache>
            </c:numRef>
          </c:yVal>
        </c:ser>
        <c:axId val="10615808"/>
        <c:axId val="10622080"/>
      </c:scatterChart>
      <c:valAx>
        <c:axId val="10615808"/>
        <c:scaling>
          <c:orientation val="minMax"/>
          <c:max val="2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0622080"/>
        <c:crosses val="autoZero"/>
        <c:crossBetween val="midCat"/>
      </c:valAx>
      <c:valAx>
        <c:axId val="106220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106158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data0!$AL$31</c:f>
          <c:strCache>
            <c:ptCount val="1"/>
            <c:pt idx="0">
              <c:v>Range 1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data0!$B$73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data0!$B$74:$B$83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data0!$C$73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data0!$C$74:$C$83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data0!$D$73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data0!$D$74:$D$83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data0!$E$73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data0!$E$74:$E$83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data0!$F$73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data0!$F$74:$F$83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data0!$G$73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data0!$G$74:$G$83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data0!$H$73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data0!$H$74:$H$83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data0!$I$73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data0!$I$74:$I$83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axId val="10649600"/>
        <c:axId val="10651520"/>
      </c:scatterChart>
      <c:valAx>
        <c:axId val="106496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0651520"/>
        <c:crosses val="autoZero"/>
        <c:crossBetween val="midCat"/>
      </c:valAx>
      <c:valAx>
        <c:axId val="106515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106496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data0!$AL$31</c:f>
          <c:strCache>
            <c:ptCount val="1"/>
            <c:pt idx="0">
              <c:v>Range 1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data0!$J$73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data0!$J$74:$J$83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data0!$K$73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data0!$K$74:$K$83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data0!$L$73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data0!$L$74:$L$83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data0!$M$73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data0!$M$74:$M$83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data0!$N$73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data0!$N$74:$N$83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data0!$O$73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data0!$O$74:$O$83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data0!$P$73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data0!$P$74:$P$83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data0!$Q$73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data0!$Q$74:$Q$83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axId val="10677632"/>
        <c:axId val="10749440"/>
      </c:scatterChart>
      <c:valAx>
        <c:axId val="106776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0749440"/>
        <c:crosses val="autoZero"/>
        <c:crossBetween val="midCat"/>
      </c:valAx>
      <c:valAx>
        <c:axId val="107494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106776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data0!$AL$31</c:f>
          <c:strCache>
            <c:ptCount val="1"/>
            <c:pt idx="0">
              <c:v>Range 1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data0!$R$73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data0!$R$74:$R$83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data0!$S$73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data0!$S$74:$S$83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data0!$T$73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data0!$T$74:$T$83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data0!$U$73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data0!$U$74:$U$83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data0!$V$73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data0!$V$74:$V$83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data0!$W$73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data0!$W$74:$W$83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data0!$X$73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data0!$X$74:$X$83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data0!$Y$73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data0!$Y$74:$Y$83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axId val="10797056"/>
        <c:axId val="10798976"/>
      </c:scatterChart>
      <c:valAx>
        <c:axId val="107970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0798976"/>
        <c:crosses val="autoZero"/>
        <c:crossBetween val="midCat"/>
      </c:valAx>
      <c:valAx>
        <c:axId val="107989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107970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data0!$AL$31</c:f>
          <c:strCache>
            <c:ptCount val="1"/>
            <c:pt idx="0">
              <c:v>Range 1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data0!$Z$73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data0!$Z$74:$Z$83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data0!$AA$73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data0!$AA$74:$AA$83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data0!$AB$73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data0!$AB$74:$AB$83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data0!$AC$73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data0!$AC$74:$AC$83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data0!$AD$73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data0!$AD$74:$AD$83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data0!$AE$73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data0!$AE$74:$AE$83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data0!$AF$73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data0!$AF$74:$AF$83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data0!$AG$73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data0!$AG$74:$AG$83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axId val="10828800"/>
        <c:axId val="10839168"/>
      </c:scatterChart>
      <c:valAx>
        <c:axId val="108288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0839168"/>
        <c:crosses val="autoZero"/>
        <c:crossBetween val="midCat"/>
      </c:valAx>
      <c:valAx>
        <c:axId val="108391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108288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data0!$AL$29</c:f>
          <c:strCache>
            <c:ptCount val="1"/>
            <c:pt idx="0">
              <c:v>#DIV/0!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data0!$AM$1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data0!$A$17:$A$26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data0!$AM$17:$AM$26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data0!$AN$1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data0!$A$17:$A$26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data0!$AN$17:$AN$26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data0!$AO$1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data0!$A$17:$A$26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data0!$AO$17:$AO$26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axId val="10857088"/>
        <c:axId val="10859264"/>
      </c:scatterChart>
      <c:valAx>
        <c:axId val="108570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0859264"/>
        <c:crosses val="autoZero"/>
        <c:crossBetween val="midCat"/>
      </c:valAx>
      <c:valAx>
        <c:axId val="108592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/>
                  <a:t>Measured Lux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08570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data0!$AL$30</c:f>
              <c:strCache>
                <c:ptCount val="1"/>
                <c:pt idx="0">
                  <c:v>Range1 Offset Histogram: 0 +/- 0 Lux</c:v>
                </c:pt>
              </c:strCache>
            </c:strRef>
          </c:tx>
          <c:cat>
            <c:numRef>
              <c:f>data0!$AM$58:$AM$63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data0!$AN$58:$AN$63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0892032"/>
        <c:axId val="10893952"/>
      </c:barChart>
      <c:catAx>
        <c:axId val="108920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0.00" sourceLinked="1"/>
        <c:tickLblPos val="nextTo"/>
        <c:crossAx val="10893952"/>
        <c:crosses val="autoZero"/>
        <c:auto val="1"/>
        <c:lblAlgn val="ctr"/>
        <c:lblOffset val="100"/>
      </c:catAx>
      <c:valAx>
        <c:axId val="1089395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0892032"/>
        <c:crosses val="autoZero"/>
        <c:crossBetween val="between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data0!$AL$31</c:f>
          <c:strCache>
            <c:ptCount val="1"/>
            <c:pt idx="0">
              <c:v>Range 1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data0!$AI$73</c:f>
              <c:strCache>
                <c:ptCount val="1"/>
                <c:pt idx="0">
                  <c:v>-1.5σ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data0!$AI$74:$AI$83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data0!$AJ$73</c:f>
              <c:strCache>
                <c:ptCount val="1"/>
                <c:pt idx="0">
                  <c:v>MEAN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data0!$AJ$74:$AJ$83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data0!$AK$73</c:f>
              <c:strCache>
                <c:ptCount val="1"/>
                <c:pt idx="0">
                  <c:v>+1.5σ</c:v>
                </c:pt>
              </c:strCache>
            </c:strRef>
          </c:tx>
          <c:marker>
            <c:symbol val="none"/>
          </c:marker>
          <c:xVal>
            <c:numRef>
              <c:f>data0!$A$74:$A$83</c:f>
              <c:numCache>
                <c:formatCode>General</c:formatCode>
                <c:ptCount val="10"/>
                <c:pt idx="0">
                  <c:v>116.47100143432617</c:v>
                </c:pt>
                <c:pt idx="1">
                  <c:v>87.306494903564456</c:v>
                </c:pt>
                <c:pt idx="2">
                  <c:v>21.315652084350585</c:v>
                </c:pt>
                <c:pt idx="3">
                  <c:v>17.340450096130372</c:v>
                </c:pt>
                <c:pt idx="4">
                  <c:v>14.188851261138916</c:v>
                </c:pt>
                <c:pt idx="5">
                  <c:v>11.795599174499511</c:v>
                </c:pt>
                <c:pt idx="6">
                  <c:v>8.797748947143555</c:v>
                </c:pt>
                <c:pt idx="7">
                  <c:v>6.5973999023437502</c:v>
                </c:pt>
                <c:pt idx="8">
                  <c:v>2.3447998762130737</c:v>
                </c:pt>
                <c:pt idx="9">
                  <c:v>1.9071000814437866</c:v>
                </c:pt>
              </c:numCache>
            </c:numRef>
          </c:xVal>
          <c:yVal>
            <c:numRef>
              <c:f>data0!$AK$74:$AK$83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</c:ser>
        <c:axId val="10936320"/>
        <c:axId val="10938240"/>
      </c:scatterChart>
      <c:valAx>
        <c:axId val="109363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0938240"/>
        <c:crosses val="autoZero"/>
        <c:crossBetween val="midCat"/>
      </c:valAx>
      <c:valAx>
        <c:axId val="109382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109363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 b="1" i="0" baseline="0"/>
              <a:t>Lux out vs. Lux in</a:t>
            </a:r>
            <a:endParaRPr lang="en-US" sz="1200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data1!$B$1</c:f>
              <c:strCache>
                <c:ptCount val="1"/>
                <c:pt idx="0">
                  <c:v>0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data1!$B$2:$B$26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data1!$C$1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data1!$C$2:$C$26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data1!$D$1</c:f>
              <c:strCache>
                <c:ptCount val="1"/>
                <c:pt idx="0">
                  <c:v>2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data1!$D$2:$D$26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data1!$E$1</c:f>
              <c:strCache>
                <c:ptCount val="1"/>
                <c:pt idx="0">
                  <c:v>3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data1!$E$2:$E$26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data1!$F$1</c:f>
              <c:strCache>
                <c:ptCount val="1"/>
                <c:pt idx="0">
                  <c:v>4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data1!$F$2:$F$26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data1!$G$1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data1!$G$2:$G$26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data1!$H$1</c:f>
              <c:strCache>
                <c:ptCount val="1"/>
                <c:pt idx="0">
                  <c:v>6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data1!$H$2:$H$26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data1!$I$1</c:f>
              <c:strCache>
                <c:ptCount val="1"/>
                <c:pt idx="0">
                  <c:v>7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data1!$I$2:$I$26</c:f>
              <c:numCache>
                <c:formatCode>General</c:formatCode>
                <c:ptCount val="25"/>
              </c:numCache>
            </c:numRef>
          </c:yVal>
        </c:ser>
        <c:axId val="11029120"/>
        <c:axId val="11043584"/>
      </c:scatterChart>
      <c:valAx>
        <c:axId val="11029120"/>
        <c:scaling>
          <c:orientation val="minMax"/>
          <c:max val="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1043584"/>
        <c:crosses val="autoZero"/>
        <c:crossBetween val="midCat"/>
      </c:valAx>
      <c:valAx>
        <c:axId val="110435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110291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 b="1" i="0" baseline="0"/>
              <a:t>Lux out vs. Lux in</a:t>
            </a:r>
            <a:endParaRPr lang="en-US" sz="1200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data1!$J$1</c:f>
              <c:strCache>
                <c:ptCount val="1"/>
                <c:pt idx="0">
                  <c:v>8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data1!$J$2:$J$26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data1!$K$1</c:f>
              <c:strCache>
                <c:ptCount val="1"/>
                <c:pt idx="0">
                  <c:v>9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data1!$K$2:$K$26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data1!$L$1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data1!$L$2:$L$26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data1!$M$1</c:f>
              <c:strCache>
                <c:ptCount val="1"/>
                <c:pt idx="0">
                  <c:v>11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data1!$M$2:$M$26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data1!$N$1</c:f>
              <c:strCache>
                <c:ptCount val="1"/>
                <c:pt idx="0">
                  <c:v>12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data1!$N$2:$N$26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data1!$O$1</c:f>
              <c:strCache>
                <c:ptCount val="1"/>
                <c:pt idx="0">
                  <c:v>13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data1!$O$2:$O$26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data1!$P$1</c:f>
              <c:strCache>
                <c:ptCount val="1"/>
                <c:pt idx="0">
                  <c:v>14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data1!$P$2:$P$26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data1!$Q$1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data1!$Q$2:$Q$26</c:f>
              <c:numCache>
                <c:formatCode>General</c:formatCode>
                <c:ptCount val="25"/>
              </c:numCache>
            </c:numRef>
          </c:yVal>
        </c:ser>
        <c:axId val="11061504"/>
        <c:axId val="11071872"/>
      </c:scatterChart>
      <c:valAx>
        <c:axId val="11061504"/>
        <c:scaling>
          <c:orientation val="minMax"/>
          <c:max val="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1071872"/>
        <c:crosses val="autoZero"/>
        <c:crossBetween val="midCat"/>
      </c:valAx>
      <c:valAx>
        <c:axId val="110718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110615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 b="1" i="0" baseline="0"/>
              <a:t>Lux out vs. Lux in</a:t>
            </a:r>
            <a:endParaRPr lang="en-US" sz="1200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data1!$R$2:$R$26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data1!$S$2:$S$26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data1!$T$2:$T$26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data1!$U$2:$U$26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data1!$V$2:$V$26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data1!$W$2:$W$26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data1!$X$2:$X$26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data1!$Y$2:$Y$26</c:f>
              <c:numCache>
                <c:formatCode>General</c:formatCode>
                <c:ptCount val="25"/>
              </c:numCache>
            </c:numRef>
          </c:yVal>
        </c:ser>
        <c:axId val="11168000"/>
        <c:axId val="11186560"/>
      </c:scatterChart>
      <c:valAx>
        <c:axId val="11168000"/>
        <c:scaling>
          <c:orientation val="minMax"/>
          <c:max val="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1186560"/>
        <c:crosses val="autoZero"/>
        <c:crossBetween val="midCat"/>
      </c:valAx>
      <c:valAx>
        <c:axId val="111865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111680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 b="1" i="0" baseline="0"/>
              <a:t>Lux out vs. Lux in</a:t>
            </a:r>
            <a:endParaRPr lang="en-US" sz="1200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data1!$Z$1</c:f>
              <c:strCache>
                <c:ptCount val="1"/>
                <c:pt idx="0">
                  <c:v>24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data1!$Z$2:$Z$26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data1!$AA$1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data1!$AA$2:$AA$26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data1!$AB$1</c:f>
              <c:strCache>
                <c:ptCount val="1"/>
                <c:pt idx="0">
                  <c:v>26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data1!$AB$2:$AB$26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data1!$AC$1</c:f>
              <c:strCache>
                <c:ptCount val="1"/>
                <c:pt idx="0">
                  <c:v>27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data1!$AC$2:$AC$26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data1!$AD$1</c:f>
              <c:strCache>
                <c:ptCount val="1"/>
                <c:pt idx="0">
                  <c:v>28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data1!$AD$2:$AD$26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data1!$AE$1</c:f>
              <c:strCache>
                <c:ptCount val="1"/>
                <c:pt idx="0">
                  <c:v>29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data1!$AE$2:$AE$26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data1!$AF$1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data1!$AF$2:$AF$26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data1!$AG$1</c:f>
              <c:strCache>
                <c:ptCount val="1"/>
                <c:pt idx="0">
                  <c:v>31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data1!$AG$2:$AG$26</c:f>
              <c:numCache>
                <c:formatCode>General</c:formatCode>
                <c:ptCount val="25"/>
              </c:numCache>
            </c:numRef>
          </c:yVal>
        </c:ser>
        <c:axId val="11204096"/>
        <c:axId val="11206016"/>
      </c:scatterChart>
      <c:valAx>
        <c:axId val="11204096"/>
        <c:scaling>
          <c:orientation val="minMax"/>
          <c:max val="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1206016"/>
        <c:crosses val="autoZero"/>
        <c:crossBetween val="midCat"/>
      </c:valAx>
      <c:valAx>
        <c:axId val="112060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112040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data1!$AL$29</c:f>
          <c:strCache>
            <c:ptCount val="1"/>
            <c:pt idx="0">
              <c:v>#DIV/0!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data1!$AM$1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data1!$A$13:$A$26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data1!$AM$13:$AM$26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data1!$AN$1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data1!$A$13:$A$26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data1!$AN$13:$AN$26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data1!$AO$1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data1!$A$13:$A$26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data1!$AO$13:$AO$26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axId val="51603712"/>
        <c:axId val="52363648"/>
      </c:scatterChart>
      <c:valAx>
        <c:axId val="516037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2363648"/>
        <c:crosses val="autoZero"/>
        <c:crossBetween val="midCat"/>
      </c:valAx>
      <c:valAx>
        <c:axId val="523636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 Lux</a:t>
                </a:r>
              </a:p>
            </c:rich>
          </c:tx>
          <c:layout/>
        </c:title>
        <c:numFmt formatCode="General" sourceLinked="1"/>
        <c:tickLblPos val="nextTo"/>
        <c:crossAx val="516037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data1!$AL$31</c:f>
          <c:strCache>
            <c:ptCount val="1"/>
            <c:pt idx="0">
              <c:v>Range 2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data1!$B$81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data1!$B$82:$B$95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data1!$C$81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data1!$C$82:$C$95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data1!$D$81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data1!$D$82:$D$95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data1!$E$81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data1!$E$82:$E$95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data1!$F$81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data1!$F$82:$F$95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data1!$G$81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data1!$G$82:$G$95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data1!$H$81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data1!$H$82:$H$95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data1!$I$81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data1!$I$82:$I$95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axId val="52385664"/>
        <c:axId val="52396032"/>
      </c:scatterChart>
      <c:valAx>
        <c:axId val="52385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2396032"/>
        <c:crosses val="autoZero"/>
        <c:crossBetween val="midCat"/>
      </c:valAx>
      <c:valAx>
        <c:axId val="523960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523856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data1!$AL$31</c:f>
          <c:strCache>
            <c:ptCount val="1"/>
            <c:pt idx="0">
              <c:v>Range 2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data1!$J$81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data1!$J$82:$J$95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data1!$K$81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data1!$K$82:$K$95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data1!$L$81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data1!$L$82:$L$95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data1!$M$81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data1!$M$82:$M$95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data1!$N$81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data1!$N$82:$N$95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data1!$O$81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data1!$O$82:$O$95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data1!$P$81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data1!$P$82:$P$95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data1!$Q$81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data1!$Q$82:$Q$95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axId val="52430720"/>
        <c:axId val="52436992"/>
      </c:scatterChart>
      <c:valAx>
        <c:axId val="524307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2436992"/>
        <c:crosses val="autoZero"/>
        <c:crossBetween val="midCat"/>
      </c:valAx>
      <c:valAx>
        <c:axId val="524369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524307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data1!$AL$31</c:f>
          <c:strCache>
            <c:ptCount val="1"/>
            <c:pt idx="0">
              <c:v>Range 2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data1!$R$81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data1!$R$82:$R$95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data1!$S$81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data1!$S$82:$S$95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data1!$T$81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data1!$T$82:$T$95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data1!$U$81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data1!$U$82:$U$95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data1!$V$81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data1!$V$82:$V$95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data1!$W$81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data1!$W$82:$W$95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data1!$X$81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data1!$X$82:$X$95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data1!$Y$81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data1!$Y$82:$Y$95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axId val="52483968"/>
        <c:axId val="52563968"/>
      </c:scatterChart>
      <c:valAx>
        <c:axId val="52483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2563968"/>
        <c:crosses val="autoZero"/>
        <c:crossBetween val="midCat"/>
      </c:valAx>
      <c:valAx>
        <c:axId val="525639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524839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data1!$AL$31</c:f>
          <c:strCache>
            <c:ptCount val="1"/>
            <c:pt idx="0">
              <c:v>Range 2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data1!$Z$81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data1!$Z$82:$Z$95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data1!$AA$81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data1!$AA$82:$AA$95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data1!$AB$81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data1!$AB$82:$AB$95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data1!$AC$81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data1!$AC$82:$AC$95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data1!$AD$81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data1!$AD$82:$AD$95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data1!$AE$81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data1!$AE$82:$AE$95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data1!$AF$81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data1!$AF$82:$AF$95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data1!$AG$81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data1!$AG$82:$AG$95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axId val="52593792"/>
        <c:axId val="52595712"/>
      </c:scatterChart>
      <c:valAx>
        <c:axId val="525937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2595712"/>
        <c:crosses val="autoZero"/>
        <c:crossBetween val="midCat"/>
      </c:valAx>
      <c:valAx>
        <c:axId val="525957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525937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data1!$AL$30</c:f>
          <c:strCache>
            <c:ptCount val="1"/>
            <c:pt idx="0">
              <c:v>Range2 Offset Histogram: 0 +/- 0 Lux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data1!$AL$30</c:f>
              <c:strCache>
                <c:ptCount val="1"/>
                <c:pt idx="0">
                  <c:v>Range2 Offset Histogram: 0 +/- 0 Lux</c:v>
                </c:pt>
              </c:strCache>
            </c:strRef>
          </c:tx>
          <c:cat>
            <c:numRef>
              <c:f>data1!$AM$62:$AM$68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data1!$AN$62:$AN$68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2603904"/>
        <c:axId val="52618368"/>
      </c:barChart>
      <c:catAx>
        <c:axId val="526039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0.00" sourceLinked="1"/>
        <c:tickLblPos val="nextTo"/>
        <c:crossAx val="52618368"/>
        <c:crosses val="autoZero"/>
        <c:auto val="1"/>
        <c:lblAlgn val="ctr"/>
        <c:lblOffset val="100"/>
      </c:catAx>
      <c:valAx>
        <c:axId val="526183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52603904"/>
        <c:crosses val="autoZero"/>
        <c:crossBetween val="between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data1!$AL$31</c:f>
          <c:strCache>
            <c:ptCount val="1"/>
            <c:pt idx="0">
              <c:v>Range 2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data1!$AI$81</c:f>
              <c:strCache>
                <c:ptCount val="1"/>
                <c:pt idx="0">
                  <c:v>-1.5σ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data1!$AI$82:$AI$95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data1!$AJ$81</c:f>
              <c:strCache>
                <c:ptCount val="1"/>
                <c:pt idx="0">
                  <c:v>MEAN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data1!$AJ$82:$AJ$95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data1!$AK$81</c:f>
              <c:strCache>
                <c:ptCount val="1"/>
                <c:pt idx="0">
                  <c:v>+1.5σ</c:v>
                </c:pt>
              </c:strCache>
            </c:strRef>
          </c:tx>
          <c:marker>
            <c:symbol val="none"/>
          </c:marker>
          <c:xVal>
            <c:numRef>
              <c:f>data1!$A$82:$A$95</c:f>
              <c:numCache>
                <c:formatCode>General</c:formatCode>
                <c:ptCount val="14"/>
                <c:pt idx="0">
                  <c:v>283.35547790527346</c:v>
                </c:pt>
                <c:pt idx="1">
                  <c:v>233.5469970703125</c:v>
                </c:pt>
                <c:pt idx="2">
                  <c:v>188.09650726318358</c:v>
                </c:pt>
                <c:pt idx="3">
                  <c:v>156.44500579833985</c:v>
                </c:pt>
                <c:pt idx="4">
                  <c:v>116.47100143432617</c:v>
                </c:pt>
                <c:pt idx="5">
                  <c:v>87.306494903564456</c:v>
                </c:pt>
                <c:pt idx="6">
                  <c:v>21.315652084350585</c:v>
                </c:pt>
                <c:pt idx="7">
                  <c:v>17.340450096130372</c:v>
                </c:pt>
                <c:pt idx="8">
                  <c:v>14.188851261138916</c:v>
                </c:pt>
                <c:pt idx="9">
                  <c:v>11.795599174499511</c:v>
                </c:pt>
                <c:pt idx="10">
                  <c:v>8.797748947143555</c:v>
                </c:pt>
                <c:pt idx="11">
                  <c:v>6.5973999023437502</c:v>
                </c:pt>
                <c:pt idx="12">
                  <c:v>2.3447998762130737</c:v>
                </c:pt>
                <c:pt idx="13">
                  <c:v>1.9071000814437866</c:v>
                </c:pt>
              </c:numCache>
            </c:numRef>
          </c:xVal>
          <c:yVal>
            <c:numRef>
              <c:f>data1!$AK$82:$AK$95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axId val="52635904"/>
        <c:axId val="52642176"/>
      </c:scatterChart>
      <c:valAx>
        <c:axId val="526359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2642176"/>
        <c:crosses val="autoZero"/>
        <c:crossBetween val="midCat"/>
      </c:valAx>
      <c:valAx>
        <c:axId val="526421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526359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/>
              <a:t>Lux out vs. Lux in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data2!$B$1</c:f>
              <c:strCache>
                <c:ptCount val="1"/>
                <c:pt idx="0">
                  <c:v>0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data2!$B$2:$B$26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data2!$C$1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data2!$C$2:$C$26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data2!$D$1</c:f>
              <c:strCache>
                <c:ptCount val="1"/>
                <c:pt idx="0">
                  <c:v>2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data2!$D$2:$D$26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data2!$E$1</c:f>
              <c:strCache>
                <c:ptCount val="1"/>
                <c:pt idx="0">
                  <c:v>3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data2!$E$2:$E$26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data2!$F$1</c:f>
              <c:strCache>
                <c:ptCount val="1"/>
                <c:pt idx="0">
                  <c:v>4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data2!$F$2:$F$26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data2!$G$1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data2!$G$2:$G$26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data2!$H$1</c:f>
              <c:strCache>
                <c:ptCount val="1"/>
                <c:pt idx="0">
                  <c:v>6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data2!$H$2:$H$26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data2!$I$1</c:f>
              <c:strCache>
                <c:ptCount val="1"/>
                <c:pt idx="0">
                  <c:v>7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data2!$I$2:$I$26</c:f>
              <c:numCache>
                <c:formatCode>General</c:formatCode>
                <c:ptCount val="25"/>
              </c:numCache>
            </c:numRef>
          </c:yVal>
        </c:ser>
        <c:axId val="52688000"/>
        <c:axId val="52689920"/>
      </c:scatterChart>
      <c:valAx>
        <c:axId val="526880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2689920"/>
        <c:crosses val="autoZero"/>
        <c:crossBetween val="midCat"/>
      </c:valAx>
      <c:valAx>
        <c:axId val="526899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526880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/>
              <a:t>Lux out vs. Lux in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data2!$J$1</c:f>
              <c:strCache>
                <c:ptCount val="1"/>
                <c:pt idx="0">
                  <c:v>8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data2!$J$2:$J$26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data2!$K$1</c:f>
              <c:strCache>
                <c:ptCount val="1"/>
                <c:pt idx="0">
                  <c:v>9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data2!$K$2:$K$26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data2!$L$1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data2!$L$2:$L$26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data2!$M$1</c:f>
              <c:strCache>
                <c:ptCount val="1"/>
                <c:pt idx="0">
                  <c:v>11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data2!$M$2:$M$26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data2!$N$1</c:f>
              <c:strCache>
                <c:ptCount val="1"/>
                <c:pt idx="0">
                  <c:v>12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data2!$N$2:$N$26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data2!$O$1</c:f>
              <c:strCache>
                <c:ptCount val="1"/>
                <c:pt idx="0">
                  <c:v>13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data2!$O$2:$O$26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data2!$P$1</c:f>
              <c:strCache>
                <c:ptCount val="1"/>
                <c:pt idx="0">
                  <c:v>14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data2!$P$2:$P$26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data2!$Q$1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data2!$Q$2:$Q$26</c:f>
              <c:numCache>
                <c:formatCode>General</c:formatCode>
                <c:ptCount val="25"/>
              </c:numCache>
            </c:numRef>
          </c:yVal>
        </c:ser>
        <c:axId val="52777728"/>
        <c:axId val="52779648"/>
      </c:scatterChart>
      <c:valAx>
        <c:axId val="527777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2779648"/>
        <c:crosses val="autoZero"/>
        <c:crossBetween val="midCat"/>
      </c:valAx>
      <c:valAx>
        <c:axId val="527796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527777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/>
              <a:t>Lux out vs. Lux in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data2!$R$1</c:f>
              <c:strCache>
                <c:ptCount val="1"/>
                <c:pt idx="0">
                  <c:v>16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data2!$R$2:$R$26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data2!$S$1</c:f>
              <c:strCache>
                <c:ptCount val="1"/>
                <c:pt idx="0">
                  <c:v>17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data2!$S$2:$S$26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data2!$T$1</c:f>
              <c:strCache>
                <c:ptCount val="1"/>
                <c:pt idx="0">
                  <c:v>18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data2!$T$2:$T$26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data2!$U$1</c:f>
              <c:strCache>
                <c:ptCount val="1"/>
                <c:pt idx="0">
                  <c:v>19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data2!$U$2:$U$26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data2!$V$1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data2!$V$2:$V$26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data2!$W$1</c:f>
              <c:strCache>
                <c:ptCount val="1"/>
                <c:pt idx="0">
                  <c:v>21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data2!$W$2:$W$26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data2!$X$1</c:f>
              <c:strCache>
                <c:ptCount val="1"/>
                <c:pt idx="0">
                  <c:v>22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data2!$X$2:$X$26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data2!$Y$1</c:f>
              <c:strCache>
                <c:ptCount val="1"/>
                <c:pt idx="0">
                  <c:v>23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data2!$Y$2:$Y$26</c:f>
              <c:numCache>
                <c:formatCode>General</c:formatCode>
                <c:ptCount val="25"/>
              </c:numCache>
            </c:numRef>
          </c:yVal>
        </c:ser>
        <c:axId val="52888320"/>
        <c:axId val="52890240"/>
      </c:scatterChart>
      <c:valAx>
        <c:axId val="528883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2890240"/>
        <c:crosses val="autoZero"/>
        <c:crossBetween val="midCat"/>
      </c:valAx>
      <c:valAx>
        <c:axId val="528902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528883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/>
              <a:t>Lux out vs. Lux in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data2!$Z$1</c:f>
              <c:strCache>
                <c:ptCount val="1"/>
                <c:pt idx="0">
                  <c:v>24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data2!$Z$2:$Z$26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data2!$AA$1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data2!$AA$2:$AA$26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data2!$AB$1</c:f>
              <c:strCache>
                <c:ptCount val="1"/>
                <c:pt idx="0">
                  <c:v>26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data2!$AB$2:$AB$26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data2!$AC$1</c:f>
              <c:strCache>
                <c:ptCount val="1"/>
                <c:pt idx="0">
                  <c:v>27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data2!$AC$2:$AC$26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data2!$AD$1</c:f>
              <c:strCache>
                <c:ptCount val="1"/>
                <c:pt idx="0">
                  <c:v>28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data2!$AD$2:$AD$26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data2!$AE$1</c:f>
              <c:strCache>
                <c:ptCount val="1"/>
                <c:pt idx="0">
                  <c:v>29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data2!$AE$2:$AE$26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data2!$AF$1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data2!$AF$2:$AF$26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data2!$AG$1</c:f>
              <c:strCache>
                <c:ptCount val="1"/>
                <c:pt idx="0">
                  <c:v>31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data2!$AG$2:$AG$26</c:f>
              <c:numCache>
                <c:formatCode>General</c:formatCode>
                <c:ptCount val="25"/>
              </c:numCache>
            </c:numRef>
          </c:yVal>
        </c:ser>
        <c:axId val="52940800"/>
        <c:axId val="52942720"/>
      </c:scatterChart>
      <c:valAx>
        <c:axId val="529408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2942720"/>
        <c:crosses val="autoZero"/>
        <c:crossBetween val="midCat"/>
      </c:valAx>
      <c:valAx>
        <c:axId val="529427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529408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data2!$AL$29</c:f>
          <c:strCache>
            <c:ptCount val="1"/>
            <c:pt idx="0">
              <c:v>#DIV/0!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data2!$AM$1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data2!$A$7:$A$26</c:f>
              <c:numCache>
                <c:formatCode>General</c:formatCode>
                <c:ptCount val="20"/>
                <c:pt idx="0">
                  <c:v>924.54020385742183</c:v>
                </c:pt>
                <c:pt idx="1">
                  <c:v>761.20014648437495</c:v>
                </c:pt>
                <c:pt idx="2">
                  <c:v>618.7050842285156</c:v>
                </c:pt>
                <c:pt idx="3">
                  <c:v>506.39999389648438</c:v>
                </c:pt>
                <c:pt idx="4">
                  <c:v>421.14996337890625</c:v>
                </c:pt>
                <c:pt idx="5">
                  <c:v>313.39996337890625</c:v>
                </c:pt>
                <c:pt idx="6">
                  <c:v>283.35547790527346</c:v>
                </c:pt>
                <c:pt idx="7">
                  <c:v>233.5469970703125</c:v>
                </c:pt>
                <c:pt idx="8">
                  <c:v>188.09650726318358</c:v>
                </c:pt>
                <c:pt idx="9">
                  <c:v>156.44500579833985</c:v>
                </c:pt>
                <c:pt idx="10">
                  <c:v>116.47100143432617</c:v>
                </c:pt>
                <c:pt idx="11">
                  <c:v>87.306494903564456</c:v>
                </c:pt>
                <c:pt idx="12">
                  <c:v>21.315652084350585</c:v>
                </c:pt>
                <c:pt idx="13">
                  <c:v>17.340450096130372</c:v>
                </c:pt>
                <c:pt idx="14">
                  <c:v>14.188851261138916</c:v>
                </c:pt>
                <c:pt idx="15">
                  <c:v>11.795599174499511</c:v>
                </c:pt>
                <c:pt idx="16">
                  <c:v>8.797748947143555</c:v>
                </c:pt>
                <c:pt idx="17">
                  <c:v>6.5973999023437502</c:v>
                </c:pt>
                <c:pt idx="18">
                  <c:v>2.3447998762130737</c:v>
                </c:pt>
                <c:pt idx="19">
                  <c:v>1.9071000814437866</c:v>
                </c:pt>
              </c:numCache>
            </c:numRef>
          </c:xVal>
          <c:yVal>
            <c:numRef>
              <c:f>data2!$AM$7:$AM$26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data2!$AN$1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data2!$A$7:$A$26</c:f>
              <c:numCache>
                <c:formatCode>General</c:formatCode>
                <c:ptCount val="20"/>
                <c:pt idx="0">
                  <c:v>924.54020385742183</c:v>
                </c:pt>
                <c:pt idx="1">
                  <c:v>761.20014648437495</c:v>
                </c:pt>
                <c:pt idx="2">
                  <c:v>618.7050842285156</c:v>
                </c:pt>
                <c:pt idx="3">
                  <c:v>506.39999389648438</c:v>
                </c:pt>
                <c:pt idx="4">
                  <c:v>421.14996337890625</c:v>
                </c:pt>
                <c:pt idx="5">
                  <c:v>313.39996337890625</c:v>
                </c:pt>
                <c:pt idx="6">
                  <c:v>283.35547790527346</c:v>
                </c:pt>
                <c:pt idx="7">
                  <c:v>233.5469970703125</c:v>
                </c:pt>
                <c:pt idx="8">
                  <c:v>188.09650726318358</c:v>
                </c:pt>
                <c:pt idx="9">
                  <c:v>156.44500579833985</c:v>
                </c:pt>
                <c:pt idx="10">
                  <c:v>116.47100143432617</c:v>
                </c:pt>
                <c:pt idx="11">
                  <c:v>87.306494903564456</c:v>
                </c:pt>
                <c:pt idx="12">
                  <c:v>21.315652084350585</c:v>
                </c:pt>
                <c:pt idx="13">
                  <c:v>17.340450096130372</c:v>
                </c:pt>
                <c:pt idx="14">
                  <c:v>14.188851261138916</c:v>
                </c:pt>
                <c:pt idx="15">
                  <c:v>11.795599174499511</c:v>
                </c:pt>
                <c:pt idx="16">
                  <c:v>8.797748947143555</c:v>
                </c:pt>
                <c:pt idx="17">
                  <c:v>6.5973999023437502</c:v>
                </c:pt>
                <c:pt idx="18">
                  <c:v>2.3447998762130737</c:v>
                </c:pt>
                <c:pt idx="19">
                  <c:v>1.9071000814437866</c:v>
                </c:pt>
              </c:numCache>
            </c:numRef>
          </c:xVal>
          <c:yVal>
            <c:numRef>
              <c:f>data2!$AN$7:$AN$26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data2!$AO$1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data2!$A$7:$A$26</c:f>
              <c:numCache>
                <c:formatCode>General</c:formatCode>
                <c:ptCount val="20"/>
                <c:pt idx="0">
                  <c:v>924.54020385742183</c:v>
                </c:pt>
                <c:pt idx="1">
                  <c:v>761.20014648437495</c:v>
                </c:pt>
                <c:pt idx="2">
                  <c:v>618.7050842285156</c:v>
                </c:pt>
                <c:pt idx="3">
                  <c:v>506.39999389648438</c:v>
                </c:pt>
                <c:pt idx="4">
                  <c:v>421.14996337890625</c:v>
                </c:pt>
                <c:pt idx="5">
                  <c:v>313.39996337890625</c:v>
                </c:pt>
                <c:pt idx="6">
                  <c:v>283.35547790527346</c:v>
                </c:pt>
                <c:pt idx="7">
                  <c:v>233.5469970703125</c:v>
                </c:pt>
                <c:pt idx="8">
                  <c:v>188.09650726318358</c:v>
                </c:pt>
                <c:pt idx="9">
                  <c:v>156.44500579833985</c:v>
                </c:pt>
                <c:pt idx="10">
                  <c:v>116.47100143432617</c:v>
                </c:pt>
                <c:pt idx="11">
                  <c:v>87.306494903564456</c:v>
                </c:pt>
                <c:pt idx="12">
                  <c:v>21.315652084350585</c:v>
                </c:pt>
                <c:pt idx="13">
                  <c:v>17.340450096130372</c:v>
                </c:pt>
                <c:pt idx="14">
                  <c:v>14.188851261138916</c:v>
                </c:pt>
                <c:pt idx="15">
                  <c:v>11.795599174499511</c:v>
                </c:pt>
                <c:pt idx="16">
                  <c:v>8.797748947143555</c:v>
                </c:pt>
                <c:pt idx="17">
                  <c:v>6.5973999023437502</c:v>
                </c:pt>
                <c:pt idx="18">
                  <c:v>2.3447998762130737</c:v>
                </c:pt>
                <c:pt idx="19">
                  <c:v>1.9071000814437866</c:v>
                </c:pt>
              </c:numCache>
            </c:numRef>
          </c:xVal>
          <c:yVal>
            <c:numRef>
              <c:f>data2!$AO$7:$AO$26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</c:ser>
        <c:axId val="52957952"/>
        <c:axId val="52959872"/>
      </c:scatterChart>
      <c:valAx>
        <c:axId val="52957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</a:t>
                </a:r>
                <a:r>
                  <a:rPr lang="en-US" baseline="0"/>
                  <a:t> In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52959872"/>
        <c:crosses val="autoZero"/>
        <c:crossBetween val="midCat"/>
      </c:valAx>
      <c:valAx>
        <c:axId val="529598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</a:t>
                </a:r>
                <a:r>
                  <a:rPr lang="en-US" baseline="0"/>
                  <a:t> Lux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529579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data2!$AL$31</c:f>
          <c:strCache>
            <c:ptCount val="1"/>
            <c:pt idx="0">
              <c:v>Range 3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data2!$B$99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data2!$B$100:$B$122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data2!$C$99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data2!$C$100:$C$122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data2!$D$99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data2!$D$100:$D$122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data2!$E$99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data2!$E$100:$E$122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data2!$F$99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data2!$F$100:$F$122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data2!$G$99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data2!$G$100:$G$122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data2!$H$99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data2!$H$100:$H$122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data2!$I$99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data2!$I$100:$I$122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axId val="52996736"/>
        <c:axId val="53007104"/>
      </c:scatterChart>
      <c:valAx>
        <c:axId val="529967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3007104"/>
        <c:crosses val="autoZero"/>
        <c:crossBetween val="midCat"/>
      </c:valAx>
      <c:valAx>
        <c:axId val="530071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529967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data2!$AL$31</c:f>
          <c:strCache>
            <c:ptCount val="1"/>
            <c:pt idx="0">
              <c:v>Range 3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data2!$J$99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data2!$J$100:$J$122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data2!$K$99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data2!$K$100:$K$122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data2!$L$99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data2!$L$100:$L$122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data2!$M$99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data2!$M$100:$M$122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data2!$N$99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data2!$N$100:$N$122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data2!$O$99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data2!$O$100:$O$122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data2!$P$99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data2!$P$100:$P$122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data2!$Q$99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data2!$Q$100:$Q$122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axId val="53041408"/>
        <c:axId val="53055872"/>
      </c:scatterChart>
      <c:valAx>
        <c:axId val="530414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3055872"/>
        <c:crosses val="autoZero"/>
        <c:crossBetween val="midCat"/>
      </c:valAx>
      <c:valAx>
        <c:axId val="530558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530414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data2!$AL$31</c:f>
          <c:strCache>
            <c:ptCount val="1"/>
            <c:pt idx="0">
              <c:v>Range 3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data2!$R$99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data2!$R$100:$R$122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data2!$S$99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data2!$S$100:$S$122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data2!$T$99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data2!$T$100:$T$122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data2!$U$99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data2!$U$100:$U$122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data2!$V$99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data2!$V$100:$V$122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data2!$W$99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data2!$W$100:$W$122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data2!$X$99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data2!$X$100:$X$122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data2!$Y$99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data2!$Y$100:$Y$122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axId val="53078656"/>
        <c:axId val="53093120"/>
      </c:scatterChart>
      <c:valAx>
        <c:axId val="530786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3093120"/>
        <c:crosses val="autoZero"/>
        <c:crossBetween val="midCat"/>
      </c:valAx>
      <c:valAx>
        <c:axId val="530931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530786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data2!$AL$31</c:f>
          <c:strCache>
            <c:ptCount val="1"/>
            <c:pt idx="0">
              <c:v>Range 3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data2!$Z$99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data2!$Z$100:$Z$122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data2!$AA$99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data2!$AA$100:$AA$122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data2!$AB$99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data2!$AB$100:$AB$122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data2!$AC$99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data2!$AC$100:$AC$122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data2!$AD$99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data2!$AD$100:$AD$122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data2!$AE$99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data2!$AE$100:$AE$122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data2!$AF$99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data2!$AF$100:$AF$122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data2!$AG$99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data2!$AG$100:$AG$122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axId val="53131136"/>
        <c:axId val="53137408"/>
      </c:scatterChart>
      <c:valAx>
        <c:axId val="531311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3137408"/>
        <c:crosses val="autoZero"/>
        <c:crossBetween val="midCat"/>
      </c:valAx>
      <c:valAx>
        <c:axId val="531374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531311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data2!$AL$30</c:f>
          <c:strCache>
            <c:ptCount val="1"/>
            <c:pt idx="0">
              <c:v>Range3 Offset Histogram: 0 +/- 0 Lux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data2!$AL$30</c:f>
              <c:strCache>
                <c:ptCount val="1"/>
                <c:pt idx="0">
                  <c:v>Range3 Offset Histogram: 0 +/- 0 Lux</c:v>
                </c:pt>
              </c:strCache>
            </c:strRef>
          </c:tx>
          <c:cat>
            <c:numRef>
              <c:f>data2!$AM$71:$AM$76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data2!$AN$71:$AN$76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3022720"/>
        <c:axId val="53140864"/>
      </c:barChart>
      <c:catAx>
        <c:axId val="530227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0.00" sourceLinked="1"/>
        <c:tickLblPos val="nextTo"/>
        <c:crossAx val="53140864"/>
        <c:crosses val="autoZero"/>
        <c:auto val="1"/>
        <c:lblAlgn val="ctr"/>
        <c:lblOffset val="100"/>
      </c:catAx>
      <c:valAx>
        <c:axId val="531408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53022720"/>
        <c:crosses val="autoZero"/>
        <c:crossBetween val="between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data2!$AL$31</c:f>
          <c:strCache>
            <c:ptCount val="1"/>
            <c:pt idx="0">
              <c:v>Range 3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data2!$AI$99</c:f>
              <c:strCache>
                <c:ptCount val="1"/>
                <c:pt idx="0">
                  <c:v>-1.5σ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data2!$AI$100:$AI$122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data2!$AJ$99</c:f>
              <c:strCache>
                <c:ptCount val="1"/>
                <c:pt idx="0">
                  <c:v>MEAN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data2!$AJ$100:$AJ$122</c:f>
              <c:numCache>
                <c:formatCode>0.0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data2!$AK$99</c:f>
              <c:strCache>
                <c:ptCount val="1"/>
                <c:pt idx="0">
                  <c:v>+1.5σ</c:v>
                </c:pt>
              </c:strCache>
            </c:strRef>
          </c:tx>
          <c:marker>
            <c:symbol val="none"/>
          </c:marker>
          <c:xVal>
            <c:numRef>
              <c:f>data2!$A$100:$A$122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data2!$AK$100:$AK$122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axId val="53169152"/>
        <c:axId val="53175424"/>
      </c:scatterChart>
      <c:valAx>
        <c:axId val="53169152"/>
        <c:scaling>
          <c:orientation val="minMax"/>
          <c:max val="8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3175424"/>
        <c:crosses val="autoZero"/>
        <c:crossBetween val="midCat"/>
      </c:valAx>
      <c:valAx>
        <c:axId val="531754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531691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 b="1" i="0" baseline="0"/>
              <a:t>Lux out vs. Lux in</a:t>
            </a:r>
            <a:endParaRPr lang="en-US" sz="1200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data3!$B$1</c:f>
              <c:strCache>
                <c:ptCount val="1"/>
                <c:pt idx="0">
                  <c:v>0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data3!$B$2:$B$26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data3!$C$1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data3!$C$2:$C$26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data3!$D$1</c:f>
              <c:strCache>
                <c:ptCount val="1"/>
                <c:pt idx="0">
                  <c:v>2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data3!$D$2:$D$26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data3!$E$1</c:f>
              <c:strCache>
                <c:ptCount val="1"/>
                <c:pt idx="0">
                  <c:v>3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data3!$E$2:$E$26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data3!$F$1</c:f>
              <c:strCache>
                <c:ptCount val="1"/>
                <c:pt idx="0">
                  <c:v>4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data3!$F$2:$F$26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data3!$G$1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data3!$G$2:$G$26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data3!$H$1</c:f>
              <c:strCache>
                <c:ptCount val="1"/>
                <c:pt idx="0">
                  <c:v>6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data3!$H$2:$H$26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data3!$I$1</c:f>
              <c:strCache>
                <c:ptCount val="1"/>
                <c:pt idx="0">
                  <c:v>7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data3!$I$2:$I$26</c:f>
              <c:numCache>
                <c:formatCode>General</c:formatCode>
                <c:ptCount val="25"/>
              </c:numCache>
            </c:numRef>
          </c:yVal>
        </c:ser>
        <c:axId val="53263744"/>
        <c:axId val="53278208"/>
      </c:scatterChart>
      <c:valAx>
        <c:axId val="532637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3278208"/>
        <c:crosses val="autoZero"/>
        <c:crossBetween val="midCat"/>
      </c:valAx>
      <c:valAx>
        <c:axId val="532782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532637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 b="1" i="0" baseline="0"/>
              <a:t>Lux out vs. Lux in</a:t>
            </a:r>
            <a:endParaRPr lang="en-US" sz="1200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data3!$J$1</c:f>
              <c:strCache>
                <c:ptCount val="1"/>
                <c:pt idx="0">
                  <c:v>8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data3!$J$2:$J$26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data3!$K$1</c:f>
              <c:strCache>
                <c:ptCount val="1"/>
                <c:pt idx="0">
                  <c:v>9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data3!$K$2:$K$26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data3!$L$1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data3!$L$2:$L$26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data3!$M$1</c:f>
              <c:strCache>
                <c:ptCount val="1"/>
                <c:pt idx="0">
                  <c:v>11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data3!$M$2:$M$26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data3!$N$1</c:f>
              <c:strCache>
                <c:ptCount val="1"/>
                <c:pt idx="0">
                  <c:v>12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data3!$N$2:$N$26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data3!$O$1</c:f>
              <c:strCache>
                <c:ptCount val="1"/>
                <c:pt idx="0">
                  <c:v>13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data3!$O$2:$O$26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data3!$P$1</c:f>
              <c:strCache>
                <c:ptCount val="1"/>
                <c:pt idx="0">
                  <c:v>14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data3!$P$2:$P$26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data3!$Q$1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data3!$Q$2:$Q$26</c:f>
              <c:numCache>
                <c:formatCode>General</c:formatCode>
                <c:ptCount val="25"/>
              </c:numCache>
            </c:numRef>
          </c:yVal>
        </c:ser>
        <c:axId val="53308416"/>
        <c:axId val="53322880"/>
      </c:scatterChart>
      <c:valAx>
        <c:axId val="533084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3322880"/>
        <c:crosses val="autoZero"/>
        <c:crossBetween val="midCat"/>
      </c:valAx>
      <c:valAx>
        <c:axId val="533228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533084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 b="1" i="0" baseline="0"/>
              <a:t>Lux out vs. Lux in</a:t>
            </a:r>
            <a:endParaRPr lang="en-US" sz="1200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data3!$R$1</c:f>
              <c:strCache>
                <c:ptCount val="1"/>
                <c:pt idx="0">
                  <c:v>16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data3!$R$2:$R$26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data3!$S$1</c:f>
              <c:strCache>
                <c:ptCount val="1"/>
                <c:pt idx="0">
                  <c:v>17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data3!$S$2:$S$26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data3!$T$1</c:f>
              <c:strCache>
                <c:ptCount val="1"/>
                <c:pt idx="0">
                  <c:v>18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data3!$T$2:$T$26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data3!$U$1</c:f>
              <c:strCache>
                <c:ptCount val="1"/>
                <c:pt idx="0">
                  <c:v>19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data3!$U$2:$U$26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data3!$V$1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data3!$V$2:$V$26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data3!$W$1</c:f>
              <c:strCache>
                <c:ptCount val="1"/>
                <c:pt idx="0">
                  <c:v>21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data3!$W$2:$W$26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data3!$X$1</c:f>
              <c:strCache>
                <c:ptCount val="1"/>
                <c:pt idx="0">
                  <c:v>22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data3!$X$2:$X$26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data3!$Y$1</c:f>
              <c:strCache>
                <c:ptCount val="1"/>
                <c:pt idx="0">
                  <c:v>23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data3!$Y$2:$Y$26</c:f>
              <c:numCache>
                <c:formatCode>General</c:formatCode>
                <c:ptCount val="25"/>
              </c:numCache>
            </c:numRef>
          </c:yVal>
        </c:ser>
        <c:axId val="56429568"/>
        <c:axId val="56444032"/>
      </c:scatterChart>
      <c:valAx>
        <c:axId val="564295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6444032"/>
        <c:crosses val="autoZero"/>
        <c:crossBetween val="midCat"/>
      </c:valAx>
      <c:valAx>
        <c:axId val="564440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564295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 b="1" i="0" baseline="0"/>
              <a:t>Lux out vs. Lux in</a:t>
            </a:r>
            <a:endParaRPr lang="en-US" sz="1200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data3!$Z$1</c:f>
              <c:strCache>
                <c:ptCount val="1"/>
                <c:pt idx="0">
                  <c:v>24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data3!$Z$2:$Z$26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data3!$AA$1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data3!$AA$2:$AA$26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data3!$AB$1</c:f>
              <c:strCache>
                <c:ptCount val="1"/>
                <c:pt idx="0">
                  <c:v>26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data3!$AB$2:$AB$26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data3!$AC$1</c:f>
              <c:strCache>
                <c:ptCount val="1"/>
                <c:pt idx="0">
                  <c:v>27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data3!$AC$2:$AC$26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data3!$AD$1</c:f>
              <c:strCache>
                <c:ptCount val="1"/>
                <c:pt idx="0">
                  <c:v>28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data3!$AD$2:$AD$26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data3!$AE$1</c:f>
              <c:strCache>
                <c:ptCount val="1"/>
                <c:pt idx="0">
                  <c:v>29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data3!$AE$2:$AE$26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data3!$AF$1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data3!$AF$2:$AF$26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data3!$AG$1</c:f>
              <c:strCache>
                <c:ptCount val="1"/>
                <c:pt idx="0">
                  <c:v>31</c:v>
                </c:pt>
              </c:strCache>
            </c:strRef>
          </c:tx>
          <c:xVal>
            <c:numRef>
              <c:f>data3!$A$2:$A$26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data3!$AG$2:$AG$26</c:f>
              <c:numCache>
                <c:formatCode>General</c:formatCode>
                <c:ptCount val="25"/>
              </c:numCache>
            </c:numRef>
          </c:yVal>
        </c:ser>
        <c:axId val="56482048"/>
        <c:axId val="56512896"/>
      </c:scatterChart>
      <c:valAx>
        <c:axId val="564820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6512896"/>
        <c:crosses val="autoZero"/>
        <c:crossBetween val="midCat"/>
      </c:valAx>
      <c:valAx>
        <c:axId val="565128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564820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data3!$AL$29</c:f>
          <c:strCache>
            <c:ptCount val="1"/>
            <c:pt idx="0">
              <c:v>#DIV/0!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data3!$AM$1</c:f>
              <c:strCache>
                <c:ptCount val="1"/>
                <c:pt idx="0">
                  <c:v>-3σ</c:v>
                </c:pt>
              </c:strCache>
            </c:strRef>
          </c:tx>
          <c:xVal>
            <c:numRef>
              <c:f>data3!$A$4:$A$26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data3!$AM$4:$AM$26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data3!$AN$1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data3!$A$4:$A$26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data3!$AN$4:$AN$26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data3!$AO$1</c:f>
              <c:strCache>
                <c:ptCount val="1"/>
                <c:pt idx="0">
                  <c:v>+3σ</c:v>
                </c:pt>
              </c:strCache>
            </c:strRef>
          </c:tx>
          <c:xVal>
            <c:numRef>
              <c:f>data3!$A$4:$A$26</c:f>
              <c:numCache>
                <c:formatCode>General</c:formatCode>
                <c:ptCount val="23"/>
                <c:pt idx="0">
                  <c:v>1996.1750244140626</c:v>
                </c:pt>
                <c:pt idx="1">
                  <c:v>1659.095166015625</c:v>
                </c:pt>
                <c:pt idx="2">
                  <c:v>1234.2751586914062</c:v>
                </c:pt>
                <c:pt idx="3">
                  <c:v>924.54020385742183</c:v>
                </c:pt>
                <c:pt idx="4">
                  <c:v>761.20014648437495</c:v>
                </c:pt>
                <c:pt idx="5">
                  <c:v>618.7050842285156</c:v>
                </c:pt>
                <c:pt idx="6">
                  <c:v>506.39999389648438</c:v>
                </c:pt>
                <c:pt idx="7">
                  <c:v>421.14996337890625</c:v>
                </c:pt>
                <c:pt idx="8">
                  <c:v>313.39996337890625</c:v>
                </c:pt>
                <c:pt idx="9">
                  <c:v>283.35547790527346</c:v>
                </c:pt>
                <c:pt idx="10">
                  <c:v>233.5469970703125</c:v>
                </c:pt>
                <c:pt idx="11">
                  <c:v>188.09650726318358</c:v>
                </c:pt>
                <c:pt idx="12">
                  <c:v>156.44500579833985</c:v>
                </c:pt>
                <c:pt idx="13">
                  <c:v>116.47100143432617</c:v>
                </c:pt>
                <c:pt idx="14">
                  <c:v>87.306494903564456</c:v>
                </c:pt>
                <c:pt idx="15">
                  <c:v>21.315652084350585</c:v>
                </c:pt>
                <c:pt idx="16">
                  <c:v>17.340450096130372</c:v>
                </c:pt>
                <c:pt idx="17">
                  <c:v>14.188851261138916</c:v>
                </c:pt>
                <c:pt idx="18">
                  <c:v>11.795599174499511</c:v>
                </c:pt>
                <c:pt idx="19">
                  <c:v>8.797748947143555</c:v>
                </c:pt>
                <c:pt idx="20">
                  <c:v>6.5973999023437502</c:v>
                </c:pt>
                <c:pt idx="21">
                  <c:v>2.3447998762130737</c:v>
                </c:pt>
                <c:pt idx="22">
                  <c:v>1.9071000814437866</c:v>
                </c:pt>
              </c:numCache>
            </c:numRef>
          </c:xVal>
          <c:yVal>
            <c:numRef>
              <c:f>data3!$AO$4:$AO$26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axId val="56546816"/>
        <c:axId val="56548736"/>
      </c:scatterChart>
      <c:valAx>
        <c:axId val="565468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6548736"/>
        <c:crosses val="autoZero"/>
        <c:crossBetween val="midCat"/>
      </c:valAx>
      <c:valAx>
        <c:axId val="565487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565468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data3!$AL$31</c:f>
          <c:strCache>
            <c:ptCount val="1"/>
            <c:pt idx="0">
              <c:v>Range 4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data3!$B$103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data3!$B$104:$B$128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data3!$C$103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data3!$C$104:$C$128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data3!$D$103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data3!$D$104:$D$128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data3!$E$103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data3!$E$104:$E$128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data3!$F$103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data3!$F$104:$F$128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data3!$G$103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data3!$G$104:$G$128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data3!$H$103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data3!$H$104:$H$128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data3!$I$103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data3!$I$104:$I$128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56748672"/>
        <c:axId val="56754944"/>
      </c:scatterChart>
      <c:valAx>
        <c:axId val="56748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6754944"/>
        <c:crosses val="autoZero"/>
        <c:crossBetween val="midCat"/>
      </c:valAx>
      <c:valAx>
        <c:axId val="567549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567486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data3!$AL$31</c:f>
          <c:strCache>
            <c:ptCount val="1"/>
            <c:pt idx="0">
              <c:v>Range 4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data3!$J$103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data3!$J$104:$J$128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data3!$K$103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data3!$K$104:$K$128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data3!$L$103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data3!$L$104:$L$128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data3!$M$103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data3!$M$104:$M$128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data3!$N$103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data3!$N$104:$N$128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data3!$O$103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data3!$O$104:$O$128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data3!$P$103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data3!$P$104:$P$128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data3!$Q$103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data3!$Q$104:$Q$128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56797440"/>
        <c:axId val="56951168"/>
      </c:scatterChart>
      <c:valAx>
        <c:axId val="567974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6951168"/>
        <c:crosses val="autoZero"/>
        <c:crossBetween val="midCat"/>
      </c:valAx>
      <c:valAx>
        <c:axId val="569511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567974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data3!$AL$31</c:f>
          <c:strCache>
            <c:ptCount val="1"/>
            <c:pt idx="0">
              <c:v>Range 4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data3!$R$103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data3!$R$104:$R$128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data3!$S$103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data3!$S$104:$S$128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data3!$T$103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data3!$T$104:$T$128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data3!$U$103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data3!$U$104:$U$128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data3!$V$103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data3!$V$104:$V$128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data3!$W$103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data3!$W$104:$W$128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data3!$X$103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data3!$X$104:$X$128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data3!$Y$103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data3!$Y$104:$Y$128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57014912"/>
        <c:axId val="57037568"/>
      </c:scatterChart>
      <c:valAx>
        <c:axId val="570149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57037568"/>
        <c:crosses val="autoZero"/>
        <c:crossBetween val="midCat"/>
      </c:valAx>
      <c:valAx>
        <c:axId val="570375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570149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data3!$AL$31</c:f>
          <c:strCache>
            <c:ptCount val="1"/>
            <c:pt idx="0">
              <c:v>Range 4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data3!$Z$103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data3!$Z$104:$Z$128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data3!$AA$103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data3!$AA$104:$AA$128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data3!$AB$103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data3!$AB$104:$AB$128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data3!$AC$103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data3!$AC$104:$AC$128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data3!$AD$103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data3!$AD$104:$AD$128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data3!$AE$103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data3!$AE$104:$AE$128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data3!$AF$103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data3!$AF$104:$AF$128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data3!$AG$103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data3!$AG$104:$AG$128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47830656"/>
        <c:axId val="150294528"/>
      </c:scatterChart>
      <c:valAx>
        <c:axId val="1478306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50294528"/>
        <c:crosses val="autoZero"/>
        <c:crossBetween val="midCat"/>
      </c:valAx>
      <c:valAx>
        <c:axId val="1502945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1478306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data3!$AL$30</c:f>
              <c:strCache>
                <c:ptCount val="1"/>
                <c:pt idx="0">
                  <c:v>Range4 Offset Histogram: 0 +/- 0 Lux</c:v>
                </c:pt>
              </c:strCache>
            </c:strRef>
          </c:tx>
          <c:cat>
            <c:numRef>
              <c:f>data3!$AM$73:$AM$78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data3!$AN$73:$AN$78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50310912"/>
        <c:axId val="150312832"/>
      </c:barChart>
      <c:catAx>
        <c:axId val="1503109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0.00" sourceLinked="1"/>
        <c:tickLblPos val="nextTo"/>
        <c:crossAx val="150312832"/>
        <c:crosses val="autoZero"/>
        <c:auto val="1"/>
        <c:lblAlgn val="ctr"/>
        <c:lblOffset val="100"/>
      </c:catAx>
      <c:valAx>
        <c:axId val="1503128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50310912"/>
        <c:crosses val="autoZero"/>
        <c:crossBetween val="between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data3!$AL$31</c:f>
          <c:strCache>
            <c:ptCount val="1"/>
            <c:pt idx="0">
              <c:v>Range 4 `Linearity` Error: 0 +/-0%</c:v>
            </c:pt>
          </c:strCache>
        </c:strRef>
      </c:tx>
      <c:layout/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data3!$AI$103</c:f>
              <c:strCache>
                <c:ptCount val="1"/>
                <c:pt idx="0">
                  <c:v>-3σ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data3!$AI$104:$AI$128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data3!$AJ$103</c:f>
              <c:strCache>
                <c:ptCount val="1"/>
                <c:pt idx="0">
                  <c:v>MEAN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data3!$AJ$104:$AJ$128</c:f>
              <c:numCache>
                <c:formatCode>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data3!$AK$103</c:f>
              <c:strCache>
                <c:ptCount val="1"/>
                <c:pt idx="0">
                  <c:v>+3σ</c:v>
                </c:pt>
              </c:strCache>
            </c:strRef>
          </c:tx>
          <c:marker>
            <c:symbol val="none"/>
          </c:marker>
          <c:xVal>
            <c:numRef>
              <c:f>data3!$A$104:$A$128</c:f>
              <c:numCache>
                <c:formatCode>General</c:formatCode>
                <c:ptCount val="25"/>
                <c:pt idx="0">
                  <c:v>3007.1739501953125</c:v>
                </c:pt>
                <c:pt idx="1">
                  <c:v>2440.1146484374999</c:v>
                </c:pt>
                <c:pt idx="2">
                  <c:v>1996.1750244140626</c:v>
                </c:pt>
                <c:pt idx="3">
                  <c:v>1659.095166015625</c:v>
                </c:pt>
                <c:pt idx="4">
                  <c:v>1234.2751586914062</c:v>
                </c:pt>
                <c:pt idx="5">
                  <c:v>924.54020385742183</c:v>
                </c:pt>
                <c:pt idx="6">
                  <c:v>761.20014648437495</c:v>
                </c:pt>
                <c:pt idx="7">
                  <c:v>618.7050842285156</c:v>
                </c:pt>
                <c:pt idx="8">
                  <c:v>506.39999389648438</c:v>
                </c:pt>
                <c:pt idx="9">
                  <c:v>421.14996337890625</c:v>
                </c:pt>
                <c:pt idx="10">
                  <c:v>313.39996337890625</c:v>
                </c:pt>
                <c:pt idx="11">
                  <c:v>283.35547790527346</c:v>
                </c:pt>
                <c:pt idx="12">
                  <c:v>233.5469970703125</c:v>
                </c:pt>
                <c:pt idx="13">
                  <c:v>188.09650726318358</c:v>
                </c:pt>
                <c:pt idx="14">
                  <c:v>156.44500579833985</c:v>
                </c:pt>
                <c:pt idx="15">
                  <c:v>116.47100143432617</c:v>
                </c:pt>
                <c:pt idx="16">
                  <c:v>87.306494903564456</c:v>
                </c:pt>
                <c:pt idx="17">
                  <c:v>21.315652084350585</c:v>
                </c:pt>
                <c:pt idx="18">
                  <c:v>17.340450096130372</c:v>
                </c:pt>
                <c:pt idx="19">
                  <c:v>14.188851261138916</c:v>
                </c:pt>
                <c:pt idx="20">
                  <c:v>11.795599174499511</c:v>
                </c:pt>
                <c:pt idx="21">
                  <c:v>8.797748947143555</c:v>
                </c:pt>
                <c:pt idx="22">
                  <c:v>6.5973999023437502</c:v>
                </c:pt>
                <c:pt idx="23">
                  <c:v>2.3447998762130737</c:v>
                </c:pt>
                <c:pt idx="24">
                  <c:v>1.9071000814437866</c:v>
                </c:pt>
              </c:numCache>
            </c:numRef>
          </c:xVal>
          <c:yVal>
            <c:numRef>
              <c:f>data3!$AK$104:$AK$128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69020416"/>
        <c:axId val="169030784"/>
      </c:scatterChart>
      <c:valAx>
        <c:axId val="169020416"/>
        <c:scaling>
          <c:orientation val="minMax"/>
          <c:max val="12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69030784"/>
        <c:crosses val="autoZero"/>
        <c:crossBetween val="midCat"/>
      </c:valAx>
      <c:valAx>
        <c:axId val="1690307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  <c:layout/>
        </c:title>
        <c:numFmt formatCode="General" sourceLinked="1"/>
        <c:tickLblPos val="nextTo"/>
        <c:crossAx val="1690204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Full Scale Lux vs. Time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data4!$B$1:$K$1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data4!$B$2:$K$2</c:f>
              <c:numCache>
                <c:formatCode>0.00</c:formatCode>
                <c:ptCount val="10"/>
                <c:pt idx="0">
                  <c:v>3015</c:v>
                </c:pt>
                <c:pt idx="1">
                  <c:v>3006.5</c:v>
                </c:pt>
                <c:pt idx="2">
                  <c:v>3005</c:v>
                </c:pt>
                <c:pt idx="3">
                  <c:v>3002.239990234375</c:v>
                </c:pt>
                <c:pt idx="4">
                  <c:v>3015</c:v>
                </c:pt>
                <c:pt idx="5">
                  <c:v>2997.49951171875</c:v>
                </c:pt>
                <c:pt idx="6">
                  <c:v>3005.5</c:v>
                </c:pt>
                <c:pt idx="7">
                  <c:v>3005</c:v>
                </c:pt>
                <c:pt idx="8">
                  <c:v>3015</c:v>
                </c:pt>
                <c:pt idx="9">
                  <c:v>3005</c:v>
                </c:pt>
              </c:numCache>
            </c:numRef>
          </c:yVal>
        </c:ser>
        <c:axId val="169231104"/>
        <c:axId val="169233024"/>
      </c:scatterChart>
      <c:valAx>
        <c:axId val="1692311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 #</a:t>
                </a:r>
              </a:p>
            </c:rich>
          </c:tx>
          <c:layout/>
        </c:title>
        <c:numFmt formatCode="General" sourceLinked="1"/>
        <c:tickLblPos val="nextTo"/>
        <c:crossAx val="169233024"/>
        <c:crosses val="autoZero"/>
        <c:crossBetween val="midCat"/>
      </c:valAx>
      <c:valAx>
        <c:axId val="1692330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Full</a:t>
                </a:r>
                <a:r>
                  <a:rPr lang="en-US" baseline="0"/>
                  <a:t> Scale Lux</a:t>
                </a:r>
                <a:endParaRPr lang="en-US"/>
              </a:p>
            </c:rich>
          </c:tx>
          <c:layout/>
        </c:title>
        <c:numFmt formatCode="0.00" sourceLinked="1"/>
        <c:tickLblPos val="nextTo"/>
        <c:crossAx val="169231104"/>
        <c:crosses val="autoZero"/>
        <c:crossBetween val="midCat"/>
      </c:valAx>
    </c:plotArea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0" Type="http://schemas.openxmlformats.org/officeDocument/2006/relationships/chart" Target="../charts/chart33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3" Type="http://schemas.openxmlformats.org/officeDocument/2006/relationships/chart" Target="../charts/chart37.xml"/><Relationship Id="rId7" Type="http://schemas.openxmlformats.org/officeDocument/2006/relationships/chart" Target="../charts/chart41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5" Type="http://schemas.openxmlformats.org/officeDocument/2006/relationships/chart" Target="../charts/chart39.xml"/><Relationship Id="rId10" Type="http://schemas.openxmlformats.org/officeDocument/2006/relationships/chart" Target="../charts/chart44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3.xml"/><Relationship Id="rId3" Type="http://schemas.openxmlformats.org/officeDocument/2006/relationships/chart" Target="../charts/chart48.xml"/><Relationship Id="rId7" Type="http://schemas.openxmlformats.org/officeDocument/2006/relationships/chart" Target="../charts/chart52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11" Type="http://schemas.openxmlformats.org/officeDocument/2006/relationships/chart" Target="../charts/chart56.xml"/><Relationship Id="rId5" Type="http://schemas.openxmlformats.org/officeDocument/2006/relationships/chart" Target="../charts/chart50.xml"/><Relationship Id="rId10" Type="http://schemas.openxmlformats.org/officeDocument/2006/relationships/chart" Target="../charts/chart55.xml"/><Relationship Id="rId4" Type="http://schemas.openxmlformats.org/officeDocument/2006/relationships/chart" Target="../charts/chart49.xml"/><Relationship Id="rId9" Type="http://schemas.openxmlformats.org/officeDocument/2006/relationships/chart" Target="../charts/chart5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365126</xdr:colOff>
      <xdr:row>4</xdr:row>
      <xdr:rowOff>95250</xdr:rowOff>
    </xdr:from>
    <xdr:to>
      <xdr:col>21</xdr:col>
      <xdr:colOff>48079</xdr:colOff>
      <xdr:row>33</xdr:row>
      <xdr:rowOff>39158</xdr:rowOff>
    </xdr:to>
    <xdr:grpSp>
      <xdr:nvGrpSpPr>
        <xdr:cNvPr id="33" name="Group 32"/>
        <xdr:cNvGrpSpPr/>
      </xdr:nvGrpSpPr>
      <xdr:grpSpPr>
        <a:xfrm>
          <a:off x="4896305" y="884464"/>
          <a:ext cx="8622845" cy="5468408"/>
          <a:chOff x="4896305" y="884464"/>
          <a:chExt cx="8622845" cy="5468408"/>
        </a:xfrm>
      </xdr:grpSpPr>
      <xdr:graphicFrame macro="">
        <xdr:nvGraphicFramePr>
          <xdr:cNvPr id="21" name="Chart 20"/>
          <xdr:cNvGraphicFramePr/>
        </xdr:nvGraphicFramePr>
        <xdr:xfrm>
          <a:off x="9184822" y="3609672"/>
          <a:ext cx="4334328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Chart 23"/>
          <xdr:cNvGraphicFramePr/>
        </xdr:nvGraphicFramePr>
        <xdr:xfrm>
          <a:off x="4896305" y="3609672"/>
          <a:ext cx="428897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7" name="Chart 26"/>
          <xdr:cNvGraphicFramePr/>
        </xdr:nvGraphicFramePr>
        <xdr:xfrm>
          <a:off x="9184822" y="884464"/>
          <a:ext cx="4334328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30" name="Chart 29"/>
          <xdr:cNvGraphicFramePr/>
        </xdr:nvGraphicFramePr>
        <xdr:xfrm>
          <a:off x="4896305" y="884464"/>
          <a:ext cx="428897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13</xdr:col>
      <xdr:colOff>553357</xdr:colOff>
      <xdr:row>34</xdr:row>
      <xdr:rowOff>108857</xdr:rowOff>
    </xdr:from>
    <xdr:to>
      <xdr:col>28</xdr:col>
      <xdr:colOff>52615</xdr:colOff>
      <xdr:row>63</xdr:row>
      <xdr:rowOff>76200</xdr:rowOff>
    </xdr:to>
    <xdr:grpSp>
      <xdr:nvGrpSpPr>
        <xdr:cNvPr id="35" name="Group 34"/>
        <xdr:cNvGrpSpPr/>
      </xdr:nvGrpSpPr>
      <xdr:grpSpPr>
        <a:xfrm>
          <a:off x="9125857" y="6613071"/>
          <a:ext cx="8684079" cy="5491843"/>
          <a:chOff x="9125857" y="6613071"/>
          <a:chExt cx="8684079" cy="5491843"/>
        </a:xfrm>
      </xdr:grpSpPr>
      <xdr:graphicFrame macro="">
        <xdr:nvGraphicFramePr>
          <xdr:cNvPr id="22" name="Chart 21"/>
          <xdr:cNvGraphicFramePr/>
        </xdr:nvGraphicFramePr>
        <xdr:xfrm>
          <a:off x="13466536" y="9361714"/>
          <a:ext cx="43434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5" name="Chart 24"/>
          <xdr:cNvGraphicFramePr/>
        </xdr:nvGraphicFramePr>
        <xdr:xfrm>
          <a:off x="9125857" y="9361714"/>
          <a:ext cx="43434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8" name="Chart 27"/>
          <xdr:cNvGraphicFramePr/>
        </xdr:nvGraphicFramePr>
        <xdr:xfrm>
          <a:off x="13466535" y="6613071"/>
          <a:ext cx="43434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1" name="Chart 30"/>
          <xdr:cNvGraphicFramePr/>
        </xdr:nvGraphicFramePr>
        <xdr:xfrm>
          <a:off x="9125857" y="6613071"/>
          <a:ext cx="43434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194657</xdr:colOff>
      <xdr:row>34</xdr:row>
      <xdr:rowOff>119062</xdr:rowOff>
    </xdr:from>
    <xdr:to>
      <xdr:col>13</xdr:col>
      <xdr:colOff>289604</xdr:colOff>
      <xdr:row>63</xdr:row>
      <xdr:rowOff>75445</xdr:rowOff>
    </xdr:to>
    <xdr:grpSp>
      <xdr:nvGrpSpPr>
        <xdr:cNvPr id="34" name="Group 33"/>
        <xdr:cNvGrpSpPr/>
      </xdr:nvGrpSpPr>
      <xdr:grpSpPr>
        <a:xfrm>
          <a:off x="194657" y="6623276"/>
          <a:ext cx="8667447" cy="5480883"/>
          <a:chOff x="194657" y="6623276"/>
          <a:chExt cx="8667447" cy="5480883"/>
        </a:xfrm>
      </xdr:grpSpPr>
      <xdr:graphicFrame macro="">
        <xdr:nvGraphicFramePr>
          <xdr:cNvPr id="20" name="Chart 19"/>
          <xdr:cNvGraphicFramePr/>
        </xdr:nvGraphicFramePr>
        <xdr:xfrm>
          <a:off x="4532311" y="9360958"/>
          <a:ext cx="432979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3" name="Chart 22"/>
          <xdr:cNvGraphicFramePr/>
        </xdr:nvGraphicFramePr>
        <xdr:xfrm>
          <a:off x="195412" y="9360959"/>
          <a:ext cx="433584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26" name="Chart 25"/>
          <xdr:cNvGraphicFramePr/>
        </xdr:nvGraphicFramePr>
        <xdr:xfrm>
          <a:off x="4521729" y="6623276"/>
          <a:ext cx="432979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32" name="Chart 31"/>
          <xdr:cNvGraphicFramePr/>
        </xdr:nvGraphicFramePr>
        <xdr:xfrm>
          <a:off x="194657" y="6623276"/>
          <a:ext cx="433584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598713</xdr:colOff>
      <xdr:row>27</xdr:row>
      <xdr:rowOff>13608</xdr:rowOff>
    </xdr:from>
    <xdr:to>
      <xdr:col>8</xdr:col>
      <xdr:colOff>367392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13607</xdr:colOff>
      <xdr:row>27</xdr:row>
      <xdr:rowOff>13608</xdr:rowOff>
    </xdr:from>
    <xdr:to>
      <xdr:col>16</xdr:col>
      <xdr:colOff>394607</xdr:colOff>
      <xdr:row>41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27</xdr:row>
      <xdr:rowOff>0</xdr:rowOff>
    </xdr:from>
    <xdr:to>
      <xdr:col>24</xdr:col>
      <xdr:colOff>381000</xdr:colOff>
      <xdr:row>40</xdr:row>
      <xdr:rowOff>176892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27214</xdr:colOff>
      <xdr:row>26</xdr:row>
      <xdr:rowOff>176893</xdr:rowOff>
    </xdr:from>
    <xdr:to>
      <xdr:col>32</xdr:col>
      <xdr:colOff>408214</xdr:colOff>
      <xdr:row>40</xdr:row>
      <xdr:rowOff>163285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13607</xdr:colOff>
      <xdr:row>83</xdr:row>
      <xdr:rowOff>176893</xdr:rowOff>
    </xdr:from>
    <xdr:to>
      <xdr:col>8</xdr:col>
      <xdr:colOff>408215</xdr:colOff>
      <xdr:row>94</xdr:row>
      <xdr:rowOff>95250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84</xdr:row>
      <xdr:rowOff>0</xdr:rowOff>
    </xdr:from>
    <xdr:to>
      <xdr:col>16</xdr:col>
      <xdr:colOff>394608</xdr:colOff>
      <xdr:row>94</xdr:row>
      <xdr:rowOff>108857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84</xdr:row>
      <xdr:rowOff>0</xdr:rowOff>
    </xdr:from>
    <xdr:to>
      <xdr:col>24</xdr:col>
      <xdr:colOff>394608</xdr:colOff>
      <xdr:row>94</xdr:row>
      <xdr:rowOff>108857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0</xdr:colOff>
      <xdr:row>84</xdr:row>
      <xdr:rowOff>0</xdr:rowOff>
    </xdr:from>
    <xdr:to>
      <xdr:col>32</xdr:col>
      <xdr:colOff>394608</xdr:colOff>
      <xdr:row>94</xdr:row>
      <xdr:rowOff>108857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15875</xdr:colOff>
      <xdr:row>95</xdr:row>
      <xdr:rowOff>174625</xdr:rowOff>
    </xdr:from>
    <xdr:to>
      <xdr:col>10</xdr:col>
      <xdr:colOff>358775</xdr:colOff>
      <xdr:row>110</xdr:row>
      <xdr:rowOff>60325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15875</xdr:colOff>
      <xdr:row>95</xdr:row>
      <xdr:rowOff>174625</xdr:rowOff>
    </xdr:from>
    <xdr:to>
      <xdr:col>20</xdr:col>
      <xdr:colOff>358775</xdr:colOff>
      <xdr:row>110</xdr:row>
      <xdr:rowOff>60325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31750</xdr:colOff>
      <xdr:row>95</xdr:row>
      <xdr:rowOff>174625</xdr:rowOff>
    </xdr:from>
    <xdr:to>
      <xdr:col>30</xdr:col>
      <xdr:colOff>384175</xdr:colOff>
      <xdr:row>110</xdr:row>
      <xdr:rowOff>60325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598713</xdr:colOff>
      <xdr:row>27</xdr:row>
      <xdr:rowOff>0</xdr:rowOff>
    </xdr:from>
    <xdr:to>
      <xdr:col>8</xdr:col>
      <xdr:colOff>435428</xdr:colOff>
      <xdr:row>41</xdr:row>
      <xdr:rowOff>81642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26</xdr:row>
      <xdr:rowOff>190499</xdr:rowOff>
    </xdr:from>
    <xdr:to>
      <xdr:col>17</xdr:col>
      <xdr:colOff>13607</xdr:colOff>
      <xdr:row>41</xdr:row>
      <xdr:rowOff>81641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13606</xdr:colOff>
      <xdr:row>26</xdr:row>
      <xdr:rowOff>190499</xdr:rowOff>
    </xdr:from>
    <xdr:to>
      <xdr:col>25</xdr:col>
      <xdr:colOff>27214</xdr:colOff>
      <xdr:row>41</xdr:row>
      <xdr:rowOff>81641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40820</xdr:colOff>
      <xdr:row>27</xdr:row>
      <xdr:rowOff>1</xdr:rowOff>
    </xdr:from>
    <xdr:to>
      <xdr:col>33</xdr:col>
      <xdr:colOff>54427</xdr:colOff>
      <xdr:row>41</xdr:row>
      <xdr:rowOff>81643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27212</xdr:colOff>
      <xdr:row>108</xdr:row>
      <xdr:rowOff>13609</xdr:rowOff>
    </xdr:from>
    <xdr:to>
      <xdr:col>11</xdr:col>
      <xdr:colOff>13607</xdr:colOff>
      <xdr:row>122</xdr:row>
      <xdr:rowOff>89809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13607</xdr:colOff>
      <xdr:row>95</xdr:row>
      <xdr:rowOff>176893</xdr:rowOff>
    </xdr:from>
    <xdr:to>
      <xdr:col>8</xdr:col>
      <xdr:colOff>408215</xdr:colOff>
      <xdr:row>106</xdr:row>
      <xdr:rowOff>95250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96</xdr:row>
      <xdr:rowOff>0</xdr:rowOff>
    </xdr:from>
    <xdr:to>
      <xdr:col>16</xdr:col>
      <xdr:colOff>394608</xdr:colOff>
      <xdr:row>106</xdr:row>
      <xdr:rowOff>108857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96</xdr:row>
      <xdr:rowOff>0</xdr:rowOff>
    </xdr:from>
    <xdr:to>
      <xdr:col>24</xdr:col>
      <xdr:colOff>394608</xdr:colOff>
      <xdr:row>106</xdr:row>
      <xdr:rowOff>108857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0</xdr:colOff>
      <xdr:row>96</xdr:row>
      <xdr:rowOff>0</xdr:rowOff>
    </xdr:from>
    <xdr:to>
      <xdr:col>32</xdr:col>
      <xdr:colOff>394608</xdr:colOff>
      <xdr:row>106</xdr:row>
      <xdr:rowOff>108857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27214</xdr:colOff>
      <xdr:row>108</xdr:row>
      <xdr:rowOff>13608</xdr:rowOff>
    </xdr:from>
    <xdr:to>
      <xdr:col>21</xdr:col>
      <xdr:colOff>16328</xdr:colOff>
      <xdr:row>122</xdr:row>
      <xdr:rowOff>89808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27214</xdr:colOff>
      <xdr:row>108</xdr:row>
      <xdr:rowOff>13608</xdr:rowOff>
    </xdr:from>
    <xdr:to>
      <xdr:col>31</xdr:col>
      <xdr:colOff>16328</xdr:colOff>
      <xdr:row>122</xdr:row>
      <xdr:rowOff>89808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517072</xdr:colOff>
      <xdr:row>27</xdr:row>
      <xdr:rowOff>2</xdr:rowOff>
    </xdr:from>
    <xdr:to>
      <xdr:col>8</xdr:col>
      <xdr:colOff>340179</xdr:colOff>
      <xdr:row>41</xdr:row>
      <xdr:rowOff>81644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27</xdr:row>
      <xdr:rowOff>0</xdr:rowOff>
    </xdr:from>
    <xdr:to>
      <xdr:col>16</xdr:col>
      <xdr:colOff>380999</xdr:colOff>
      <xdr:row>41</xdr:row>
      <xdr:rowOff>81642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408215</xdr:colOff>
      <xdr:row>26</xdr:row>
      <xdr:rowOff>176893</xdr:rowOff>
    </xdr:from>
    <xdr:to>
      <xdr:col>24</xdr:col>
      <xdr:colOff>408214</xdr:colOff>
      <xdr:row>41</xdr:row>
      <xdr:rowOff>68035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13608</xdr:colOff>
      <xdr:row>26</xdr:row>
      <xdr:rowOff>176893</xdr:rowOff>
    </xdr:from>
    <xdr:to>
      <xdr:col>33</xdr:col>
      <xdr:colOff>13607</xdr:colOff>
      <xdr:row>41</xdr:row>
      <xdr:rowOff>68035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571499</xdr:colOff>
      <xdr:row>135</xdr:row>
      <xdr:rowOff>13608</xdr:rowOff>
    </xdr:from>
    <xdr:to>
      <xdr:col>10</xdr:col>
      <xdr:colOff>394606</xdr:colOff>
      <xdr:row>149</xdr:row>
      <xdr:rowOff>95251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13607</xdr:colOff>
      <xdr:row>122</xdr:row>
      <xdr:rowOff>176893</xdr:rowOff>
    </xdr:from>
    <xdr:to>
      <xdr:col>8</xdr:col>
      <xdr:colOff>408215</xdr:colOff>
      <xdr:row>133</xdr:row>
      <xdr:rowOff>95250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123</xdr:row>
      <xdr:rowOff>0</xdr:rowOff>
    </xdr:from>
    <xdr:to>
      <xdr:col>16</xdr:col>
      <xdr:colOff>394608</xdr:colOff>
      <xdr:row>133</xdr:row>
      <xdr:rowOff>108857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123</xdr:row>
      <xdr:rowOff>0</xdr:rowOff>
    </xdr:from>
    <xdr:to>
      <xdr:col>24</xdr:col>
      <xdr:colOff>394608</xdr:colOff>
      <xdr:row>133</xdr:row>
      <xdr:rowOff>108857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0</xdr:colOff>
      <xdr:row>123</xdr:row>
      <xdr:rowOff>0</xdr:rowOff>
    </xdr:from>
    <xdr:to>
      <xdr:col>32</xdr:col>
      <xdr:colOff>394608</xdr:colOff>
      <xdr:row>133</xdr:row>
      <xdr:rowOff>108857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394607</xdr:colOff>
      <xdr:row>135</xdr:row>
      <xdr:rowOff>13608</xdr:rowOff>
    </xdr:from>
    <xdr:to>
      <xdr:col>20</xdr:col>
      <xdr:colOff>394608</xdr:colOff>
      <xdr:row>149</xdr:row>
      <xdr:rowOff>95251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394608</xdr:colOff>
      <xdr:row>135</xdr:row>
      <xdr:rowOff>13608</xdr:rowOff>
    </xdr:from>
    <xdr:to>
      <xdr:col>30</xdr:col>
      <xdr:colOff>394607</xdr:colOff>
      <xdr:row>149</xdr:row>
      <xdr:rowOff>95251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26</xdr:row>
      <xdr:rowOff>13607</xdr:rowOff>
    </xdr:from>
    <xdr:to>
      <xdr:col>8</xdr:col>
      <xdr:colOff>421822</xdr:colOff>
      <xdr:row>40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26</xdr:row>
      <xdr:rowOff>13607</xdr:rowOff>
    </xdr:from>
    <xdr:to>
      <xdr:col>17</xdr:col>
      <xdr:colOff>13606</xdr:colOff>
      <xdr:row>40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13606</xdr:colOff>
      <xdr:row>26</xdr:row>
      <xdr:rowOff>0</xdr:rowOff>
    </xdr:from>
    <xdr:to>
      <xdr:col>25</xdr:col>
      <xdr:colOff>27213</xdr:colOff>
      <xdr:row>40</xdr:row>
      <xdr:rowOff>81642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40820</xdr:colOff>
      <xdr:row>26</xdr:row>
      <xdr:rowOff>0</xdr:rowOff>
    </xdr:from>
    <xdr:to>
      <xdr:col>33</xdr:col>
      <xdr:colOff>54426</xdr:colOff>
      <xdr:row>40</xdr:row>
      <xdr:rowOff>81642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27212</xdr:colOff>
      <xdr:row>141</xdr:row>
      <xdr:rowOff>13606</xdr:rowOff>
    </xdr:from>
    <xdr:to>
      <xdr:col>11</xdr:col>
      <xdr:colOff>16326</xdr:colOff>
      <xdr:row>155</xdr:row>
      <xdr:rowOff>89806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13607</xdr:colOff>
      <xdr:row>128</xdr:row>
      <xdr:rowOff>176893</xdr:rowOff>
    </xdr:from>
    <xdr:to>
      <xdr:col>8</xdr:col>
      <xdr:colOff>408215</xdr:colOff>
      <xdr:row>139</xdr:row>
      <xdr:rowOff>95250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129</xdr:row>
      <xdr:rowOff>0</xdr:rowOff>
    </xdr:from>
    <xdr:to>
      <xdr:col>16</xdr:col>
      <xdr:colOff>394608</xdr:colOff>
      <xdr:row>139</xdr:row>
      <xdr:rowOff>108857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129</xdr:row>
      <xdr:rowOff>0</xdr:rowOff>
    </xdr:from>
    <xdr:to>
      <xdr:col>24</xdr:col>
      <xdr:colOff>394608</xdr:colOff>
      <xdr:row>139</xdr:row>
      <xdr:rowOff>108857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0</xdr:colOff>
      <xdr:row>129</xdr:row>
      <xdr:rowOff>0</xdr:rowOff>
    </xdr:from>
    <xdr:to>
      <xdr:col>32</xdr:col>
      <xdr:colOff>394608</xdr:colOff>
      <xdr:row>139</xdr:row>
      <xdr:rowOff>108857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27214</xdr:colOff>
      <xdr:row>141</xdr:row>
      <xdr:rowOff>13606</xdr:rowOff>
    </xdr:from>
    <xdr:to>
      <xdr:col>21</xdr:col>
      <xdr:colOff>16328</xdr:colOff>
      <xdr:row>155</xdr:row>
      <xdr:rowOff>89806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27215</xdr:colOff>
      <xdr:row>141</xdr:row>
      <xdr:rowOff>13606</xdr:rowOff>
    </xdr:from>
    <xdr:to>
      <xdr:col>31</xdr:col>
      <xdr:colOff>16329</xdr:colOff>
      <xdr:row>155</xdr:row>
      <xdr:rowOff>89806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598714</xdr:colOff>
      <xdr:row>2</xdr:row>
      <xdr:rowOff>176894</xdr:rowOff>
    </xdr:from>
    <xdr:to>
      <xdr:col>9</xdr:col>
      <xdr:colOff>598713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st.alsNpnt.29038.C3.PLED.Comp1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Calculations0"/>
      <sheetName val="Calculations1"/>
      <sheetName val="Calculations2"/>
      <sheetName val="Calculations3"/>
      <sheetName val="data0"/>
      <sheetName val="data1"/>
      <sheetName val="data2"/>
      <sheetName val="data3"/>
      <sheetName val="data4"/>
    </sheetNames>
    <sheetDataSet>
      <sheetData sheetId="0"/>
      <sheetData sheetId="1">
        <row r="2">
          <cell r="C2">
            <v>22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K23"/>
  <sheetViews>
    <sheetView tabSelected="1" zoomScale="70" zoomScaleNormal="70" workbookViewId="0">
      <selection activeCell="K3" sqref="K3"/>
    </sheetView>
  </sheetViews>
  <sheetFormatPr defaultRowHeight="15"/>
  <cols>
    <col min="1" max="1" width="9.140625" style="6"/>
    <col min="2" max="2" width="12.85546875" style="6" bestFit="1" customWidth="1"/>
    <col min="3" max="3" width="9.140625" style="19"/>
    <col min="4" max="5" width="9.140625" style="6"/>
    <col min="6" max="7" width="9.140625" style="6" customWidth="1"/>
    <col min="8" max="8" width="12.28515625" style="6" customWidth="1"/>
    <col min="9" max="9" width="10.42578125" style="6" customWidth="1"/>
    <col min="10" max="10" width="10.42578125" style="6" bestFit="1" customWidth="1"/>
    <col min="11" max="16384" width="9.140625" style="6"/>
  </cols>
  <sheetData>
    <row r="1" spans="1:11">
      <c r="A1" s="23"/>
      <c r="B1" s="23"/>
      <c r="C1" s="22"/>
      <c r="D1" s="23"/>
      <c r="E1" s="23"/>
      <c r="F1" s="23"/>
      <c r="G1" s="23"/>
      <c r="H1" s="23"/>
      <c r="I1" s="23"/>
      <c r="J1" s="23"/>
      <c r="K1" s="23"/>
    </row>
    <row r="2" spans="1:11" ht="15.75" thickBot="1">
      <c r="A2" s="23"/>
      <c r="B2" s="23"/>
      <c r="C2" s="22"/>
      <c r="D2" s="23"/>
      <c r="E2" s="23"/>
      <c r="F2" s="23"/>
      <c r="G2" s="23"/>
      <c r="H2" s="23"/>
      <c r="I2" s="23"/>
      <c r="J2" s="23"/>
      <c r="K2" s="23"/>
    </row>
    <row r="3" spans="1:11">
      <c r="A3" s="23"/>
      <c r="B3" s="24"/>
      <c r="C3" s="25" t="s">
        <v>4</v>
      </c>
      <c r="D3" s="25" t="s">
        <v>5</v>
      </c>
      <c r="E3" s="4" t="s">
        <v>27</v>
      </c>
      <c r="F3" s="26" t="s">
        <v>24</v>
      </c>
      <c r="G3" s="25" t="s">
        <v>25</v>
      </c>
      <c r="H3" s="23"/>
      <c r="I3" s="32" t="s">
        <v>32</v>
      </c>
      <c r="J3" s="23"/>
      <c r="K3" s="23"/>
    </row>
    <row r="4" spans="1:11" ht="15.75" thickBot="1">
      <c r="A4" s="23"/>
      <c r="B4" s="44" t="s">
        <v>2</v>
      </c>
      <c r="C4" s="25">
        <v>1</v>
      </c>
      <c r="D4" s="27" t="e">
        <f>data0!$AJ$29</f>
        <v>#DIV/0!</v>
      </c>
      <c r="E4" s="28" t="e">
        <f>ABS(D4-D$8)</f>
        <v>#DIV/0!</v>
      </c>
      <c r="F4" s="27" t="e">
        <f>data0!$AK$29</f>
        <v>#DIV/0!</v>
      </c>
      <c r="G4" s="27" t="e">
        <f>ABS(E4)+1.5*v_1</f>
        <v>#DIV/0!</v>
      </c>
      <c r="H4" s="23"/>
      <c r="I4" s="33">
        <v>0</v>
      </c>
      <c r="J4" s="23"/>
      <c r="K4" s="23"/>
    </row>
    <row r="5" spans="1:11">
      <c r="A5" s="23"/>
      <c r="B5" s="44"/>
      <c r="C5" s="25">
        <v>2</v>
      </c>
      <c r="D5" s="27" t="e">
        <f>data1!AJ29</f>
        <v>#DIV/0!</v>
      </c>
      <c r="E5" s="28" t="e">
        <f>ABS(D5-D$8)</f>
        <v>#DIV/0!</v>
      </c>
      <c r="F5" s="27" t="e">
        <f>data1!AK29</f>
        <v>#DIV/0!</v>
      </c>
      <c r="G5" s="27" t="e">
        <f>ABS(E5)+1.5*v_1</f>
        <v>#DIV/0!</v>
      </c>
      <c r="H5" s="23"/>
      <c r="J5" s="23"/>
      <c r="K5" s="23"/>
    </row>
    <row r="6" spans="1:11">
      <c r="A6" s="23"/>
      <c r="B6" s="44"/>
      <c r="C6" s="25">
        <v>3</v>
      </c>
      <c r="D6" s="27" t="e">
        <f>data2!$AJ$29</f>
        <v>#DIV/0!</v>
      </c>
      <c r="E6" s="28" t="e">
        <f>ABS(D6-D$8)</f>
        <v>#DIV/0!</v>
      </c>
      <c r="F6" s="27" t="e">
        <f>data2!$AK$29</f>
        <v>#DIV/0!</v>
      </c>
      <c r="G6" s="27" t="e">
        <f>ABS(E6)+1.5*v_1</f>
        <v>#DIV/0!</v>
      </c>
      <c r="H6" s="23"/>
      <c r="J6" s="23"/>
    </row>
    <row r="7" spans="1:11">
      <c r="A7" s="23"/>
      <c r="B7" s="44"/>
      <c r="C7" s="25">
        <v>4</v>
      </c>
      <c r="D7" s="27" t="e">
        <f>data3!AJ29</f>
        <v>#DIV/0!</v>
      </c>
      <c r="E7" s="28" t="e">
        <f>ABS(D7-D$8)</f>
        <v>#DIV/0!</v>
      </c>
      <c r="F7" s="27" t="e">
        <f>data3!AK29</f>
        <v>#DIV/0!</v>
      </c>
      <c r="G7" s="27" t="e">
        <f>ABS(E7)+1.5*v_1</f>
        <v>#DIV/0!</v>
      </c>
      <c r="H7" s="23"/>
      <c r="I7" s="23"/>
      <c r="J7" s="23"/>
    </row>
    <row r="8" spans="1:11">
      <c r="A8" s="23"/>
      <c r="B8" s="44"/>
      <c r="C8" s="25" t="s">
        <v>26</v>
      </c>
      <c r="D8" s="27" t="e">
        <f>AVERAGE(D4:D7)</f>
        <v>#DIV/0!</v>
      </c>
      <c r="E8" s="27" t="e">
        <f>MAX(E4:E7)</f>
        <v>#DIV/0!</v>
      </c>
      <c r="F8" s="27" t="e">
        <f>MAX(F4:F7)</f>
        <v>#DIV/0!</v>
      </c>
      <c r="G8" s="29" t="e">
        <f>MAX(G4:G7)</f>
        <v>#DIV/0!</v>
      </c>
      <c r="H8" s="23"/>
      <c r="I8" s="23"/>
      <c r="J8" s="9">
        <v>0</v>
      </c>
      <c r="K8" s="23"/>
    </row>
    <row r="9" spans="1:11">
      <c r="A9" s="23"/>
      <c r="B9" s="44" t="s">
        <v>3</v>
      </c>
      <c r="C9" s="25">
        <f>C4</f>
        <v>1</v>
      </c>
      <c r="D9" s="30">
        <f>data0!$AJ$30</f>
        <v>0</v>
      </c>
      <c r="E9" s="45"/>
      <c r="F9" s="30">
        <f>data0!$AK$30</f>
        <v>0</v>
      </c>
      <c r="G9" s="30">
        <f>ABS(D9)+1.5*F9</f>
        <v>0</v>
      </c>
      <c r="H9" s="23"/>
      <c r="I9" s="23"/>
      <c r="J9" s="9">
        <v>1</v>
      </c>
      <c r="K9" s="23"/>
    </row>
    <row r="10" spans="1:11">
      <c r="A10" s="23"/>
      <c r="B10" s="44"/>
      <c r="C10" s="25">
        <f t="shared" ref="C10:C18" si="0">C5</f>
        <v>2</v>
      </c>
      <c r="D10" s="30">
        <f>data1!AJ30</f>
        <v>0</v>
      </c>
      <c r="E10" s="46"/>
      <c r="F10" s="30">
        <f>data1!AK30</f>
        <v>0</v>
      </c>
      <c r="G10" s="30">
        <f t="shared" ref="G10:G17" si="1">ABS(D10)+1.5*F10</f>
        <v>0</v>
      </c>
      <c r="H10" s="23"/>
      <c r="I10" s="23"/>
      <c r="J10" s="23"/>
      <c r="K10" s="23"/>
    </row>
    <row r="11" spans="1:11">
      <c r="A11" s="23"/>
      <c r="B11" s="44"/>
      <c r="C11" s="25">
        <f t="shared" si="0"/>
        <v>3</v>
      </c>
      <c r="D11" s="30">
        <f>data2!$AJ$30</f>
        <v>0</v>
      </c>
      <c r="E11" s="46"/>
      <c r="F11" s="30">
        <f>data2!$AK$30</f>
        <v>0</v>
      </c>
      <c r="G11" s="30">
        <f t="shared" si="1"/>
        <v>0</v>
      </c>
      <c r="H11" s="23"/>
      <c r="I11" s="23"/>
      <c r="J11" s="23"/>
      <c r="K11" s="23"/>
    </row>
    <row r="12" spans="1:11">
      <c r="A12" s="23"/>
      <c r="B12" s="44"/>
      <c r="C12" s="25">
        <f t="shared" si="0"/>
        <v>4</v>
      </c>
      <c r="D12" s="30">
        <f>data3!AJ73</f>
        <v>0</v>
      </c>
      <c r="E12" s="46"/>
      <c r="F12" s="30">
        <f>data3!AH73</f>
        <v>0</v>
      </c>
      <c r="G12" s="30">
        <f t="shared" si="1"/>
        <v>0</v>
      </c>
      <c r="H12" s="23"/>
      <c r="I12" s="23"/>
      <c r="J12" s="23"/>
      <c r="K12" s="23"/>
    </row>
    <row r="13" spans="1:11">
      <c r="A13" s="23"/>
      <c r="B13" s="44"/>
      <c r="C13" s="25" t="str">
        <f t="shared" si="0"/>
        <v>All</v>
      </c>
      <c r="D13" s="30">
        <f>MAX(ABS(D9),ABS(D10),ABS(D11),ABS(D12))</f>
        <v>0</v>
      </c>
      <c r="E13" s="46"/>
      <c r="F13" s="30">
        <f>MAX(F9:F12)</f>
        <v>0</v>
      </c>
      <c r="G13" s="31">
        <f>MAX(G9:G12)</f>
        <v>0</v>
      </c>
      <c r="H13" s="23"/>
      <c r="I13" s="23"/>
      <c r="J13" s="23"/>
      <c r="K13" s="23"/>
    </row>
    <row r="14" spans="1:11">
      <c r="A14" s="23"/>
      <c r="B14" s="44" t="s">
        <v>28</v>
      </c>
      <c r="C14" s="25">
        <f>C9</f>
        <v>1</v>
      </c>
      <c r="D14" s="40">
        <f>data0!$AJ$31</f>
        <v>0</v>
      </c>
      <c r="E14" s="46"/>
      <c r="F14" s="40">
        <f>data0!$AK$31</f>
        <v>0</v>
      </c>
      <c r="G14" s="40">
        <f t="shared" si="1"/>
        <v>0</v>
      </c>
      <c r="H14" s="23"/>
      <c r="I14" s="23"/>
      <c r="J14" s="23"/>
      <c r="K14" s="23"/>
    </row>
    <row r="15" spans="1:11">
      <c r="A15" s="23"/>
      <c r="B15" s="44"/>
      <c r="C15" s="25">
        <f t="shared" si="0"/>
        <v>2</v>
      </c>
      <c r="D15" s="40">
        <f>data1!AJ31</f>
        <v>0</v>
      </c>
      <c r="E15" s="46"/>
      <c r="F15" s="40">
        <f>data1!AK31</f>
        <v>0</v>
      </c>
      <c r="G15" s="40">
        <f t="shared" si="1"/>
        <v>0</v>
      </c>
      <c r="H15" s="23"/>
      <c r="I15" s="23"/>
      <c r="J15" s="23"/>
      <c r="K15" s="23"/>
    </row>
    <row r="16" spans="1:11">
      <c r="A16" s="23"/>
      <c r="B16" s="44"/>
      <c r="C16" s="25">
        <f t="shared" si="0"/>
        <v>3</v>
      </c>
      <c r="D16" s="40">
        <f>data2!$AJ$31</f>
        <v>0</v>
      </c>
      <c r="E16" s="46"/>
      <c r="F16" s="40">
        <f>data2!$AK$31</f>
        <v>0</v>
      </c>
      <c r="G16" s="40">
        <f t="shared" si="1"/>
        <v>0</v>
      </c>
      <c r="H16" s="23"/>
      <c r="I16" s="23"/>
      <c r="J16" s="23"/>
      <c r="K16" s="23"/>
    </row>
    <row r="17" spans="1:11">
      <c r="A17" s="23"/>
      <c r="B17" s="44"/>
      <c r="C17" s="25">
        <f t="shared" si="0"/>
        <v>4</v>
      </c>
      <c r="D17" s="40">
        <f>data3!AJ31</f>
        <v>0</v>
      </c>
      <c r="E17" s="46"/>
      <c r="F17" s="40">
        <f>data3!AK31</f>
        <v>0</v>
      </c>
      <c r="G17" s="40">
        <f t="shared" si="1"/>
        <v>0</v>
      </c>
      <c r="H17" s="23"/>
      <c r="I17" s="23"/>
      <c r="J17" s="23"/>
      <c r="K17" s="23"/>
    </row>
    <row r="18" spans="1:11">
      <c r="A18" s="23"/>
      <c r="B18" s="44"/>
      <c r="C18" s="25" t="str">
        <f t="shared" si="0"/>
        <v>All</v>
      </c>
      <c r="D18" s="40">
        <f>MAX(D14:D17)</f>
        <v>0</v>
      </c>
      <c r="E18" s="47"/>
      <c r="F18" s="40">
        <f>MAX(F14:F17)</f>
        <v>0</v>
      </c>
      <c r="G18" s="41">
        <f>MAX(G14:G17)</f>
        <v>0</v>
      </c>
      <c r="H18" s="23"/>
      <c r="I18" s="23"/>
      <c r="J18" s="23"/>
      <c r="K18" s="23"/>
    </row>
    <row r="19" spans="1:11">
      <c r="A19" s="23"/>
      <c r="B19" s="23"/>
      <c r="C19" s="22"/>
      <c r="D19" s="23"/>
      <c r="E19" s="23"/>
      <c r="F19" s="23"/>
      <c r="G19" s="23"/>
      <c r="H19" s="23"/>
      <c r="I19" s="23"/>
      <c r="J19" s="23"/>
      <c r="K19" s="23"/>
    </row>
    <row r="20" spans="1:11">
      <c r="A20" s="23"/>
      <c r="B20" s="23"/>
      <c r="C20" s="22"/>
      <c r="D20" s="23"/>
      <c r="E20" s="23"/>
      <c r="F20" s="23"/>
      <c r="G20" s="23"/>
      <c r="H20" s="23"/>
      <c r="I20" s="23"/>
      <c r="J20" s="23"/>
      <c r="K20" s="23"/>
    </row>
    <row r="21" spans="1:11">
      <c r="A21" s="23"/>
      <c r="B21" s="42" t="s">
        <v>36</v>
      </c>
      <c r="C21" s="43">
        <v>11</v>
      </c>
      <c r="D21" s="23"/>
      <c r="E21" s="23"/>
      <c r="F21" s="23"/>
      <c r="G21" s="23"/>
      <c r="H21" s="23"/>
      <c r="I21" s="23"/>
      <c r="J21" s="23"/>
      <c r="K21" s="23"/>
    </row>
    <row r="22" spans="1:11">
      <c r="A22" s="23"/>
      <c r="B22" s="23"/>
      <c r="C22" s="22"/>
      <c r="D22" s="23"/>
      <c r="E22" s="23"/>
      <c r="F22" s="23"/>
      <c r="G22" s="23"/>
      <c r="H22" s="23"/>
      <c r="I22" s="23"/>
      <c r="J22" s="23"/>
      <c r="K22" s="23"/>
    </row>
    <row r="23" spans="1:11">
      <c r="A23" s="23"/>
      <c r="B23" s="23"/>
      <c r="C23" s="22"/>
      <c r="D23" s="23"/>
      <c r="E23" s="23"/>
      <c r="F23" s="23"/>
      <c r="G23" s="23"/>
      <c r="H23" s="23"/>
      <c r="I23" s="23"/>
      <c r="J23" s="23"/>
      <c r="K23" s="23"/>
    </row>
  </sheetData>
  <mergeCells count="4">
    <mergeCell ref="B4:B8"/>
    <mergeCell ref="B9:B13"/>
    <mergeCell ref="B14:B18"/>
    <mergeCell ref="E9:E18"/>
  </mergeCells>
  <dataValidations count="1">
    <dataValidation type="list" allowBlank="1" showInputMessage="1" showErrorMessage="1" sqref="I4">
      <formula1>$J$8:$J$9</formula1>
    </dataValidation>
  </dataValidations>
  <pageMargins left="0.7" right="0.7" top="0.75" bottom="0.75" header="0.3" footer="0.3"/>
  <pageSetup orientation="portrait" r:id="rId1"/>
  <ignoredErrors>
    <ignoredError sqref="G13" 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P83"/>
  <sheetViews>
    <sheetView zoomScale="60" zoomScaleNormal="60" workbookViewId="0">
      <selection activeCell="B2" sqref="B2:AG26"/>
    </sheetView>
  </sheetViews>
  <sheetFormatPr defaultRowHeight="15"/>
  <cols>
    <col min="2" max="33" width="6.5703125" customWidth="1"/>
    <col min="34" max="34" width="7.7109375" customWidth="1"/>
    <col min="35" max="35" width="9.7109375" customWidth="1"/>
    <col min="36" max="36" width="7.5703125" customWidth="1"/>
    <col min="37" max="37" width="7.28515625" customWidth="1"/>
    <col min="38" max="38" width="6.5703125" style="9" customWidth="1"/>
  </cols>
  <sheetData>
    <row r="1" spans="1:42">
      <c r="B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 s="5" t="s">
        <v>13</v>
      </c>
      <c r="AI1" s="15" t="s">
        <v>22</v>
      </c>
      <c r="AJ1" s="5" t="s">
        <v>14</v>
      </c>
      <c r="AK1" s="15" t="s">
        <v>23</v>
      </c>
      <c r="AL1" s="18" t="s">
        <v>19</v>
      </c>
      <c r="AM1" s="17" t="str">
        <f>AI1</f>
        <v>-1.5σ</v>
      </c>
      <c r="AN1" s="17" t="str">
        <f t="shared" ref="AN1:AO1" si="1">AJ1</f>
        <v>MEAN</v>
      </c>
      <c r="AO1" s="17" t="str">
        <f t="shared" si="1"/>
        <v>+1.5σ</v>
      </c>
      <c r="AP1" s="18" t="s">
        <v>20</v>
      </c>
    </row>
    <row r="2" spans="1:42">
      <c r="A2">
        <f>data4!L2</f>
        <v>3007.1739501953125</v>
      </c>
      <c r="B2" s="10"/>
      <c r="C2" s="10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t="e">
        <f>STDEV(B2:AG2)</f>
        <v>#DIV/0!</v>
      </c>
      <c r="AI2" t="e">
        <f>AJ2-1.5*AH2</f>
        <v>#DIV/0!</v>
      </c>
      <c r="AJ2" s="1" t="e">
        <f>AVERAGE(B2:AG2)</f>
        <v>#DIV/0!</v>
      </c>
      <c r="AK2" t="e">
        <f>AJ2+1.5*AH2</f>
        <v>#DIV/0!</v>
      </c>
      <c r="AL2" s="10">
        <f>MAX(B2:AG2)</f>
        <v>0</v>
      </c>
      <c r="AP2" s="18" t="s">
        <v>4</v>
      </c>
    </row>
    <row r="3" spans="1:42">
      <c r="A3" s="3">
        <f>data4!L3</f>
        <v>2440.1146484374999</v>
      </c>
      <c r="B3" s="10"/>
      <c r="C3" s="10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3" t="e">
        <f t="shared" ref="AH3:AH26" si="2">STDEV(B3:AG3)</f>
        <v>#DIV/0!</v>
      </c>
      <c r="AI3" s="3" t="e">
        <f t="shared" ref="AI3:AI26" si="3">AJ3-1.5*AH3</f>
        <v>#DIV/0!</v>
      </c>
      <c r="AJ3" s="1" t="e">
        <f t="shared" ref="AJ3:AJ26" si="4">AVERAGE(B3:AG3)</f>
        <v>#DIV/0!</v>
      </c>
      <c r="AK3" s="3" t="e">
        <f t="shared" ref="AK3:AK26" si="5">AJ3+1.5*AH3</f>
        <v>#DIV/0!</v>
      </c>
      <c r="AL3" s="10">
        <f t="shared" ref="AL3:AL26" si="6">MAX(B3:AG3)</f>
        <v>0</v>
      </c>
      <c r="AP3" s="18" t="s">
        <v>18</v>
      </c>
    </row>
    <row r="4" spans="1:42">
      <c r="A4" s="3">
        <f>data4!L4</f>
        <v>1996.1750244140626</v>
      </c>
      <c r="B4" s="10"/>
      <c r="C4" s="10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3" t="e">
        <f t="shared" si="2"/>
        <v>#DIV/0!</v>
      </c>
      <c r="AI4" s="3" t="e">
        <f t="shared" si="3"/>
        <v>#DIV/0!</v>
      </c>
      <c r="AJ4" s="1" t="e">
        <f t="shared" si="4"/>
        <v>#DIV/0!</v>
      </c>
      <c r="AK4" s="3" t="e">
        <f t="shared" si="5"/>
        <v>#DIV/0!</v>
      </c>
      <c r="AL4" s="10">
        <f t="shared" si="6"/>
        <v>0</v>
      </c>
      <c r="AP4" s="18" t="s">
        <v>6</v>
      </c>
    </row>
    <row r="5" spans="1:42">
      <c r="A5" s="3">
        <f>data4!L5</f>
        <v>1659.095166015625</v>
      </c>
      <c r="B5" s="10"/>
      <c r="C5" s="10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3" t="e">
        <f t="shared" si="2"/>
        <v>#DIV/0!</v>
      </c>
      <c r="AI5" s="3" t="e">
        <f t="shared" si="3"/>
        <v>#DIV/0!</v>
      </c>
      <c r="AJ5" s="1" t="e">
        <f t="shared" si="4"/>
        <v>#DIV/0!</v>
      </c>
      <c r="AK5" s="3" t="e">
        <f t="shared" si="5"/>
        <v>#DIV/0!</v>
      </c>
      <c r="AL5" s="10">
        <f t="shared" si="6"/>
        <v>0</v>
      </c>
    </row>
    <row r="6" spans="1:42">
      <c r="A6" s="3">
        <f>data4!L6</f>
        <v>1234.2751586914062</v>
      </c>
      <c r="B6" s="10"/>
      <c r="C6" s="10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3" t="e">
        <f t="shared" si="2"/>
        <v>#DIV/0!</v>
      </c>
      <c r="AI6" s="3" t="e">
        <f t="shared" si="3"/>
        <v>#DIV/0!</v>
      </c>
      <c r="AJ6" s="1" t="e">
        <f t="shared" si="4"/>
        <v>#DIV/0!</v>
      </c>
      <c r="AK6" s="3" t="e">
        <f t="shared" si="5"/>
        <v>#DIV/0!</v>
      </c>
      <c r="AL6" s="10">
        <f t="shared" si="6"/>
        <v>0</v>
      </c>
    </row>
    <row r="7" spans="1:42">
      <c r="A7" s="3">
        <f>data4!L7</f>
        <v>924.54020385742183</v>
      </c>
      <c r="B7" s="10"/>
      <c r="C7" s="10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3" t="e">
        <f t="shared" si="2"/>
        <v>#DIV/0!</v>
      </c>
      <c r="AI7" s="3" t="e">
        <f t="shared" si="3"/>
        <v>#DIV/0!</v>
      </c>
      <c r="AJ7" s="1" t="e">
        <f t="shared" si="4"/>
        <v>#DIV/0!</v>
      </c>
      <c r="AK7" s="3" t="e">
        <f t="shared" si="5"/>
        <v>#DIV/0!</v>
      </c>
      <c r="AL7" s="10">
        <f t="shared" si="6"/>
        <v>0</v>
      </c>
    </row>
    <row r="8" spans="1:42">
      <c r="A8" s="3">
        <f>data4!L8</f>
        <v>761.20014648437495</v>
      </c>
      <c r="B8" s="10"/>
      <c r="C8" s="10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" t="e">
        <f t="shared" si="2"/>
        <v>#DIV/0!</v>
      </c>
      <c r="AI8" s="3" t="e">
        <f t="shared" si="3"/>
        <v>#DIV/0!</v>
      </c>
      <c r="AJ8" s="1" t="e">
        <f t="shared" si="4"/>
        <v>#DIV/0!</v>
      </c>
      <c r="AK8" s="3" t="e">
        <f t="shared" si="5"/>
        <v>#DIV/0!</v>
      </c>
      <c r="AL8" s="10">
        <f t="shared" si="6"/>
        <v>0</v>
      </c>
    </row>
    <row r="9" spans="1:42">
      <c r="A9" s="3">
        <f>data4!L9</f>
        <v>618.7050842285156</v>
      </c>
      <c r="B9" s="10"/>
      <c r="C9" s="10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3" t="e">
        <f t="shared" si="2"/>
        <v>#DIV/0!</v>
      </c>
      <c r="AI9" s="3" t="e">
        <f t="shared" si="3"/>
        <v>#DIV/0!</v>
      </c>
      <c r="AJ9" s="1" t="e">
        <f t="shared" si="4"/>
        <v>#DIV/0!</v>
      </c>
      <c r="AK9" s="3" t="e">
        <f t="shared" si="5"/>
        <v>#DIV/0!</v>
      </c>
      <c r="AL9" s="10">
        <f t="shared" si="6"/>
        <v>0</v>
      </c>
    </row>
    <row r="10" spans="1:42">
      <c r="A10" s="3">
        <f>data4!L10</f>
        <v>506.39999389648438</v>
      </c>
      <c r="B10" s="10"/>
      <c r="C10" s="10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3" t="e">
        <f t="shared" si="2"/>
        <v>#DIV/0!</v>
      </c>
      <c r="AI10" s="3" t="e">
        <f t="shared" si="3"/>
        <v>#DIV/0!</v>
      </c>
      <c r="AJ10" s="1" t="e">
        <f t="shared" si="4"/>
        <v>#DIV/0!</v>
      </c>
      <c r="AK10" s="3" t="e">
        <f t="shared" si="5"/>
        <v>#DIV/0!</v>
      </c>
      <c r="AL10" s="10">
        <f t="shared" si="6"/>
        <v>0</v>
      </c>
    </row>
    <row r="11" spans="1:42">
      <c r="A11" s="3">
        <f>data4!L11</f>
        <v>421.14996337890625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3" t="e">
        <f t="shared" si="2"/>
        <v>#DIV/0!</v>
      </c>
      <c r="AI11" s="3" t="e">
        <f t="shared" si="3"/>
        <v>#DIV/0!</v>
      </c>
      <c r="AJ11" s="1" t="e">
        <f t="shared" si="4"/>
        <v>#DIV/0!</v>
      </c>
      <c r="AK11" s="3" t="e">
        <f t="shared" si="5"/>
        <v>#DIV/0!</v>
      </c>
      <c r="AL11" s="10">
        <f t="shared" si="6"/>
        <v>0</v>
      </c>
    </row>
    <row r="12" spans="1:42">
      <c r="A12" s="3">
        <f>data4!L12</f>
        <v>313.39996337890625</v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3" t="e">
        <f t="shared" si="2"/>
        <v>#DIV/0!</v>
      </c>
      <c r="AI12" s="3" t="e">
        <f t="shared" si="3"/>
        <v>#DIV/0!</v>
      </c>
      <c r="AJ12" s="1" t="e">
        <f t="shared" si="4"/>
        <v>#DIV/0!</v>
      </c>
      <c r="AK12" s="3" t="e">
        <f t="shared" si="5"/>
        <v>#DIV/0!</v>
      </c>
      <c r="AL12" s="10">
        <f t="shared" si="6"/>
        <v>0</v>
      </c>
    </row>
    <row r="13" spans="1:42">
      <c r="A13" s="3">
        <f>data4!L13</f>
        <v>283.35547790527346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3" t="e">
        <f t="shared" si="2"/>
        <v>#DIV/0!</v>
      </c>
      <c r="AI13" s="3" t="e">
        <f t="shared" si="3"/>
        <v>#DIV/0!</v>
      </c>
      <c r="AJ13" s="1" t="e">
        <f t="shared" si="4"/>
        <v>#DIV/0!</v>
      </c>
      <c r="AK13" s="3" t="e">
        <f t="shared" si="5"/>
        <v>#DIV/0!</v>
      </c>
      <c r="AL13" s="10">
        <f t="shared" si="6"/>
        <v>0</v>
      </c>
    </row>
    <row r="14" spans="1:42">
      <c r="A14" s="3">
        <f>data4!L14</f>
        <v>233.5469970703125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3" t="e">
        <f t="shared" si="2"/>
        <v>#DIV/0!</v>
      </c>
      <c r="AI14" s="3" t="e">
        <f t="shared" si="3"/>
        <v>#DIV/0!</v>
      </c>
      <c r="AJ14" s="1" t="e">
        <f t="shared" si="4"/>
        <v>#DIV/0!</v>
      </c>
      <c r="AK14" s="3" t="e">
        <f t="shared" si="5"/>
        <v>#DIV/0!</v>
      </c>
      <c r="AL14" s="10">
        <f t="shared" si="6"/>
        <v>0</v>
      </c>
    </row>
    <row r="15" spans="1:42">
      <c r="A15" s="3">
        <f>data4!L15</f>
        <v>188.09650726318358</v>
      </c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3" t="e">
        <f t="shared" si="2"/>
        <v>#DIV/0!</v>
      </c>
      <c r="AI15" s="3" t="e">
        <f t="shared" si="3"/>
        <v>#DIV/0!</v>
      </c>
      <c r="AJ15" s="1" t="e">
        <f t="shared" si="4"/>
        <v>#DIV/0!</v>
      </c>
      <c r="AK15" s="3" t="e">
        <f t="shared" si="5"/>
        <v>#DIV/0!</v>
      </c>
      <c r="AL15" s="10">
        <f t="shared" si="6"/>
        <v>0</v>
      </c>
    </row>
    <row r="16" spans="1:42">
      <c r="A16" s="3">
        <f>data4!L16</f>
        <v>156.44500579833985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3" t="e">
        <f t="shared" si="2"/>
        <v>#DIV/0!</v>
      </c>
      <c r="AI16" s="3" t="e">
        <f t="shared" si="3"/>
        <v>#DIV/0!</v>
      </c>
      <c r="AJ16" s="1" t="e">
        <f t="shared" si="4"/>
        <v>#DIV/0!</v>
      </c>
      <c r="AK16" s="3" t="e">
        <f t="shared" si="5"/>
        <v>#DIV/0!</v>
      </c>
      <c r="AL16" s="10">
        <f t="shared" si="6"/>
        <v>0</v>
      </c>
    </row>
    <row r="17" spans="1:42">
      <c r="A17" s="3">
        <f>data4!L17</f>
        <v>116.47100143432617</v>
      </c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3" t="e">
        <f t="shared" si="2"/>
        <v>#DIV/0!</v>
      </c>
      <c r="AI17" s="3" t="e">
        <f t="shared" si="3"/>
        <v>#DIV/0!</v>
      </c>
      <c r="AJ17" s="1" t="e">
        <f t="shared" si="4"/>
        <v>#DIV/0!</v>
      </c>
      <c r="AK17" s="3" t="e">
        <f t="shared" si="5"/>
        <v>#DIV/0!</v>
      </c>
      <c r="AL17" s="10">
        <f t="shared" si="6"/>
        <v>0</v>
      </c>
      <c r="AM17" s="9" t="e">
        <f t="shared" ref="AM17:AM18" si="7">AI17*mult</f>
        <v>#DIV/0!</v>
      </c>
      <c r="AN17" s="9" t="e">
        <f t="shared" ref="AN17:AN18" si="8">AJ17*mult</f>
        <v>#DIV/0!</v>
      </c>
      <c r="AO17" s="9" t="e">
        <f t="shared" ref="AO17:AO18" si="9">AK17*mult</f>
        <v>#DIV/0!</v>
      </c>
    </row>
    <row r="18" spans="1:42">
      <c r="A18" s="3">
        <f>data4!L18</f>
        <v>87.306494903564456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3" t="e">
        <f t="shared" si="2"/>
        <v>#DIV/0!</v>
      </c>
      <c r="AI18" s="3" t="e">
        <f t="shared" si="3"/>
        <v>#DIV/0!</v>
      </c>
      <c r="AJ18" s="1" t="e">
        <f t="shared" si="4"/>
        <v>#DIV/0!</v>
      </c>
      <c r="AK18" s="3" t="e">
        <f t="shared" si="5"/>
        <v>#DIV/0!</v>
      </c>
      <c r="AL18" s="10">
        <f t="shared" si="6"/>
        <v>0</v>
      </c>
      <c r="AM18" s="9" t="e">
        <f t="shared" si="7"/>
        <v>#DIV/0!</v>
      </c>
      <c r="AN18" s="9" t="e">
        <f t="shared" si="8"/>
        <v>#DIV/0!</v>
      </c>
      <c r="AO18" s="9" t="e">
        <f t="shared" si="9"/>
        <v>#DIV/0!</v>
      </c>
    </row>
    <row r="19" spans="1:42">
      <c r="A19" s="3">
        <f>data4!L19</f>
        <v>21.315652084350585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3" t="e">
        <f t="shared" si="2"/>
        <v>#DIV/0!</v>
      </c>
      <c r="AI19" s="3" t="e">
        <f t="shared" si="3"/>
        <v>#DIV/0!</v>
      </c>
      <c r="AJ19" s="1" t="e">
        <f t="shared" si="4"/>
        <v>#DIV/0!</v>
      </c>
      <c r="AK19" s="3" t="e">
        <f t="shared" si="5"/>
        <v>#DIV/0!</v>
      </c>
      <c r="AL19" s="10">
        <f t="shared" si="6"/>
        <v>0</v>
      </c>
      <c r="AM19" t="e">
        <f t="shared" ref="AM19:AO26" si="10">AI19*mult</f>
        <v>#DIV/0!</v>
      </c>
      <c r="AN19" s="9" t="e">
        <f t="shared" si="10"/>
        <v>#DIV/0!</v>
      </c>
      <c r="AO19" s="9" t="e">
        <f t="shared" si="10"/>
        <v>#DIV/0!</v>
      </c>
    </row>
    <row r="20" spans="1:42">
      <c r="A20" s="3">
        <f>data4!L20</f>
        <v>17.340450096130372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3" t="e">
        <f t="shared" si="2"/>
        <v>#DIV/0!</v>
      </c>
      <c r="AI20" s="3" t="e">
        <f t="shared" si="3"/>
        <v>#DIV/0!</v>
      </c>
      <c r="AJ20" s="1" t="e">
        <f t="shared" si="4"/>
        <v>#DIV/0!</v>
      </c>
      <c r="AK20" s="3" t="e">
        <f t="shared" si="5"/>
        <v>#DIV/0!</v>
      </c>
      <c r="AL20" s="10">
        <f t="shared" si="6"/>
        <v>0</v>
      </c>
      <c r="AM20" s="9" t="e">
        <f t="shared" si="10"/>
        <v>#DIV/0!</v>
      </c>
      <c r="AN20" s="9" t="e">
        <f t="shared" si="10"/>
        <v>#DIV/0!</v>
      </c>
      <c r="AO20" s="9" t="e">
        <f t="shared" si="10"/>
        <v>#DIV/0!</v>
      </c>
    </row>
    <row r="21" spans="1:42">
      <c r="A21" s="3">
        <f>data4!L21</f>
        <v>14.188851261138916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3" t="e">
        <f t="shared" si="2"/>
        <v>#DIV/0!</v>
      </c>
      <c r="AI21" s="3" t="e">
        <f t="shared" si="3"/>
        <v>#DIV/0!</v>
      </c>
      <c r="AJ21" s="1" t="e">
        <f t="shared" si="4"/>
        <v>#DIV/0!</v>
      </c>
      <c r="AK21" s="3" t="e">
        <f t="shared" si="5"/>
        <v>#DIV/0!</v>
      </c>
      <c r="AL21" s="10">
        <f t="shared" si="6"/>
        <v>0</v>
      </c>
      <c r="AM21" s="9" t="e">
        <f t="shared" si="10"/>
        <v>#DIV/0!</v>
      </c>
      <c r="AN21" s="9" t="e">
        <f t="shared" si="10"/>
        <v>#DIV/0!</v>
      </c>
      <c r="AO21" s="9" t="e">
        <f t="shared" si="10"/>
        <v>#DIV/0!</v>
      </c>
    </row>
    <row r="22" spans="1:42">
      <c r="A22" s="3">
        <f>data4!L22</f>
        <v>11.795599174499511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3" t="e">
        <f t="shared" si="2"/>
        <v>#DIV/0!</v>
      </c>
      <c r="AI22" s="3" t="e">
        <f t="shared" si="3"/>
        <v>#DIV/0!</v>
      </c>
      <c r="AJ22" s="1" t="e">
        <f t="shared" si="4"/>
        <v>#DIV/0!</v>
      </c>
      <c r="AK22" s="3" t="e">
        <f t="shared" si="5"/>
        <v>#DIV/0!</v>
      </c>
      <c r="AL22" s="10">
        <f t="shared" si="6"/>
        <v>0</v>
      </c>
      <c r="AM22" s="9" t="e">
        <f t="shared" si="10"/>
        <v>#DIV/0!</v>
      </c>
      <c r="AN22" s="9" t="e">
        <f t="shared" si="10"/>
        <v>#DIV/0!</v>
      </c>
      <c r="AO22" s="9" t="e">
        <f t="shared" si="10"/>
        <v>#DIV/0!</v>
      </c>
    </row>
    <row r="23" spans="1:42">
      <c r="A23" s="3">
        <f>data4!L23</f>
        <v>8.797748947143555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3" t="e">
        <f t="shared" si="2"/>
        <v>#DIV/0!</v>
      </c>
      <c r="AI23" s="3" t="e">
        <f t="shared" si="3"/>
        <v>#DIV/0!</v>
      </c>
      <c r="AJ23" s="1" t="e">
        <f t="shared" si="4"/>
        <v>#DIV/0!</v>
      </c>
      <c r="AK23" s="3" t="e">
        <f t="shared" si="5"/>
        <v>#DIV/0!</v>
      </c>
      <c r="AL23" s="10">
        <f t="shared" si="6"/>
        <v>0</v>
      </c>
      <c r="AM23" s="9" t="e">
        <f t="shared" si="10"/>
        <v>#DIV/0!</v>
      </c>
      <c r="AN23" s="9" t="e">
        <f t="shared" si="10"/>
        <v>#DIV/0!</v>
      </c>
      <c r="AO23" s="9" t="e">
        <f t="shared" si="10"/>
        <v>#DIV/0!</v>
      </c>
    </row>
    <row r="24" spans="1:42">
      <c r="A24" s="3">
        <f>data4!L24</f>
        <v>6.5973999023437502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3" t="e">
        <f t="shared" si="2"/>
        <v>#DIV/0!</v>
      </c>
      <c r="AI24" s="3" t="e">
        <f t="shared" si="3"/>
        <v>#DIV/0!</v>
      </c>
      <c r="AJ24" s="1" t="e">
        <f t="shared" si="4"/>
        <v>#DIV/0!</v>
      </c>
      <c r="AK24" s="3" t="e">
        <f t="shared" si="5"/>
        <v>#DIV/0!</v>
      </c>
      <c r="AL24" s="10">
        <f t="shared" si="6"/>
        <v>0</v>
      </c>
      <c r="AM24" s="9" t="e">
        <f t="shared" si="10"/>
        <v>#DIV/0!</v>
      </c>
      <c r="AN24" s="9" t="e">
        <f t="shared" si="10"/>
        <v>#DIV/0!</v>
      </c>
      <c r="AO24" s="9" t="e">
        <f t="shared" si="10"/>
        <v>#DIV/0!</v>
      </c>
    </row>
    <row r="25" spans="1:42">
      <c r="A25" s="3">
        <f>data4!L25</f>
        <v>2.3447998762130737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3" t="e">
        <f t="shared" si="2"/>
        <v>#DIV/0!</v>
      </c>
      <c r="AI25" s="3" t="e">
        <f t="shared" si="3"/>
        <v>#DIV/0!</v>
      </c>
      <c r="AJ25" s="1" t="e">
        <f t="shared" si="4"/>
        <v>#DIV/0!</v>
      </c>
      <c r="AK25" s="3" t="e">
        <f t="shared" si="5"/>
        <v>#DIV/0!</v>
      </c>
      <c r="AL25" s="10">
        <f t="shared" si="6"/>
        <v>0</v>
      </c>
      <c r="AM25" s="9" t="e">
        <f t="shared" si="10"/>
        <v>#DIV/0!</v>
      </c>
      <c r="AN25" s="9" t="e">
        <f t="shared" si="10"/>
        <v>#DIV/0!</v>
      </c>
      <c r="AO25" s="9" t="e">
        <f t="shared" si="10"/>
        <v>#DIV/0!</v>
      </c>
    </row>
    <row r="26" spans="1:42">
      <c r="A26" s="3">
        <f>data4!L26</f>
        <v>1.9071000814437866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3" t="e">
        <f t="shared" si="2"/>
        <v>#DIV/0!</v>
      </c>
      <c r="AI26" s="3" t="e">
        <f t="shared" si="3"/>
        <v>#DIV/0!</v>
      </c>
      <c r="AJ26" s="1" t="e">
        <f t="shared" si="4"/>
        <v>#DIV/0!</v>
      </c>
      <c r="AK26" s="3" t="e">
        <f t="shared" si="5"/>
        <v>#DIV/0!</v>
      </c>
      <c r="AL26" s="10">
        <f t="shared" si="6"/>
        <v>0</v>
      </c>
      <c r="AM26" s="9" t="e">
        <f t="shared" si="10"/>
        <v>#DIV/0!</v>
      </c>
      <c r="AN26" s="9" t="e">
        <f t="shared" si="10"/>
        <v>#DIV/0!</v>
      </c>
      <c r="AO26" s="9" t="e">
        <f t="shared" si="10"/>
        <v>#DIV/0!</v>
      </c>
    </row>
    <row r="27" spans="1:42">
      <c r="A27" s="3"/>
    </row>
    <row r="28" spans="1:42">
      <c r="AI28" s="9"/>
      <c r="AJ28" s="9" t="s">
        <v>5</v>
      </c>
      <c r="AK28" s="34" t="s">
        <v>24</v>
      </c>
      <c r="AL28" s="36" t="str">
        <f>data0!AP1</f>
        <v>Mult</v>
      </c>
      <c r="AM28" s="21">
        <v>0.5</v>
      </c>
      <c r="AN28" s="36" t="str">
        <f>data0!AP2</f>
        <v>Range</v>
      </c>
      <c r="AO28" s="21">
        <v>1</v>
      </c>
      <c r="AP28" s="20">
        <f>125/2</f>
        <v>62.5</v>
      </c>
    </row>
    <row r="29" spans="1:42">
      <c r="AI29" s="9" t="s">
        <v>33</v>
      </c>
      <c r="AJ29" s="2" t="e">
        <f>AN17/A17-1</f>
        <v>#DIV/0!</v>
      </c>
      <c r="AK29" s="2" t="e">
        <f>1.5*AH17/A17</f>
        <v>#DIV/0!</v>
      </c>
      <c r="AL29" s="48" t="e">
        <f>"Range " &amp; AO28 &amp;" Gain Error=" &amp;INT(AJ29*1000)/10 &amp; "% +/- " &amp;INT(AK29*1000)/10 &amp; "%"</f>
        <v>#DIV/0!</v>
      </c>
      <c r="AM29" s="48"/>
      <c r="AN29" s="48"/>
      <c r="AO29" s="48"/>
      <c r="AP29" s="48"/>
    </row>
    <row r="30" spans="1:42">
      <c r="AI30" s="9" t="s">
        <v>34</v>
      </c>
      <c r="AJ30" s="37">
        <f>AJ58</f>
        <v>0</v>
      </c>
      <c r="AK30" s="37">
        <f>AH58</f>
        <v>0</v>
      </c>
      <c r="AL30" s="49" t="str">
        <f>"Range" &amp;AO28 &amp; " Offset Histogram: " &amp; INT(AJ58*100)/100 &amp; " +/- " &amp; INT(AH58*100)/100 &amp; " Lux"</f>
        <v>Range1 Offset Histogram: 0 +/- 0 Lux</v>
      </c>
      <c r="AM30" s="49"/>
      <c r="AN30" s="49"/>
      <c r="AO30" s="49"/>
      <c r="AP30" s="49"/>
    </row>
    <row r="31" spans="1:42">
      <c r="AI31" s="9" t="s">
        <v>35</v>
      </c>
      <c r="AJ31" s="38">
        <f>MAX(AL74:AL83)/AP28</f>
        <v>0</v>
      </c>
      <c r="AK31" s="38">
        <f>MAX(AH74:AH83)/AP28</f>
        <v>0</v>
      </c>
      <c r="AL31" s="49" t="str">
        <f>"Range "&amp; AO28 &amp; " `Linearity` Error: " &amp;INT(AJ31*10000)/100 &amp; " +/-"&amp;INT(AK31*10000)/100 &amp; "%"</f>
        <v>Range 1 `Linearity` Error: 0 +/-0%</v>
      </c>
      <c r="AM31" s="49"/>
      <c r="AN31" s="49"/>
      <c r="AO31" s="49"/>
      <c r="AP31" s="49"/>
    </row>
    <row r="43" spans="1:33" s="9" customFormat="1">
      <c r="A43" s="9">
        <f t="shared" ref="A43:A44" si="11">A17</f>
        <v>116.47100143432617</v>
      </c>
      <c r="B43" s="9">
        <f t="shared" ref="B43:AG43" si="12">B17*mult</f>
        <v>0</v>
      </c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  <c r="U43" s="9">
        <f t="shared" si="12"/>
        <v>0</v>
      </c>
      <c r="V43" s="9">
        <f t="shared" si="12"/>
        <v>0</v>
      </c>
      <c r="W43" s="9">
        <f t="shared" si="12"/>
        <v>0</v>
      </c>
      <c r="X43" s="9">
        <f t="shared" si="12"/>
        <v>0</v>
      </c>
      <c r="Y43" s="9">
        <f t="shared" si="12"/>
        <v>0</v>
      </c>
      <c r="Z43" s="9">
        <f t="shared" si="12"/>
        <v>0</v>
      </c>
      <c r="AA43" s="9">
        <f t="shared" si="12"/>
        <v>0</v>
      </c>
      <c r="AB43" s="9">
        <f t="shared" si="12"/>
        <v>0</v>
      </c>
      <c r="AC43" s="9">
        <f t="shared" si="12"/>
        <v>0</v>
      </c>
      <c r="AD43" s="9">
        <f t="shared" si="12"/>
        <v>0</v>
      </c>
      <c r="AE43" s="9">
        <f t="shared" si="12"/>
        <v>0</v>
      </c>
      <c r="AF43" s="9">
        <f t="shared" si="12"/>
        <v>0</v>
      </c>
      <c r="AG43" s="9">
        <f t="shared" si="12"/>
        <v>0</v>
      </c>
    </row>
    <row r="44" spans="1:33" s="9" customFormat="1">
      <c r="A44" s="9">
        <f t="shared" si="11"/>
        <v>87.306494903564456</v>
      </c>
      <c r="B44" s="9">
        <f t="shared" ref="B44:AG44" si="13">B18*mult</f>
        <v>0</v>
      </c>
      <c r="C44" s="9">
        <f t="shared" si="13"/>
        <v>0</v>
      </c>
      <c r="D44" s="9">
        <f t="shared" si="13"/>
        <v>0</v>
      </c>
      <c r="E44" s="9">
        <f t="shared" si="13"/>
        <v>0</v>
      </c>
      <c r="F44" s="9">
        <f t="shared" si="13"/>
        <v>0</v>
      </c>
      <c r="G44" s="9">
        <f t="shared" si="13"/>
        <v>0</v>
      </c>
      <c r="H44" s="9">
        <f t="shared" si="13"/>
        <v>0</v>
      </c>
      <c r="I44" s="9">
        <f t="shared" si="13"/>
        <v>0</v>
      </c>
      <c r="J44" s="9">
        <f t="shared" si="13"/>
        <v>0</v>
      </c>
      <c r="K44" s="9">
        <f t="shared" si="13"/>
        <v>0</v>
      </c>
      <c r="L44" s="9">
        <f t="shared" si="13"/>
        <v>0</v>
      </c>
      <c r="M44" s="9">
        <f t="shared" si="13"/>
        <v>0</v>
      </c>
      <c r="N44" s="9">
        <f t="shared" si="13"/>
        <v>0</v>
      </c>
      <c r="O44" s="9">
        <f t="shared" si="13"/>
        <v>0</v>
      </c>
      <c r="P44" s="9">
        <f t="shared" si="13"/>
        <v>0</v>
      </c>
      <c r="Q44" s="9">
        <f t="shared" si="13"/>
        <v>0</v>
      </c>
      <c r="R44" s="9">
        <f t="shared" si="13"/>
        <v>0</v>
      </c>
      <c r="S44" s="9">
        <f t="shared" si="13"/>
        <v>0</v>
      </c>
      <c r="T44" s="9">
        <f t="shared" si="13"/>
        <v>0</v>
      </c>
      <c r="U44" s="9">
        <f t="shared" si="13"/>
        <v>0</v>
      </c>
      <c r="V44" s="9">
        <f t="shared" si="13"/>
        <v>0</v>
      </c>
      <c r="W44" s="9">
        <f t="shared" si="13"/>
        <v>0</v>
      </c>
      <c r="X44" s="9">
        <f t="shared" si="13"/>
        <v>0</v>
      </c>
      <c r="Y44" s="9">
        <f t="shared" si="13"/>
        <v>0</v>
      </c>
      <c r="Z44" s="9">
        <f t="shared" si="13"/>
        <v>0</v>
      </c>
      <c r="AA44" s="9">
        <f t="shared" si="13"/>
        <v>0</v>
      </c>
      <c r="AB44" s="9">
        <f t="shared" si="13"/>
        <v>0</v>
      </c>
      <c r="AC44" s="9">
        <f t="shared" si="13"/>
        <v>0</v>
      </c>
      <c r="AD44" s="9">
        <f t="shared" si="13"/>
        <v>0</v>
      </c>
      <c r="AE44" s="9">
        <f t="shared" si="13"/>
        <v>0</v>
      </c>
      <c r="AF44" s="9">
        <f t="shared" si="13"/>
        <v>0</v>
      </c>
      <c r="AG44" s="9">
        <f t="shared" si="13"/>
        <v>0</v>
      </c>
    </row>
    <row r="45" spans="1:33">
      <c r="A45">
        <f>A19</f>
        <v>21.315652084350585</v>
      </c>
      <c r="B45" s="9">
        <f t="shared" ref="B45:AG45" si="14">B19*mult</f>
        <v>0</v>
      </c>
      <c r="C45" s="9">
        <f t="shared" si="14"/>
        <v>0</v>
      </c>
      <c r="D45" s="9">
        <f t="shared" si="14"/>
        <v>0</v>
      </c>
      <c r="E45" s="9">
        <f t="shared" si="14"/>
        <v>0</v>
      </c>
      <c r="F45" s="9">
        <f t="shared" si="14"/>
        <v>0</v>
      </c>
      <c r="G45" s="9">
        <f t="shared" si="14"/>
        <v>0</v>
      </c>
      <c r="H45" s="9">
        <f t="shared" si="14"/>
        <v>0</v>
      </c>
      <c r="I45" s="9">
        <f t="shared" si="14"/>
        <v>0</v>
      </c>
      <c r="J45" s="9">
        <f t="shared" si="14"/>
        <v>0</v>
      </c>
      <c r="K45" s="9">
        <f t="shared" si="14"/>
        <v>0</v>
      </c>
      <c r="L45" s="9">
        <f t="shared" si="14"/>
        <v>0</v>
      </c>
      <c r="M45" s="9">
        <f t="shared" si="14"/>
        <v>0</v>
      </c>
      <c r="N45" s="9">
        <f t="shared" si="14"/>
        <v>0</v>
      </c>
      <c r="O45" s="9">
        <f t="shared" si="14"/>
        <v>0</v>
      </c>
      <c r="P45" s="9">
        <f t="shared" si="14"/>
        <v>0</v>
      </c>
      <c r="Q45" s="9">
        <f t="shared" si="14"/>
        <v>0</v>
      </c>
      <c r="R45" s="9">
        <f t="shared" si="14"/>
        <v>0</v>
      </c>
      <c r="S45" s="9">
        <f t="shared" si="14"/>
        <v>0</v>
      </c>
      <c r="T45" s="9">
        <f t="shared" si="14"/>
        <v>0</v>
      </c>
      <c r="U45" s="9">
        <f t="shared" si="14"/>
        <v>0</v>
      </c>
      <c r="V45" s="9">
        <f t="shared" si="14"/>
        <v>0</v>
      </c>
      <c r="W45" s="9">
        <f t="shared" si="14"/>
        <v>0</v>
      </c>
      <c r="X45" s="9">
        <f t="shared" si="14"/>
        <v>0</v>
      </c>
      <c r="Y45" s="9">
        <f t="shared" si="14"/>
        <v>0</v>
      </c>
      <c r="Z45" s="9">
        <f t="shared" si="14"/>
        <v>0</v>
      </c>
      <c r="AA45" s="9">
        <f t="shared" si="14"/>
        <v>0</v>
      </c>
      <c r="AB45" s="9">
        <f t="shared" si="14"/>
        <v>0</v>
      </c>
      <c r="AC45" s="9">
        <f t="shared" si="14"/>
        <v>0</v>
      </c>
      <c r="AD45" s="9">
        <f t="shared" si="14"/>
        <v>0</v>
      </c>
      <c r="AE45" s="9">
        <f t="shared" si="14"/>
        <v>0</v>
      </c>
      <c r="AF45" s="9">
        <f t="shared" si="14"/>
        <v>0</v>
      </c>
      <c r="AG45" s="9">
        <f t="shared" si="14"/>
        <v>0</v>
      </c>
    </row>
    <row r="46" spans="1:33">
      <c r="A46" s="9">
        <f t="shared" ref="A46" si="15">A20</f>
        <v>17.340450096130372</v>
      </c>
      <c r="B46" s="9">
        <f t="shared" ref="B46:AG46" si="16">B20*mult</f>
        <v>0</v>
      </c>
      <c r="C46" s="9">
        <f t="shared" si="16"/>
        <v>0</v>
      </c>
      <c r="D46" s="9">
        <f t="shared" si="16"/>
        <v>0</v>
      </c>
      <c r="E46" s="9">
        <f t="shared" si="16"/>
        <v>0</v>
      </c>
      <c r="F46" s="9">
        <f t="shared" si="16"/>
        <v>0</v>
      </c>
      <c r="G46" s="9">
        <f t="shared" si="16"/>
        <v>0</v>
      </c>
      <c r="H46" s="9">
        <f t="shared" si="16"/>
        <v>0</v>
      </c>
      <c r="I46" s="9">
        <f t="shared" si="16"/>
        <v>0</v>
      </c>
      <c r="J46" s="9">
        <f t="shared" si="16"/>
        <v>0</v>
      </c>
      <c r="K46" s="9">
        <f t="shared" si="16"/>
        <v>0</v>
      </c>
      <c r="L46" s="9">
        <f t="shared" si="16"/>
        <v>0</v>
      </c>
      <c r="M46" s="9">
        <f t="shared" si="16"/>
        <v>0</v>
      </c>
      <c r="N46" s="9">
        <f t="shared" si="16"/>
        <v>0</v>
      </c>
      <c r="O46" s="9">
        <f t="shared" si="16"/>
        <v>0</v>
      </c>
      <c r="P46" s="9">
        <f t="shared" si="16"/>
        <v>0</v>
      </c>
      <c r="Q46" s="9">
        <f t="shared" si="16"/>
        <v>0</v>
      </c>
      <c r="R46" s="9">
        <f t="shared" si="16"/>
        <v>0</v>
      </c>
      <c r="S46" s="9">
        <f t="shared" si="16"/>
        <v>0</v>
      </c>
      <c r="T46" s="9">
        <f t="shared" si="16"/>
        <v>0</v>
      </c>
      <c r="U46" s="9">
        <f t="shared" si="16"/>
        <v>0</v>
      </c>
      <c r="V46" s="9">
        <f t="shared" si="16"/>
        <v>0</v>
      </c>
      <c r="W46" s="9">
        <f t="shared" si="16"/>
        <v>0</v>
      </c>
      <c r="X46" s="9">
        <f t="shared" si="16"/>
        <v>0</v>
      </c>
      <c r="Y46" s="9">
        <f t="shared" si="16"/>
        <v>0</v>
      </c>
      <c r="Z46" s="9">
        <f t="shared" si="16"/>
        <v>0</v>
      </c>
      <c r="AA46" s="9">
        <f t="shared" si="16"/>
        <v>0</v>
      </c>
      <c r="AB46" s="9">
        <f t="shared" si="16"/>
        <v>0</v>
      </c>
      <c r="AC46" s="9">
        <f t="shared" si="16"/>
        <v>0</v>
      </c>
      <c r="AD46" s="9">
        <f t="shared" si="16"/>
        <v>0</v>
      </c>
      <c r="AE46" s="9">
        <f t="shared" si="16"/>
        <v>0</v>
      </c>
      <c r="AF46" s="9">
        <f t="shared" si="16"/>
        <v>0</v>
      </c>
      <c r="AG46" s="9">
        <f t="shared" si="16"/>
        <v>0</v>
      </c>
    </row>
    <row r="47" spans="1:33">
      <c r="A47" s="9">
        <f t="shared" ref="A47" si="17">A21</f>
        <v>14.188851261138916</v>
      </c>
      <c r="B47" s="9">
        <f t="shared" ref="B47:AG47" si="18">B21*mult</f>
        <v>0</v>
      </c>
      <c r="C47" s="9">
        <f t="shared" si="18"/>
        <v>0</v>
      </c>
      <c r="D47" s="9">
        <f t="shared" si="18"/>
        <v>0</v>
      </c>
      <c r="E47" s="9">
        <f t="shared" si="18"/>
        <v>0</v>
      </c>
      <c r="F47" s="9">
        <f t="shared" si="18"/>
        <v>0</v>
      </c>
      <c r="G47" s="9">
        <f t="shared" si="18"/>
        <v>0</v>
      </c>
      <c r="H47" s="9">
        <f t="shared" si="18"/>
        <v>0</v>
      </c>
      <c r="I47" s="9">
        <f t="shared" si="18"/>
        <v>0</v>
      </c>
      <c r="J47" s="9">
        <f t="shared" si="18"/>
        <v>0</v>
      </c>
      <c r="K47" s="9">
        <f t="shared" si="18"/>
        <v>0</v>
      </c>
      <c r="L47" s="9">
        <f t="shared" si="18"/>
        <v>0</v>
      </c>
      <c r="M47" s="9">
        <f t="shared" si="18"/>
        <v>0</v>
      </c>
      <c r="N47" s="9">
        <f t="shared" si="18"/>
        <v>0</v>
      </c>
      <c r="O47" s="9">
        <f t="shared" si="18"/>
        <v>0</v>
      </c>
      <c r="P47" s="9">
        <f t="shared" si="18"/>
        <v>0</v>
      </c>
      <c r="Q47" s="9">
        <f t="shared" si="18"/>
        <v>0</v>
      </c>
      <c r="R47" s="9">
        <f t="shared" si="18"/>
        <v>0</v>
      </c>
      <c r="S47" s="9">
        <f t="shared" si="18"/>
        <v>0</v>
      </c>
      <c r="T47" s="9">
        <f t="shared" si="18"/>
        <v>0</v>
      </c>
      <c r="U47" s="9">
        <f t="shared" si="18"/>
        <v>0</v>
      </c>
      <c r="V47" s="9">
        <f t="shared" si="18"/>
        <v>0</v>
      </c>
      <c r="W47" s="9">
        <f t="shared" si="18"/>
        <v>0</v>
      </c>
      <c r="X47" s="9">
        <f t="shared" si="18"/>
        <v>0</v>
      </c>
      <c r="Y47" s="9">
        <f t="shared" si="18"/>
        <v>0</v>
      </c>
      <c r="Z47" s="9">
        <f t="shared" si="18"/>
        <v>0</v>
      </c>
      <c r="AA47" s="9">
        <f t="shared" si="18"/>
        <v>0</v>
      </c>
      <c r="AB47" s="9">
        <f t="shared" si="18"/>
        <v>0</v>
      </c>
      <c r="AC47" s="9">
        <f t="shared" si="18"/>
        <v>0</v>
      </c>
      <c r="AD47" s="9">
        <f t="shared" si="18"/>
        <v>0</v>
      </c>
      <c r="AE47" s="9">
        <f t="shared" si="18"/>
        <v>0</v>
      </c>
      <c r="AF47" s="9">
        <f t="shared" si="18"/>
        <v>0</v>
      </c>
      <c r="AG47" s="9">
        <f t="shared" si="18"/>
        <v>0</v>
      </c>
    </row>
    <row r="48" spans="1:33">
      <c r="A48" s="9">
        <f t="shared" ref="A48" si="19">A22</f>
        <v>11.795599174499511</v>
      </c>
      <c r="B48" s="9">
        <f t="shared" ref="B48:AG48" si="20">B22*mult</f>
        <v>0</v>
      </c>
      <c r="C48" s="9">
        <f t="shared" si="20"/>
        <v>0</v>
      </c>
      <c r="D48" s="9">
        <f t="shared" si="20"/>
        <v>0</v>
      </c>
      <c r="E48" s="9">
        <f t="shared" si="20"/>
        <v>0</v>
      </c>
      <c r="F48" s="9">
        <f t="shared" si="20"/>
        <v>0</v>
      </c>
      <c r="G48" s="9">
        <f t="shared" si="20"/>
        <v>0</v>
      </c>
      <c r="H48" s="9">
        <f t="shared" si="20"/>
        <v>0</v>
      </c>
      <c r="I48" s="9">
        <f t="shared" si="20"/>
        <v>0</v>
      </c>
      <c r="J48" s="9">
        <f t="shared" si="20"/>
        <v>0</v>
      </c>
      <c r="K48" s="9">
        <f t="shared" si="20"/>
        <v>0</v>
      </c>
      <c r="L48" s="9">
        <f t="shared" si="20"/>
        <v>0</v>
      </c>
      <c r="M48" s="9">
        <f t="shared" si="20"/>
        <v>0</v>
      </c>
      <c r="N48" s="9">
        <f t="shared" si="20"/>
        <v>0</v>
      </c>
      <c r="O48" s="9">
        <f t="shared" si="20"/>
        <v>0</v>
      </c>
      <c r="P48" s="9">
        <f t="shared" si="20"/>
        <v>0</v>
      </c>
      <c r="Q48" s="9">
        <f t="shared" si="20"/>
        <v>0</v>
      </c>
      <c r="R48" s="9">
        <f t="shared" si="20"/>
        <v>0</v>
      </c>
      <c r="S48" s="9">
        <f t="shared" si="20"/>
        <v>0</v>
      </c>
      <c r="T48" s="9">
        <f t="shared" si="20"/>
        <v>0</v>
      </c>
      <c r="U48" s="9">
        <f t="shared" si="20"/>
        <v>0</v>
      </c>
      <c r="V48" s="9">
        <f t="shared" si="20"/>
        <v>0</v>
      </c>
      <c r="W48" s="9">
        <f t="shared" si="20"/>
        <v>0</v>
      </c>
      <c r="X48" s="9">
        <f t="shared" si="20"/>
        <v>0</v>
      </c>
      <c r="Y48" s="9">
        <f t="shared" si="20"/>
        <v>0</v>
      </c>
      <c r="Z48" s="9">
        <f t="shared" si="20"/>
        <v>0</v>
      </c>
      <c r="AA48" s="9">
        <f t="shared" si="20"/>
        <v>0</v>
      </c>
      <c r="AB48" s="9">
        <f t="shared" si="20"/>
        <v>0</v>
      </c>
      <c r="AC48" s="9">
        <f t="shared" si="20"/>
        <v>0</v>
      </c>
      <c r="AD48" s="9">
        <f t="shared" si="20"/>
        <v>0</v>
      </c>
      <c r="AE48" s="9">
        <f t="shared" si="20"/>
        <v>0</v>
      </c>
      <c r="AF48" s="9">
        <f t="shared" si="20"/>
        <v>0</v>
      </c>
      <c r="AG48" s="9">
        <f t="shared" si="20"/>
        <v>0</v>
      </c>
    </row>
    <row r="49" spans="1:40">
      <c r="A49" s="9">
        <f t="shared" ref="A49" si="21">A23</f>
        <v>8.797748947143555</v>
      </c>
      <c r="B49" s="9">
        <f t="shared" ref="B49:AG49" si="22">B23*mult</f>
        <v>0</v>
      </c>
      <c r="C49" s="9">
        <f t="shared" si="22"/>
        <v>0</v>
      </c>
      <c r="D49" s="9">
        <f t="shared" si="22"/>
        <v>0</v>
      </c>
      <c r="E49" s="9">
        <f t="shared" si="22"/>
        <v>0</v>
      </c>
      <c r="F49" s="9">
        <f t="shared" si="22"/>
        <v>0</v>
      </c>
      <c r="G49" s="9">
        <f t="shared" si="22"/>
        <v>0</v>
      </c>
      <c r="H49" s="9">
        <f t="shared" si="22"/>
        <v>0</v>
      </c>
      <c r="I49" s="9">
        <f t="shared" si="22"/>
        <v>0</v>
      </c>
      <c r="J49" s="9">
        <f t="shared" si="22"/>
        <v>0</v>
      </c>
      <c r="K49" s="9">
        <f t="shared" si="22"/>
        <v>0</v>
      </c>
      <c r="L49" s="9">
        <f t="shared" si="22"/>
        <v>0</v>
      </c>
      <c r="M49" s="9">
        <f t="shared" si="22"/>
        <v>0</v>
      </c>
      <c r="N49" s="9">
        <f t="shared" si="22"/>
        <v>0</v>
      </c>
      <c r="O49" s="9">
        <f t="shared" si="22"/>
        <v>0</v>
      </c>
      <c r="P49" s="9">
        <f t="shared" si="22"/>
        <v>0</v>
      </c>
      <c r="Q49" s="9">
        <f t="shared" si="22"/>
        <v>0</v>
      </c>
      <c r="R49" s="9">
        <f t="shared" si="22"/>
        <v>0</v>
      </c>
      <c r="S49" s="9">
        <f t="shared" si="22"/>
        <v>0</v>
      </c>
      <c r="T49" s="9">
        <f t="shared" si="22"/>
        <v>0</v>
      </c>
      <c r="U49" s="9">
        <f t="shared" si="22"/>
        <v>0</v>
      </c>
      <c r="V49" s="9">
        <f t="shared" si="22"/>
        <v>0</v>
      </c>
      <c r="W49" s="9">
        <f t="shared" si="22"/>
        <v>0</v>
      </c>
      <c r="X49" s="9">
        <f t="shared" si="22"/>
        <v>0</v>
      </c>
      <c r="Y49" s="9">
        <f t="shared" si="22"/>
        <v>0</v>
      </c>
      <c r="Z49" s="9">
        <f t="shared" si="22"/>
        <v>0</v>
      </c>
      <c r="AA49" s="9">
        <f t="shared" si="22"/>
        <v>0</v>
      </c>
      <c r="AB49" s="9">
        <f t="shared" si="22"/>
        <v>0</v>
      </c>
      <c r="AC49" s="9">
        <f t="shared" si="22"/>
        <v>0</v>
      </c>
      <c r="AD49" s="9">
        <f t="shared" si="22"/>
        <v>0</v>
      </c>
      <c r="AE49" s="9">
        <f t="shared" si="22"/>
        <v>0</v>
      </c>
      <c r="AF49" s="9">
        <f t="shared" si="22"/>
        <v>0</v>
      </c>
      <c r="AG49" s="9">
        <f t="shared" si="22"/>
        <v>0</v>
      </c>
    </row>
    <row r="50" spans="1:40">
      <c r="A50" s="9">
        <f t="shared" ref="A50" si="23">A24</f>
        <v>6.5973999023437502</v>
      </c>
      <c r="B50" s="9">
        <f t="shared" ref="B50:AG50" si="24">B24*mult</f>
        <v>0</v>
      </c>
      <c r="C50" s="9">
        <f t="shared" si="24"/>
        <v>0</v>
      </c>
      <c r="D50" s="9">
        <f t="shared" si="24"/>
        <v>0</v>
      </c>
      <c r="E50" s="9">
        <f t="shared" si="24"/>
        <v>0</v>
      </c>
      <c r="F50" s="9">
        <f t="shared" si="24"/>
        <v>0</v>
      </c>
      <c r="G50" s="9">
        <f t="shared" si="24"/>
        <v>0</v>
      </c>
      <c r="H50" s="9">
        <f t="shared" si="24"/>
        <v>0</v>
      </c>
      <c r="I50" s="9">
        <f t="shared" si="24"/>
        <v>0</v>
      </c>
      <c r="J50" s="9">
        <f t="shared" si="24"/>
        <v>0</v>
      </c>
      <c r="K50" s="9">
        <f t="shared" si="24"/>
        <v>0</v>
      </c>
      <c r="L50" s="9">
        <f t="shared" si="24"/>
        <v>0</v>
      </c>
      <c r="M50" s="9">
        <f t="shared" si="24"/>
        <v>0</v>
      </c>
      <c r="N50" s="9">
        <f t="shared" si="24"/>
        <v>0</v>
      </c>
      <c r="O50" s="9">
        <f t="shared" si="24"/>
        <v>0</v>
      </c>
      <c r="P50" s="9">
        <f t="shared" si="24"/>
        <v>0</v>
      </c>
      <c r="Q50" s="9">
        <f t="shared" si="24"/>
        <v>0</v>
      </c>
      <c r="R50" s="9">
        <f t="shared" si="24"/>
        <v>0</v>
      </c>
      <c r="S50" s="9">
        <f t="shared" si="24"/>
        <v>0</v>
      </c>
      <c r="T50" s="9">
        <f t="shared" si="24"/>
        <v>0</v>
      </c>
      <c r="U50" s="9">
        <f t="shared" si="24"/>
        <v>0</v>
      </c>
      <c r="V50" s="9">
        <f t="shared" si="24"/>
        <v>0</v>
      </c>
      <c r="W50" s="9">
        <f t="shared" si="24"/>
        <v>0</v>
      </c>
      <c r="X50" s="9">
        <f t="shared" si="24"/>
        <v>0</v>
      </c>
      <c r="Y50" s="9">
        <f t="shared" si="24"/>
        <v>0</v>
      </c>
      <c r="Z50" s="9">
        <f t="shared" si="24"/>
        <v>0</v>
      </c>
      <c r="AA50" s="9">
        <f t="shared" si="24"/>
        <v>0</v>
      </c>
      <c r="AB50" s="9">
        <f t="shared" si="24"/>
        <v>0</v>
      </c>
      <c r="AC50" s="9">
        <f t="shared" si="24"/>
        <v>0</v>
      </c>
      <c r="AD50" s="9">
        <f t="shared" si="24"/>
        <v>0</v>
      </c>
      <c r="AE50" s="9">
        <f t="shared" si="24"/>
        <v>0</v>
      </c>
      <c r="AF50" s="9">
        <f t="shared" si="24"/>
        <v>0</v>
      </c>
      <c r="AG50" s="9">
        <f t="shared" si="24"/>
        <v>0</v>
      </c>
    </row>
    <row r="51" spans="1:40">
      <c r="A51" s="9">
        <f t="shared" ref="A51" si="25">A25</f>
        <v>2.3447998762130737</v>
      </c>
      <c r="B51" s="9">
        <f t="shared" ref="B51:AG51" si="26">B25*mult</f>
        <v>0</v>
      </c>
      <c r="C51" s="9">
        <f t="shared" si="26"/>
        <v>0</v>
      </c>
      <c r="D51" s="9">
        <f t="shared" si="26"/>
        <v>0</v>
      </c>
      <c r="E51" s="9">
        <f t="shared" si="26"/>
        <v>0</v>
      </c>
      <c r="F51" s="9">
        <f t="shared" si="26"/>
        <v>0</v>
      </c>
      <c r="G51" s="9">
        <f t="shared" si="26"/>
        <v>0</v>
      </c>
      <c r="H51" s="9">
        <f t="shared" si="26"/>
        <v>0</v>
      </c>
      <c r="I51" s="9">
        <f t="shared" si="26"/>
        <v>0</v>
      </c>
      <c r="J51" s="9">
        <f t="shared" si="26"/>
        <v>0</v>
      </c>
      <c r="K51" s="9">
        <f t="shared" si="26"/>
        <v>0</v>
      </c>
      <c r="L51" s="9">
        <f t="shared" si="26"/>
        <v>0</v>
      </c>
      <c r="M51" s="9">
        <f t="shared" si="26"/>
        <v>0</v>
      </c>
      <c r="N51" s="9">
        <f t="shared" si="26"/>
        <v>0</v>
      </c>
      <c r="O51" s="9">
        <f t="shared" si="26"/>
        <v>0</v>
      </c>
      <c r="P51" s="9">
        <f t="shared" si="26"/>
        <v>0</v>
      </c>
      <c r="Q51" s="9">
        <f t="shared" si="26"/>
        <v>0</v>
      </c>
      <c r="R51" s="9">
        <f t="shared" si="26"/>
        <v>0</v>
      </c>
      <c r="S51" s="9">
        <f t="shared" si="26"/>
        <v>0</v>
      </c>
      <c r="T51" s="9">
        <f t="shared" si="26"/>
        <v>0</v>
      </c>
      <c r="U51" s="9">
        <f t="shared" si="26"/>
        <v>0</v>
      </c>
      <c r="V51" s="9">
        <f t="shared" si="26"/>
        <v>0</v>
      </c>
      <c r="W51" s="9">
        <f t="shared" si="26"/>
        <v>0</v>
      </c>
      <c r="X51" s="9">
        <f t="shared" si="26"/>
        <v>0</v>
      </c>
      <c r="Y51" s="9">
        <f t="shared" si="26"/>
        <v>0</v>
      </c>
      <c r="Z51" s="9">
        <f t="shared" si="26"/>
        <v>0</v>
      </c>
      <c r="AA51" s="9">
        <f t="shared" si="26"/>
        <v>0</v>
      </c>
      <c r="AB51" s="9">
        <f t="shared" si="26"/>
        <v>0</v>
      </c>
      <c r="AC51" s="9">
        <f t="shared" si="26"/>
        <v>0</v>
      </c>
      <c r="AD51" s="9">
        <f t="shared" si="26"/>
        <v>0</v>
      </c>
      <c r="AE51" s="9">
        <f t="shared" si="26"/>
        <v>0</v>
      </c>
      <c r="AF51" s="9">
        <f t="shared" si="26"/>
        <v>0</v>
      </c>
      <c r="AG51" s="9">
        <f t="shared" si="26"/>
        <v>0</v>
      </c>
    </row>
    <row r="52" spans="1:40">
      <c r="A52" s="9">
        <f t="shared" ref="A52" si="27">A26</f>
        <v>1.9071000814437866</v>
      </c>
      <c r="B52" s="9">
        <f t="shared" ref="B52:AG52" si="28">B26*mult</f>
        <v>0</v>
      </c>
      <c r="C52" s="9">
        <f t="shared" si="28"/>
        <v>0</v>
      </c>
      <c r="D52" s="9">
        <f t="shared" si="28"/>
        <v>0</v>
      </c>
      <c r="E52" s="9">
        <f t="shared" si="28"/>
        <v>0</v>
      </c>
      <c r="F52" s="9">
        <f t="shared" si="28"/>
        <v>0</v>
      </c>
      <c r="G52" s="9">
        <f t="shared" si="28"/>
        <v>0</v>
      </c>
      <c r="H52" s="9">
        <f t="shared" si="28"/>
        <v>0</v>
      </c>
      <c r="I52" s="9">
        <f t="shared" si="28"/>
        <v>0</v>
      </c>
      <c r="J52" s="9">
        <f t="shared" si="28"/>
        <v>0</v>
      </c>
      <c r="K52" s="9">
        <f t="shared" si="28"/>
        <v>0</v>
      </c>
      <c r="L52" s="9">
        <f t="shared" si="28"/>
        <v>0</v>
      </c>
      <c r="M52" s="9">
        <f t="shared" si="28"/>
        <v>0</v>
      </c>
      <c r="N52" s="9">
        <f t="shared" si="28"/>
        <v>0</v>
      </c>
      <c r="O52" s="9">
        <f t="shared" si="28"/>
        <v>0</v>
      </c>
      <c r="P52" s="9">
        <f t="shared" si="28"/>
        <v>0</v>
      </c>
      <c r="Q52" s="9">
        <f t="shared" si="28"/>
        <v>0</v>
      </c>
      <c r="R52" s="9">
        <f t="shared" si="28"/>
        <v>0</v>
      </c>
      <c r="S52" s="9">
        <f t="shared" si="28"/>
        <v>0</v>
      </c>
      <c r="T52" s="9">
        <f t="shared" si="28"/>
        <v>0</v>
      </c>
      <c r="U52" s="9">
        <f t="shared" si="28"/>
        <v>0</v>
      </c>
      <c r="V52" s="9">
        <f t="shared" si="28"/>
        <v>0</v>
      </c>
      <c r="W52" s="9">
        <f t="shared" si="28"/>
        <v>0</v>
      </c>
      <c r="X52" s="9">
        <f t="shared" si="28"/>
        <v>0</v>
      </c>
      <c r="Y52" s="9">
        <f t="shared" si="28"/>
        <v>0</v>
      </c>
      <c r="Z52" s="9">
        <f t="shared" si="28"/>
        <v>0</v>
      </c>
      <c r="AA52" s="9">
        <f t="shared" si="28"/>
        <v>0</v>
      </c>
      <c r="AB52" s="9">
        <f t="shared" si="28"/>
        <v>0</v>
      </c>
      <c r="AC52" s="9">
        <f t="shared" si="28"/>
        <v>0</v>
      </c>
      <c r="AD52" s="9">
        <f t="shared" si="28"/>
        <v>0</v>
      </c>
      <c r="AE52" s="9">
        <f t="shared" si="28"/>
        <v>0</v>
      </c>
      <c r="AF52" s="9">
        <f t="shared" si="28"/>
        <v>0</v>
      </c>
      <c r="AG52" s="9">
        <f t="shared" si="28"/>
        <v>0</v>
      </c>
    </row>
    <row r="53" spans="1:40">
      <c r="AH53" t="str">
        <f>AH1</f>
        <v>STDEV</v>
      </c>
      <c r="AI53" s="9" t="str">
        <f t="shared" ref="AI53:AK53" si="29">AI1</f>
        <v>-1.5σ</v>
      </c>
      <c r="AJ53" s="9" t="str">
        <f t="shared" si="29"/>
        <v>MEAN</v>
      </c>
      <c r="AK53" s="9" t="str">
        <f t="shared" si="29"/>
        <v>+1.5σ</v>
      </c>
    </row>
    <row r="54" spans="1:40">
      <c r="A54" s="9">
        <f>MAX(A43:A52)-A55</f>
        <v>114.56390135288238</v>
      </c>
      <c r="B54" s="9">
        <f>MAX(B43:B52)-B55</f>
        <v>0</v>
      </c>
      <c r="C54" s="9">
        <f t="shared" ref="C54:AG54" si="30">MAX(C43:C52)-C55</f>
        <v>0</v>
      </c>
      <c r="D54" s="9">
        <f t="shared" si="30"/>
        <v>0</v>
      </c>
      <c r="E54" s="9">
        <f t="shared" si="30"/>
        <v>0</v>
      </c>
      <c r="F54" s="9">
        <f t="shared" si="30"/>
        <v>0</v>
      </c>
      <c r="G54" s="9">
        <f t="shared" si="30"/>
        <v>0</v>
      </c>
      <c r="H54" s="9">
        <f t="shared" si="30"/>
        <v>0</v>
      </c>
      <c r="I54" s="9">
        <f t="shared" si="30"/>
        <v>0</v>
      </c>
      <c r="J54" s="9">
        <f t="shared" si="30"/>
        <v>0</v>
      </c>
      <c r="K54" s="9">
        <f t="shared" si="30"/>
        <v>0</v>
      </c>
      <c r="L54" s="9">
        <f t="shared" si="30"/>
        <v>0</v>
      </c>
      <c r="M54" s="9">
        <f t="shared" si="30"/>
        <v>0</v>
      </c>
      <c r="N54" s="9">
        <f t="shared" si="30"/>
        <v>0</v>
      </c>
      <c r="O54" s="9">
        <f t="shared" si="30"/>
        <v>0</v>
      </c>
      <c r="P54" s="9">
        <f t="shared" si="30"/>
        <v>0</v>
      </c>
      <c r="Q54" s="9">
        <f t="shared" si="30"/>
        <v>0</v>
      </c>
      <c r="R54" s="9">
        <f t="shared" si="30"/>
        <v>0</v>
      </c>
      <c r="S54" s="9">
        <f t="shared" si="30"/>
        <v>0</v>
      </c>
      <c r="T54" s="9">
        <f t="shared" si="30"/>
        <v>0</v>
      </c>
      <c r="U54" s="9">
        <f t="shared" si="30"/>
        <v>0</v>
      </c>
      <c r="V54" s="9">
        <f t="shared" si="30"/>
        <v>0</v>
      </c>
      <c r="W54" s="9">
        <f t="shared" si="30"/>
        <v>0</v>
      </c>
      <c r="X54" s="9">
        <f t="shared" si="30"/>
        <v>0</v>
      </c>
      <c r="Y54" s="9">
        <f t="shared" si="30"/>
        <v>0</v>
      </c>
      <c r="Z54" s="9">
        <f t="shared" si="30"/>
        <v>0</v>
      </c>
      <c r="AA54" s="9">
        <f t="shared" si="30"/>
        <v>0</v>
      </c>
      <c r="AB54" s="9">
        <f t="shared" si="30"/>
        <v>0</v>
      </c>
      <c r="AC54" s="9">
        <f t="shared" si="30"/>
        <v>0</v>
      </c>
      <c r="AD54" s="9">
        <f t="shared" si="30"/>
        <v>0</v>
      </c>
      <c r="AE54" s="9">
        <f t="shared" si="30"/>
        <v>0</v>
      </c>
      <c r="AF54" s="9">
        <f t="shared" si="30"/>
        <v>0</v>
      </c>
      <c r="AG54" s="9">
        <f t="shared" si="30"/>
        <v>0</v>
      </c>
      <c r="AH54" s="9">
        <f t="shared" ref="AH54:AH82" si="31">STDEV(B54:AG54)</f>
        <v>0</v>
      </c>
      <c r="AI54" s="9">
        <f t="shared" ref="AI54:AI83" si="32">AJ54-1.5*AH54</f>
        <v>0</v>
      </c>
      <c r="AJ54" s="10">
        <f t="shared" ref="AJ54:AJ83" si="33">AVERAGE(B54:AG54)</f>
        <v>0</v>
      </c>
      <c r="AK54" s="9">
        <f t="shared" ref="AK54:AK83" si="34">AJ54+1.5*AH54</f>
        <v>0</v>
      </c>
    </row>
    <row r="55" spans="1:40">
      <c r="A55" s="9">
        <f>MIN(A43:A52)</f>
        <v>1.9071000814437866</v>
      </c>
      <c r="B55" s="9">
        <f>MIN(B43:B52)</f>
        <v>0</v>
      </c>
      <c r="C55" s="9">
        <f t="shared" ref="C55:AG55" si="35">MIN(C43:C52)</f>
        <v>0</v>
      </c>
      <c r="D55" s="9">
        <f t="shared" si="35"/>
        <v>0</v>
      </c>
      <c r="E55" s="9">
        <f t="shared" si="35"/>
        <v>0</v>
      </c>
      <c r="F55" s="9">
        <f t="shared" si="35"/>
        <v>0</v>
      </c>
      <c r="G55" s="9">
        <f t="shared" si="35"/>
        <v>0</v>
      </c>
      <c r="H55" s="9">
        <f t="shared" si="35"/>
        <v>0</v>
      </c>
      <c r="I55" s="9">
        <f t="shared" si="35"/>
        <v>0</v>
      </c>
      <c r="J55" s="9">
        <f t="shared" si="35"/>
        <v>0</v>
      </c>
      <c r="K55" s="9">
        <f t="shared" si="35"/>
        <v>0</v>
      </c>
      <c r="L55" s="9">
        <f t="shared" si="35"/>
        <v>0</v>
      </c>
      <c r="M55" s="9">
        <f t="shared" si="35"/>
        <v>0</v>
      </c>
      <c r="N55" s="9">
        <f t="shared" si="35"/>
        <v>0</v>
      </c>
      <c r="O55" s="9">
        <f t="shared" si="35"/>
        <v>0</v>
      </c>
      <c r="P55" s="9">
        <f t="shared" si="35"/>
        <v>0</v>
      </c>
      <c r="Q55" s="9">
        <f t="shared" si="35"/>
        <v>0</v>
      </c>
      <c r="R55" s="9">
        <f t="shared" si="35"/>
        <v>0</v>
      </c>
      <c r="S55" s="9">
        <f t="shared" si="35"/>
        <v>0</v>
      </c>
      <c r="T55" s="9">
        <f t="shared" si="35"/>
        <v>0</v>
      </c>
      <c r="U55" s="9">
        <f t="shared" si="35"/>
        <v>0</v>
      </c>
      <c r="V55" s="9">
        <f t="shared" si="35"/>
        <v>0</v>
      </c>
      <c r="W55" s="9">
        <f t="shared" si="35"/>
        <v>0</v>
      </c>
      <c r="X55" s="9">
        <f t="shared" si="35"/>
        <v>0</v>
      </c>
      <c r="Y55" s="9">
        <f t="shared" si="35"/>
        <v>0</v>
      </c>
      <c r="Z55" s="9">
        <f t="shared" si="35"/>
        <v>0</v>
      </c>
      <c r="AA55" s="9">
        <f t="shared" si="35"/>
        <v>0</v>
      </c>
      <c r="AB55" s="9">
        <f t="shared" si="35"/>
        <v>0</v>
      </c>
      <c r="AC55" s="9">
        <f t="shared" si="35"/>
        <v>0</v>
      </c>
      <c r="AD55" s="9">
        <f t="shared" si="35"/>
        <v>0</v>
      </c>
      <c r="AE55" s="9">
        <f t="shared" si="35"/>
        <v>0</v>
      </c>
      <c r="AF55" s="9">
        <f t="shared" si="35"/>
        <v>0</v>
      </c>
      <c r="AG55" s="9">
        <f t="shared" si="35"/>
        <v>0</v>
      </c>
      <c r="AH55" s="9">
        <f t="shared" si="31"/>
        <v>0</v>
      </c>
      <c r="AI55" s="9">
        <f t="shared" si="32"/>
        <v>0</v>
      </c>
      <c r="AJ55" s="10">
        <f t="shared" si="33"/>
        <v>0</v>
      </c>
      <c r="AK55" s="9">
        <f t="shared" si="34"/>
        <v>0</v>
      </c>
    </row>
    <row r="56" spans="1:40">
      <c r="AH56" s="9"/>
      <c r="AI56" s="9"/>
      <c r="AJ56" s="10"/>
      <c r="AK56" s="9"/>
    </row>
    <row r="57" spans="1:40">
      <c r="A57" s="9" t="s">
        <v>0</v>
      </c>
      <c r="B57">
        <f>B54/$A54</f>
        <v>0</v>
      </c>
      <c r="C57" s="9">
        <f t="shared" ref="C57:AG57" si="36">C54/$A54</f>
        <v>0</v>
      </c>
      <c r="D57" s="9">
        <f t="shared" si="36"/>
        <v>0</v>
      </c>
      <c r="E57" s="9">
        <f t="shared" si="36"/>
        <v>0</v>
      </c>
      <c r="F57" s="9">
        <f t="shared" si="36"/>
        <v>0</v>
      </c>
      <c r="G57" s="9">
        <f t="shared" si="36"/>
        <v>0</v>
      </c>
      <c r="H57" s="9">
        <f t="shared" si="36"/>
        <v>0</v>
      </c>
      <c r="I57" s="9">
        <f t="shared" si="36"/>
        <v>0</v>
      </c>
      <c r="J57" s="9">
        <f t="shared" si="36"/>
        <v>0</v>
      </c>
      <c r="K57" s="9">
        <f t="shared" si="36"/>
        <v>0</v>
      </c>
      <c r="L57" s="9">
        <f t="shared" si="36"/>
        <v>0</v>
      </c>
      <c r="M57" s="9">
        <f t="shared" si="36"/>
        <v>0</v>
      </c>
      <c r="N57" s="9">
        <f t="shared" si="36"/>
        <v>0</v>
      </c>
      <c r="O57" s="9">
        <f t="shared" si="36"/>
        <v>0</v>
      </c>
      <c r="P57" s="9">
        <f t="shared" si="36"/>
        <v>0</v>
      </c>
      <c r="Q57" s="9">
        <f t="shared" si="36"/>
        <v>0</v>
      </c>
      <c r="R57" s="9">
        <f t="shared" si="36"/>
        <v>0</v>
      </c>
      <c r="S57" s="9">
        <f t="shared" si="36"/>
        <v>0</v>
      </c>
      <c r="T57" s="9">
        <f t="shared" si="36"/>
        <v>0</v>
      </c>
      <c r="U57" s="9">
        <f t="shared" si="36"/>
        <v>0</v>
      </c>
      <c r="V57" s="9">
        <f t="shared" si="36"/>
        <v>0</v>
      </c>
      <c r="W57" s="9">
        <f t="shared" si="36"/>
        <v>0</v>
      </c>
      <c r="X57" s="9">
        <f t="shared" si="36"/>
        <v>0</v>
      </c>
      <c r="Y57" s="9">
        <f t="shared" si="36"/>
        <v>0</v>
      </c>
      <c r="Z57" s="9">
        <f t="shared" si="36"/>
        <v>0</v>
      </c>
      <c r="AA57" s="9">
        <f t="shared" si="36"/>
        <v>0</v>
      </c>
      <c r="AB57" s="9">
        <f t="shared" si="36"/>
        <v>0</v>
      </c>
      <c r="AC57" s="9">
        <f t="shared" si="36"/>
        <v>0</v>
      </c>
      <c r="AD57" s="9">
        <f t="shared" si="36"/>
        <v>0</v>
      </c>
      <c r="AE57" s="9">
        <f t="shared" si="36"/>
        <v>0</v>
      </c>
      <c r="AF57" s="9">
        <f t="shared" si="36"/>
        <v>0</v>
      </c>
      <c r="AG57" s="9">
        <f t="shared" si="36"/>
        <v>0</v>
      </c>
      <c r="AH57" s="9">
        <f t="shared" si="31"/>
        <v>0</v>
      </c>
      <c r="AI57" s="9">
        <f t="shared" si="32"/>
        <v>0</v>
      </c>
      <c r="AJ57" s="10">
        <f t="shared" si="33"/>
        <v>0</v>
      </c>
      <c r="AK57" s="9">
        <f t="shared" si="34"/>
        <v>0</v>
      </c>
      <c r="AM57">
        <f>(AK58-AI58)/5</f>
        <v>0</v>
      </c>
    </row>
    <row r="58" spans="1:40">
      <c r="A58" s="9" t="s">
        <v>1</v>
      </c>
      <c r="B58">
        <f>B43-B57*$A43</f>
        <v>0</v>
      </c>
      <c r="C58" s="9">
        <f t="shared" ref="C58:AG58" si="37">C43-C57*$A43</f>
        <v>0</v>
      </c>
      <c r="D58" s="9">
        <f t="shared" si="37"/>
        <v>0</v>
      </c>
      <c r="E58" s="9">
        <f t="shared" si="37"/>
        <v>0</v>
      </c>
      <c r="F58" s="9">
        <f t="shared" si="37"/>
        <v>0</v>
      </c>
      <c r="G58" s="9">
        <f t="shared" si="37"/>
        <v>0</v>
      </c>
      <c r="H58" s="9">
        <f t="shared" si="37"/>
        <v>0</v>
      </c>
      <c r="I58" s="9">
        <f t="shared" si="37"/>
        <v>0</v>
      </c>
      <c r="J58" s="9">
        <f t="shared" si="37"/>
        <v>0</v>
      </c>
      <c r="K58" s="9">
        <f t="shared" si="37"/>
        <v>0</v>
      </c>
      <c r="L58" s="9">
        <f t="shared" si="37"/>
        <v>0</v>
      </c>
      <c r="M58" s="9">
        <f t="shared" si="37"/>
        <v>0</v>
      </c>
      <c r="N58" s="9">
        <f t="shared" si="37"/>
        <v>0</v>
      </c>
      <c r="O58" s="9">
        <f t="shared" si="37"/>
        <v>0</v>
      </c>
      <c r="P58" s="9">
        <f t="shared" si="37"/>
        <v>0</v>
      </c>
      <c r="Q58" s="9">
        <f t="shared" si="37"/>
        <v>0</v>
      </c>
      <c r="R58" s="9">
        <f t="shared" si="37"/>
        <v>0</v>
      </c>
      <c r="S58" s="9">
        <f t="shared" si="37"/>
        <v>0</v>
      </c>
      <c r="T58" s="9">
        <f t="shared" si="37"/>
        <v>0</v>
      </c>
      <c r="U58" s="9">
        <f t="shared" si="37"/>
        <v>0</v>
      </c>
      <c r="V58" s="9">
        <f t="shared" si="37"/>
        <v>0</v>
      </c>
      <c r="W58" s="9">
        <f t="shared" si="37"/>
        <v>0</v>
      </c>
      <c r="X58" s="9">
        <f t="shared" si="37"/>
        <v>0</v>
      </c>
      <c r="Y58" s="9">
        <f t="shared" si="37"/>
        <v>0</v>
      </c>
      <c r="Z58" s="9">
        <f t="shared" si="37"/>
        <v>0</v>
      </c>
      <c r="AA58" s="9">
        <f t="shared" si="37"/>
        <v>0</v>
      </c>
      <c r="AB58" s="9">
        <f t="shared" si="37"/>
        <v>0</v>
      </c>
      <c r="AC58" s="9">
        <f t="shared" si="37"/>
        <v>0</v>
      </c>
      <c r="AD58" s="9">
        <f t="shared" si="37"/>
        <v>0</v>
      </c>
      <c r="AE58" s="9">
        <f t="shared" si="37"/>
        <v>0</v>
      </c>
      <c r="AF58" s="9">
        <f t="shared" si="37"/>
        <v>0</v>
      </c>
      <c r="AG58" s="9">
        <f t="shared" si="37"/>
        <v>0</v>
      </c>
      <c r="AH58" s="9">
        <f t="shared" si="31"/>
        <v>0</v>
      </c>
      <c r="AI58" s="9">
        <f t="shared" si="32"/>
        <v>0</v>
      </c>
      <c r="AJ58" s="10">
        <f t="shared" si="33"/>
        <v>0</v>
      </c>
      <c r="AK58" s="9">
        <f t="shared" si="34"/>
        <v>0</v>
      </c>
      <c r="AM58" s="11">
        <f>AI58</f>
        <v>0</v>
      </c>
      <c r="AN58" t="b">
        <f ca="1">_xll.HISTOGRAM(B$58:AG$58,AM$58:AM$63,AM58)</f>
        <v>0</v>
      </c>
    </row>
    <row r="59" spans="1:40">
      <c r="AH59" s="9"/>
      <c r="AI59" s="9"/>
      <c r="AJ59" s="10"/>
      <c r="AK59" s="9"/>
      <c r="AM59" s="11">
        <f>AM58+AM$57</f>
        <v>0</v>
      </c>
      <c r="AN59" s="9" t="b">
        <f ca="1">_xll.HISTOGRAM(B$58:AG$58,AM$58:AM$63,AM59)</f>
        <v>0</v>
      </c>
    </row>
    <row r="60" spans="1:40">
      <c r="A60" s="9" t="s">
        <v>21</v>
      </c>
      <c r="B60">
        <f>B1</f>
        <v>0</v>
      </c>
      <c r="C60" s="9">
        <f t="shared" ref="C60:AK60" si="38">C1</f>
        <v>1</v>
      </c>
      <c r="D60" s="9">
        <f t="shared" si="38"/>
        <v>2</v>
      </c>
      <c r="E60" s="9">
        <f t="shared" si="38"/>
        <v>3</v>
      </c>
      <c r="F60" s="9">
        <f t="shared" si="38"/>
        <v>4</v>
      </c>
      <c r="G60" s="9">
        <f t="shared" si="38"/>
        <v>5</v>
      </c>
      <c r="H60" s="9">
        <f t="shared" si="38"/>
        <v>6</v>
      </c>
      <c r="I60" s="9">
        <f t="shared" si="38"/>
        <v>7</v>
      </c>
      <c r="J60" s="9">
        <f t="shared" si="38"/>
        <v>8</v>
      </c>
      <c r="K60" s="9">
        <f t="shared" si="38"/>
        <v>9</v>
      </c>
      <c r="L60" s="9">
        <f t="shared" si="38"/>
        <v>10</v>
      </c>
      <c r="M60" s="9">
        <f t="shared" si="38"/>
        <v>11</v>
      </c>
      <c r="N60" s="9">
        <f t="shared" si="38"/>
        <v>12</v>
      </c>
      <c r="O60" s="9">
        <f t="shared" si="38"/>
        <v>13</v>
      </c>
      <c r="P60" s="9">
        <f t="shared" si="38"/>
        <v>14</v>
      </c>
      <c r="Q60" s="9">
        <f t="shared" si="38"/>
        <v>15</v>
      </c>
      <c r="R60" s="9">
        <f t="shared" si="38"/>
        <v>16</v>
      </c>
      <c r="S60" s="9">
        <f t="shared" si="38"/>
        <v>17</v>
      </c>
      <c r="T60" s="9">
        <f t="shared" si="38"/>
        <v>18</v>
      </c>
      <c r="U60" s="9">
        <f t="shared" si="38"/>
        <v>19</v>
      </c>
      <c r="V60" s="9">
        <f t="shared" si="38"/>
        <v>20</v>
      </c>
      <c r="W60" s="9">
        <f t="shared" si="38"/>
        <v>21</v>
      </c>
      <c r="X60" s="9">
        <f t="shared" si="38"/>
        <v>22</v>
      </c>
      <c r="Y60" s="9">
        <f t="shared" si="38"/>
        <v>23</v>
      </c>
      <c r="Z60" s="9">
        <f t="shared" si="38"/>
        <v>24</v>
      </c>
      <c r="AA60" s="9">
        <f t="shared" si="38"/>
        <v>25</v>
      </c>
      <c r="AB60" s="9">
        <f t="shared" si="38"/>
        <v>26</v>
      </c>
      <c r="AC60" s="9">
        <f t="shared" si="38"/>
        <v>27</v>
      </c>
      <c r="AD60" s="9">
        <f t="shared" si="38"/>
        <v>28</v>
      </c>
      <c r="AE60" s="9">
        <f t="shared" si="38"/>
        <v>29</v>
      </c>
      <c r="AF60" s="9">
        <f t="shared" si="38"/>
        <v>30</v>
      </c>
      <c r="AG60" s="9">
        <f t="shared" si="38"/>
        <v>31</v>
      </c>
      <c r="AH60" s="9" t="str">
        <f t="shared" si="38"/>
        <v>STDEV</v>
      </c>
      <c r="AI60" s="9" t="str">
        <f t="shared" si="38"/>
        <v>-1.5σ</v>
      </c>
      <c r="AJ60" s="9" t="str">
        <f t="shared" si="38"/>
        <v>MEAN</v>
      </c>
      <c r="AK60" s="9" t="str">
        <f t="shared" si="38"/>
        <v>+1.5σ</v>
      </c>
      <c r="AM60" s="11">
        <f t="shared" ref="AM60" si="39">AM59+AM$57</f>
        <v>0</v>
      </c>
      <c r="AN60" s="9" t="b">
        <f ca="1">_xll.HISTOGRAM(B$58:AG$58,AM$58:AM$63,AM60)</f>
        <v>0</v>
      </c>
    </row>
    <row r="61" spans="1:40" s="9" customFormat="1">
      <c r="A61" s="9">
        <f t="shared" ref="A61:A62" si="40">A43</f>
        <v>116.47100143432617</v>
      </c>
      <c r="B61" s="9">
        <f>B$57*$A43+B$58</f>
        <v>0</v>
      </c>
      <c r="C61" s="9">
        <f t="shared" ref="B61:Q70" si="41">C$57*$A43+C$58</f>
        <v>0</v>
      </c>
      <c r="D61" s="9">
        <f t="shared" si="41"/>
        <v>0</v>
      </c>
      <c r="E61" s="9">
        <f t="shared" si="41"/>
        <v>0</v>
      </c>
      <c r="F61" s="9">
        <f t="shared" si="41"/>
        <v>0</v>
      </c>
      <c r="G61" s="9">
        <f t="shared" si="41"/>
        <v>0</v>
      </c>
      <c r="H61" s="9">
        <f t="shared" si="41"/>
        <v>0</v>
      </c>
      <c r="I61" s="9">
        <f t="shared" si="41"/>
        <v>0</v>
      </c>
      <c r="J61" s="9">
        <f t="shared" si="41"/>
        <v>0</v>
      </c>
      <c r="K61" s="9">
        <f t="shared" si="41"/>
        <v>0</v>
      </c>
      <c r="L61" s="9">
        <f t="shared" si="41"/>
        <v>0</v>
      </c>
      <c r="M61" s="9">
        <f t="shared" si="41"/>
        <v>0</v>
      </c>
      <c r="N61" s="9">
        <f t="shared" si="41"/>
        <v>0</v>
      </c>
      <c r="O61" s="9">
        <f t="shared" si="41"/>
        <v>0</v>
      </c>
      <c r="P61" s="9">
        <f t="shared" si="41"/>
        <v>0</v>
      </c>
      <c r="Q61" s="9">
        <f t="shared" si="41"/>
        <v>0</v>
      </c>
      <c r="R61" s="9">
        <f t="shared" ref="R61:AG61" si="42">R$57*$A43+R$58</f>
        <v>0</v>
      </c>
      <c r="S61" s="9">
        <f t="shared" si="42"/>
        <v>0</v>
      </c>
      <c r="T61" s="9">
        <f t="shared" si="42"/>
        <v>0</v>
      </c>
      <c r="U61" s="9">
        <f t="shared" si="42"/>
        <v>0</v>
      </c>
      <c r="V61" s="9">
        <f t="shared" si="42"/>
        <v>0</v>
      </c>
      <c r="W61" s="9">
        <f t="shared" si="42"/>
        <v>0</v>
      </c>
      <c r="X61" s="9">
        <f t="shared" si="42"/>
        <v>0</v>
      </c>
      <c r="Y61" s="9">
        <f t="shared" si="42"/>
        <v>0</v>
      </c>
      <c r="Z61" s="9">
        <f t="shared" si="42"/>
        <v>0</v>
      </c>
      <c r="AA61" s="9">
        <f t="shared" si="42"/>
        <v>0</v>
      </c>
      <c r="AB61" s="9">
        <f t="shared" si="42"/>
        <v>0</v>
      </c>
      <c r="AC61" s="9">
        <f t="shared" si="42"/>
        <v>0</v>
      </c>
      <c r="AD61" s="9">
        <f t="shared" si="42"/>
        <v>0</v>
      </c>
      <c r="AE61" s="9">
        <f t="shared" si="42"/>
        <v>0</v>
      </c>
      <c r="AF61" s="9">
        <f t="shared" si="42"/>
        <v>0</v>
      </c>
      <c r="AG61" s="9">
        <f t="shared" si="42"/>
        <v>0</v>
      </c>
      <c r="AH61" s="9">
        <f t="shared" ref="AH61:AH62" si="43">STDEV(B61:AG61)</f>
        <v>0</v>
      </c>
      <c r="AI61" s="9">
        <f t="shared" ref="AI61:AI62" si="44">AJ61-1.5*AH61</f>
        <v>0</v>
      </c>
      <c r="AJ61" s="10">
        <f t="shared" ref="AJ61:AJ62" si="45">AVERAGE(B61:AG61)</f>
        <v>0</v>
      </c>
      <c r="AK61" s="9">
        <f t="shared" ref="AK61:AK62" si="46">AJ61+1.5*AH61</f>
        <v>0</v>
      </c>
      <c r="AM61" s="11">
        <f>AM60+AM$57</f>
        <v>0</v>
      </c>
      <c r="AN61" s="9" t="b">
        <f ca="1">_xll.HISTOGRAM(B$58:AG$58,AM$58:AM$63,AM61)</f>
        <v>0</v>
      </c>
    </row>
    <row r="62" spans="1:40" s="9" customFormat="1">
      <c r="A62" s="9">
        <f t="shared" si="40"/>
        <v>87.306494903564456</v>
      </c>
      <c r="B62" s="9">
        <f t="shared" si="41"/>
        <v>0</v>
      </c>
      <c r="C62" s="9">
        <f t="shared" si="41"/>
        <v>0</v>
      </c>
      <c r="D62" s="9">
        <f t="shared" si="41"/>
        <v>0</v>
      </c>
      <c r="E62" s="9">
        <f t="shared" si="41"/>
        <v>0</v>
      </c>
      <c r="F62" s="9">
        <f t="shared" si="41"/>
        <v>0</v>
      </c>
      <c r="G62" s="9">
        <f t="shared" si="41"/>
        <v>0</v>
      </c>
      <c r="H62" s="9">
        <f t="shared" si="41"/>
        <v>0</v>
      </c>
      <c r="I62" s="9">
        <f t="shared" si="41"/>
        <v>0</v>
      </c>
      <c r="J62" s="9">
        <f t="shared" si="41"/>
        <v>0</v>
      </c>
      <c r="K62" s="9">
        <f t="shared" si="41"/>
        <v>0</v>
      </c>
      <c r="L62" s="9">
        <f t="shared" si="41"/>
        <v>0</v>
      </c>
      <c r="M62" s="9">
        <f t="shared" si="41"/>
        <v>0</v>
      </c>
      <c r="N62" s="9">
        <f t="shared" si="41"/>
        <v>0</v>
      </c>
      <c r="O62" s="9">
        <f t="shared" si="41"/>
        <v>0</v>
      </c>
      <c r="P62" s="9">
        <f t="shared" si="41"/>
        <v>0</v>
      </c>
      <c r="Q62" s="9">
        <f t="shared" si="41"/>
        <v>0</v>
      </c>
      <c r="R62" s="9">
        <f t="shared" ref="R62:AG62" si="47">R$57*$A44+R$58</f>
        <v>0</v>
      </c>
      <c r="S62" s="9">
        <f t="shared" si="47"/>
        <v>0</v>
      </c>
      <c r="T62" s="9">
        <f t="shared" si="47"/>
        <v>0</v>
      </c>
      <c r="U62" s="9">
        <f t="shared" si="47"/>
        <v>0</v>
      </c>
      <c r="V62" s="9">
        <f t="shared" si="47"/>
        <v>0</v>
      </c>
      <c r="W62" s="9">
        <f t="shared" si="47"/>
        <v>0</v>
      </c>
      <c r="X62" s="9">
        <f t="shared" si="47"/>
        <v>0</v>
      </c>
      <c r="Y62" s="9">
        <f t="shared" si="47"/>
        <v>0</v>
      </c>
      <c r="Z62" s="9">
        <f t="shared" si="47"/>
        <v>0</v>
      </c>
      <c r="AA62" s="9">
        <f t="shared" si="47"/>
        <v>0</v>
      </c>
      <c r="AB62" s="9">
        <f t="shared" si="47"/>
        <v>0</v>
      </c>
      <c r="AC62" s="9">
        <f t="shared" si="47"/>
        <v>0</v>
      </c>
      <c r="AD62" s="9">
        <f t="shared" si="47"/>
        <v>0</v>
      </c>
      <c r="AE62" s="9">
        <f t="shared" si="47"/>
        <v>0</v>
      </c>
      <c r="AF62" s="9">
        <f t="shared" si="47"/>
        <v>0</v>
      </c>
      <c r="AG62" s="9">
        <f t="shared" si="47"/>
        <v>0</v>
      </c>
      <c r="AH62" s="9">
        <f t="shared" si="43"/>
        <v>0</v>
      </c>
      <c r="AI62" s="9">
        <f t="shared" si="44"/>
        <v>0</v>
      </c>
      <c r="AJ62" s="10">
        <f t="shared" si="45"/>
        <v>0</v>
      </c>
      <c r="AK62" s="9">
        <f t="shared" si="46"/>
        <v>0</v>
      </c>
      <c r="AM62" s="11">
        <f>AM61+AM$57</f>
        <v>0</v>
      </c>
      <c r="AN62" s="9" t="b">
        <f ca="1">_xll.HISTOGRAM(B$58:AG$58,AM$58:AM$63,AM62)</f>
        <v>0</v>
      </c>
    </row>
    <row r="63" spans="1:40">
      <c r="A63">
        <f>A45</f>
        <v>21.315652084350585</v>
      </c>
      <c r="B63">
        <f t="shared" si="41"/>
        <v>0</v>
      </c>
      <c r="C63" s="9">
        <f t="shared" ref="C63:AG63" si="48">C$57*$A45+C$58</f>
        <v>0</v>
      </c>
      <c r="D63" s="9">
        <f t="shared" si="48"/>
        <v>0</v>
      </c>
      <c r="E63" s="9">
        <f t="shared" si="48"/>
        <v>0</v>
      </c>
      <c r="F63" s="9">
        <f t="shared" si="48"/>
        <v>0</v>
      </c>
      <c r="G63" s="9">
        <f t="shared" si="48"/>
        <v>0</v>
      </c>
      <c r="H63" s="9">
        <f t="shared" si="48"/>
        <v>0</v>
      </c>
      <c r="I63" s="9">
        <f t="shared" si="48"/>
        <v>0</v>
      </c>
      <c r="J63" s="9">
        <f t="shared" si="48"/>
        <v>0</v>
      </c>
      <c r="K63" s="9">
        <f t="shared" si="48"/>
        <v>0</v>
      </c>
      <c r="L63" s="9">
        <f t="shared" si="48"/>
        <v>0</v>
      </c>
      <c r="M63" s="9">
        <f t="shared" si="48"/>
        <v>0</v>
      </c>
      <c r="N63" s="9">
        <f t="shared" si="48"/>
        <v>0</v>
      </c>
      <c r="O63" s="9">
        <f t="shared" si="48"/>
        <v>0</v>
      </c>
      <c r="P63" s="9">
        <f t="shared" si="48"/>
        <v>0</v>
      </c>
      <c r="Q63" s="9">
        <f t="shared" si="48"/>
        <v>0</v>
      </c>
      <c r="R63" s="9">
        <f t="shared" si="48"/>
        <v>0</v>
      </c>
      <c r="S63" s="9">
        <f t="shared" si="48"/>
        <v>0</v>
      </c>
      <c r="T63" s="9">
        <f t="shared" si="48"/>
        <v>0</v>
      </c>
      <c r="U63" s="9">
        <f t="shared" si="48"/>
        <v>0</v>
      </c>
      <c r="V63" s="9">
        <f t="shared" si="48"/>
        <v>0</v>
      </c>
      <c r="W63" s="9">
        <f t="shared" si="48"/>
        <v>0</v>
      </c>
      <c r="X63" s="9">
        <f t="shared" si="48"/>
        <v>0</v>
      </c>
      <c r="Y63" s="9">
        <f t="shared" si="48"/>
        <v>0</v>
      </c>
      <c r="Z63" s="9">
        <f t="shared" si="48"/>
        <v>0</v>
      </c>
      <c r="AA63" s="9">
        <f t="shared" si="48"/>
        <v>0</v>
      </c>
      <c r="AB63" s="9">
        <f t="shared" si="48"/>
        <v>0</v>
      </c>
      <c r="AC63" s="9">
        <f t="shared" si="48"/>
        <v>0</v>
      </c>
      <c r="AD63" s="9">
        <f t="shared" si="48"/>
        <v>0</v>
      </c>
      <c r="AE63" s="9">
        <f t="shared" si="48"/>
        <v>0</v>
      </c>
      <c r="AF63" s="9">
        <f t="shared" si="48"/>
        <v>0</v>
      </c>
      <c r="AG63" s="9">
        <f t="shared" si="48"/>
        <v>0</v>
      </c>
      <c r="AH63" s="9">
        <f t="shared" si="31"/>
        <v>0</v>
      </c>
      <c r="AI63" s="9">
        <f t="shared" si="32"/>
        <v>0</v>
      </c>
      <c r="AJ63" s="10">
        <f t="shared" si="33"/>
        <v>0</v>
      </c>
      <c r="AK63" s="9">
        <f t="shared" si="34"/>
        <v>0</v>
      </c>
      <c r="AM63" s="11">
        <f>AM62+AM$57</f>
        <v>0</v>
      </c>
      <c r="AN63" s="9" t="b">
        <f ca="1">_xll.HISTOGRAM(B$58:AG$58,AM$58:AM$63,AM63)</f>
        <v>0</v>
      </c>
    </row>
    <row r="64" spans="1:40">
      <c r="A64" s="9">
        <f t="shared" ref="A64:A69" si="49">A46</f>
        <v>17.340450096130372</v>
      </c>
      <c r="B64" s="9">
        <f t="shared" si="41"/>
        <v>0</v>
      </c>
      <c r="C64" s="9">
        <f t="shared" ref="C64:AG64" si="50">C$57*$A46+C$58</f>
        <v>0</v>
      </c>
      <c r="D64" s="9">
        <f t="shared" si="50"/>
        <v>0</v>
      </c>
      <c r="E64" s="9">
        <f t="shared" si="50"/>
        <v>0</v>
      </c>
      <c r="F64" s="9">
        <f t="shared" si="50"/>
        <v>0</v>
      </c>
      <c r="G64" s="9">
        <f t="shared" si="50"/>
        <v>0</v>
      </c>
      <c r="H64" s="9">
        <f t="shared" si="50"/>
        <v>0</v>
      </c>
      <c r="I64" s="9">
        <f t="shared" si="50"/>
        <v>0</v>
      </c>
      <c r="J64" s="9">
        <f t="shared" si="50"/>
        <v>0</v>
      </c>
      <c r="K64" s="9">
        <f t="shared" si="50"/>
        <v>0</v>
      </c>
      <c r="L64" s="9">
        <f t="shared" si="50"/>
        <v>0</v>
      </c>
      <c r="M64" s="9">
        <f t="shared" si="50"/>
        <v>0</v>
      </c>
      <c r="N64" s="9">
        <f t="shared" si="50"/>
        <v>0</v>
      </c>
      <c r="O64" s="9">
        <f t="shared" si="50"/>
        <v>0</v>
      </c>
      <c r="P64" s="9">
        <f t="shared" si="50"/>
        <v>0</v>
      </c>
      <c r="Q64" s="9">
        <f t="shared" si="50"/>
        <v>0</v>
      </c>
      <c r="R64" s="9">
        <f t="shared" si="50"/>
        <v>0</v>
      </c>
      <c r="S64" s="9">
        <f t="shared" si="50"/>
        <v>0</v>
      </c>
      <c r="T64" s="9">
        <f t="shared" si="50"/>
        <v>0</v>
      </c>
      <c r="U64" s="9">
        <f t="shared" si="50"/>
        <v>0</v>
      </c>
      <c r="V64" s="9">
        <f t="shared" si="50"/>
        <v>0</v>
      </c>
      <c r="W64" s="9">
        <f t="shared" si="50"/>
        <v>0</v>
      </c>
      <c r="X64" s="9">
        <f t="shared" si="50"/>
        <v>0</v>
      </c>
      <c r="Y64" s="9">
        <f t="shared" si="50"/>
        <v>0</v>
      </c>
      <c r="Z64" s="9">
        <f t="shared" si="50"/>
        <v>0</v>
      </c>
      <c r="AA64" s="9">
        <f t="shared" si="50"/>
        <v>0</v>
      </c>
      <c r="AB64" s="9">
        <f t="shared" si="50"/>
        <v>0</v>
      </c>
      <c r="AC64" s="9">
        <f t="shared" si="50"/>
        <v>0</v>
      </c>
      <c r="AD64" s="9">
        <f t="shared" si="50"/>
        <v>0</v>
      </c>
      <c r="AE64" s="9">
        <f t="shared" si="50"/>
        <v>0</v>
      </c>
      <c r="AF64" s="9">
        <f t="shared" si="50"/>
        <v>0</v>
      </c>
      <c r="AG64" s="9">
        <f t="shared" si="50"/>
        <v>0</v>
      </c>
      <c r="AH64" s="9">
        <f t="shared" si="31"/>
        <v>0</v>
      </c>
      <c r="AI64" s="9">
        <f t="shared" si="32"/>
        <v>0</v>
      </c>
      <c r="AJ64" s="10">
        <f t="shared" si="33"/>
        <v>0</v>
      </c>
      <c r="AK64" s="9">
        <f t="shared" si="34"/>
        <v>0</v>
      </c>
    </row>
    <row r="65" spans="1:38">
      <c r="A65" s="9">
        <f t="shared" si="49"/>
        <v>14.188851261138916</v>
      </c>
      <c r="B65" s="9">
        <f t="shared" si="41"/>
        <v>0</v>
      </c>
      <c r="C65" s="9">
        <f t="shared" ref="C65:AG65" si="51">C$57*$A47+C$58</f>
        <v>0</v>
      </c>
      <c r="D65" s="9">
        <f t="shared" si="51"/>
        <v>0</v>
      </c>
      <c r="E65" s="9">
        <f t="shared" si="51"/>
        <v>0</v>
      </c>
      <c r="F65" s="9">
        <f t="shared" si="51"/>
        <v>0</v>
      </c>
      <c r="G65" s="9">
        <f t="shared" si="51"/>
        <v>0</v>
      </c>
      <c r="H65" s="9">
        <f t="shared" si="51"/>
        <v>0</v>
      </c>
      <c r="I65" s="9">
        <f t="shared" si="51"/>
        <v>0</v>
      </c>
      <c r="J65" s="9">
        <f t="shared" si="51"/>
        <v>0</v>
      </c>
      <c r="K65" s="9">
        <f t="shared" si="51"/>
        <v>0</v>
      </c>
      <c r="L65" s="9">
        <f t="shared" si="51"/>
        <v>0</v>
      </c>
      <c r="M65" s="9">
        <f t="shared" si="51"/>
        <v>0</v>
      </c>
      <c r="N65" s="9">
        <f t="shared" si="51"/>
        <v>0</v>
      </c>
      <c r="O65" s="9">
        <f t="shared" si="51"/>
        <v>0</v>
      </c>
      <c r="P65" s="9">
        <f t="shared" si="51"/>
        <v>0</v>
      </c>
      <c r="Q65" s="9">
        <f t="shared" si="51"/>
        <v>0</v>
      </c>
      <c r="R65" s="9">
        <f t="shared" si="51"/>
        <v>0</v>
      </c>
      <c r="S65" s="9">
        <f t="shared" si="51"/>
        <v>0</v>
      </c>
      <c r="T65" s="9">
        <f t="shared" si="51"/>
        <v>0</v>
      </c>
      <c r="U65" s="9">
        <f t="shared" si="51"/>
        <v>0</v>
      </c>
      <c r="V65" s="9">
        <f t="shared" si="51"/>
        <v>0</v>
      </c>
      <c r="W65" s="9">
        <f t="shared" si="51"/>
        <v>0</v>
      </c>
      <c r="X65" s="9">
        <f t="shared" si="51"/>
        <v>0</v>
      </c>
      <c r="Y65" s="9">
        <f t="shared" si="51"/>
        <v>0</v>
      </c>
      <c r="Z65" s="9">
        <f t="shared" si="51"/>
        <v>0</v>
      </c>
      <c r="AA65" s="9">
        <f t="shared" si="51"/>
        <v>0</v>
      </c>
      <c r="AB65" s="9">
        <f t="shared" si="51"/>
        <v>0</v>
      </c>
      <c r="AC65" s="9">
        <f t="shared" si="51"/>
        <v>0</v>
      </c>
      <c r="AD65" s="9">
        <f t="shared" si="51"/>
        <v>0</v>
      </c>
      <c r="AE65" s="9">
        <f t="shared" si="51"/>
        <v>0</v>
      </c>
      <c r="AF65" s="9">
        <f t="shared" si="51"/>
        <v>0</v>
      </c>
      <c r="AG65" s="9">
        <f t="shared" si="51"/>
        <v>0</v>
      </c>
      <c r="AH65" s="9">
        <f t="shared" si="31"/>
        <v>0</v>
      </c>
      <c r="AI65" s="9">
        <f t="shared" si="32"/>
        <v>0</v>
      </c>
      <c r="AJ65" s="10">
        <f t="shared" si="33"/>
        <v>0</v>
      </c>
      <c r="AK65" s="9">
        <f t="shared" si="34"/>
        <v>0</v>
      </c>
    </row>
    <row r="66" spans="1:38">
      <c r="A66" s="9">
        <f t="shared" si="49"/>
        <v>11.795599174499511</v>
      </c>
      <c r="B66" s="9">
        <f t="shared" si="41"/>
        <v>0</v>
      </c>
      <c r="C66" s="9">
        <f t="shared" ref="C66:AG66" si="52">C$57*$A48+C$58</f>
        <v>0</v>
      </c>
      <c r="D66" s="9">
        <f t="shared" si="52"/>
        <v>0</v>
      </c>
      <c r="E66" s="9">
        <f t="shared" si="52"/>
        <v>0</v>
      </c>
      <c r="F66" s="9">
        <f t="shared" si="52"/>
        <v>0</v>
      </c>
      <c r="G66" s="9">
        <f t="shared" si="52"/>
        <v>0</v>
      </c>
      <c r="H66" s="9">
        <f t="shared" si="52"/>
        <v>0</v>
      </c>
      <c r="I66" s="9">
        <f t="shared" si="52"/>
        <v>0</v>
      </c>
      <c r="J66" s="9">
        <f t="shared" si="52"/>
        <v>0</v>
      </c>
      <c r="K66" s="9">
        <f t="shared" si="52"/>
        <v>0</v>
      </c>
      <c r="L66" s="9">
        <f t="shared" si="52"/>
        <v>0</v>
      </c>
      <c r="M66" s="9">
        <f t="shared" si="52"/>
        <v>0</v>
      </c>
      <c r="N66" s="9">
        <f t="shared" si="52"/>
        <v>0</v>
      </c>
      <c r="O66" s="9">
        <f t="shared" si="52"/>
        <v>0</v>
      </c>
      <c r="P66" s="9">
        <f t="shared" si="52"/>
        <v>0</v>
      </c>
      <c r="Q66" s="9">
        <f t="shared" si="52"/>
        <v>0</v>
      </c>
      <c r="R66" s="9">
        <f t="shared" si="52"/>
        <v>0</v>
      </c>
      <c r="S66" s="9">
        <f t="shared" si="52"/>
        <v>0</v>
      </c>
      <c r="T66" s="9">
        <f t="shared" si="52"/>
        <v>0</v>
      </c>
      <c r="U66" s="9">
        <f t="shared" si="52"/>
        <v>0</v>
      </c>
      <c r="V66" s="9">
        <f t="shared" si="52"/>
        <v>0</v>
      </c>
      <c r="W66" s="9">
        <f t="shared" si="52"/>
        <v>0</v>
      </c>
      <c r="X66" s="9">
        <f t="shared" si="52"/>
        <v>0</v>
      </c>
      <c r="Y66" s="9">
        <f t="shared" si="52"/>
        <v>0</v>
      </c>
      <c r="Z66" s="9">
        <f t="shared" si="52"/>
        <v>0</v>
      </c>
      <c r="AA66" s="9">
        <f t="shared" si="52"/>
        <v>0</v>
      </c>
      <c r="AB66" s="9">
        <f t="shared" si="52"/>
        <v>0</v>
      </c>
      <c r="AC66" s="9">
        <f t="shared" si="52"/>
        <v>0</v>
      </c>
      <c r="AD66" s="9">
        <f t="shared" si="52"/>
        <v>0</v>
      </c>
      <c r="AE66" s="9">
        <f t="shared" si="52"/>
        <v>0</v>
      </c>
      <c r="AF66" s="9">
        <f t="shared" si="52"/>
        <v>0</v>
      </c>
      <c r="AG66" s="9">
        <f t="shared" si="52"/>
        <v>0</v>
      </c>
      <c r="AH66" s="9">
        <f t="shared" si="31"/>
        <v>0</v>
      </c>
      <c r="AI66" s="9">
        <f t="shared" si="32"/>
        <v>0</v>
      </c>
      <c r="AJ66" s="10">
        <f t="shared" si="33"/>
        <v>0</v>
      </c>
      <c r="AK66" s="9">
        <f t="shared" si="34"/>
        <v>0</v>
      </c>
    </row>
    <row r="67" spans="1:38">
      <c r="A67" s="9">
        <f t="shared" si="49"/>
        <v>8.797748947143555</v>
      </c>
      <c r="B67" s="9">
        <f t="shared" si="41"/>
        <v>0</v>
      </c>
      <c r="C67" s="9">
        <f t="shared" ref="C67:AG67" si="53">C$57*$A49+C$58</f>
        <v>0</v>
      </c>
      <c r="D67" s="9">
        <f t="shared" si="53"/>
        <v>0</v>
      </c>
      <c r="E67" s="9">
        <f t="shared" si="53"/>
        <v>0</v>
      </c>
      <c r="F67" s="9">
        <f t="shared" si="53"/>
        <v>0</v>
      </c>
      <c r="G67" s="9">
        <f t="shared" si="53"/>
        <v>0</v>
      </c>
      <c r="H67" s="9">
        <f t="shared" si="53"/>
        <v>0</v>
      </c>
      <c r="I67" s="9">
        <f t="shared" si="53"/>
        <v>0</v>
      </c>
      <c r="J67" s="9">
        <f t="shared" si="53"/>
        <v>0</v>
      </c>
      <c r="K67" s="9">
        <f t="shared" si="53"/>
        <v>0</v>
      </c>
      <c r="L67" s="9">
        <f t="shared" si="53"/>
        <v>0</v>
      </c>
      <c r="M67" s="9">
        <f t="shared" si="53"/>
        <v>0</v>
      </c>
      <c r="N67" s="9">
        <f t="shared" si="53"/>
        <v>0</v>
      </c>
      <c r="O67" s="9">
        <f t="shared" si="53"/>
        <v>0</v>
      </c>
      <c r="P67" s="9">
        <f t="shared" si="53"/>
        <v>0</v>
      </c>
      <c r="Q67" s="9">
        <f t="shared" si="53"/>
        <v>0</v>
      </c>
      <c r="R67" s="9">
        <f t="shared" si="53"/>
        <v>0</v>
      </c>
      <c r="S67" s="9">
        <f t="shared" si="53"/>
        <v>0</v>
      </c>
      <c r="T67" s="9">
        <f t="shared" si="53"/>
        <v>0</v>
      </c>
      <c r="U67" s="9">
        <f t="shared" si="53"/>
        <v>0</v>
      </c>
      <c r="V67" s="9">
        <f t="shared" si="53"/>
        <v>0</v>
      </c>
      <c r="W67" s="9">
        <f t="shared" si="53"/>
        <v>0</v>
      </c>
      <c r="X67" s="9">
        <f t="shared" si="53"/>
        <v>0</v>
      </c>
      <c r="Y67" s="9">
        <f t="shared" si="53"/>
        <v>0</v>
      </c>
      <c r="Z67" s="9">
        <f t="shared" si="53"/>
        <v>0</v>
      </c>
      <c r="AA67" s="9">
        <f t="shared" si="53"/>
        <v>0</v>
      </c>
      <c r="AB67" s="9">
        <f t="shared" si="53"/>
        <v>0</v>
      </c>
      <c r="AC67" s="9">
        <f t="shared" si="53"/>
        <v>0</v>
      </c>
      <c r="AD67" s="9">
        <f t="shared" si="53"/>
        <v>0</v>
      </c>
      <c r="AE67" s="9">
        <f t="shared" si="53"/>
        <v>0</v>
      </c>
      <c r="AF67" s="9">
        <f t="shared" si="53"/>
        <v>0</v>
      </c>
      <c r="AG67" s="9">
        <f t="shared" si="53"/>
        <v>0</v>
      </c>
      <c r="AH67" s="9">
        <f t="shared" si="31"/>
        <v>0</v>
      </c>
      <c r="AI67" s="9">
        <f t="shared" si="32"/>
        <v>0</v>
      </c>
      <c r="AJ67" s="10">
        <f t="shared" si="33"/>
        <v>0</v>
      </c>
      <c r="AK67" s="9">
        <f t="shared" si="34"/>
        <v>0</v>
      </c>
    </row>
    <row r="68" spans="1:38">
      <c r="A68" s="9">
        <f t="shared" si="49"/>
        <v>6.5973999023437502</v>
      </c>
      <c r="B68" s="9">
        <f t="shared" si="41"/>
        <v>0</v>
      </c>
      <c r="C68" s="9">
        <f t="shared" ref="C68:AG68" si="54">C$57*$A50+C$58</f>
        <v>0</v>
      </c>
      <c r="D68" s="9">
        <f t="shared" si="54"/>
        <v>0</v>
      </c>
      <c r="E68" s="9">
        <f t="shared" si="54"/>
        <v>0</v>
      </c>
      <c r="F68" s="9">
        <f t="shared" si="54"/>
        <v>0</v>
      </c>
      <c r="G68" s="9">
        <f t="shared" si="54"/>
        <v>0</v>
      </c>
      <c r="H68" s="9">
        <f t="shared" si="54"/>
        <v>0</v>
      </c>
      <c r="I68" s="9">
        <f t="shared" si="54"/>
        <v>0</v>
      </c>
      <c r="J68" s="9">
        <f t="shared" si="54"/>
        <v>0</v>
      </c>
      <c r="K68" s="9">
        <f t="shared" si="54"/>
        <v>0</v>
      </c>
      <c r="L68" s="9">
        <f t="shared" si="54"/>
        <v>0</v>
      </c>
      <c r="M68" s="9">
        <f t="shared" si="54"/>
        <v>0</v>
      </c>
      <c r="N68" s="9">
        <f t="shared" si="54"/>
        <v>0</v>
      </c>
      <c r="O68" s="9">
        <f t="shared" si="54"/>
        <v>0</v>
      </c>
      <c r="P68" s="9">
        <f t="shared" si="54"/>
        <v>0</v>
      </c>
      <c r="Q68" s="9">
        <f t="shared" si="54"/>
        <v>0</v>
      </c>
      <c r="R68" s="9">
        <f t="shared" si="54"/>
        <v>0</v>
      </c>
      <c r="S68" s="9">
        <f t="shared" si="54"/>
        <v>0</v>
      </c>
      <c r="T68" s="9">
        <f t="shared" si="54"/>
        <v>0</v>
      </c>
      <c r="U68" s="9">
        <f t="shared" si="54"/>
        <v>0</v>
      </c>
      <c r="V68" s="9">
        <f t="shared" si="54"/>
        <v>0</v>
      </c>
      <c r="W68" s="9">
        <f t="shared" si="54"/>
        <v>0</v>
      </c>
      <c r="X68" s="9">
        <f t="shared" si="54"/>
        <v>0</v>
      </c>
      <c r="Y68" s="9">
        <f t="shared" si="54"/>
        <v>0</v>
      </c>
      <c r="Z68" s="9">
        <f t="shared" si="54"/>
        <v>0</v>
      </c>
      <c r="AA68" s="9">
        <f t="shared" si="54"/>
        <v>0</v>
      </c>
      <c r="AB68" s="9">
        <f t="shared" si="54"/>
        <v>0</v>
      </c>
      <c r="AC68" s="9">
        <f t="shared" si="54"/>
        <v>0</v>
      </c>
      <c r="AD68" s="9">
        <f t="shared" si="54"/>
        <v>0</v>
      </c>
      <c r="AE68" s="9">
        <f t="shared" si="54"/>
        <v>0</v>
      </c>
      <c r="AF68" s="9">
        <f t="shared" si="54"/>
        <v>0</v>
      </c>
      <c r="AG68" s="9">
        <f t="shared" si="54"/>
        <v>0</v>
      </c>
      <c r="AH68" s="9">
        <f t="shared" si="31"/>
        <v>0</v>
      </c>
      <c r="AI68" s="9">
        <f t="shared" si="32"/>
        <v>0</v>
      </c>
      <c r="AJ68" s="10">
        <f t="shared" si="33"/>
        <v>0</v>
      </c>
      <c r="AK68" s="9">
        <f t="shared" si="34"/>
        <v>0</v>
      </c>
    </row>
    <row r="69" spans="1:38">
      <c r="A69" s="9">
        <f t="shared" si="49"/>
        <v>2.3447998762130737</v>
      </c>
      <c r="B69" s="9">
        <f t="shared" si="41"/>
        <v>0</v>
      </c>
      <c r="C69" s="9">
        <f t="shared" ref="C69:AG69" si="55">C$57*$A51+C$58</f>
        <v>0</v>
      </c>
      <c r="D69" s="9">
        <f t="shared" si="55"/>
        <v>0</v>
      </c>
      <c r="E69" s="9">
        <f t="shared" si="55"/>
        <v>0</v>
      </c>
      <c r="F69" s="9">
        <f t="shared" si="55"/>
        <v>0</v>
      </c>
      <c r="G69" s="9">
        <f t="shared" si="55"/>
        <v>0</v>
      </c>
      <c r="H69" s="9">
        <f t="shared" si="55"/>
        <v>0</v>
      </c>
      <c r="I69" s="9">
        <f t="shared" si="55"/>
        <v>0</v>
      </c>
      <c r="J69" s="9">
        <f t="shared" si="55"/>
        <v>0</v>
      </c>
      <c r="K69" s="9">
        <f t="shared" si="55"/>
        <v>0</v>
      </c>
      <c r="L69" s="9">
        <f t="shared" si="55"/>
        <v>0</v>
      </c>
      <c r="M69" s="9">
        <f t="shared" si="55"/>
        <v>0</v>
      </c>
      <c r="N69" s="9">
        <f t="shared" si="55"/>
        <v>0</v>
      </c>
      <c r="O69" s="9">
        <f t="shared" si="55"/>
        <v>0</v>
      </c>
      <c r="P69" s="9">
        <f t="shared" si="55"/>
        <v>0</v>
      </c>
      <c r="Q69" s="9">
        <f t="shared" si="55"/>
        <v>0</v>
      </c>
      <c r="R69" s="9">
        <f t="shared" si="55"/>
        <v>0</v>
      </c>
      <c r="S69" s="9">
        <f t="shared" si="55"/>
        <v>0</v>
      </c>
      <c r="T69" s="9">
        <f t="shared" si="55"/>
        <v>0</v>
      </c>
      <c r="U69" s="9">
        <f t="shared" si="55"/>
        <v>0</v>
      </c>
      <c r="V69" s="9">
        <f t="shared" si="55"/>
        <v>0</v>
      </c>
      <c r="W69" s="9">
        <f t="shared" si="55"/>
        <v>0</v>
      </c>
      <c r="X69" s="9">
        <f t="shared" si="55"/>
        <v>0</v>
      </c>
      <c r="Y69" s="9">
        <f t="shared" si="55"/>
        <v>0</v>
      </c>
      <c r="Z69" s="9">
        <f t="shared" si="55"/>
        <v>0</v>
      </c>
      <c r="AA69" s="9">
        <f t="shared" si="55"/>
        <v>0</v>
      </c>
      <c r="AB69" s="9">
        <f t="shared" si="55"/>
        <v>0</v>
      </c>
      <c r="AC69" s="9">
        <f t="shared" si="55"/>
        <v>0</v>
      </c>
      <c r="AD69" s="9">
        <f t="shared" si="55"/>
        <v>0</v>
      </c>
      <c r="AE69" s="9">
        <f t="shared" si="55"/>
        <v>0</v>
      </c>
      <c r="AF69" s="9">
        <f t="shared" si="55"/>
        <v>0</v>
      </c>
      <c r="AG69" s="9">
        <f t="shared" si="55"/>
        <v>0</v>
      </c>
      <c r="AH69" s="9">
        <f t="shared" si="31"/>
        <v>0</v>
      </c>
      <c r="AI69" s="9">
        <f t="shared" si="32"/>
        <v>0</v>
      </c>
      <c r="AJ69" s="10">
        <f t="shared" si="33"/>
        <v>0</v>
      </c>
      <c r="AK69" s="9">
        <f t="shared" si="34"/>
        <v>0</v>
      </c>
    </row>
    <row r="70" spans="1:38">
      <c r="A70" s="9">
        <f>A52</f>
        <v>1.9071000814437866</v>
      </c>
      <c r="B70" s="9">
        <f t="shared" si="41"/>
        <v>0</v>
      </c>
      <c r="C70" s="9">
        <f t="shared" ref="C70:AG70" si="56">C$57*$A52+C$58</f>
        <v>0</v>
      </c>
      <c r="D70" s="9">
        <f t="shared" si="56"/>
        <v>0</v>
      </c>
      <c r="E70" s="9">
        <f t="shared" si="56"/>
        <v>0</v>
      </c>
      <c r="F70" s="9">
        <f t="shared" si="56"/>
        <v>0</v>
      </c>
      <c r="G70" s="9">
        <f t="shared" si="56"/>
        <v>0</v>
      </c>
      <c r="H70" s="9">
        <f t="shared" si="56"/>
        <v>0</v>
      </c>
      <c r="I70" s="9">
        <f t="shared" si="56"/>
        <v>0</v>
      </c>
      <c r="J70" s="9">
        <f t="shared" si="56"/>
        <v>0</v>
      </c>
      <c r="K70" s="9">
        <f t="shared" si="56"/>
        <v>0</v>
      </c>
      <c r="L70" s="9">
        <f t="shared" si="56"/>
        <v>0</v>
      </c>
      <c r="M70" s="9">
        <f t="shared" si="56"/>
        <v>0</v>
      </c>
      <c r="N70" s="9">
        <f t="shared" si="56"/>
        <v>0</v>
      </c>
      <c r="O70" s="9">
        <f t="shared" si="56"/>
        <v>0</v>
      </c>
      <c r="P70" s="9">
        <f t="shared" si="56"/>
        <v>0</v>
      </c>
      <c r="Q70" s="9">
        <f t="shared" si="56"/>
        <v>0</v>
      </c>
      <c r="R70" s="9">
        <f t="shared" si="56"/>
        <v>0</v>
      </c>
      <c r="S70" s="9">
        <f t="shared" si="56"/>
        <v>0</v>
      </c>
      <c r="T70" s="9">
        <f t="shared" si="56"/>
        <v>0</v>
      </c>
      <c r="U70" s="9">
        <f t="shared" si="56"/>
        <v>0</v>
      </c>
      <c r="V70" s="9">
        <f t="shared" si="56"/>
        <v>0</v>
      </c>
      <c r="W70" s="9">
        <f t="shared" si="56"/>
        <v>0</v>
      </c>
      <c r="X70" s="9">
        <f t="shared" si="56"/>
        <v>0</v>
      </c>
      <c r="Y70" s="9">
        <f t="shared" si="56"/>
        <v>0</v>
      </c>
      <c r="Z70" s="9">
        <f t="shared" si="56"/>
        <v>0</v>
      </c>
      <c r="AA70" s="9">
        <f t="shared" si="56"/>
        <v>0</v>
      </c>
      <c r="AB70" s="9">
        <f t="shared" si="56"/>
        <v>0</v>
      </c>
      <c r="AC70" s="9">
        <f t="shared" si="56"/>
        <v>0</v>
      </c>
      <c r="AD70" s="9">
        <f t="shared" si="56"/>
        <v>0</v>
      </c>
      <c r="AE70" s="9">
        <f t="shared" si="56"/>
        <v>0</v>
      </c>
      <c r="AF70" s="9">
        <f t="shared" si="56"/>
        <v>0</v>
      </c>
      <c r="AG70" s="9">
        <f t="shared" si="56"/>
        <v>0</v>
      </c>
      <c r="AH70" s="9">
        <f t="shared" si="31"/>
        <v>0</v>
      </c>
      <c r="AI70" s="9">
        <f t="shared" si="32"/>
        <v>0</v>
      </c>
      <c r="AJ70" s="10">
        <f t="shared" si="33"/>
        <v>0</v>
      </c>
      <c r="AK70" s="9">
        <f t="shared" si="34"/>
        <v>0</v>
      </c>
    </row>
    <row r="71" spans="1:38" s="9" customFormat="1">
      <c r="AJ71" s="10"/>
    </row>
    <row r="72" spans="1:38"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10"/>
      <c r="AK72" s="9"/>
    </row>
    <row r="73" spans="1:38">
      <c r="B73">
        <f>B60</f>
        <v>0</v>
      </c>
      <c r="C73" s="9">
        <f t="shared" ref="C73:AK73" si="57">C60</f>
        <v>1</v>
      </c>
      <c r="D73" s="9">
        <f t="shared" si="57"/>
        <v>2</v>
      </c>
      <c r="E73" s="9">
        <f t="shared" si="57"/>
        <v>3</v>
      </c>
      <c r="F73" s="9">
        <f t="shared" si="57"/>
        <v>4</v>
      </c>
      <c r="G73" s="9">
        <f t="shared" si="57"/>
        <v>5</v>
      </c>
      <c r="H73" s="9">
        <f t="shared" si="57"/>
        <v>6</v>
      </c>
      <c r="I73" s="9">
        <f t="shared" si="57"/>
        <v>7</v>
      </c>
      <c r="J73" s="9">
        <f t="shared" si="57"/>
        <v>8</v>
      </c>
      <c r="K73" s="9">
        <f t="shared" si="57"/>
        <v>9</v>
      </c>
      <c r="L73" s="9">
        <f t="shared" si="57"/>
        <v>10</v>
      </c>
      <c r="M73" s="9">
        <f t="shared" si="57"/>
        <v>11</v>
      </c>
      <c r="N73" s="9">
        <f t="shared" si="57"/>
        <v>12</v>
      </c>
      <c r="O73" s="9">
        <f t="shared" si="57"/>
        <v>13</v>
      </c>
      <c r="P73" s="9">
        <f t="shared" si="57"/>
        <v>14</v>
      </c>
      <c r="Q73" s="9">
        <f t="shared" si="57"/>
        <v>15</v>
      </c>
      <c r="R73" s="9">
        <f t="shared" si="57"/>
        <v>16</v>
      </c>
      <c r="S73" s="9">
        <f t="shared" si="57"/>
        <v>17</v>
      </c>
      <c r="T73" s="9">
        <f t="shared" si="57"/>
        <v>18</v>
      </c>
      <c r="U73" s="9">
        <f t="shared" si="57"/>
        <v>19</v>
      </c>
      <c r="V73" s="9">
        <f t="shared" si="57"/>
        <v>20</v>
      </c>
      <c r="W73" s="9">
        <f t="shared" si="57"/>
        <v>21</v>
      </c>
      <c r="X73" s="9">
        <f t="shared" si="57"/>
        <v>22</v>
      </c>
      <c r="Y73" s="9">
        <f t="shared" si="57"/>
        <v>23</v>
      </c>
      <c r="Z73" s="9">
        <f t="shared" si="57"/>
        <v>24</v>
      </c>
      <c r="AA73" s="9">
        <f t="shared" si="57"/>
        <v>25</v>
      </c>
      <c r="AB73" s="9">
        <f t="shared" si="57"/>
        <v>26</v>
      </c>
      <c r="AC73" s="9">
        <f t="shared" si="57"/>
        <v>27</v>
      </c>
      <c r="AD73" s="9">
        <f t="shared" si="57"/>
        <v>28</v>
      </c>
      <c r="AE73" s="9">
        <f t="shared" si="57"/>
        <v>29</v>
      </c>
      <c r="AF73" s="9">
        <f t="shared" si="57"/>
        <v>30</v>
      </c>
      <c r="AG73" s="9">
        <f t="shared" si="57"/>
        <v>31</v>
      </c>
      <c r="AH73" s="9" t="str">
        <f t="shared" si="57"/>
        <v>STDEV</v>
      </c>
      <c r="AI73" s="9" t="str">
        <f t="shared" si="57"/>
        <v>-1.5σ</v>
      </c>
      <c r="AJ73" s="9" t="str">
        <f t="shared" si="57"/>
        <v>MEAN</v>
      </c>
      <c r="AK73" s="9" t="str">
        <f t="shared" si="57"/>
        <v>+1.5σ</v>
      </c>
      <c r="AL73" s="9" t="s">
        <v>29</v>
      </c>
    </row>
    <row r="74" spans="1:38" s="9" customFormat="1">
      <c r="A74" s="9">
        <f t="shared" ref="A74:A82" si="58">A61</f>
        <v>116.47100143432617</v>
      </c>
      <c r="B74" s="9">
        <f t="shared" ref="B74:AG74" si="59">B43-B61</f>
        <v>0</v>
      </c>
      <c r="C74" s="9">
        <f t="shared" si="59"/>
        <v>0</v>
      </c>
      <c r="D74" s="9">
        <f t="shared" si="59"/>
        <v>0</v>
      </c>
      <c r="E74" s="9">
        <f t="shared" si="59"/>
        <v>0</v>
      </c>
      <c r="F74" s="9">
        <f t="shared" si="59"/>
        <v>0</v>
      </c>
      <c r="G74" s="9">
        <f t="shared" si="59"/>
        <v>0</v>
      </c>
      <c r="H74" s="9">
        <f t="shared" si="59"/>
        <v>0</v>
      </c>
      <c r="I74" s="9">
        <f t="shared" si="59"/>
        <v>0</v>
      </c>
      <c r="J74" s="9">
        <f t="shared" si="59"/>
        <v>0</v>
      </c>
      <c r="K74" s="9">
        <f t="shared" si="59"/>
        <v>0</v>
      </c>
      <c r="L74" s="9">
        <f t="shared" si="59"/>
        <v>0</v>
      </c>
      <c r="M74" s="9">
        <f t="shared" si="59"/>
        <v>0</v>
      </c>
      <c r="N74" s="9">
        <f t="shared" si="59"/>
        <v>0</v>
      </c>
      <c r="O74" s="9">
        <f t="shared" si="59"/>
        <v>0</v>
      </c>
      <c r="P74" s="9">
        <f t="shared" si="59"/>
        <v>0</v>
      </c>
      <c r="Q74" s="9">
        <f t="shared" si="59"/>
        <v>0</v>
      </c>
      <c r="R74" s="9">
        <f t="shared" si="59"/>
        <v>0</v>
      </c>
      <c r="S74" s="9">
        <f t="shared" si="59"/>
        <v>0</v>
      </c>
      <c r="T74" s="9">
        <f t="shared" si="59"/>
        <v>0</v>
      </c>
      <c r="U74" s="9">
        <f t="shared" si="59"/>
        <v>0</v>
      </c>
      <c r="V74" s="9">
        <f t="shared" si="59"/>
        <v>0</v>
      </c>
      <c r="W74" s="9">
        <f t="shared" si="59"/>
        <v>0</v>
      </c>
      <c r="X74" s="9">
        <f t="shared" si="59"/>
        <v>0</v>
      </c>
      <c r="Y74" s="9">
        <f t="shared" si="59"/>
        <v>0</v>
      </c>
      <c r="Z74" s="9">
        <f t="shared" si="59"/>
        <v>0</v>
      </c>
      <c r="AA74" s="9">
        <f t="shared" si="59"/>
        <v>0</v>
      </c>
      <c r="AB74" s="9">
        <f t="shared" si="59"/>
        <v>0</v>
      </c>
      <c r="AC74" s="9">
        <f t="shared" si="59"/>
        <v>0</v>
      </c>
      <c r="AD74" s="9">
        <f t="shared" si="59"/>
        <v>0</v>
      </c>
      <c r="AE74" s="9">
        <f t="shared" si="59"/>
        <v>0</v>
      </c>
      <c r="AF74" s="9">
        <f t="shared" si="59"/>
        <v>0</v>
      </c>
      <c r="AG74" s="9">
        <f t="shared" si="59"/>
        <v>0</v>
      </c>
      <c r="AH74" s="9">
        <f t="shared" ref="AH74:AH76" si="60">STDEV(B74:AG74)</f>
        <v>0</v>
      </c>
      <c r="AI74" s="9">
        <f t="shared" ref="AI74:AI76" si="61">AJ74-1.5*AH74</f>
        <v>0</v>
      </c>
      <c r="AJ74" s="10">
        <f t="shared" ref="AJ74:AJ76" si="62">AVERAGE(B74:AG74)</f>
        <v>0</v>
      </c>
      <c r="AK74" s="9">
        <f t="shared" ref="AK74:AK76" si="63">AJ74+1.5*AH74</f>
        <v>0</v>
      </c>
      <c r="AL74" s="9">
        <f t="shared" ref="AL74:AL76" si="64">ABS(AJ74)</f>
        <v>0</v>
      </c>
    </row>
    <row r="75" spans="1:38" s="9" customFormat="1">
      <c r="A75" s="9">
        <f t="shared" si="58"/>
        <v>87.306494903564456</v>
      </c>
      <c r="B75" s="9">
        <f t="shared" ref="B75:AG75" si="65">B44-B62</f>
        <v>0</v>
      </c>
      <c r="C75" s="9">
        <f t="shared" si="65"/>
        <v>0</v>
      </c>
      <c r="D75" s="9">
        <f t="shared" si="65"/>
        <v>0</v>
      </c>
      <c r="E75" s="9">
        <f t="shared" si="65"/>
        <v>0</v>
      </c>
      <c r="F75" s="9">
        <f t="shared" si="65"/>
        <v>0</v>
      </c>
      <c r="G75" s="9">
        <f t="shared" si="65"/>
        <v>0</v>
      </c>
      <c r="H75" s="9">
        <f t="shared" si="65"/>
        <v>0</v>
      </c>
      <c r="I75" s="9">
        <f t="shared" si="65"/>
        <v>0</v>
      </c>
      <c r="J75" s="9">
        <f t="shared" si="65"/>
        <v>0</v>
      </c>
      <c r="K75" s="9">
        <f t="shared" si="65"/>
        <v>0</v>
      </c>
      <c r="L75" s="9">
        <f t="shared" si="65"/>
        <v>0</v>
      </c>
      <c r="M75" s="9">
        <f t="shared" si="65"/>
        <v>0</v>
      </c>
      <c r="N75" s="9">
        <f t="shared" si="65"/>
        <v>0</v>
      </c>
      <c r="O75" s="9">
        <f t="shared" si="65"/>
        <v>0</v>
      </c>
      <c r="P75" s="9">
        <f t="shared" si="65"/>
        <v>0</v>
      </c>
      <c r="Q75" s="9">
        <f t="shared" si="65"/>
        <v>0</v>
      </c>
      <c r="R75" s="9">
        <f t="shared" si="65"/>
        <v>0</v>
      </c>
      <c r="S75" s="9">
        <f t="shared" si="65"/>
        <v>0</v>
      </c>
      <c r="T75" s="9">
        <f t="shared" si="65"/>
        <v>0</v>
      </c>
      <c r="U75" s="9">
        <f t="shared" si="65"/>
        <v>0</v>
      </c>
      <c r="V75" s="9">
        <f t="shared" si="65"/>
        <v>0</v>
      </c>
      <c r="W75" s="9">
        <f t="shared" si="65"/>
        <v>0</v>
      </c>
      <c r="X75" s="9">
        <f t="shared" si="65"/>
        <v>0</v>
      </c>
      <c r="Y75" s="9">
        <f t="shared" si="65"/>
        <v>0</v>
      </c>
      <c r="Z75" s="9">
        <f t="shared" si="65"/>
        <v>0</v>
      </c>
      <c r="AA75" s="9">
        <f t="shared" si="65"/>
        <v>0</v>
      </c>
      <c r="AB75" s="9">
        <f t="shared" si="65"/>
        <v>0</v>
      </c>
      <c r="AC75" s="9">
        <f t="shared" si="65"/>
        <v>0</v>
      </c>
      <c r="AD75" s="9">
        <f t="shared" si="65"/>
        <v>0</v>
      </c>
      <c r="AE75" s="9">
        <f t="shared" si="65"/>
        <v>0</v>
      </c>
      <c r="AF75" s="9">
        <f t="shared" si="65"/>
        <v>0</v>
      </c>
      <c r="AG75" s="9">
        <f t="shared" si="65"/>
        <v>0</v>
      </c>
      <c r="AH75" s="9">
        <f t="shared" si="60"/>
        <v>0</v>
      </c>
      <c r="AI75" s="9">
        <f t="shared" si="61"/>
        <v>0</v>
      </c>
      <c r="AJ75" s="10">
        <f t="shared" si="62"/>
        <v>0</v>
      </c>
      <c r="AK75" s="9">
        <f t="shared" si="63"/>
        <v>0</v>
      </c>
      <c r="AL75" s="9">
        <f t="shared" si="64"/>
        <v>0</v>
      </c>
    </row>
    <row r="76" spans="1:38">
      <c r="A76" s="9">
        <f t="shared" si="58"/>
        <v>21.315652084350585</v>
      </c>
      <c r="B76" s="9">
        <f t="shared" ref="B76:AG76" si="66">B45-B63</f>
        <v>0</v>
      </c>
      <c r="C76" s="9">
        <f t="shared" si="66"/>
        <v>0</v>
      </c>
      <c r="D76" s="9">
        <f t="shared" si="66"/>
        <v>0</v>
      </c>
      <c r="E76" s="9">
        <f t="shared" si="66"/>
        <v>0</v>
      </c>
      <c r="F76" s="9">
        <f t="shared" si="66"/>
        <v>0</v>
      </c>
      <c r="G76" s="9">
        <f t="shared" si="66"/>
        <v>0</v>
      </c>
      <c r="H76" s="9">
        <f t="shared" si="66"/>
        <v>0</v>
      </c>
      <c r="I76" s="9">
        <f t="shared" si="66"/>
        <v>0</v>
      </c>
      <c r="J76" s="9">
        <f t="shared" si="66"/>
        <v>0</v>
      </c>
      <c r="K76" s="9">
        <f t="shared" si="66"/>
        <v>0</v>
      </c>
      <c r="L76" s="9">
        <f t="shared" si="66"/>
        <v>0</v>
      </c>
      <c r="M76" s="9">
        <f t="shared" si="66"/>
        <v>0</v>
      </c>
      <c r="N76" s="9">
        <f t="shared" si="66"/>
        <v>0</v>
      </c>
      <c r="O76" s="9">
        <f t="shared" si="66"/>
        <v>0</v>
      </c>
      <c r="P76" s="9">
        <f t="shared" si="66"/>
        <v>0</v>
      </c>
      <c r="Q76" s="9">
        <f t="shared" si="66"/>
        <v>0</v>
      </c>
      <c r="R76" s="9">
        <f t="shared" si="66"/>
        <v>0</v>
      </c>
      <c r="S76" s="9">
        <f t="shared" si="66"/>
        <v>0</v>
      </c>
      <c r="T76" s="9">
        <f t="shared" si="66"/>
        <v>0</v>
      </c>
      <c r="U76" s="9">
        <f t="shared" si="66"/>
        <v>0</v>
      </c>
      <c r="V76" s="9">
        <f t="shared" si="66"/>
        <v>0</v>
      </c>
      <c r="W76" s="9">
        <f t="shared" si="66"/>
        <v>0</v>
      </c>
      <c r="X76" s="9">
        <f t="shared" si="66"/>
        <v>0</v>
      </c>
      <c r="Y76" s="9">
        <f t="shared" si="66"/>
        <v>0</v>
      </c>
      <c r="Z76" s="9">
        <f t="shared" si="66"/>
        <v>0</v>
      </c>
      <c r="AA76" s="9">
        <f t="shared" si="66"/>
        <v>0</v>
      </c>
      <c r="AB76" s="9">
        <f t="shared" si="66"/>
        <v>0</v>
      </c>
      <c r="AC76" s="9">
        <f t="shared" si="66"/>
        <v>0</v>
      </c>
      <c r="AD76" s="9">
        <f t="shared" si="66"/>
        <v>0</v>
      </c>
      <c r="AE76" s="9">
        <f t="shared" si="66"/>
        <v>0</v>
      </c>
      <c r="AF76" s="9">
        <f t="shared" si="66"/>
        <v>0</v>
      </c>
      <c r="AG76" s="9">
        <f t="shared" si="66"/>
        <v>0</v>
      </c>
      <c r="AH76" s="9">
        <f t="shared" si="60"/>
        <v>0</v>
      </c>
      <c r="AI76" s="9">
        <f t="shared" si="61"/>
        <v>0</v>
      </c>
      <c r="AJ76" s="10">
        <f t="shared" si="62"/>
        <v>0</v>
      </c>
      <c r="AK76" s="9">
        <f t="shared" si="63"/>
        <v>0</v>
      </c>
      <c r="AL76" s="9">
        <f t="shared" si="64"/>
        <v>0</v>
      </c>
    </row>
    <row r="77" spans="1:38">
      <c r="A77" s="9">
        <f t="shared" si="58"/>
        <v>17.340450096130372</v>
      </c>
      <c r="B77" s="9">
        <f t="shared" ref="B77:AG77" si="67">B46-B64</f>
        <v>0</v>
      </c>
      <c r="C77" s="9">
        <f t="shared" si="67"/>
        <v>0</v>
      </c>
      <c r="D77" s="9">
        <f t="shared" si="67"/>
        <v>0</v>
      </c>
      <c r="E77" s="9">
        <f t="shared" si="67"/>
        <v>0</v>
      </c>
      <c r="F77" s="9">
        <f t="shared" si="67"/>
        <v>0</v>
      </c>
      <c r="G77" s="9">
        <f t="shared" si="67"/>
        <v>0</v>
      </c>
      <c r="H77" s="9">
        <f t="shared" si="67"/>
        <v>0</v>
      </c>
      <c r="I77" s="9">
        <f t="shared" si="67"/>
        <v>0</v>
      </c>
      <c r="J77" s="9">
        <f t="shared" si="67"/>
        <v>0</v>
      </c>
      <c r="K77" s="9">
        <f t="shared" si="67"/>
        <v>0</v>
      </c>
      <c r="L77" s="9">
        <f t="shared" si="67"/>
        <v>0</v>
      </c>
      <c r="M77" s="9">
        <f t="shared" si="67"/>
        <v>0</v>
      </c>
      <c r="N77" s="9">
        <f t="shared" si="67"/>
        <v>0</v>
      </c>
      <c r="O77" s="9">
        <f t="shared" si="67"/>
        <v>0</v>
      </c>
      <c r="P77" s="9">
        <f t="shared" si="67"/>
        <v>0</v>
      </c>
      <c r="Q77" s="9">
        <f t="shared" si="67"/>
        <v>0</v>
      </c>
      <c r="R77" s="9">
        <f t="shared" si="67"/>
        <v>0</v>
      </c>
      <c r="S77" s="9">
        <f t="shared" si="67"/>
        <v>0</v>
      </c>
      <c r="T77" s="9">
        <f t="shared" si="67"/>
        <v>0</v>
      </c>
      <c r="U77" s="9">
        <f t="shared" si="67"/>
        <v>0</v>
      </c>
      <c r="V77" s="9">
        <f t="shared" si="67"/>
        <v>0</v>
      </c>
      <c r="W77" s="9">
        <f t="shared" si="67"/>
        <v>0</v>
      </c>
      <c r="X77" s="9">
        <f t="shared" si="67"/>
        <v>0</v>
      </c>
      <c r="Y77" s="9">
        <f t="shared" si="67"/>
        <v>0</v>
      </c>
      <c r="Z77" s="9">
        <f t="shared" si="67"/>
        <v>0</v>
      </c>
      <c r="AA77" s="9">
        <f t="shared" si="67"/>
        <v>0</v>
      </c>
      <c r="AB77" s="9">
        <f t="shared" si="67"/>
        <v>0</v>
      </c>
      <c r="AC77" s="9">
        <f t="shared" si="67"/>
        <v>0</v>
      </c>
      <c r="AD77" s="9">
        <f t="shared" si="67"/>
        <v>0</v>
      </c>
      <c r="AE77" s="9">
        <f t="shared" si="67"/>
        <v>0</v>
      </c>
      <c r="AF77" s="9">
        <f t="shared" si="67"/>
        <v>0</v>
      </c>
      <c r="AG77" s="9">
        <f t="shared" si="67"/>
        <v>0</v>
      </c>
      <c r="AH77" s="9">
        <f t="shared" si="31"/>
        <v>0</v>
      </c>
      <c r="AI77" s="9">
        <f t="shared" si="32"/>
        <v>0</v>
      </c>
      <c r="AJ77" s="10">
        <f t="shared" si="33"/>
        <v>0</v>
      </c>
      <c r="AK77" s="9">
        <f t="shared" si="34"/>
        <v>0</v>
      </c>
      <c r="AL77" s="9">
        <f t="shared" ref="AL77:AL82" si="68">ABS(AJ77)</f>
        <v>0</v>
      </c>
    </row>
    <row r="78" spans="1:38">
      <c r="A78" s="9">
        <f t="shared" si="58"/>
        <v>14.188851261138916</v>
      </c>
      <c r="B78" s="9">
        <f t="shared" ref="B78:AG78" si="69">B47-B65</f>
        <v>0</v>
      </c>
      <c r="C78" s="9">
        <f t="shared" si="69"/>
        <v>0</v>
      </c>
      <c r="D78" s="9">
        <f t="shared" si="69"/>
        <v>0</v>
      </c>
      <c r="E78" s="9">
        <f t="shared" si="69"/>
        <v>0</v>
      </c>
      <c r="F78" s="9">
        <f t="shared" si="69"/>
        <v>0</v>
      </c>
      <c r="G78" s="9">
        <f t="shared" si="69"/>
        <v>0</v>
      </c>
      <c r="H78" s="9">
        <f t="shared" si="69"/>
        <v>0</v>
      </c>
      <c r="I78" s="9">
        <f t="shared" si="69"/>
        <v>0</v>
      </c>
      <c r="J78" s="9">
        <f t="shared" si="69"/>
        <v>0</v>
      </c>
      <c r="K78" s="9">
        <f t="shared" si="69"/>
        <v>0</v>
      </c>
      <c r="L78" s="9">
        <f t="shared" si="69"/>
        <v>0</v>
      </c>
      <c r="M78" s="9">
        <f t="shared" si="69"/>
        <v>0</v>
      </c>
      <c r="N78" s="9">
        <f t="shared" si="69"/>
        <v>0</v>
      </c>
      <c r="O78" s="9">
        <f t="shared" si="69"/>
        <v>0</v>
      </c>
      <c r="P78" s="9">
        <f t="shared" si="69"/>
        <v>0</v>
      </c>
      <c r="Q78" s="9">
        <f t="shared" si="69"/>
        <v>0</v>
      </c>
      <c r="R78" s="9">
        <f t="shared" si="69"/>
        <v>0</v>
      </c>
      <c r="S78" s="9">
        <f t="shared" si="69"/>
        <v>0</v>
      </c>
      <c r="T78" s="9">
        <f t="shared" si="69"/>
        <v>0</v>
      </c>
      <c r="U78" s="9">
        <f t="shared" si="69"/>
        <v>0</v>
      </c>
      <c r="V78" s="9">
        <f t="shared" si="69"/>
        <v>0</v>
      </c>
      <c r="W78" s="9">
        <f t="shared" si="69"/>
        <v>0</v>
      </c>
      <c r="X78" s="9">
        <f t="shared" si="69"/>
        <v>0</v>
      </c>
      <c r="Y78" s="9">
        <f t="shared" si="69"/>
        <v>0</v>
      </c>
      <c r="Z78" s="9">
        <f t="shared" si="69"/>
        <v>0</v>
      </c>
      <c r="AA78" s="9">
        <f t="shared" si="69"/>
        <v>0</v>
      </c>
      <c r="AB78" s="9">
        <f t="shared" si="69"/>
        <v>0</v>
      </c>
      <c r="AC78" s="9">
        <f t="shared" si="69"/>
        <v>0</v>
      </c>
      <c r="AD78" s="9">
        <f t="shared" si="69"/>
        <v>0</v>
      </c>
      <c r="AE78" s="9">
        <f t="shared" si="69"/>
        <v>0</v>
      </c>
      <c r="AF78" s="9">
        <f t="shared" si="69"/>
        <v>0</v>
      </c>
      <c r="AG78" s="9">
        <f t="shared" si="69"/>
        <v>0</v>
      </c>
      <c r="AH78" s="9">
        <f t="shared" si="31"/>
        <v>0</v>
      </c>
      <c r="AI78" s="9">
        <f t="shared" si="32"/>
        <v>0</v>
      </c>
      <c r="AJ78" s="10">
        <f t="shared" si="33"/>
        <v>0</v>
      </c>
      <c r="AK78" s="9">
        <f t="shared" si="34"/>
        <v>0</v>
      </c>
      <c r="AL78" s="9">
        <f t="shared" si="68"/>
        <v>0</v>
      </c>
    </row>
    <row r="79" spans="1:38">
      <c r="A79" s="9">
        <f t="shared" si="58"/>
        <v>11.795599174499511</v>
      </c>
      <c r="B79" s="9">
        <f t="shared" ref="B79:AG79" si="70">B48-B66</f>
        <v>0</v>
      </c>
      <c r="C79" s="9">
        <f t="shared" si="70"/>
        <v>0</v>
      </c>
      <c r="D79" s="9">
        <f t="shared" si="70"/>
        <v>0</v>
      </c>
      <c r="E79" s="9">
        <f t="shared" si="70"/>
        <v>0</v>
      </c>
      <c r="F79" s="9">
        <f t="shared" si="70"/>
        <v>0</v>
      </c>
      <c r="G79" s="9">
        <f t="shared" si="70"/>
        <v>0</v>
      </c>
      <c r="H79" s="9">
        <f t="shared" si="70"/>
        <v>0</v>
      </c>
      <c r="I79" s="9">
        <f t="shared" si="70"/>
        <v>0</v>
      </c>
      <c r="J79" s="9">
        <f t="shared" si="70"/>
        <v>0</v>
      </c>
      <c r="K79" s="9">
        <f t="shared" si="70"/>
        <v>0</v>
      </c>
      <c r="L79" s="9">
        <f t="shared" si="70"/>
        <v>0</v>
      </c>
      <c r="M79" s="9">
        <f t="shared" si="70"/>
        <v>0</v>
      </c>
      <c r="N79" s="9">
        <f t="shared" si="70"/>
        <v>0</v>
      </c>
      <c r="O79" s="9">
        <f t="shared" si="70"/>
        <v>0</v>
      </c>
      <c r="P79" s="9">
        <f t="shared" si="70"/>
        <v>0</v>
      </c>
      <c r="Q79" s="9">
        <f t="shared" si="70"/>
        <v>0</v>
      </c>
      <c r="R79" s="9">
        <f t="shared" si="70"/>
        <v>0</v>
      </c>
      <c r="S79" s="9">
        <f t="shared" si="70"/>
        <v>0</v>
      </c>
      <c r="T79" s="9">
        <f t="shared" si="70"/>
        <v>0</v>
      </c>
      <c r="U79" s="9">
        <f t="shared" si="70"/>
        <v>0</v>
      </c>
      <c r="V79" s="9">
        <f t="shared" si="70"/>
        <v>0</v>
      </c>
      <c r="W79" s="9">
        <f t="shared" si="70"/>
        <v>0</v>
      </c>
      <c r="X79" s="9">
        <f t="shared" si="70"/>
        <v>0</v>
      </c>
      <c r="Y79" s="9">
        <f t="shared" si="70"/>
        <v>0</v>
      </c>
      <c r="Z79" s="9">
        <f t="shared" si="70"/>
        <v>0</v>
      </c>
      <c r="AA79" s="9">
        <f t="shared" si="70"/>
        <v>0</v>
      </c>
      <c r="AB79" s="9">
        <f t="shared" si="70"/>
        <v>0</v>
      </c>
      <c r="AC79" s="9">
        <f t="shared" si="70"/>
        <v>0</v>
      </c>
      <c r="AD79" s="9">
        <f t="shared" si="70"/>
        <v>0</v>
      </c>
      <c r="AE79" s="9">
        <f t="shared" si="70"/>
        <v>0</v>
      </c>
      <c r="AF79" s="9">
        <f t="shared" si="70"/>
        <v>0</v>
      </c>
      <c r="AG79" s="9">
        <f t="shared" si="70"/>
        <v>0</v>
      </c>
      <c r="AH79" s="9">
        <f t="shared" si="31"/>
        <v>0</v>
      </c>
      <c r="AI79" s="9">
        <f t="shared" si="32"/>
        <v>0</v>
      </c>
      <c r="AJ79" s="10">
        <f t="shared" si="33"/>
        <v>0</v>
      </c>
      <c r="AK79" s="9">
        <f t="shared" si="34"/>
        <v>0</v>
      </c>
      <c r="AL79" s="9">
        <f t="shared" si="68"/>
        <v>0</v>
      </c>
    </row>
    <row r="80" spans="1:38">
      <c r="A80" s="9">
        <f t="shared" si="58"/>
        <v>8.797748947143555</v>
      </c>
      <c r="B80" s="9">
        <f t="shared" ref="B80:AG80" si="71">B49-B67</f>
        <v>0</v>
      </c>
      <c r="C80" s="9">
        <f t="shared" si="71"/>
        <v>0</v>
      </c>
      <c r="D80" s="9">
        <f t="shared" si="71"/>
        <v>0</v>
      </c>
      <c r="E80" s="9">
        <f t="shared" si="71"/>
        <v>0</v>
      </c>
      <c r="F80" s="9">
        <f t="shared" si="71"/>
        <v>0</v>
      </c>
      <c r="G80" s="9">
        <f t="shared" si="71"/>
        <v>0</v>
      </c>
      <c r="H80" s="9">
        <f t="shared" si="71"/>
        <v>0</v>
      </c>
      <c r="I80" s="9">
        <f t="shared" si="71"/>
        <v>0</v>
      </c>
      <c r="J80" s="9">
        <f t="shared" si="71"/>
        <v>0</v>
      </c>
      <c r="K80" s="9">
        <f t="shared" si="71"/>
        <v>0</v>
      </c>
      <c r="L80" s="9">
        <f t="shared" si="71"/>
        <v>0</v>
      </c>
      <c r="M80" s="9">
        <f t="shared" si="71"/>
        <v>0</v>
      </c>
      <c r="N80" s="9">
        <f t="shared" si="71"/>
        <v>0</v>
      </c>
      <c r="O80" s="9">
        <f t="shared" si="71"/>
        <v>0</v>
      </c>
      <c r="P80" s="9">
        <f t="shared" si="71"/>
        <v>0</v>
      </c>
      <c r="Q80" s="9">
        <f t="shared" si="71"/>
        <v>0</v>
      </c>
      <c r="R80" s="9">
        <f t="shared" si="71"/>
        <v>0</v>
      </c>
      <c r="S80" s="9">
        <f t="shared" si="71"/>
        <v>0</v>
      </c>
      <c r="T80" s="9">
        <f t="shared" si="71"/>
        <v>0</v>
      </c>
      <c r="U80" s="9">
        <f t="shared" si="71"/>
        <v>0</v>
      </c>
      <c r="V80" s="9">
        <f t="shared" si="71"/>
        <v>0</v>
      </c>
      <c r="W80" s="9">
        <f t="shared" si="71"/>
        <v>0</v>
      </c>
      <c r="X80" s="9">
        <f t="shared" si="71"/>
        <v>0</v>
      </c>
      <c r="Y80" s="9">
        <f t="shared" si="71"/>
        <v>0</v>
      </c>
      <c r="Z80" s="9">
        <f t="shared" si="71"/>
        <v>0</v>
      </c>
      <c r="AA80" s="9">
        <f t="shared" si="71"/>
        <v>0</v>
      </c>
      <c r="AB80" s="9">
        <f t="shared" si="71"/>
        <v>0</v>
      </c>
      <c r="AC80" s="9">
        <f t="shared" si="71"/>
        <v>0</v>
      </c>
      <c r="AD80" s="9">
        <f t="shared" si="71"/>
        <v>0</v>
      </c>
      <c r="AE80" s="9">
        <f t="shared" si="71"/>
        <v>0</v>
      </c>
      <c r="AF80" s="9">
        <f t="shared" si="71"/>
        <v>0</v>
      </c>
      <c r="AG80" s="9">
        <f t="shared" si="71"/>
        <v>0</v>
      </c>
      <c r="AH80" s="9">
        <f t="shared" si="31"/>
        <v>0</v>
      </c>
      <c r="AI80" s="9">
        <f t="shared" si="32"/>
        <v>0</v>
      </c>
      <c r="AJ80" s="10">
        <f t="shared" si="33"/>
        <v>0</v>
      </c>
      <c r="AK80" s="9">
        <f t="shared" si="34"/>
        <v>0</v>
      </c>
      <c r="AL80" s="9">
        <f t="shared" si="68"/>
        <v>0</v>
      </c>
    </row>
    <row r="81" spans="1:38">
      <c r="A81" s="9">
        <f t="shared" si="58"/>
        <v>6.5973999023437502</v>
      </c>
      <c r="B81" s="9">
        <f t="shared" ref="B81:AG81" si="72">B50-B68</f>
        <v>0</v>
      </c>
      <c r="C81" s="9">
        <f t="shared" si="72"/>
        <v>0</v>
      </c>
      <c r="D81" s="9">
        <f t="shared" si="72"/>
        <v>0</v>
      </c>
      <c r="E81" s="9">
        <f t="shared" si="72"/>
        <v>0</v>
      </c>
      <c r="F81" s="9">
        <f t="shared" si="72"/>
        <v>0</v>
      </c>
      <c r="G81" s="9">
        <f t="shared" si="72"/>
        <v>0</v>
      </c>
      <c r="H81" s="9">
        <f t="shared" si="72"/>
        <v>0</v>
      </c>
      <c r="I81" s="9">
        <f t="shared" si="72"/>
        <v>0</v>
      </c>
      <c r="J81" s="9">
        <f t="shared" si="72"/>
        <v>0</v>
      </c>
      <c r="K81" s="9">
        <f t="shared" si="72"/>
        <v>0</v>
      </c>
      <c r="L81" s="9">
        <f t="shared" si="72"/>
        <v>0</v>
      </c>
      <c r="M81" s="9">
        <f t="shared" si="72"/>
        <v>0</v>
      </c>
      <c r="N81" s="9">
        <f t="shared" si="72"/>
        <v>0</v>
      </c>
      <c r="O81" s="9">
        <f t="shared" si="72"/>
        <v>0</v>
      </c>
      <c r="P81" s="9">
        <f t="shared" si="72"/>
        <v>0</v>
      </c>
      <c r="Q81" s="9">
        <f t="shared" si="72"/>
        <v>0</v>
      </c>
      <c r="R81" s="9">
        <f t="shared" si="72"/>
        <v>0</v>
      </c>
      <c r="S81" s="9">
        <f t="shared" si="72"/>
        <v>0</v>
      </c>
      <c r="T81" s="9">
        <f t="shared" si="72"/>
        <v>0</v>
      </c>
      <c r="U81" s="9">
        <f t="shared" si="72"/>
        <v>0</v>
      </c>
      <c r="V81" s="9">
        <f t="shared" si="72"/>
        <v>0</v>
      </c>
      <c r="W81" s="9">
        <f t="shared" si="72"/>
        <v>0</v>
      </c>
      <c r="X81" s="9">
        <f t="shared" si="72"/>
        <v>0</v>
      </c>
      <c r="Y81" s="9">
        <f t="shared" si="72"/>
        <v>0</v>
      </c>
      <c r="Z81" s="9">
        <f t="shared" si="72"/>
        <v>0</v>
      </c>
      <c r="AA81" s="9">
        <f t="shared" si="72"/>
        <v>0</v>
      </c>
      <c r="AB81" s="9">
        <f t="shared" si="72"/>
        <v>0</v>
      </c>
      <c r="AC81" s="9">
        <f t="shared" si="72"/>
        <v>0</v>
      </c>
      <c r="AD81" s="9">
        <f t="shared" si="72"/>
        <v>0</v>
      </c>
      <c r="AE81" s="9">
        <f t="shared" si="72"/>
        <v>0</v>
      </c>
      <c r="AF81" s="9">
        <f t="shared" si="72"/>
        <v>0</v>
      </c>
      <c r="AG81" s="9">
        <f t="shared" si="72"/>
        <v>0</v>
      </c>
      <c r="AH81" s="9">
        <f t="shared" si="31"/>
        <v>0</v>
      </c>
      <c r="AI81" s="9">
        <f t="shared" si="32"/>
        <v>0</v>
      </c>
      <c r="AJ81" s="10">
        <f t="shared" si="33"/>
        <v>0</v>
      </c>
      <c r="AK81" s="9">
        <f t="shared" si="34"/>
        <v>0</v>
      </c>
      <c r="AL81" s="9">
        <f t="shared" si="68"/>
        <v>0</v>
      </c>
    </row>
    <row r="82" spans="1:38">
      <c r="A82" s="9">
        <f t="shared" si="58"/>
        <v>2.3447998762130737</v>
      </c>
      <c r="B82" s="9">
        <f t="shared" ref="B82:AG82" si="73">B51-B69</f>
        <v>0</v>
      </c>
      <c r="C82" s="9">
        <f t="shared" si="73"/>
        <v>0</v>
      </c>
      <c r="D82" s="9">
        <f t="shared" si="73"/>
        <v>0</v>
      </c>
      <c r="E82" s="9">
        <f t="shared" si="73"/>
        <v>0</v>
      </c>
      <c r="F82" s="9">
        <f t="shared" si="73"/>
        <v>0</v>
      </c>
      <c r="G82" s="9">
        <f t="shared" si="73"/>
        <v>0</v>
      </c>
      <c r="H82" s="9">
        <f t="shared" si="73"/>
        <v>0</v>
      </c>
      <c r="I82" s="9">
        <f t="shared" si="73"/>
        <v>0</v>
      </c>
      <c r="J82" s="9">
        <f t="shared" si="73"/>
        <v>0</v>
      </c>
      <c r="K82" s="9">
        <f t="shared" si="73"/>
        <v>0</v>
      </c>
      <c r="L82" s="9">
        <f t="shared" si="73"/>
        <v>0</v>
      </c>
      <c r="M82" s="9">
        <f t="shared" si="73"/>
        <v>0</v>
      </c>
      <c r="N82" s="9">
        <f t="shared" si="73"/>
        <v>0</v>
      </c>
      <c r="O82" s="9">
        <f t="shared" si="73"/>
        <v>0</v>
      </c>
      <c r="P82" s="9">
        <f t="shared" si="73"/>
        <v>0</v>
      </c>
      <c r="Q82" s="9">
        <f t="shared" si="73"/>
        <v>0</v>
      </c>
      <c r="R82" s="9">
        <f t="shared" si="73"/>
        <v>0</v>
      </c>
      <c r="S82" s="9">
        <f t="shared" si="73"/>
        <v>0</v>
      </c>
      <c r="T82" s="9">
        <f t="shared" si="73"/>
        <v>0</v>
      </c>
      <c r="U82" s="9">
        <f t="shared" si="73"/>
        <v>0</v>
      </c>
      <c r="V82" s="9">
        <f t="shared" si="73"/>
        <v>0</v>
      </c>
      <c r="W82" s="9">
        <f t="shared" si="73"/>
        <v>0</v>
      </c>
      <c r="X82" s="9">
        <f t="shared" si="73"/>
        <v>0</v>
      </c>
      <c r="Y82" s="9">
        <f t="shared" si="73"/>
        <v>0</v>
      </c>
      <c r="Z82" s="9">
        <f t="shared" si="73"/>
        <v>0</v>
      </c>
      <c r="AA82" s="9">
        <f t="shared" si="73"/>
        <v>0</v>
      </c>
      <c r="AB82" s="9">
        <f t="shared" si="73"/>
        <v>0</v>
      </c>
      <c r="AC82" s="9">
        <f t="shared" si="73"/>
        <v>0</v>
      </c>
      <c r="AD82" s="9">
        <f t="shared" si="73"/>
        <v>0</v>
      </c>
      <c r="AE82" s="9">
        <f t="shared" si="73"/>
        <v>0</v>
      </c>
      <c r="AF82" s="9">
        <f t="shared" si="73"/>
        <v>0</v>
      </c>
      <c r="AG82" s="9">
        <f t="shared" si="73"/>
        <v>0</v>
      </c>
      <c r="AH82" s="9">
        <f t="shared" si="31"/>
        <v>0</v>
      </c>
      <c r="AI82" s="9">
        <f t="shared" si="32"/>
        <v>0</v>
      </c>
      <c r="AJ82" s="10">
        <f t="shared" si="33"/>
        <v>0</v>
      </c>
      <c r="AK82" s="9">
        <f t="shared" si="34"/>
        <v>0</v>
      </c>
      <c r="AL82" s="9">
        <f t="shared" si="68"/>
        <v>0</v>
      </c>
    </row>
    <row r="83" spans="1:38">
      <c r="A83" s="9">
        <f t="shared" ref="A83" si="74">A70</f>
        <v>1.9071000814437866</v>
      </c>
      <c r="B83" s="9">
        <f t="shared" ref="B83:AG83" si="75">B52-B70</f>
        <v>0</v>
      </c>
      <c r="C83" s="9">
        <f t="shared" si="75"/>
        <v>0</v>
      </c>
      <c r="D83" s="9">
        <f t="shared" si="75"/>
        <v>0</v>
      </c>
      <c r="E83" s="9">
        <f t="shared" si="75"/>
        <v>0</v>
      </c>
      <c r="F83" s="9">
        <f t="shared" si="75"/>
        <v>0</v>
      </c>
      <c r="G83" s="9">
        <f t="shared" si="75"/>
        <v>0</v>
      </c>
      <c r="H83" s="9">
        <f t="shared" si="75"/>
        <v>0</v>
      </c>
      <c r="I83" s="9">
        <f t="shared" si="75"/>
        <v>0</v>
      </c>
      <c r="J83" s="9">
        <f t="shared" si="75"/>
        <v>0</v>
      </c>
      <c r="K83" s="9">
        <f t="shared" si="75"/>
        <v>0</v>
      </c>
      <c r="L83" s="9">
        <f t="shared" si="75"/>
        <v>0</v>
      </c>
      <c r="M83" s="9">
        <f t="shared" si="75"/>
        <v>0</v>
      </c>
      <c r="N83" s="9">
        <f t="shared" si="75"/>
        <v>0</v>
      </c>
      <c r="O83" s="9">
        <f t="shared" si="75"/>
        <v>0</v>
      </c>
      <c r="P83" s="9">
        <f t="shared" si="75"/>
        <v>0</v>
      </c>
      <c r="Q83" s="9">
        <f t="shared" si="75"/>
        <v>0</v>
      </c>
      <c r="R83" s="9">
        <f t="shared" si="75"/>
        <v>0</v>
      </c>
      <c r="S83" s="9">
        <f t="shared" si="75"/>
        <v>0</v>
      </c>
      <c r="T83" s="9">
        <f t="shared" si="75"/>
        <v>0</v>
      </c>
      <c r="U83" s="9">
        <f t="shared" si="75"/>
        <v>0</v>
      </c>
      <c r="V83" s="9">
        <f t="shared" si="75"/>
        <v>0</v>
      </c>
      <c r="W83" s="9">
        <f t="shared" si="75"/>
        <v>0</v>
      </c>
      <c r="X83" s="9">
        <f t="shared" si="75"/>
        <v>0</v>
      </c>
      <c r="Y83" s="9">
        <f t="shared" si="75"/>
        <v>0</v>
      </c>
      <c r="Z83" s="9">
        <f t="shared" si="75"/>
        <v>0</v>
      </c>
      <c r="AA83" s="9">
        <f t="shared" si="75"/>
        <v>0</v>
      </c>
      <c r="AB83" s="9">
        <f t="shared" si="75"/>
        <v>0</v>
      </c>
      <c r="AC83" s="9">
        <f t="shared" si="75"/>
        <v>0</v>
      </c>
      <c r="AD83" s="9">
        <f t="shared" si="75"/>
        <v>0</v>
      </c>
      <c r="AE83" s="9">
        <f t="shared" si="75"/>
        <v>0</v>
      </c>
      <c r="AF83" s="9">
        <f t="shared" si="75"/>
        <v>0</v>
      </c>
      <c r="AG83" s="9">
        <f t="shared" si="75"/>
        <v>0</v>
      </c>
      <c r="AH83" s="9"/>
      <c r="AI83" s="9">
        <f t="shared" si="32"/>
        <v>0</v>
      </c>
      <c r="AJ83" s="10">
        <f t="shared" si="33"/>
        <v>0</v>
      </c>
      <c r="AK83" s="9">
        <f t="shared" si="34"/>
        <v>0</v>
      </c>
    </row>
  </sheetData>
  <mergeCells count="3">
    <mergeCell ref="AL29:AP29"/>
    <mergeCell ref="AL30:AP30"/>
    <mergeCell ref="AL31:AP3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V108"/>
  <sheetViews>
    <sheetView zoomScale="70" zoomScaleNormal="70" workbookViewId="0">
      <selection activeCell="B2" sqref="B2:AG26"/>
    </sheetView>
  </sheetViews>
  <sheetFormatPr defaultRowHeight="15"/>
  <cols>
    <col min="2" max="34" width="6.5703125" customWidth="1"/>
    <col min="35" max="35" width="8.42578125" customWidth="1"/>
    <col min="36" max="37" width="6.5703125" customWidth="1"/>
    <col min="38" max="38" width="6.5703125" style="9" customWidth="1"/>
  </cols>
  <sheetData>
    <row r="1" spans="1:42">
      <c r="B1" s="3">
        <f>data0!B1</f>
        <v>0</v>
      </c>
      <c r="C1" s="3">
        <f>data0!C1</f>
        <v>1</v>
      </c>
      <c r="D1" s="3">
        <f>data0!D1</f>
        <v>2</v>
      </c>
      <c r="E1" s="3">
        <f>data0!E1</f>
        <v>3</v>
      </c>
      <c r="F1" s="3">
        <f>data0!F1</f>
        <v>4</v>
      </c>
      <c r="G1" s="3">
        <f>data0!G1</f>
        <v>5</v>
      </c>
      <c r="H1" s="3">
        <f>data0!H1</f>
        <v>6</v>
      </c>
      <c r="I1" s="3">
        <f>data0!I1</f>
        <v>7</v>
      </c>
      <c r="J1" s="3">
        <f>data0!J1</f>
        <v>8</v>
      </c>
      <c r="K1" s="3">
        <f>data0!K1</f>
        <v>9</v>
      </c>
      <c r="L1" s="3">
        <f>data0!L1</f>
        <v>10</v>
      </c>
      <c r="M1" s="3">
        <f>data0!M1</f>
        <v>11</v>
      </c>
      <c r="N1" s="3">
        <f>data0!N1</f>
        <v>12</v>
      </c>
      <c r="O1" s="3">
        <f>data0!O1</f>
        <v>13</v>
      </c>
      <c r="P1" s="3">
        <f>data0!P1</f>
        <v>14</v>
      </c>
      <c r="Q1" s="3">
        <f>data0!Q1</f>
        <v>15</v>
      </c>
      <c r="R1" s="3">
        <f>data0!R1</f>
        <v>16</v>
      </c>
      <c r="S1" s="3">
        <f>data0!S1</f>
        <v>17</v>
      </c>
      <c r="T1" s="3">
        <f>data0!T1</f>
        <v>18</v>
      </c>
      <c r="U1" s="3">
        <f>data0!U1</f>
        <v>19</v>
      </c>
      <c r="V1" s="3">
        <f>data0!V1</f>
        <v>20</v>
      </c>
      <c r="W1" s="3">
        <f>data0!W1</f>
        <v>21</v>
      </c>
      <c r="X1" s="3">
        <f>data0!X1</f>
        <v>22</v>
      </c>
      <c r="Y1" s="3">
        <f>data0!Y1</f>
        <v>23</v>
      </c>
      <c r="Z1" s="3">
        <f>data0!Z1</f>
        <v>24</v>
      </c>
      <c r="AA1" s="3">
        <f>data0!AA1</f>
        <v>25</v>
      </c>
      <c r="AB1" s="3">
        <f>data0!AB1</f>
        <v>26</v>
      </c>
      <c r="AC1" s="3">
        <f>data0!AC1</f>
        <v>27</v>
      </c>
      <c r="AD1" s="3">
        <f>data0!AD1</f>
        <v>28</v>
      </c>
      <c r="AE1" s="3">
        <f>data0!AE1</f>
        <v>29</v>
      </c>
      <c r="AF1" s="3">
        <f>data0!AF1</f>
        <v>30</v>
      </c>
      <c r="AG1" s="3">
        <f>data0!AG1</f>
        <v>31</v>
      </c>
      <c r="AH1" s="5" t="s">
        <v>13</v>
      </c>
      <c r="AI1" s="15" t="s">
        <v>22</v>
      </c>
      <c r="AJ1" s="5" t="s">
        <v>14</v>
      </c>
      <c r="AK1" s="15" t="s">
        <v>23</v>
      </c>
      <c r="AL1" s="18" t="s">
        <v>19</v>
      </c>
      <c r="AM1" s="18" t="str">
        <f>AI1</f>
        <v>-1.5σ</v>
      </c>
      <c r="AN1" s="18" t="str">
        <f t="shared" ref="AN1:AO1" si="0">AJ1</f>
        <v>MEAN</v>
      </c>
      <c r="AO1" s="18" t="str">
        <f t="shared" si="0"/>
        <v>+1.5σ</v>
      </c>
      <c r="AP1" s="18"/>
    </row>
    <row r="2" spans="1:42">
      <c r="A2">
        <f>data0!A2</f>
        <v>3007.1739501953125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t="e">
        <f>STDEV(B2:AG2)</f>
        <v>#DIV/0!</v>
      </c>
      <c r="AI2" t="e">
        <f>AJ2-1.5*AH2</f>
        <v>#DIV/0!</v>
      </c>
      <c r="AJ2" t="e">
        <f>AVERAGE(B2:AG2)</f>
        <v>#DIV/0!</v>
      </c>
      <c r="AK2" t="e">
        <f>AJ2+1.5*AH2</f>
        <v>#DIV/0!</v>
      </c>
      <c r="AL2" s="9">
        <f>MAX(B2:AG2)</f>
        <v>0</v>
      </c>
      <c r="AP2" s="18"/>
    </row>
    <row r="3" spans="1:42">
      <c r="A3" s="3">
        <f>data0!A3</f>
        <v>2440.1146484374999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3" t="e">
        <f t="shared" ref="AH3:AH26" si="1">STDEV(B3:AG3)</f>
        <v>#DIV/0!</v>
      </c>
      <c r="AI3" s="3" t="e">
        <f t="shared" ref="AI3:AI26" si="2">AJ3-1.5*AH3</f>
        <v>#DIV/0!</v>
      </c>
      <c r="AJ3" s="3" t="e">
        <f t="shared" ref="AJ3:AJ26" si="3">AVERAGE(B3:AG3)</f>
        <v>#DIV/0!</v>
      </c>
      <c r="AK3" s="3" t="e">
        <f t="shared" ref="AK3:AK26" si="4">AJ3+1.5*AH3</f>
        <v>#DIV/0!</v>
      </c>
      <c r="AL3" s="9">
        <f t="shared" ref="AL3:AL26" si="5">MAX(B3:AG3)</f>
        <v>0</v>
      </c>
      <c r="AM3" s="18"/>
      <c r="AN3" s="18"/>
      <c r="AO3" s="18"/>
      <c r="AP3" s="18"/>
    </row>
    <row r="4" spans="1:42">
      <c r="A4" s="3">
        <f>data0!A4</f>
        <v>1996.1750244140626</v>
      </c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3" t="e">
        <f t="shared" si="1"/>
        <v>#DIV/0!</v>
      </c>
      <c r="AI4" s="3" t="e">
        <f t="shared" si="2"/>
        <v>#DIV/0!</v>
      </c>
      <c r="AJ4" s="3" t="e">
        <f t="shared" si="3"/>
        <v>#DIV/0!</v>
      </c>
      <c r="AK4" s="3" t="e">
        <f t="shared" si="4"/>
        <v>#DIV/0!</v>
      </c>
      <c r="AL4" s="9">
        <f t="shared" si="5"/>
        <v>0</v>
      </c>
      <c r="AP4" s="18"/>
    </row>
    <row r="5" spans="1:42">
      <c r="A5" s="3">
        <f>data0!A5</f>
        <v>1659.095166015625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3" t="e">
        <f t="shared" si="1"/>
        <v>#DIV/0!</v>
      </c>
      <c r="AI5" s="3" t="e">
        <f t="shared" si="2"/>
        <v>#DIV/0!</v>
      </c>
      <c r="AJ5" s="3" t="e">
        <f t="shared" si="3"/>
        <v>#DIV/0!</v>
      </c>
      <c r="AK5" s="3" t="e">
        <f t="shared" si="4"/>
        <v>#DIV/0!</v>
      </c>
      <c r="AL5" s="9">
        <f t="shared" si="5"/>
        <v>0</v>
      </c>
      <c r="AM5" s="9"/>
      <c r="AN5" s="9"/>
      <c r="AO5" s="9"/>
    </row>
    <row r="6" spans="1:42">
      <c r="A6" s="3">
        <f>data0!A6</f>
        <v>1234.2751586914062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3" t="e">
        <f t="shared" si="1"/>
        <v>#DIV/0!</v>
      </c>
      <c r="AI6" s="3" t="e">
        <f t="shared" si="2"/>
        <v>#DIV/0!</v>
      </c>
      <c r="AJ6" s="3" t="e">
        <f t="shared" si="3"/>
        <v>#DIV/0!</v>
      </c>
      <c r="AK6" s="3" t="e">
        <f t="shared" si="4"/>
        <v>#DIV/0!</v>
      </c>
      <c r="AL6" s="9">
        <f t="shared" si="5"/>
        <v>0</v>
      </c>
      <c r="AM6" s="9"/>
      <c r="AN6" s="9"/>
      <c r="AO6" s="9"/>
    </row>
    <row r="7" spans="1:42">
      <c r="A7" s="3">
        <f>data0!A7</f>
        <v>924.54020385742183</v>
      </c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3" t="e">
        <f t="shared" si="1"/>
        <v>#DIV/0!</v>
      </c>
      <c r="AI7" s="3" t="e">
        <f t="shared" si="2"/>
        <v>#DIV/0!</v>
      </c>
      <c r="AJ7" s="3" t="e">
        <f t="shared" si="3"/>
        <v>#DIV/0!</v>
      </c>
      <c r="AK7" s="3" t="e">
        <f t="shared" si="4"/>
        <v>#DIV/0!</v>
      </c>
      <c r="AL7" s="9">
        <f t="shared" si="5"/>
        <v>0</v>
      </c>
      <c r="AM7" s="9"/>
      <c r="AN7" s="9"/>
      <c r="AO7" s="9"/>
    </row>
    <row r="8" spans="1:42">
      <c r="A8" s="3">
        <f>data0!A8</f>
        <v>761.20014648437495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" t="e">
        <f t="shared" si="1"/>
        <v>#DIV/0!</v>
      </c>
      <c r="AI8" s="3" t="e">
        <f t="shared" si="2"/>
        <v>#DIV/0!</v>
      </c>
      <c r="AJ8" s="3" t="e">
        <f t="shared" si="3"/>
        <v>#DIV/0!</v>
      </c>
      <c r="AK8" s="3" t="e">
        <f t="shared" si="4"/>
        <v>#DIV/0!</v>
      </c>
      <c r="AL8" s="9">
        <f t="shared" si="5"/>
        <v>0</v>
      </c>
      <c r="AM8" s="9"/>
      <c r="AN8" s="9"/>
      <c r="AO8" s="9"/>
    </row>
    <row r="9" spans="1:42">
      <c r="A9" s="3">
        <f>data0!A9</f>
        <v>618.7050842285156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3" t="e">
        <f t="shared" si="1"/>
        <v>#DIV/0!</v>
      </c>
      <c r="AI9" s="3" t="e">
        <f t="shared" si="2"/>
        <v>#DIV/0!</v>
      </c>
      <c r="AJ9" s="3" t="e">
        <f t="shared" si="3"/>
        <v>#DIV/0!</v>
      </c>
      <c r="AK9" s="3" t="e">
        <f t="shared" si="4"/>
        <v>#DIV/0!</v>
      </c>
      <c r="AL9" s="9">
        <f t="shared" si="5"/>
        <v>0</v>
      </c>
      <c r="AM9" s="9"/>
      <c r="AN9" s="9"/>
      <c r="AO9" s="9"/>
    </row>
    <row r="10" spans="1:42">
      <c r="A10" s="3">
        <f>data0!A10</f>
        <v>506.39999389648438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3" t="e">
        <f t="shared" si="1"/>
        <v>#DIV/0!</v>
      </c>
      <c r="AI10" s="3" t="e">
        <f t="shared" si="2"/>
        <v>#DIV/0!</v>
      </c>
      <c r="AJ10" s="3" t="e">
        <f t="shared" si="3"/>
        <v>#DIV/0!</v>
      </c>
      <c r="AK10" s="3" t="e">
        <f t="shared" si="4"/>
        <v>#DIV/0!</v>
      </c>
      <c r="AL10" s="9">
        <f t="shared" si="5"/>
        <v>0</v>
      </c>
      <c r="AM10" s="9"/>
      <c r="AN10" s="9"/>
      <c r="AO10" s="9"/>
    </row>
    <row r="11" spans="1:42">
      <c r="A11" s="3">
        <f>data0!A11</f>
        <v>421.14996337890625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3" t="e">
        <f t="shared" si="1"/>
        <v>#DIV/0!</v>
      </c>
      <c r="AI11" s="3" t="e">
        <f t="shared" si="2"/>
        <v>#DIV/0!</v>
      </c>
      <c r="AJ11" s="3" t="e">
        <f t="shared" si="3"/>
        <v>#DIV/0!</v>
      </c>
      <c r="AK11" s="3" t="e">
        <f t="shared" si="4"/>
        <v>#DIV/0!</v>
      </c>
      <c r="AL11" s="9">
        <f t="shared" si="5"/>
        <v>0</v>
      </c>
      <c r="AM11" s="9"/>
      <c r="AN11" s="9"/>
      <c r="AO11" s="9"/>
    </row>
    <row r="12" spans="1:42">
      <c r="A12" s="3">
        <f>data0!A12</f>
        <v>313.39996337890625</v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3" t="e">
        <f t="shared" si="1"/>
        <v>#DIV/0!</v>
      </c>
      <c r="AI12" s="3" t="e">
        <f t="shared" si="2"/>
        <v>#DIV/0!</v>
      </c>
      <c r="AJ12" s="3" t="e">
        <f t="shared" si="3"/>
        <v>#DIV/0!</v>
      </c>
      <c r="AK12" s="3" t="e">
        <f t="shared" si="4"/>
        <v>#DIV/0!</v>
      </c>
      <c r="AL12" s="9">
        <f t="shared" si="5"/>
        <v>0</v>
      </c>
      <c r="AM12" s="9"/>
      <c r="AN12" s="9"/>
      <c r="AO12" s="9"/>
    </row>
    <row r="13" spans="1:42">
      <c r="A13" s="3">
        <f>data0!A13</f>
        <v>283.35547790527346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3" t="e">
        <f t="shared" si="1"/>
        <v>#DIV/0!</v>
      </c>
      <c r="AI13" s="3" t="e">
        <f t="shared" si="2"/>
        <v>#DIV/0!</v>
      </c>
      <c r="AJ13" s="3" t="e">
        <f t="shared" si="3"/>
        <v>#DIV/0!</v>
      </c>
      <c r="AK13" s="3" t="e">
        <f t="shared" si="4"/>
        <v>#DIV/0!</v>
      </c>
      <c r="AL13" s="9">
        <f t="shared" si="5"/>
        <v>0</v>
      </c>
      <c r="AM13" s="9" t="e">
        <f t="shared" ref="AM13:AM16" si="6">AI13*mult</f>
        <v>#DIV/0!</v>
      </c>
      <c r="AN13" s="9" t="e">
        <f t="shared" ref="AN13:AN16" si="7">AJ13*mult</f>
        <v>#DIV/0!</v>
      </c>
      <c r="AO13" s="9" t="e">
        <f t="shared" ref="AO13:AO16" si="8">AK13*mult</f>
        <v>#DIV/0!</v>
      </c>
    </row>
    <row r="14" spans="1:42">
      <c r="A14" s="3">
        <f>data0!A14</f>
        <v>233.5469970703125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3" t="e">
        <f t="shared" si="1"/>
        <v>#DIV/0!</v>
      </c>
      <c r="AI14" s="3" t="e">
        <f t="shared" si="2"/>
        <v>#DIV/0!</v>
      </c>
      <c r="AJ14" s="3" t="e">
        <f t="shared" si="3"/>
        <v>#DIV/0!</v>
      </c>
      <c r="AK14" s="3" t="e">
        <f t="shared" si="4"/>
        <v>#DIV/0!</v>
      </c>
      <c r="AL14" s="9">
        <f t="shared" si="5"/>
        <v>0</v>
      </c>
      <c r="AM14" s="9" t="e">
        <f t="shared" si="6"/>
        <v>#DIV/0!</v>
      </c>
      <c r="AN14" s="9" t="e">
        <f t="shared" si="7"/>
        <v>#DIV/0!</v>
      </c>
      <c r="AO14" s="9" t="e">
        <f t="shared" si="8"/>
        <v>#DIV/0!</v>
      </c>
    </row>
    <row r="15" spans="1:42">
      <c r="A15" s="3">
        <f>data0!A15</f>
        <v>188.09650726318358</v>
      </c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3" t="e">
        <f t="shared" si="1"/>
        <v>#DIV/0!</v>
      </c>
      <c r="AI15" s="3" t="e">
        <f t="shared" si="2"/>
        <v>#DIV/0!</v>
      </c>
      <c r="AJ15" s="3" t="e">
        <f t="shared" si="3"/>
        <v>#DIV/0!</v>
      </c>
      <c r="AK15" s="3" t="e">
        <f t="shared" si="4"/>
        <v>#DIV/0!</v>
      </c>
      <c r="AL15" s="9">
        <f t="shared" si="5"/>
        <v>0</v>
      </c>
      <c r="AM15" s="9" t="e">
        <f t="shared" si="6"/>
        <v>#DIV/0!</v>
      </c>
      <c r="AN15" s="9" t="e">
        <f t="shared" si="7"/>
        <v>#DIV/0!</v>
      </c>
      <c r="AO15" s="9" t="e">
        <f t="shared" si="8"/>
        <v>#DIV/0!</v>
      </c>
    </row>
    <row r="16" spans="1:42">
      <c r="A16" s="3">
        <f>data0!A16</f>
        <v>156.44500579833985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3" t="e">
        <f t="shared" si="1"/>
        <v>#DIV/0!</v>
      </c>
      <c r="AI16" s="3" t="e">
        <f t="shared" si="2"/>
        <v>#DIV/0!</v>
      </c>
      <c r="AJ16" s="3" t="e">
        <f t="shared" si="3"/>
        <v>#DIV/0!</v>
      </c>
      <c r="AK16" s="3" t="e">
        <f t="shared" si="4"/>
        <v>#DIV/0!</v>
      </c>
      <c r="AL16" s="9">
        <f t="shared" si="5"/>
        <v>0</v>
      </c>
      <c r="AM16" s="9" t="e">
        <f t="shared" si="6"/>
        <v>#DIV/0!</v>
      </c>
      <c r="AN16" s="9" t="e">
        <f t="shared" si="7"/>
        <v>#DIV/0!</v>
      </c>
      <c r="AO16" s="9" t="e">
        <f t="shared" si="8"/>
        <v>#DIV/0!</v>
      </c>
    </row>
    <row r="17" spans="1:44">
      <c r="A17" s="3">
        <f>data0!A17</f>
        <v>116.47100143432617</v>
      </c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3" t="e">
        <f t="shared" si="1"/>
        <v>#DIV/0!</v>
      </c>
      <c r="AI17" s="3" t="e">
        <f t="shared" si="2"/>
        <v>#DIV/0!</v>
      </c>
      <c r="AJ17" s="3" t="e">
        <f t="shared" si="3"/>
        <v>#DIV/0!</v>
      </c>
      <c r="AK17" s="3" t="e">
        <f t="shared" si="4"/>
        <v>#DIV/0!</v>
      </c>
      <c r="AL17" s="9">
        <f t="shared" si="5"/>
        <v>0</v>
      </c>
      <c r="AM17" s="9" t="e">
        <f t="shared" ref="AM17:AM26" si="9">AI17*mult</f>
        <v>#DIV/0!</v>
      </c>
      <c r="AN17" s="9" t="e">
        <f t="shared" ref="AN17:AN26" si="10">AJ17*mult</f>
        <v>#DIV/0!</v>
      </c>
      <c r="AO17" s="9" t="e">
        <f t="shared" ref="AO17:AO26" si="11">AK17*mult</f>
        <v>#DIV/0!</v>
      </c>
    </row>
    <row r="18" spans="1:44">
      <c r="A18" s="3">
        <f>data0!A18</f>
        <v>87.306494903564456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3" t="e">
        <f t="shared" si="1"/>
        <v>#DIV/0!</v>
      </c>
      <c r="AI18" s="3" t="e">
        <f t="shared" si="2"/>
        <v>#DIV/0!</v>
      </c>
      <c r="AJ18" s="3" t="e">
        <f t="shared" si="3"/>
        <v>#DIV/0!</v>
      </c>
      <c r="AK18" s="3" t="e">
        <f t="shared" si="4"/>
        <v>#DIV/0!</v>
      </c>
      <c r="AL18" s="9">
        <f t="shared" si="5"/>
        <v>0</v>
      </c>
      <c r="AM18" s="9" t="e">
        <f t="shared" si="9"/>
        <v>#DIV/0!</v>
      </c>
      <c r="AN18" s="9" t="e">
        <f t="shared" si="10"/>
        <v>#DIV/0!</v>
      </c>
      <c r="AO18" s="9" t="e">
        <f t="shared" si="11"/>
        <v>#DIV/0!</v>
      </c>
    </row>
    <row r="19" spans="1:44">
      <c r="A19" s="3">
        <f>data0!A19</f>
        <v>21.315652084350585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3" t="e">
        <f t="shared" si="1"/>
        <v>#DIV/0!</v>
      </c>
      <c r="AI19" s="3" t="e">
        <f t="shared" si="2"/>
        <v>#DIV/0!</v>
      </c>
      <c r="AJ19" s="3" t="e">
        <f t="shared" si="3"/>
        <v>#DIV/0!</v>
      </c>
      <c r="AK19" s="3" t="e">
        <f t="shared" si="4"/>
        <v>#DIV/0!</v>
      </c>
      <c r="AL19" s="9">
        <f t="shared" si="5"/>
        <v>0</v>
      </c>
      <c r="AM19" s="9" t="e">
        <f t="shared" si="9"/>
        <v>#DIV/0!</v>
      </c>
      <c r="AN19" s="9" t="e">
        <f t="shared" si="10"/>
        <v>#DIV/0!</v>
      </c>
      <c r="AO19" s="9" t="e">
        <f t="shared" si="11"/>
        <v>#DIV/0!</v>
      </c>
    </row>
    <row r="20" spans="1:44">
      <c r="A20" s="3">
        <f>data0!A20</f>
        <v>17.340450096130372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3" t="e">
        <f t="shared" si="1"/>
        <v>#DIV/0!</v>
      </c>
      <c r="AI20" s="3" t="e">
        <f t="shared" si="2"/>
        <v>#DIV/0!</v>
      </c>
      <c r="AJ20" s="3" t="e">
        <f t="shared" si="3"/>
        <v>#DIV/0!</v>
      </c>
      <c r="AK20" s="3" t="e">
        <f t="shared" si="4"/>
        <v>#DIV/0!</v>
      </c>
      <c r="AL20" s="9">
        <f t="shared" si="5"/>
        <v>0</v>
      </c>
      <c r="AM20" s="9" t="e">
        <f t="shared" si="9"/>
        <v>#DIV/0!</v>
      </c>
      <c r="AN20" s="9" t="e">
        <f t="shared" si="10"/>
        <v>#DIV/0!</v>
      </c>
      <c r="AO20" s="9" t="e">
        <f t="shared" si="11"/>
        <v>#DIV/0!</v>
      </c>
    </row>
    <row r="21" spans="1:44">
      <c r="A21" s="3">
        <f>data0!A21</f>
        <v>14.188851261138916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3" t="e">
        <f t="shared" si="1"/>
        <v>#DIV/0!</v>
      </c>
      <c r="AI21" s="3" t="e">
        <f t="shared" si="2"/>
        <v>#DIV/0!</v>
      </c>
      <c r="AJ21" s="3" t="e">
        <f t="shared" si="3"/>
        <v>#DIV/0!</v>
      </c>
      <c r="AK21" s="3" t="e">
        <f t="shared" si="4"/>
        <v>#DIV/0!</v>
      </c>
      <c r="AL21" s="9">
        <f t="shared" si="5"/>
        <v>0</v>
      </c>
      <c r="AM21" s="9" t="e">
        <f t="shared" si="9"/>
        <v>#DIV/0!</v>
      </c>
      <c r="AN21" s="9" t="e">
        <f t="shared" si="10"/>
        <v>#DIV/0!</v>
      </c>
      <c r="AO21" s="9" t="e">
        <f t="shared" si="11"/>
        <v>#DIV/0!</v>
      </c>
    </row>
    <row r="22" spans="1:44">
      <c r="A22" s="3">
        <f>data0!A22</f>
        <v>11.795599174499511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3" t="e">
        <f t="shared" si="1"/>
        <v>#DIV/0!</v>
      </c>
      <c r="AI22" s="3" t="e">
        <f t="shared" si="2"/>
        <v>#DIV/0!</v>
      </c>
      <c r="AJ22" s="3" t="e">
        <f t="shared" si="3"/>
        <v>#DIV/0!</v>
      </c>
      <c r="AK22" s="3" t="e">
        <f t="shared" si="4"/>
        <v>#DIV/0!</v>
      </c>
      <c r="AL22" s="9">
        <f t="shared" si="5"/>
        <v>0</v>
      </c>
      <c r="AM22" s="9" t="e">
        <f t="shared" si="9"/>
        <v>#DIV/0!</v>
      </c>
      <c r="AN22" s="9" t="e">
        <f t="shared" si="10"/>
        <v>#DIV/0!</v>
      </c>
      <c r="AO22" s="9" t="e">
        <f t="shared" si="11"/>
        <v>#DIV/0!</v>
      </c>
    </row>
    <row r="23" spans="1:44">
      <c r="A23" s="3">
        <f>data0!A23</f>
        <v>8.797748947143555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3" t="e">
        <f t="shared" si="1"/>
        <v>#DIV/0!</v>
      </c>
      <c r="AI23" s="3" t="e">
        <f t="shared" si="2"/>
        <v>#DIV/0!</v>
      </c>
      <c r="AJ23" s="3" t="e">
        <f t="shared" si="3"/>
        <v>#DIV/0!</v>
      </c>
      <c r="AK23" s="3" t="e">
        <f t="shared" si="4"/>
        <v>#DIV/0!</v>
      </c>
      <c r="AL23" s="9">
        <f t="shared" si="5"/>
        <v>0</v>
      </c>
      <c r="AM23" s="9" t="e">
        <f t="shared" si="9"/>
        <v>#DIV/0!</v>
      </c>
      <c r="AN23" s="9" t="e">
        <f t="shared" si="10"/>
        <v>#DIV/0!</v>
      </c>
      <c r="AO23" s="9" t="e">
        <f t="shared" si="11"/>
        <v>#DIV/0!</v>
      </c>
    </row>
    <row r="24" spans="1:44">
      <c r="A24" s="3">
        <f>data0!A24</f>
        <v>6.5973999023437502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3" t="e">
        <f t="shared" si="1"/>
        <v>#DIV/0!</v>
      </c>
      <c r="AI24" s="3" t="e">
        <f t="shared" si="2"/>
        <v>#DIV/0!</v>
      </c>
      <c r="AJ24" s="3" t="e">
        <f t="shared" si="3"/>
        <v>#DIV/0!</v>
      </c>
      <c r="AK24" s="3" t="e">
        <f t="shared" si="4"/>
        <v>#DIV/0!</v>
      </c>
      <c r="AL24" s="9">
        <f t="shared" si="5"/>
        <v>0</v>
      </c>
      <c r="AM24" s="9" t="e">
        <f t="shared" si="9"/>
        <v>#DIV/0!</v>
      </c>
      <c r="AN24" s="9" t="e">
        <f t="shared" si="10"/>
        <v>#DIV/0!</v>
      </c>
      <c r="AO24" s="9" t="e">
        <f t="shared" si="11"/>
        <v>#DIV/0!</v>
      </c>
    </row>
    <row r="25" spans="1:44">
      <c r="A25" s="3">
        <f>data0!A25</f>
        <v>2.3447998762130737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3" t="e">
        <f t="shared" si="1"/>
        <v>#DIV/0!</v>
      </c>
      <c r="AI25" s="3" t="e">
        <f t="shared" si="2"/>
        <v>#DIV/0!</v>
      </c>
      <c r="AJ25" s="3" t="e">
        <f t="shared" si="3"/>
        <v>#DIV/0!</v>
      </c>
      <c r="AK25" s="3" t="e">
        <f t="shared" si="4"/>
        <v>#DIV/0!</v>
      </c>
      <c r="AL25" s="9">
        <f t="shared" si="5"/>
        <v>0</v>
      </c>
      <c r="AM25" s="9" t="e">
        <f t="shared" si="9"/>
        <v>#DIV/0!</v>
      </c>
      <c r="AN25" s="9" t="e">
        <f t="shared" si="10"/>
        <v>#DIV/0!</v>
      </c>
      <c r="AO25" s="9" t="e">
        <f t="shared" si="11"/>
        <v>#DIV/0!</v>
      </c>
    </row>
    <row r="26" spans="1:44">
      <c r="A26" s="3">
        <f>data0!A26</f>
        <v>1.9071000814437866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3" t="e">
        <f t="shared" si="1"/>
        <v>#DIV/0!</v>
      </c>
      <c r="AI26" s="3" t="e">
        <f t="shared" si="2"/>
        <v>#DIV/0!</v>
      </c>
      <c r="AJ26" s="3" t="e">
        <f t="shared" si="3"/>
        <v>#DIV/0!</v>
      </c>
      <c r="AK26" s="3" t="e">
        <f t="shared" si="4"/>
        <v>#DIV/0!</v>
      </c>
      <c r="AL26" s="9">
        <f t="shared" si="5"/>
        <v>0</v>
      </c>
      <c r="AM26" s="9" t="e">
        <f t="shared" si="9"/>
        <v>#DIV/0!</v>
      </c>
      <c r="AN26" s="9" t="e">
        <f t="shared" si="10"/>
        <v>#DIV/0!</v>
      </c>
      <c r="AO26" s="9" t="e">
        <f t="shared" si="11"/>
        <v>#DIV/0!</v>
      </c>
    </row>
    <row r="27" spans="1:44">
      <c r="A27" s="3"/>
    </row>
    <row r="28" spans="1:44">
      <c r="A28" s="3"/>
      <c r="AI28" s="9"/>
      <c r="AJ28" s="9" t="s">
        <v>5</v>
      </c>
      <c r="AK28" s="34" t="s">
        <v>24</v>
      </c>
      <c r="AL28" s="36" t="str">
        <f>data0!AP1</f>
        <v>Mult</v>
      </c>
      <c r="AM28">
        <f>mult</f>
        <v>0.5</v>
      </c>
      <c r="AN28" s="36" t="str">
        <f>data0!AP2</f>
        <v>Range</v>
      </c>
      <c r="AO28" s="9">
        <v>2</v>
      </c>
      <c r="AP28" s="20">
        <v>125</v>
      </c>
    </row>
    <row r="29" spans="1:44">
      <c r="A29" s="3"/>
      <c r="AI29" s="9" t="s">
        <v>33</v>
      </c>
      <c r="AJ29" s="2" t="e">
        <f>AN17/A17-1</f>
        <v>#DIV/0!</v>
      </c>
      <c r="AK29" s="2" t="e">
        <f>1.5*AH17/A17</f>
        <v>#DIV/0!</v>
      </c>
      <c r="AL29" s="48" t="e">
        <f>"Range " &amp; AO28 &amp;" Gain Error=" &amp;INT(AJ29*1000)/10 &amp; "% +/- " &amp;INT(AK29*1000)/10 &amp; "%"</f>
        <v>#DIV/0!</v>
      </c>
      <c r="AM29" s="48"/>
      <c r="AN29" s="48"/>
      <c r="AO29" s="48"/>
      <c r="AP29" s="48"/>
      <c r="AQ29" s="39"/>
      <c r="AR29" s="39"/>
    </row>
    <row r="30" spans="1:44">
      <c r="AI30" s="9" t="s">
        <v>34</v>
      </c>
      <c r="AJ30" s="37">
        <f>AJ62</f>
        <v>0</v>
      </c>
      <c r="AK30" s="37">
        <f>AH62</f>
        <v>0</v>
      </c>
      <c r="AL30" s="49" t="str">
        <f>"Range" &amp;AO28 &amp; " Offset Histogram: " &amp; INT(AJ62*100)/100 &amp; " +/- " &amp; INT(AH62*100)/100 &amp; " Lux"</f>
        <v>Range2 Offset Histogram: 0 +/- 0 Lux</v>
      </c>
      <c r="AM30" s="49"/>
      <c r="AN30" s="49"/>
      <c r="AO30" s="49"/>
      <c r="AP30" s="49"/>
    </row>
    <row r="31" spans="1:44">
      <c r="AI31" s="9" t="s">
        <v>35</v>
      </c>
      <c r="AJ31" s="38">
        <f>MAX(AL82:AL95)/AP28</f>
        <v>0</v>
      </c>
      <c r="AK31" s="38">
        <f>MAX(AH82:AH95)/AP28</f>
        <v>0</v>
      </c>
      <c r="AL31" s="49" t="str">
        <f>"Range "&amp; AO28 &amp; " `Linearity` Error: " &amp;INT(AJ31*10000)/100 &amp; " +/-"&amp;INT(AK31*10000)/100 &amp; "%"</f>
        <v>Range 2 `Linearity` Error: 0 +/-0%</v>
      </c>
      <c r="AM31" s="49"/>
      <c r="AN31" s="49"/>
      <c r="AO31" s="49"/>
      <c r="AP31" s="49"/>
    </row>
    <row r="43" spans="1:33" s="9" customFormat="1">
      <c r="A43" s="9">
        <f t="shared" ref="A43:A46" si="12">A13</f>
        <v>283.35547790527346</v>
      </c>
      <c r="B43" s="9">
        <f t="shared" ref="B43:AG43" si="13">B13*mult</f>
        <v>0</v>
      </c>
      <c r="C43" s="9">
        <f t="shared" si="13"/>
        <v>0</v>
      </c>
      <c r="D43" s="9">
        <f t="shared" si="13"/>
        <v>0</v>
      </c>
      <c r="E43" s="9">
        <f t="shared" si="13"/>
        <v>0</v>
      </c>
      <c r="F43" s="9">
        <f t="shared" si="13"/>
        <v>0</v>
      </c>
      <c r="G43" s="9">
        <f t="shared" si="13"/>
        <v>0</v>
      </c>
      <c r="H43" s="9">
        <f t="shared" si="13"/>
        <v>0</v>
      </c>
      <c r="I43" s="9">
        <f t="shared" si="13"/>
        <v>0</v>
      </c>
      <c r="J43" s="9">
        <f t="shared" si="13"/>
        <v>0</v>
      </c>
      <c r="K43" s="9">
        <f t="shared" si="13"/>
        <v>0</v>
      </c>
      <c r="L43" s="9">
        <f t="shared" si="13"/>
        <v>0</v>
      </c>
      <c r="M43" s="9">
        <f t="shared" si="13"/>
        <v>0</v>
      </c>
      <c r="N43" s="9">
        <f t="shared" si="13"/>
        <v>0</v>
      </c>
      <c r="O43" s="9">
        <f t="shared" si="13"/>
        <v>0</v>
      </c>
      <c r="P43" s="9">
        <f t="shared" si="13"/>
        <v>0</v>
      </c>
      <c r="Q43" s="9">
        <f t="shared" si="13"/>
        <v>0</v>
      </c>
      <c r="R43" s="9">
        <f t="shared" si="13"/>
        <v>0</v>
      </c>
      <c r="S43" s="9">
        <f t="shared" si="13"/>
        <v>0</v>
      </c>
      <c r="T43" s="9">
        <f t="shared" si="13"/>
        <v>0</v>
      </c>
      <c r="U43" s="9">
        <f t="shared" si="13"/>
        <v>0</v>
      </c>
      <c r="V43" s="9">
        <f t="shared" si="13"/>
        <v>0</v>
      </c>
      <c r="W43" s="9">
        <f t="shared" si="13"/>
        <v>0</v>
      </c>
      <c r="X43" s="9">
        <f t="shared" si="13"/>
        <v>0</v>
      </c>
      <c r="Y43" s="9">
        <f t="shared" si="13"/>
        <v>0</v>
      </c>
      <c r="Z43" s="9">
        <f t="shared" si="13"/>
        <v>0</v>
      </c>
      <c r="AA43" s="9">
        <f t="shared" si="13"/>
        <v>0</v>
      </c>
      <c r="AB43" s="9">
        <f t="shared" si="13"/>
        <v>0</v>
      </c>
      <c r="AC43" s="9">
        <f t="shared" si="13"/>
        <v>0</v>
      </c>
      <c r="AD43" s="9">
        <f t="shared" si="13"/>
        <v>0</v>
      </c>
      <c r="AE43" s="9">
        <f t="shared" si="13"/>
        <v>0</v>
      </c>
      <c r="AF43" s="9">
        <f t="shared" si="13"/>
        <v>0</v>
      </c>
      <c r="AG43" s="9">
        <f t="shared" si="13"/>
        <v>0</v>
      </c>
    </row>
    <row r="44" spans="1:33" s="9" customFormat="1">
      <c r="A44" s="9">
        <f t="shared" si="12"/>
        <v>233.5469970703125</v>
      </c>
      <c r="B44" s="9">
        <f t="shared" ref="B44:AG44" si="14">B14*mult</f>
        <v>0</v>
      </c>
      <c r="C44" s="9">
        <f t="shared" si="14"/>
        <v>0</v>
      </c>
      <c r="D44" s="9">
        <f t="shared" si="14"/>
        <v>0</v>
      </c>
      <c r="E44" s="9">
        <f t="shared" si="14"/>
        <v>0</v>
      </c>
      <c r="F44" s="9">
        <f t="shared" si="14"/>
        <v>0</v>
      </c>
      <c r="G44" s="9">
        <f t="shared" si="14"/>
        <v>0</v>
      </c>
      <c r="H44" s="9">
        <f t="shared" si="14"/>
        <v>0</v>
      </c>
      <c r="I44" s="9">
        <f t="shared" si="14"/>
        <v>0</v>
      </c>
      <c r="J44" s="9">
        <f t="shared" si="14"/>
        <v>0</v>
      </c>
      <c r="K44" s="9">
        <f t="shared" si="14"/>
        <v>0</v>
      </c>
      <c r="L44" s="9">
        <f t="shared" si="14"/>
        <v>0</v>
      </c>
      <c r="M44" s="9">
        <f t="shared" si="14"/>
        <v>0</v>
      </c>
      <c r="N44" s="9">
        <f t="shared" si="14"/>
        <v>0</v>
      </c>
      <c r="O44" s="9">
        <f t="shared" si="14"/>
        <v>0</v>
      </c>
      <c r="P44" s="9">
        <f t="shared" si="14"/>
        <v>0</v>
      </c>
      <c r="Q44" s="9">
        <f t="shared" si="14"/>
        <v>0</v>
      </c>
      <c r="R44" s="9">
        <f t="shared" si="14"/>
        <v>0</v>
      </c>
      <c r="S44" s="9">
        <f t="shared" si="14"/>
        <v>0</v>
      </c>
      <c r="T44" s="9">
        <f t="shared" si="14"/>
        <v>0</v>
      </c>
      <c r="U44" s="9">
        <f t="shared" si="14"/>
        <v>0</v>
      </c>
      <c r="V44" s="9">
        <f t="shared" si="14"/>
        <v>0</v>
      </c>
      <c r="W44" s="9">
        <f t="shared" si="14"/>
        <v>0</v>
      </c>
      <c r="X44" s="9">
        <f t="shared" si="14"/>
        <v>0</v>
      </c>
      <c r="Y44" s="9">
        <f t="shared" si="14"/>
        <v>0</v>
      </c>
      <c r="Z44" s="9">
        <f t="shared" si="14"/>
        <v>0</v>
      </c>
      <c r="AA44" s="9">
        <f t="shared" si="14"/>
        <v>0</v>
      </c>
      <c r="AB44" s="9">
        <f t="shared" si="14"/>
        <v>0</v>
      </c>
      <c r="AC44" s="9">
        <f t="shared" si="14"/>
        <v>0</v>
      </c>
      <c r="AD44" s="9">
        <f t="shared" si="14"/>
        <v>0</v>
      </c>
      <c r="AE44" s="9">
        <f t="shared" si="14"/>
        <v>0</v>
      </c>
      <c r="AF44" s="9">
        <f t="shared" si="14"/>
        <v>0</v>
      </c>
      <c r="AG44" s="9">
        <f t="shared" si="14"/>
        <v>0</v>
      </c>
    </row>
    <row r="45" spans="1:33" s="9" customFormat="1">
      <c r="A45" s="9">
        <f t="shared" si="12"/>
        <v>188.09650726318358</v>
      </c>
      <c r="B45" s="9">
        <f t="shared" ref="B45:AG45" si="15">B15*mult</f>
        <v>0</v>
      </c>
      <c r="C45" s="9">
        <f t="shared" si="15"/>
        <v>0</v>
      </c>
      <c r="D45" s="9">
        <f t="shared" si="15"/>
        <v>0</v>
      </c>
      <c r="E45" s="9">
        <f t="shared" si="15"/>
        <v>0</v>
      </c>
      <c r="F45" s="9">
        <f t="shared" si="15"/>
        <v>0</v>
      </c>
      <c r="G45" s="9">
        <f t="shared" si="15"/>
        <v>0</v>
      </c>
      <c r="H45" s="9">
        <f t="shared" si="15"/>
        <v>0</v>
      </c>
      <c r="I45" s="9">
        <f t="shared" si="15"/>
        <v>0</v>
      </c>
      <c r="J45" s="9">
        <f t="shared" si="15"/>
        <v>0</v>
      </c>
      <c r="K45" s="9">
        <f t="shared" si="15"/>
        <v>0</v>
      </c>
      <c r="L45" s="9">
        <f t="shared" si="15"/>
        <v>0</v>
      </c>
      <c r="M45" s="9">
        <f t="shared" si="15"/>
        <v>0</v>
      </c>
      <c r="N45" s="9">
        <f t="shared" si="15"/>
        <v>0</v>
      </c>
      <c r="O45" s="9">
        <f t="shared" si="15"/>
        <v>0</v>
      </c>
      <c r="P45" s="9">
        <f t="shared" si="15"/>
        <v>0</v>
      </c>
      <c r="Q45" s="9">
        <f t="shared" si="15"/>
        <v>0</v>
      </c>
      <c r="R45" s="9">
        <f t="shared" si="15"/>
        <v>0</v>
      </c>
      <c r="S45" s="9">
        <f t="shared" si="15"/>
        <v>0</v>
      </c>
      <c r="T45" s="9">
        <f t="shared" si="15"/>
        <v>0</v>
      </c>
      <c r="U45" s="9">
        <f t="shared" si="15"/>
        <v>0</v>
      </c>
      <c r="V45" s="9">
        <f t="shared" si="15"/>
        <v>0</v>
      </c>
      <c r="W45" s="9">
        <f t="shared" si="15"/>
        <v>0</v>
      </c>
      <c r="X45" s="9">
        <f t="shared" si="15"/>
        <v>0</v>
      </c>
      <c r="Y45" s="9">
        <f t="shared" si="15"/>
        <v>0</v>
      </c>
      <c r="Z45" s="9">
        <f t="shared" si="15"/>
        <v>0</v>
      </c>
      <c r="AA45" s="9">
        <f t="shared" si="15"/>
        <v>0</v>
      </c>
      <c r="AB45" s="9">
        <f t="shared" si="15"/>
        <v>0</v>
      </c>
      <c r="AC45" s="9">
        <f t="shared" si="15"/>
        <v>0</v>
      </c>
      <c r="AD45" s="9">
        <f t="shared" si="15"/>
        <v>0</v>
      </c>
      <c r="AE45" s="9">
        <f t="shared" si="15"/>
        <v>0</v>
      </c>
      <c r="AF45" s="9">
        <f t="shared" si="15"/>
        <v>0</v>
      </c>
      <c r="AG45" s="9">
        <f t="shared" si="15"/>
        <v>0</v>
      </c>
    </row>
    <row r="46" spans="1:33" s="9" customFormat="1">
      <c r="A46" s="9">
        <f t="shared" si="12"/>
        <v>156.44500579833985</v>
      </c>
      <c r="B46" s="9">
        <f t="shared" ref="B46:AG46" si="16">B16*mult</f>
        <v>0</v>
      </c>
      <c r="C46" s="9">
        <f t="shared" si="16"/>
        <v>0</v>
      </c>
      <c r="D46" s="9">
        <f t="shared" si="16"/>
        <v>0</v>
      </c>
      <c r="E46" s="9">
        <f t="shared" si="16"/>
        <v>0</v>
      </c>
      <c r="F46" s="9">
        <f t="shared" si="16"/>
        <v>0</v>
      </c>
      <c r="G46" s="9">
        <f t="shared" si="16"/>
        <v>0</v>
      </c>
      <c r="H46" s="9">
        <f t="shared" si="16"/>
        <v>0</v>
      </c>
      <c r="I46" s="9">
        <f t="shared" si="16"/>
        <v>0</v>
      </c>
      <c r="J46" s="9">
        <f t="shared" si="16"/>
        <v>0</v>
      </c>
      <c r="K46" s="9">
        <f t="shared" si="16"/>
        <v>0</v>
      </c>
      <c r="L46" s="9">
        <f t="shared" si="16"/>
        <v>0</v>
      </c>
      <c r="M46" s="9">
        <f t="shared" si="16"/>
        <v>0</v>
      </c>
      <c r="N46" s="9">
        <f t="shared" si="16"/>
        <v>0</v>
      </c>
      <c r="O46" s="9">
        <f t="shared" si="16"/>
        <v>0</v>
      </c>
      <c r="P46" s="9">
        <f t="shared" si="16"/>
        <v>0</v>
      </c>
      <c r="Q46" s="9">
        <f t="shared" si="16"/>
        <v>0</v>
      </c>
      <c r="R46" s="9">
        <f t="shared" si="16"/>
        <v>0</v>
      </c>
      <c r="S46" s="9">
        <f t="shared" si="16"/>
        <v>0</v>
      </c>
      <c r="T46" s="9">
        <f t="shared" si="16"/>
        <v>0</v>
      </c>
      <c r="U46" s="9">
        <f t="shared" si="16"/>
        <v>0</v>
      </c>
      <c r="V46" s="9">
        <f t="shared" si="16"/>
        <v>0</v>
      </c>
      <c r="W46" s="9">
        <f t="shared" si="16"/>
        <v>0</v>
      </c>
      <c r="X46" s="9">
        <f t="shared" si="16"/>
        <v>0</v>
      </c>
      <c r="Y46" s="9">
        <f t="shared" si="16"/>
        <v>0</v>
      </c>
      <c r="Z46" s="9">
        <f t="shared" si="16"/>
        <v>0</v>
      </c>
      <c r="AA46" s="9">
        <f t="shared" si="16"/>
        <v>0</v>
      </c>
      <c r="AB46" s="9">
        <f t="shared" si="16"/>
        <v>0</v>
      </c>
      <c r="AC46" s="9">
        <f t="shared" si="16"/>
        <v>0</v>
      </c>
      <c r="AD46" s="9">
        <f t="shared" si="16"/>
        <v>0</v>
      </c>
      <c r="AE46" s="9">
        <f t="shared" si="16"/>
        <v>0</v>
      </c>
      <c r="AF46" s="9">
        <f t="shared" si="16"/>
        <v>0</v>
      </c>
      <c r="AG46" s="9">
        <f t="shared" si="16"/>
        <v>0</v>
      </c>
    </row>
    <row r="47" spans="1:33" s="9" customFormat="1">
      <c r="A47" s="9">
        <f>A17</f>
        <v>116.47100143432617</v>
      </c>
      <c r="B47" s="9">
        <f t="shared" ref="B47:AG47" si="17">B17*mult</f>
        <v>0</v>
      </c>
      <c r="C47" s="9">
        <f t="shared" si="17"/>
        <v>0</v>
      </c>
      <c r="D47" s="9">
        <f t="shared" si="17"/>
        <v>0</v>
      </c>
      <c r="E47" s="9">
        <f t="shared" si="17"/>
        <v>0</v>
      </c>
      <c r="F47" s="9">
        <f t="shared" si="17"/>
        <v>0</v>
      </c>
      <c r="G47" s="9">
        <f t="shared" si="17"/>
        <v>0</v>
      </c>
      <c r="H47" s="9">
        <f t="shared" si="17"/>
        <v>0</v>
      </c>
      <c r="I47" s="9">
        <f t="shared" si="17"/>
        <v>0</v>
      </c>
      <c r="J47" s="9">
        <f t="shared" si="17"/>
        <v>0</v>
      </c>
      <c r="K47" s="9">
        <f t="shared" si="17"/>
        <v>0</v>
      </c>
      <c r="L47" s="9">
        <f t="shared" si="17"/>
        <v>0</v>
      </c>
      <c r="M47" s="9">
        <f t="shared" si="17"/>
        <v>0</v>
      </c>
      <c r="N47" s="9">
        <f t="shared" si="17"/>
        <v>0</v>
      </c>
      <c r="O47" s="9">
        <f t="shared" si="17"/>
        <v>0</v>
      </c>
      <c r="P47" s="9">
        <f t="shared" si="17"/>
        <v>0</v>
      </c>
      <c r="Q47" s="9">
        <f t="shared" si="17"/>
        <v>0</v>
      </c>
      <c r="R47" s="9">
        <f t="shared" si="17"/>
        <v>0</v>
      </c>
      <c r="S47" s="9">
        <f t="shared" si="17"/>
        <v>0</v>
      </c>
      <c r="T47" s="9">
        <f t="shared" si="17"/>
        <v>0</v>
      </c>
      <c r="U47" s="9">
        <f t="shared" si="17"/>
        <v>0</v>
      </c>
      <c r="V47" s="9">
        <f t="shared" si="17"/>
        <v>0</v>
      </c>
      <c r="W47" s="9">
        <f t="shared" si="17"/>
        <v>0</v>
      </c>
      <c r="X47" s="9">
        <f t="shared" si="17"/>
        <v>0</v>
      </c>
      <c r="Y47" s="9">
        <f t="shared" si="17"/>
        <v>0</v>
      </c>
      <c r="Z47" s="9">
        <f t="shared" si="17"/>
        <v>0</v>
      </c>
      <c r="AA47" s="9">
        <f t="shared" si="17"/>
        <v>0</v>
      </c>
      <c r="AB47" s="9">
        <f t="shared" si="17"/>
        <v>0</v>
      </c>
      <c r="AC47" s="9">
        <f t="shared" si="17"/>
        <v>0</v>
      </c>
      <c r="AD47" s="9">
        <f t="shared" si="17"/>
        <v>0</v>
      </c>
      <c r="AE47" s="9">
        <f t="shared" si="17"/>
        <v>0</v>
      </c>
      <c r="AF47" s="9">
        <f t="shared" si="17"/>
        <v>0</v>
      </c>
      <c r="AG47" s="9">
        <f t="shared" si="17"/>
        <v>0</v>
      </c>
    </row>
    <row r="48" spans="1:33" s="9" customFormat="1">
      <c r="A48" s="9">
        <f>A18</f>
        <v>87.306494903564456</v>
      </c>
      <c r="B48" s="9">
        <f t="shared" ref="B48:AG48" si="18">B18*mult</f>
        <v>0</v>
      </c>
      <c r="C48" s="9">
        <f t="shared" si="18"/>
        <v>0</v>
      </c>
      <c r="D48" s="9">
        <f t="shared" si="18"/>
        <v>0</v>
      </c>
      <c r="E48" s="9">
        <f t="shared" si="18"/>
        <v>0</v>
      </c>
      <c r="F48" s="9">
        <f t="shared" si="18"/>
        <v>0</v>
      </c>
      <c r="G48" s="9">
        <f t="shared" si="18"/>
        <v>0</v>
      </c>
      <c r="H48" s="9">
        <f t="shared" si="18"/>
        <v>0</v>
      </c>
      <c r="I48" s="9">
        <f t="shared" si="18"/>
        <v>0</v>
      </c>
      <c r="J48" s="9">
        <f t="shared" si="18"/>
        <v>0</v>
      </c>
      <c r="K48" s="9">
        <f t="shared" si="18"/>
        <v>0</v>
      </c>
      <c r="L48" s="9">
        <f t="shared" si="18"/>
        <v>0</v>
      </c>
      <c r="M48" s="9">
        <f t="shared" si="18"/>
        <v>0</v>
      </c>
      <c r="N48" s="9">
        <f t="shared" si="18"/>
        <v>0</v>
      </c>
      <c r="O48" s="9">
        <f t="shared" si="18"/>
        <v>0</v>
      </c>
      <c r="P48" s="9">
        <f t="shared" si="18"/>
        <v>0</v>
      </c>
      <c r="Q48" s="9">
        <f t="shared" si="18"/>
        <v>0</v>
      </c>
      <c r="R48" s="9">
        <f t="shared" si="18"/>
        <v>0</v>
      </c>
      <c r="S48" s="9">
        <f t="shared" si="18"/>
        <v>0</v>
      </c>
      <c r="T48" s="9">
        <f t="shared" si="18"/>
        <v>0</v>
      </c>
      <c r="U48" s="9">
        <f t="shared" si="18"/>
        <v>0</v>
      </c>
      <c r="V48" s="9">
        <f t="shared" si="18"/>
        <v>0</v>
      </c>
      <c r="W48" s="9">
        <f t="shared" si="18"/>
        <v>0</v>
      </c>
      <c r="X48" s="9">
        <f t="shared" si="18"/>
        <v>0</v>
      </c>
      <c r="Y48" s="9">
        <f t="shared" si="18"/>
        <v>0</v>
      </c>
      <c r="Z48" s="9">
        <f t="shared" si="18"/>
        <v>0</v>
      </c>
      <c r="AA48" s="9">
        <f t="shared" si="18"/>
        <v>0</v>
      </c>
      <c r="AB48" s="9">
        <f t="shared" si="18"/>
        <v>0</v>
      </c>
      <c r="AC48" s="9">
        <f t="shared" si="18"/>
        <v>0</v>
      </c>
      <c r="AD48" s="9">
        <f t="shared" si="18"/>
        <v>0</v>
      </c>
      <c r="AE48" s="9">
        <f t="shared" si="18"/>
        <v>0</v>
      </c>
      <c r="AF48" s="9">
        <f t="shared" si="18"/>
        <v>0</v>
      </c>
      <c r="AG48" s="9">
        <f t="shared" si="18"/>
        <v>0</v>
      </c>
    </row>
    <row r="49" spans="1:48">
      <c r="A49" s="9">
        <f>A19</f>
        <v>21.315652084350585</v>
      </c>
      <c r="B49" s="9">
        <f t="shared" ref="B49:AG49" si="19">B19*mult</f>
        <v>0</v>
      </c>
      <c r="C49" s="9">
        <f t="shared" si="19"/>
        <v>0</v>
      </c>
      <c r="D49" s="9">
        <f t="shared" si="19"/>
        <v>0</v>
      </c>
      <c r="E49" s="9">
        <f t="shared" si="19"/>
        <v>0</v>
      </c>
      <c r="F49" s="9">
        <f t="shared" si="19"/>
        <v>0</v>
      </c>
      <c r="G49" s="9">
        <f t="shared" si="19"/>
        <v>0</v>
      </c>
      <c r="H49" s="9">
        <f t="shared" si="19"/>
        <v>0</v>
      </c>
      <c r="I49" s="9">
        <f t="shared" si="19"/>
        <v>0</v>
      </c>
      <c r="J49" s="9">
        <f t="shared" si="19"/>
        <v>0</v>
      </c>
      <c r="K49" s="9">
        <f t="shared" si="19"/>
        <v>0</v>
      </c>
      <c r="L49" s="9">
        <f t="shared" si="19"/>
        <v>0</v>
      </c>
      <c r="M49" s="9">
        <f t="shared" si="19"/>
        <v>0</v>
      </c>
      <c r="N49" s="9">
        <f t="shared" si="19"/>
        <v>0</v>
      </c>
      <c r="O49" s="9">
        <f t="shared" si="19"/>
        <v>0</v>
      </c>
      <c r="P49" s="9">
        <f t="shared" si="19"/>
        <v>0</v>
      </c>
      <c r="Q49" s="9">
        <f t="shared" si="19"/>
        <v>0</v>
      </c>
      <c r="R49" s="9">
        <f t="shared" si="19"/>
        <v>0</v>
      </c>
      <c r="S49" s="9">
        <f t="shared" si="19"/>
        <v>0</v>
      </c>
      <c r="T49" s="9">
        <f t="shared" si="19"/>
        <v>0</v>
      </c>
      <c r="U49" s="9">
        <f t="shared" si="19"/>
        <v>0</v>
      </c>
      <c r="V49" s="9">
        <f t="shared" si="19"/>
        <v>0</v>
      </c>
      <c r="W49" s="9">
        <f t="shared" si="19"/>
        <v>0</v>
      </c>
      <c r="X49" s="9">
        <f t="shared" si="19"/>
        <v>0</v>
      </c>
      <c r="Y49" s="9">
        <f t="shared" si="19"/>
        <v>0</v>
      </c>
      <c r="Z49" s="9">
        <f t="shared" si="19"/>
        <v>0</v>
      </c>
      <c r="AA49" s="9">
        <f t="shared" si="19"/>
        <v>0</v>
      </c>
      <c r="AB49" s="9">
        <f t="shared" si="19"/>
        <v>0</v>
      </c>
      <c r="AC49" s="9">
        <f t="shared" si="19"/>
        <v>0</v>
      </c>
      <c r="AD49" s="9">
        <f t="shared" si="19"/>
        <v>0</v>
      </c>
      <c r="AE49" s="9">
        <f t="shared" si="19"/>
        <v>0</v>
      </c>
      <c r="AF49" s="9">
        <f t="shared" si="19"/>
        <v>0</v>
      </c>
      <c r="AG49" s="9">
        <f t="shared" si="19"/>
        <v>0</v>
      </c>
      <c r="AH49" s="9"/>
      <c r="AI49" s="9"/>
      <c r="AJ49" s="9"/>
      <c r="AK49" s="9"/>
      <c r="AM49" s="9"/>
      <c r="AN49" s="9"/>
      <c r="AO49" s="9"/>
    </row>
    <row r="50" spans="1:48">
      <c r="A50" s="9">
        <f t="shared" ref="A50:A56" si="20">A20</f>
        <v>17.340450096130372</v>
      </c>
      <c r="B50" s="9">
        <f t="shared" ref="B50:AG50" si="21">B20*mult</f>
        <v>0</v>
      </c>
      <c r="C50" s="9">
        <f t="shared" si="21"/>
        <v>0</v>
      </c>
      <c r="D50" s="9">
        <f t="shared" si="21"/>
        <v>0</v>
      </c>
      <c r="E50" s="9">
        <f t="shared" si="21"/>
        <v>0</v>
      </c>
      <c r="F50" s="9">
        <f t="shared" si="21"/>
        <v>0</v>
      </c>
      <c r="G50" s="9">
        <f t="shared" si="21"/>
        <v>0</v>
      </c>
      <c r="H50" s="9">
        <f t="shared" si="21"/>
        <v>0</v>
      </c>
      <c r="I50" s="9">
        <f t="shared" si="21"/>
        <v>0</v>
      </c>
      <c r="J50" s="9">
        <f t="shared" si="21"/>
        <v>0</v>
      </c>
      <c r="K50" s="9">
        <f t="shared" si="21"/>
        <v>0</v>
      </c>
      <c r="L50" s="9">
        <f t="shared" si="21"/>
        <v>0</v>
      </c>
      <c r="M50" s="9">
        <f t="shared" si="21"/>
        <v>0</v>
      </c>
      <c r="N50" s="9">
        <f t="shared" si="21"/>
        <v>0</v>
      </c>
      <c r="O50" s="9">
        <f t="shared" si="21"/>
        <v>0</v>
      </c>
      <c r="P50" s="9">
        <f t="shared" si="21"/>
        <v>0</v>
      </c>
      <c r="Q50" s="9">
        <f t="shared" si="21"/>
        <v>0</v>
      </c>
      <c r="R50" s="9">
        <f t="shared" si="21"/>
        <v>0</v>
      </c>
      <c r="S50" s="9">
        <f t="shared" si="21"/>
        <v>0</v>
      </c>
      <c r="T50" s="9">
        <f t="shared" si="21"/>
        <v>0</v>
      </c>
      <c r="U50" s="9">
        <f t="shared" si="21"/>
        <v>0</v>
      </c>
      <c r="V50" s="9">
        <f t="shared" si="21"/>
        <v>0</v>
      </c>
      <c r="W50" s="9">
        <f t="shared" si="21"/>
        <v>0</v>
      </c>
      <c r="X50" s="9">
        <f t="shared" si="21"/>
        <v>0</v>
      </c>
      <c r="Y50" s="9">
        <f t="shared" si="21"/>
        <v>0</v>
      </c>
      <c r="Z50" s="9">
        <f t="shared" si="21"/>
        <v>0</v>
      </c>
      <c r="AA50" s="9">
        <f t="shared" si="21"/>
        <v>0</v>
      </c>
      <c r="AB50" s="9">
        <f t="shared" si="21"/>
        <v>0</v>
      </c>
      <c r="AC50" s="9">
        <f t="shared" si="21"/>
        <v>0</v>
      </c>
      <c r="AD50" s="9">
        <f t="shared" si="21"/>
        <v>0</v>
      </c>
      <c r="AE50" s="9">
        <f t="shared" si="21"/>
        <v>0</v>
      </c>
      <c r="AF50" s="9">
        <f t="shared" si="21"/>
        <v>0</v>
      </c>
      <c r="AG50" s="9">
        <f t="shared" si="21"/>
        <v>0</v>
      </c>
      <c r="AH50" s="9"/>
      <c r="AI50" s="9"/>
      <c r="AJ50" s="9"/>
      <c r="AK50" s="9"/>
      <c r="AM50" s="9"/>
      <c r="AN50" s="9"/>
      <c r="AO50" s="9"/>
    </row>
    <row r="51" spans="1:48">
      <c r="A51" s="9">
        <f t="shared" si="20"/>
        <v>14.188851261138916</v>
      </c>
      <c r="B51" s="9">
        <f t="shared" ref="B51:AG51" si="22">B21*mult</f>
        <v>0</v>
      </c>
      <c r="C51" s="9">
        <f t="shared" si="22"/>
        <v>0</v>
      </c>
      <c r="D51" s="9">
        <f t="shared" si="22"/>
        <v>0</v>
      </c>
      <c r="E51" s="9">
        <f t="shared" si="22"/>
        <v>0</v>
      </c>
      <c r="F51" s="9">
        <f t="shared" si="22"/>
        <v>0</v>
      </c>
      <c r="G51" s="9">
        <f t="shared" si="22"/>
        <v>0</v>
      </c>
      <c r="H51" s="9">
        <f t="shared" si="22"/>
        <v>0</v>
      </c>
      <c r="I51" s="9">
        <f t="shared" si="22"/>
        <v>0</v>
      </c>
      <c r="J51" s="9">
        <f t="shared" si="22"/>
        <v>0</v>
      </c>
      <c r="K51" s="9">
        <f t="shared" si="22"/>
        <v>0</v>
      </c>
      <c r="L51" s="9">
        <f t="shared" si="22"/>
        <v>0</v>
      </c>
      <c r="M51" s="9">
        <f t="shared" si="22"/>
        <v>0</v>
      </c>
      <c r="N51" s="9">
        <f t="shared" si="22"/>
        <v>0</v>
      </c>
      <c r="O51" s="9">
        <f t="shared" si="22"/>
        <v>0</v>
      </c>
      <c r="P51" s="9">
        <f t="shared" si="22"/>
        <v>0</v>
      </c>
      <c r="Q51" s="9">
        <f t="shared" si="22"/>
        <v>0</v>
      </c>
      <c r="R51" s="9">
        <f t="shared" si="22"/>
        <v>0</v>
      </c>
      <c r="S51" s="9">
        <f t="shared" si="22"/>
        <v>0</v>
      </c>
      <c r="T51" s="9">
        <f t="shared" si="22"/>
        <v>0</v>
      </c>
      <c r="U51" s="9">
        <f t="shared" si="22"/>
        <v>0</v>
      </c>
      <c r="V51" s="9">
        <f t="shared" si="22"/>
        <v>0</v>
      </c>
      <c r="W51" s="9">
        <f t="shared" si="22"/>
        <v>0</v>
      </c>
      <c r="X51" s="9">
        <f t="shared" si="22"/>
        <v>0</v>
      </c>
      <c r="Y51" s="9">
        <f t="shared" si="22"/>
        <v>0</v>
      </c>
      <c r="Z51" s="9">
        <f t="shared" si="22"/>
        <v>0</v>
      </c>
      <c r="AA51" s="9">
        <f t="shared" si="22"/>
        <v>0</v>
      </c>
      <c r="AB51" s="9">
        <f t="shared" si="22"/>
        <v>0</v>
      </c>
      <c r="AC51" s="9">
        <f t="shared" si="22"/>
        <v>0</v>
      </c>
      <c r="AD51" s="9">
        <f t="shared" si="22"/>
        <v>0</v>
      </c>
      <c r="AE51" s="9">
        <f t="shared" si="22"/>
        <v>0</v>
      </c>
      <c r="AF51" s="9">
        <f t="shared" si="22"/>
        <v>0</v>
      </c>
      <c r="AG51" s="9">
        <f t="shared" si="22"/>
        <v>0</v>
      </c>
      <c r="AH51" s="9"/>
      <c r="AI51" s="9"/>
      <c r="AJ51" s="9"/>
      <c r="AK51" s="9"/>
      <c r="AM51" s="9"/>
      <c r="AN51" s="9"/>
      <c r="AO51" s="9"/>
    </row>
    <row r="52" spans="1:48">
      <c r="A52" s="9">
        <f t="shared" si="20"/>
        <v>11.795599174499511</v>
      </c>
      <c r="B52" s="9">
        <f t="shared" ref="B52:AG52" si="23">B22*mult</f>
        <v>0</v>
      </c>
      <c r="C52" s="9">
        <f t="shared" si="23"/>
        <v>0</v>
      </c>
      <c r="D52" s="9">
        <f t="shared" si="23"/>
        <v>0</v>
      </c>
      <c r="E52" s="9">
        <f t="shared" si="23"/>
        <v>0</v>
      </c>
      <c r="F52" s="9">
        <f t="shared" si="23"/>
        <v>0</v>
      </c>
      <c r="G52" s="9">
        <f t="shared" si="23"/>
        <v>0</v>
      </c>
      <c r="H52" s="9">
        <f t="shared" si="23"/>
        <v>0</v>
      </c>
      <c r="I52" s="9">
        <f t="shared" si="23"/>
        <v>0</v>
      </c>
      <c r="J52" s="9">
        <f t="shared" si="23"/>
        <v>0</v>
      </c>
      <c r="K52" s="9">
        <f t="shared" si="23"/>
        <v>0</v>
      </c>
      <c r="L52" s="9">
        <f t="shared" si="23"/>
        <v>0</v>
      </c>
      <c r="M52" s="9">
        <f t="shared" si="23"/>
        <v>0</v>
      </c>
      <c r="N52" s="9">
        <f t="shared" si="23"/>
        <v>0</v>
      </c>
      <c r="O52" s="9">
        <f t="shared" si="23"/>
        <v>0</v>
      </c>
      <c r="P52" s="9">
        <f t="shared" si="23"/>
        <v>0</v>
      </c>
      <c r="Q52" s="9">
        <f t="shared" si="23"/>
        <v>0</v>
      </c>
      <c r="R52" s="9">
        <f t="shared" si="23"/>
        <v>0</v>
      </c>
      <c r="S52" s="9">
        <f t="shared" si="23"/>
        <v>0</v>
      </c>
      <c r="T52" s="9">
        <f t="shared" si="23"/>
        <v>0</v>
      </c>
      <c r="U52" s="9">
        <f t="shared" si="23"/>
        <v>0</v>
      </c>
      <c r="V52" s="9">
        <f t="shared" si="23"/>
        <v>0</v>
      </c>
      <c r="W52" s="9">
        <f t="shared" si="23"/>
        <v>0</v>
      </c>
      <c r="X52" s="9">
        <f t="shared" si="23"/>
        <v>0</v>
      </c>
      <c r="Y52" s="9">
        <f t="shared" si="23"/>
        <v>0</v>
      </c>
      <c r="Z52" s="9">
        <f t="shared" si="23"/>
        <v>0</v>
      </c>
      <c r="AA52" s="9">
        <f t="shared" si="23"/>
        <v>0</v>
      </c>
      <c r="AB52" s="9">
        <f t="shared" si="23"/>
        <v>0</v>
      </c>
      <c r="AC52" s="9">
        <f t="shared" si="23"/>
        <v>0</v>
      </c>
      <c r="AD52" s="9">
        <f t="shared" si="23"/>
        <v>0</v>
      </c>
      <c r="AE52" s="9">
        <f t="shared" si="23"/>
        <v>0</v>
      </c>
      <c r="AF52" s="9">
        <f t="shared" si="23"/>
        <v>0</v>
      </c>
      <c r="AG52" s="9">
        <f t="shared" si="23"/>
        <v>0</v>
      </c>
      <c r="AH52" s="9"/>
      <c r="AI52" s="9"/>
      <c r="AJ52" s="9"/>
      <c r="AK52" s="9"/>
      <c r="AM52" s="9"/>
      <c r="AN52" s="9"/>
      <c r="AO52" s="9"/>
    </row>
    <row r="53" spans="1:48">
      <c r="A53" s="9">
        <f t="shared" si="20"/>
        <v>8.797748947143555</v>
      </c>
      <c r="B53" s="9">
        <f t="shared" ref="B53:AG53" si="24">B23*mult</f>
        <v>0</v>
      </c>
      <c r="C53" s="9">
        <f t="shared" si="24"/>
        <v>0</v>
      </c>
      <c r="D53" s="9">
        <f t="shared" si="24"/>
        <v>0</v>
      </c>
      <c r="E53" s="9">
        <f t="shared" si="24"/>
        <v>0</v>
      </c>
      <c r="F53" s="9">
        <f t="shared" si="24"/>
        <v>0</v>
      </c>
      <c r="G53" s="9">
        <f t="shared" si="24"/>
        <v>0</v>
      </c>
      <c r="H53" s="9">
        <f t="shared" si="24"/>
        <v>0</v>
      </c>
      <c r="I53" s="9">
        <f t="shared" si="24"/>
        <v>0</v>
      </c>
      <c r="J53" s="9">
        <f t="shared" si="24"/>
        <v>0</v>
      </c>
      <c r="K53" s="9">
        <f t="shared" si="24"/>
        <v>0</v>
      </c>
      <c r="L53" s="9">
        <f t="shared" si="24"/>
        <v>0</v>
      </c>
      <c r="M53" s="9">
        <f t="shared" si="24"/>
        <v>0</v>
      </c>
      <c r="N53" s="9">
        <f t="shared" si="24"/>
        <v>0</v>
      </c>
      <c r="O53" s="9">
        <f t="shared" si="24"/>
        <v>0</v>
      </c>
      <c r="P53" s="9">
        <f t="shared" si="24"/>
        <v>0</v>
      </c>
      <c r="Q53" s="9">
        <f t="shared" si="24"/>
        <v>0</v>
      </c>
      <c r="R53" s="9">
        <f t="shared" si="24"/>
        <v>0</v>
      </c>
      <c r="S53" s="9">
        <f t="shared" si="24"/>
        <v>0</v>
      </c>
      <c r="T53" s="9">
        <f t="shared" si="24"/>
        <v>0</v>
      </c>
      <c r="U53" s="9">
        <f t="shared" si="24"/>
        <v>0</v>
      </c>
      <c r="V53" s="9">
        <f t="shared" si="24"/>
        <v>0</v>
      </c>
      <c r="W53" s="9">
        <f t="shared" si="24"/>
        <v>0</v>
      </c>
      <c r="X53" s="9">
        <f t="shared" si="24"/>
        <v>0</v>
      </c>
      <c r="Y53" s="9">
        <f t="shared" si="24"/>
        <v>0</v>
      </c>
      <c r="Z53" s="9">
        <f t="shared" si="24"/>
        <v>0</v>
      </c>
      <c r="AA53" s="9">
        <f t="shared" si="24"/>
        <v>0</v>
      </c>
      <c r="AB53" s="9">
        <f t="shared" si="24"/>
        <v>0</v>
      </c>
      <c r="AC53" s="9">
        <f t="shared" si="24"/>
        <v>0</v>
      </c>
      <c r="AD53" s="9">
        <f t="shared" si="24"/>
        <v>0</v>
      </c>
      <c r="AE53" s="9">
        <f t="shared" si="24"/>
        <v>0</v>
      </c>
      <c r="AF53" s="9">
        <f t="shared" si="24"/>
        <v>0</v>
      </c>
      <c r="AG53" s="9">
        <f t="shared" si="24"/>
        <v>0</v>
      </c>
      <c r="AH53" s="9"/>
      <c r="AI53" s="9"/>
      <c r="AJ53" s="9"/>
      <c r="AK53" s="9"/>
      <c r="AM53" s="9"/>
      <c r="AN53" s="9"/>
      <c r="AO53" s="9"/>
    </row>
    <row r="54" spans="1:48">
      <c r="A54" s="9">
        <f t="shared" si="20"/>
        <v>6.5973999023437502</v>
      </c>
      <c r="B54" s="9">
        <f t="shared" ref="B54:AG54" si="25">B24*mult</f>
        <v>0</v>
      </c>
      <c r="C54" s="9">
        <f t="shared" si="25"/>
        <v>0</v>
      </c>
      <c r="D54" s="9">
        <f t="shared" si="25"/>
        <v>0</v>
      </c>
      <c r="E54" s="9">
        <f t="shared" si="25"/>
        <v>0</v>
      </c>
      <c r="F54" s="9">
        <f t="shared" si="25"/>
        <v>0</v>
      </c>
      <c r="G54" s="9">
        <f t="shared" si="25"/>
        <v>0</v>
      </c>
      <c r="H54" s="9">
        <f t="shared" si="25"/>
        <v>0</v>
      </c>
      <c r="I54" s="9">
        <f t="shared" si="25"/>
        <v>0</v>
      </c>
      <c r="J54" s="9">
        <f t="shared" si="25"/>
        <v>0</v>
      </c>
      <c r="K54" s="9">
        <f t="shared" si="25"/>
        <v>0</v>
      </c>
      <c r="L54" s="9">
        <f t="shared" si="25"/>
        <v>0</v>
      </c>
      <c r="M54" s="9">
        <f t="shared" si="25"/>
        <v>0</v>
      </c>
      <c r="N54" s="9">
        <f t="shared" si="25"/>
        <v>0</v>
      </c>
      <c r="O54" s="9">
        <f t="shared" si="25"/>
        <v>0</v>
      </c>
      <c r="P54" s="9">
        <f t="shared" si="25"/>
        <v>0</v>
      </c>
      <c r="Q54" s="9">
        <f t="shared" si="25"/>
        <v>0</v>
      </c>
      <c r="R54" s="9">
        <f t="shared" si="25"/>
        <v>0</v>
      </c>
      <c r="S54" s="9">
        <f t="shared" si="25"/>
        <v>0</v>
      </c>
      <c r="T54" s="9">
        <f t="shared" si="25"/>
        <v>0</v>
      </c>
      <c r="U54" s="9">
        <f t="shared" si="25"/>
        <v>0</v>
      </c>
      <c r="V54" s="9">
        <f t="shared" si="25"/>
        <v>0</v>
      </c>
      <c r="W54" s="9">
        <f t="shared" si="25"/>
        <v>0</v>
      </c>
      <c r="X54" s="9">
        <f t="shared" si="25"/>
        <v>0</v>
      </c>
      <c r="Y54" s="9">
        <f t="shared" si="25"/>
        <v>0</v>
      </c>
      <c r="Z54" s="9">
        <f t="shared" si="25"/>
        <v>0</v>
      </c>
      <c r="AA54" s="9">
        <f t="shared" si="25"/>
        <v>0</v>
      </c>
      <c r="AB54" s="9">
        <f t="shared" si="25"/>
        <v>0</v>
      </c>
      <c r="AC54" s="9">
        <f t="shared" si="25"/>
        <v>0</v>
      </c>
      <c r="AD54" s="9">
        <f t="shared" si="25"/>
        <v>0</v>
      </c>
      <c r="AE54" s="9">
        <f t="shared" si="25"/>
        <v>0</v>
      </c>
      <c r="AF54" s="9">
        <f t="shared" si="25"/>
        <v>0</v>
      </c>
      <c r="AG54" s="9">
        <f t="shared" si="25"/>
        <v>0</v>
      </c>
      <c r="AH54" s="9"/>
      <c r="AI54" s="9"/>
      <c r="AJ54" s="9"/>
      <c r="AK54" s="9"/>
      <c r="AM54" s="9"/>
      <c r="AN54" s="9"/>
      <c r="AO54" s="9"/>
    </row>
    <row r="55" spans="1:48">
      <c r="A55" s="9">
        <f t="shared" si="20"/>
        <v>2.3447998762130737</v>
      </c>
      <c r="B55" s="9">
        <f t="shared" ref="B55:AG55" si="26">B25*mult</f>
        <v>0</v>
      </c>
      <c r="C55" s="9">
        <f t="shared" si="26"/>
        <v>0</v>
      </c>
      <c r="D55" s="9">
        <f t="shared" si="26"/>
        <v>0</v>
      </c>
      <c r="E55" s="9">
        <f t="shared" si="26"/>
        <v>0</v>
      </c>
      <c r="F55" s="9">
        <f t="shared" si="26"/>
        <v>0</v>
      </c>
      <c r="G55" s="9">
        <f t="shared" si="26"/>
        <v>0</v>
      </c>
      <c r="H55" s="9">
        <f t="shared" si="26"/>
        <v>0</v>
      </c>
      <c r="I55" s="9">
        <f t="shared" si="26"/>
        <v>0</v>
      </c>
      <c r="J55" s="9">
        <f t="shared" si="26"/>
        <v>0</v>
      </c>
      <c r="K55" s="9">
        <f t="shared" si="26"/>
        <v>0</v>
      </c>
      <c r="L55" s="9">
        <f t="shared" si="26"/>
        <v>0</v>
      </c>
      <c r="M55" s="9">
        <f t="shared" si="26"/>
        <v>0</v>
      </c>
      <c r="N55" s="9">
        <f t="shared" si="26"/>
        <v>0</v>
      </c>
      <c r="O55" s="9">
        <f t="shared" si="26"/>
        <v>0</v>
      </c>
      <c r="P55" s="9">
        <f t="shared" si="26"/>
        <v>0</v>
      </c>
      <c r="Q55" s="9">
        <f t="shared" si="26"/>
        <v>0</v>
      </c>
      <c r="R55" s="9">
        <f t="shared" si="26"/>
        <v>0</v>
      </c>
      <c r="S55" s="9">
        <f t="shared" si="26"/>
        <v>0</v>
      </c>
      <c r="T55" s="9">
        <f t="shared" si="26"/>
        <v>0</v>
      </c>
      <c r="U55" s="9">
        <f t="shared" si="26"/>
        <v>0</v>
      </c>
      <c r="V55" s="9">
        <f t="shared" si="26"/>
        <v>0</v>
      </c>
      <c r="W55" s="9">
        <f t="shared" si="26"/>
        <v>0</v>
      </c>
      <c r="X55" s="9">
        <f t="shared" si="26"/>
        <v>0</v>
      </c>
      <c r="Y55" s="9">
        <f t="shared" si="26"/>
        <v>0</v>
      </c>
      <c r="Z55" s="9">
        <f t="shared" si="26"/>
        <v>0</v>
      </c>
      <c r="AA55" s="9">
        <f t="shared" si="26"/>
        <v>0</v>
      </c>
      <c r="AB55" s="9">
        <f t="shared" si="26"/>
        <v>0</v>
      </c>
      <c r="AC55" s="9">
        <f t="shared" si="26"/>
        <v>0</v>
      </c>
      <c r="AD55" s="9">
        <f t="shared" si="26"/>
        <v>0</v>
      </c>
      <c r="AE55" s="9">
        <f t="shared" si="26"/>
        <v>0</v>
      </c>
      <c r="AF55" s="9">
        <f t="shared" si="26"/>
        <v>0</v>
      </c>
      <c r="AG55" s="9">
        <f t="shared" si="26"/>
        <v>0</v>
      </c>
      <c r="AH55" s="9"/>
      <c r="AI55" s="9"/>
      <c r="AJ55" s="9"/>
      <c r="AK55" s="9"/>
      <c r="AM55" s="9"/>
      <c r="AN55" s="9"/>
      <c r="AO55" s="9"/>
    </row>
    <row r="56" spans="1:48">
      <c r="A56" s="9">
        <f t="shared" si="20"/>
        <v>1.9071000814437866</v>
      </c>
      <c r="B56" s="9">
        <f t="shared" ref="B56:AG56" si="27">B26*mult</f>
        <v>0</v>
      </c>
      <c r="C56" s="9">
        <f t="shared" si="27"/>
        <v>0</v>
      </c>
      <c r="D56" s="9">
        <f t="shared" si="27"/>
        <v>0</v>
      </c>
      <c r="E56" s="9">
        <f t="shared" si="27"/>
        <v>0</v>
      </c>
      <c r="F56" s="9">
        <f t="shared" si="27"/>
        <v>0</v>
      </c>
      <c r="G56" s="9">
        <f t="shared" si="27"/>
        <v>0</v>
      </c>
      <c r="H56" s="9">
        <f t="shared" si="27"/>
        <v>0</v>
      </c>
      <c r="I56" s="9">
        <f t="shared" si="27"/>
        <v>0</v>
      </c>
      <c r="J56" s="9">
        <f t="shared" si="27"/>
        <v>0</v>
      </c>
      <c r="K56" s="9">
        <f t="shared" si="27"/>
        <v>0</v>
      </c>
      <c r="L56" s="9">
        <f t="shared" si="27"/>
        <v>0</v>
      </c>
      <c r="M56" s="9">
        <f t="shared" si="27"/>
        <v>0</v>
      </c>
      <c r="N56" s="9">
        <f t="shared" si="27"/>
        <v>0</v>
      </c>
      <c r="O56" s="9">
        <f t="shared" si="27"/>
        <v>0</v>
      </c>
      <c r="P56" s="9">
        <f t="shared" si="27"/>
        <v>0</v>
      </c>
      <c r="Q56" s="9">
        <f t="shared" si="27"/>
        <v>0</v>
      </c>
      <c r="R56" s="9">
        <f t="shared" si="27"/>
        <v>0</v>
      </c>
      <c r="S56" s="9">
        <f t="shared" si="27"/>
        <v>0</v>
      </c>
      <c r="T56" s="9">
        <f t="shared" si="27"/>
        <v>0</v>
      </c>
      <c r="U56" s="9">
        <f t="shared" si="27"/>
        <v>0</v>
      </c>
      <c r="V56" s="9">
        <f t="shared" si="27"/>
        <v>0</v>
      </c>
      <c r="W56" s="9">
        <f t="shared" si="27"/>
        <v>0</v>
      </c>
      <c r="X56" s="9">
        <f t="shared" si="27"/>
        <v>0</v>
      </c>
      <c r="Y56" s="9">
        <f t="shared" si="27"/>
        <v>0</v>
      </c>
      <c r="Z56" s="9">
        <f t="shared" si="27"/>
        <v>0</v>
      </c>
      <c r="AA56" s="9">
        <f t="shared" si="27"/>
        <v>0</v>
      </c>
      <c r="AB56" s="9">
        <f t="shared" si="27"/>
        <v>0</v>
      </c>
      <c r="AC56" s="9">
        <f t="shared" si="27"/>
        <v>0</v>
      </c>
      <c r="AD56" s="9">
        <f t="shared" si="27"/>
        <v>0</v>
      </c>
      <c r="AE56" s="9">
        <f t="shared" si="27"/>
        <v>0</v>
      </c>
      <c r="AF56" s="9">
        <f t="shared" si="27"/>
        <v>0</v>
      </c>
      <c r="AG56" s="9">
        <f t="shared" si="27"/>
        <v>0</v>
      </c>
      <c r="AH56" s="9"/>
      <c r="AI56" s="9"/>
      <c r="AJ56" s="9"/>
      <c r="AK56" s="9"/>
      <c r="AM56" s="9"/>
      <c r="AN56" s="9"/>
      <c r="AO56" s="9"/>
    </row>
    <row r="57" spans="1:48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 t="str">
        <f>AH1</f>
        <v>STDEV</v>
      </c>
      <c r="AI57" s="9" t="str">
        <f t="shared" ref="AI57:AK57" si="28">AI1</f>
        <v>-1.5σ</v>
      </c>
      <c r="AJ57" s="9" t="str">
        <f t="shared" si="28"/>
        <v>MEAN</v>
      </c>
      <c r="AK57" s="9" t="str">
        <f t="shared" si="28"/>
        <v>+1.5σ</v>
      </c>
      <c r="AM57" s="9"/>
      <c r="AN57" s="9"/>
      <c r="AO57" s="9"/>
    </row>
    <row r="58" spans="1:48">
      <c r="A58" s="9">
        <f>MAX(A43:A56)-A59</f>
        <v>281.44837782382967</v>
      </c>
      <c r="B58" s="9">
        <f t="shared" ref="B58:AG58" si="29">MAX(B43:B56)-B59</f>
        <v>0</v>
      </c>
      <c r="C58" s="9">
        <f t="shared" si="29"/>
        <v>0</v>
      </c>
      <c r="D58" s="9">
        <f t="shared" si="29"/>
        <v>0</v>
      </c>
      <c r="E58" s="9">
        <f t="shared" si="29"/>
        <v>0</v>
      </c>
      <c r="F58" s="9">
        <f t="shared" si="29"/>
        <v>0</v>
      </c>
      <c r="G58" s="9">
        <f t="shared" si="29"/>
        <v>0</v>
      </c>
      <c r="H58" s="9">
        <f t="shared" si="29"/>
        <v>0</v>
      </c>
      <c r="I58" s="9">
        <f t="shared" si="29"/>
        <v>0</v>
      </c>
      <c r="J58" s="9">
        <f t="shared" si="29"/>
        <v>0</v>
      </c>
      <c r="K58" s="9">
        <f t="shared" si="29"/>
        <v>0</v>
      </c>
      <c r="L58" s="9">
        <f t="shared" si="29"/>
        <v>0</v>
      </c>
      <c r="M58" s="9">
        <f t="shared" si="29"/>
        <v>0</v>
      </c>
      <c r="N58" s="9">
        <f t="shared" si="29"/>
        <v>0</v>
      </c>
      <c r="O58" s="9">
        <f t="shared" si="29"/>
        <v>0</v>
      </c>
      <c r="P58" s="9">
        <f t="shared" si="29"/>
        <v>0</v>
      </c>
      <c r="Q58" s="9">
        <f t="shared" si="29"/>
        <v>0</v>
      </c>
      <c r="R58" s="9">
        <f t="shared" si="29"/>
        <v>0</v>
      </c>
      <c r="S58" s="9">
        <f t="shared" si="29"/>
        <v>0</v>
      </c>
      <c r="T58" s="9">
        <f t="shared" si="29"/>
        <v>0</v>
      </c>
      <c r="U58" s="9">
        <f t="shared" si="29"/>
        <v>0</v>
      </c>
      <c r="V58" s="9">
        <f t="shared" si="29"/>
        <v>0</v>
      </c>
      <c r="W58" s="9">
        <f t="shared" si="29"/>
        <v>0</v>
      </c>
      <c r="X58" s="9">
        <f t="shared" si="29"/>
        <v>0</v>
      </c>
      <c r="Y58" s="9">
        <f t="shared" si="29"/>
        <v>0</v>
      </c>
      <c r="Z58" s="9">
        <f t="shared" si="29"/>
        <v>0</v>
      </c>
      <c r="AA58" s="9">
        <f t="shared" si="29"/>
        <v>0</v>
      </c>
      <c r="AB58" s="9">
        <f t="shared" si="29"/>
        <v>0</v>
      </c>
      <c r="AC58" s="9">
        <f t="shared" si="29"/>
        <v>0</v>
      </c>
      <c r="AD58" s="9">
        <f t="shared" si="29"/>
        <v>0</v>
      </c>
      <c r="AE58" s="9">
        <f t="shared" si="29"/>
        <v>0</v>
      </c>
      <c r="AF58" s="9">
        <f t="shared" si="29"/>
        <v>0</v>
      </c>
      <c r="AG58" s="9">
        <f t="shared" si="29"/>
        <v>0</v>
      </c>
      <c r="AH58" s="9">
        <f t="shared" ref="AH58:AH94" si="30">STDEV(B58:AG58)</f>
        <v>0</v>
      </c>
      <c r="AI58" s="9">
        <f t="shared" ref="AI58:AI95" si="31">AJ58-1.5*AH58</f>
        <v>0</v>
      </c>
      <c r="AJ58" s="10">
        <f t="shared" ref="AJ58:AJ95" si="32">AVERAGE(B58:AG58)</f>
        <v>0</v>
      </c>
      <c r="AK58" s="9">
        <f t="shared" ref="AK58:AK95" si="33">AJ58+1.5*AH58</f>
        <v>0</v>
      </c>
      <c r="AM58" s="9"/>
      <c r="AN58" s="9"/>
      <c r="AO58" s="9"/>
    </row>
    <row r="59" spans="1:48">
      <c r="A59" s="9">
        <f>MIN(A43:A56)</f>
        <v>1.9071000814437866</v>
      </c>
      <c r="B59" s="9">
        <f t="shared" ref="B59:AG59" si="34">MIN(B43:B56)</f>
        <v>0</v>
      </c>
      <c r="C59" s="9">
        <f t="shared" si="34"/>
        <v>0</v>
      </c>
      <c r="D59" s="9">
        <f t="shared" si="34"/>
        <v>0</v>
      </c>
      <c r="E59" s="9">
        <f t="shared" si="34"/>
        <v>0</v>
      </c>
      <c r="F59" s="9">
        <f t="shared" si="34"/>
        <v>0</v>
      </c>
      <c r="G59" s="9">
        <f t="shared" si="34"/>
        <v>0</v>
      </c>
      <c r="H59" s="9">
        <f t="shared" si="34"/>
        <v>0</v>
      </c>
      <c r="I59" s="9">
        <f t="shared" si="34"/>
        <v>0</v>
      </c>
      <c r="J59" s="9">
        <f t="shared" si="34"/>
        <v>0</v>
      </c>
      <c r="K59" s="9">
        <f t="shared" si="34"/>
        <v>0</v>
      </c>
      <c r="L59" s="9">
        <f t="shared" si="34"/>
        <v>0</v>
      </c>
      <c r="M59" s="9">
        <f t="shared" si="34"/>
        <v>0</v>
      </c>
      <c r="N59" s="9">
        <f t="shared" si="34"/>
        <v>0</v>
      </c>
      <c r="O59" s="9">
        <f t="shared" si="34"/>
        <v>0</v>
      </c>
      <c r="P59" s="9">
        <f t="shared" si="34"/>
        <v>0</v>
      </c>
      <c r="Q59" s="9">
        <f t="shared" si="34"/>
        <v>0</v>
      </c>
      <c r="R59" s="9">
        <f t="shared" si="34"/>
        <v>0</v>
      </c>
      <c r="S59" s="9">
        <f t="shared" si="34"/>
        <v>0</v>
      </c>
      <c r="T59" s="9">
        <f t="shared" si="34"/>
        <v>0</v>
      </c>
      <c r="U59" s="9">
        <f t="shared" si="34"/>
        <v>0</v>
      </c>
      <c r="V59" s="9">
        <f t="shared" si="34"/>
        <v>0</v>
      </c>
      <c r="W59" s="9">
        <f t="shared" si="34"/>
        <v>0</v>
      </c>
      <c r="X59" s="9">
        <f t="shared" si="34"/>
        <v>0</v>
      </c>
      <c r="Y59" s="9">
        <f t="shared" si="34"/>
        <v>0</v>
      </c>
      <c r="Z59" s="9">
        <f t="shared" si="34"/>
        <v>0</v>
      </c>
      <c r="AA59" s="9">
        <f t="shared" si="34"/>
        <v>0</v>
      </c>
      <c r="AB59" s="9">
        <f t="shared" si="34"/>
        <v>0</v>
      </c>
      <c r="AC59" s="9">
        <f t="shared" si="34"/>
        <v>0</v>
      </c>
      <c r="AD59" s="9">
        <f t="shared" si="34"/>
        <v>0</v>
      </c>
      <c r="AE59" s="9">
        <f t="shared" si="34"/>
        <v>0</v>
      </c>
      <c r="AF59" s="9">
        <f t="shared" si="34"/>
        <v>0</v>
      </c>
      <c r="AG59" s="9">
        <f t="shared" si="34"/>
        <v>0</v>
      </c>
      <c r="AH59" s="9">
        <f t="shared" si="30"/>
        <v>0</v>
      </c>
      <c r="AI59" s="9">
        <f t="shared" si="31"/>
        <v>0</v>
      </c>
      <c r="AJ59" s="10">
        <f t="shared" si="32"/>
        <v>0</v>
      </c>
      <c r="AK59" s="9">
        <f t="shared" si="33"/>
        <v>0</v>
      </c>
      <c r="AM59" s="9"/>
      <c r="AN59" s="9"/>
      <c r="AO59" s="9"/>
    </row>
    <row r="60" spans="1:48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10"/>
      <c r="AK60" s="9"/>
      <c r="AM60" s="9"/>
      <c r="AN60" s="9"/>
      <c r="AO60" s="9"/>
      <c r="AP60" s="9"/>
      <c r="AU60" s="9"/>
      <c r="AV60" s="9"/>
    </row>
    <row r="61" spans="1:48">
      <c r="A61" s="9" t="s">
        <v>0</v>
      </c>
      <c r="B61" s="9">
        <f>B58/$A58</f>
        <v>0</v>
      </c>
      <c r="C61" s="9">
        <f t="shared" ref="C61:AG61" si="35">C58/$A58</f>
        <v>0</v>
      </c>
      <c r="D61" s="9">
        <f t="shared" si="35"/>
        <v>0</v>
      </c>
      <c r="E61" s="9">
        <f t="shared" si="35"/>
        <v>0</v>
      </c>
      <c r="F61" s="9">
        <f t="shared" si="35"/>
        <v>0</v>
      </c>
      <c r="G61" s="9">
        <f t="shared" si="35"/>
        <v>0</v>
      </c>
      <c r="H61" s="9">
        <f t="shared" si="35"/>
        <v>0</v>
      </c>
      <c r="I61" s="9">
        <f t="shared" si="35"/>
        <v>0</v>
      </c>
      <c r="J61" s="9">
        <f t="shared" si="35"/>
        <v>0</v>
      </c>
      <c r="K61" s="9">
        <f t="shared" si="35"/>
        <v>0</v>
      </c>
      <c r="L61" s="9">
        <f t="shared" si="35"/>
        <v>0</v>
      </c>
      <c r="M61" s="9">
        <f t="shared" si="35"/>
        <v>0</v>
      </c>
      <c r="N61" s="9">
        <f t="shared" si="35"/>
        <v>0</v>
      </c>
      <c r="O61" s="9">
        <f t="shared" si="35"/>
        <v>0</v>
      </c>
      <c r="P61" s="9">
        <f t="shared" si="35"/>
        <v>0</v>
      </c>
      <c r="Q61" s="9">
        <f t="shared" si="35"/>
        <v>0</v>
      </c>
      <c r="R61" s="9">
        <f t="shared" si="35"/>
        <v>0</v>
      </c>
      <c r="S61" s="9">
        <f t="shared" si="35"/>
        <v>0</v>
      </c>
      <c r="T61" s="9">
        <f t="shared" si="35"/>
        <v>0</v>
      </c>
      <c r="U61" s="9">
        <f t="shared" si="35"/>
        <v>0</v>
      </c>
      <c r="V61" s="9">
        <f t="shared" si="35"/>
        <v>0</v>
      </c>
      <c r="W61" s="9">
        <f t="shared" si="35"/>
        <v>0</v>
      </c>
      <c r="X61" s="9">
        <f t="shared" si="35"/>
        <v>0</v>
      </c>
      <c r="Y61" s="9">
        <f t="shared" si="35"/>
        <v>0</v>
      </c>
      <c r="Z61" s="9">
        <f t="shared" si="35"/>
        <v>0</v>
      </c>
      <c r="AA61" s="9">
        <f t="shared" si="35"/>
        <v>0</v>
      </c>
      <c r="AB61" s="9">
        <f t="shared" si="35"/>
        <v>0</v>
      </c>
      <c r="AC61" s="9">
        <f t="shared" si="35"/>
        <v>0</v>
      </c>
      <c r="AD61" s="9">
        <f t="shared" si="35"/>
        <v>0</v>
      </c>
      <c r="AE61" s="9">
        <f t="shared" si="35"/>
        <v>0</v>
      </c>
      <c r="AF61" s="9">
        <f t="shared" si="35"/>
        <v>0</v>
      </c>
      <c r="AG61" s="9">
        <f t="shared" si="35"/>
        <v>0</v>
      </c>
      <c r="AH61" s="9">
        <f t="shared" si="30"/>
        <v>0</v>
      </c>
      <c r="AI61" s="9">
        <f t="shared" si="31"/>
        <v>0</v>
      </c>
      <c r="AJ61" s="10">
        <f t="shared" si="32"/>
        <v>0</v>
      </c>
      <c r="AK61" s="9">
        <f t="shared" si="33"/>
        <v>0</v>
      </c>
      <c r="AM61" s="9">
        <f>(AK62-AI62)/5</f>
        <v>0</v>
      </c>
      <c r="AN61" s="9"/>
      <c r="AO61" s="9"/>
      <c r="AP61" s="9"/>
      <c r="AQ61" s="9"/>
      <c r="AR61" s="9"/>
      <c r="AS61" s="9"/>
      <c r="AT61" s="9"/>
      <c r="AU61" s="9"/>
      <c r="AV61" s="9"/>
    </row>
    <row r="62" spans="1:48">
      <c r="A62" s="9" t="s">
        <v>1</v>
      </c>
      <c r="B62" s="9">
        <f>B43-B61*$A43</f>
        <v>0</v>
      </c>
      <c r="C62" s="9">
        <f t="shared" ref="C62:AG62" si="36">C43-C61*$A43</f>
        <v>0</v>
      </c>
      <c r="D62" s="9">
        <f t="shared" si="36"/>
        <v>0</v>
      </c>
      <c r="E62" s="9">
        <f t="shared" si="36"/>
        <v>0</v>
      </c>
      <c r="F62" s="9">
        <f t="shared" si="36"/>
        <v>0</v>
      </c>
      <c r="G62" s="9">
        <f t="shared" si="36"/>
        <v>0</v>
      </c>
      <c r="H62" s="9">
        <f t="shared" si="36"/>
        <v>0</v>
      </c>
      <c r="I62" s="9">
        <f t="shared" si="36"/>
        <v>0</v>
      </c>
      <c r="J62" s="9">
        <f t="shared" si="36"/>
        <v>0</v>
      </c>
      <c r="K62" s="9">
        <f t="shared" si="36"/>
        <v>0</v>
      </c>
      <c r="L62" s="9">
        <f t="shared" si="36"/>
        <v>0</v>
      </c>
      <c r="M62" s="9">
        <f t="shared" si="36"/>
        <v>0</v>
      </c>
      <c r="N62" s="9">
        <f t="shared" si="36"/>
        <v>0</v>
      </c>
      <c r="O62" s="9">
        <f t="shared" si="36"/>
        <v>0</v>
      </c>
      <c r="P62" s="9">
        <f t="shared" si="36"/>
        <v>0</v>
      </c>
      <c r="Q62" s="9">
        <f t="shared" si="36"/>
        <v>0</v>
      </c>
      <c r="R62" s="9">
        <f t="shared" si="36"/>
        <v>0</v>
      </c>
      <c r="S62" s="9">
        <f t="shared" si="36"/>
        <v>0</v>
      </c>
      <c r="T62" s="9">
        <f t="shared" si="36"/>
        <v>0</v>
      </c>
      <c r="U62" s="9">
        <f t="shared" si="36"/>
        <v>0</v>
      </c>
      <c r="V62" s="9">
        <f t="shared" si="36"/>
        <v>0</v>
      </c>
      <c r="W62" s="9">
        <f t="shared" si="36"/>
        <v>0</v>
      </c>
      <c r="X62" s="9">
        <f t="shared" si="36"/>
        <v>0</v>
      </c>
      <c r="Y62" s="9">
        <f t="shared" si="36"/>
        <v>0</v>
      </c>
      <c r="Z62" s="9">
        <f t="shared" si="36"/>
        <v>0</v>
      </c>
      <c r="AA62" s="9">
        <f t="shared" si="36"/>
        <v>0</v>
      </c>
      <c r="AB62" s="9">
        <f t="shared" si="36"/>
        <v>0</v>
      </c>
      <c r="AC62" s="9">
        <f t="shared" si="36"/>
        <v>0</v>
      </c>
      <c r="AD62" s="9">
        <f t="shared" si="36"/>
        <v>0</v>
      </c>
      <c r="AE62" s="9">
        <f t="shared" si="36"/>
        <v>0</v>
      </c>
      <c r="AF62" s="9">
        <f t="shared" si="36"/>
        <v>0</v>
      </c>
      <c r="AG62" s="9">
        <f t="shared" si="36"/>
        <v>0</v>
      </c>
      <c r="AH62" s="9">
        <f t="shared" si="30"/>
        <v>0</v>
      </c>
      <c r="AI62" s="9">
        <f t="shared" si="31"/>
        <v>0</v>
      </c>
      <c r="AJ62" s="10">
        <f t="shared" si="32"/>
        <v>0</v>
      </c>
      <c r="AK62" s="9">
        <f t="shared" si="33"/>
        <v>0</v>
      </c>
      <c r="AM62" s="11">
        <f>AI62</f>
        <v>0</v>
      </c>
      <c r="AN62" s="9" t="b">
        <f ca="1">_xll.HISTOGRAM(B$62:AG$62,AM$62:AM$68,AM62)</f>
        <v>0</v>
      </c>
      <c r="AO62" s="9"/>
      <c r="AP62" s="9"/>
      <c r="AQ62" s="9"/>
      <c r="AR62" s="9"/>
      <c r="AS62" s="9"/>
      <c r="AT62" s="9"/>
      <c r="AU62" s="9"/>
      <c r="AV62" s="9"/>
    </row>
    <row r="63" spans="1:48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10"/>
      <c r="AK63" s="9"/>
      <c r="AM63" s="11">
        <f>AM62+AM$61</f>
        <v>0</v>
      </c>
      <c r="AN63" s="9" t="b">
        <f ca="1">_xll.HISTOGRAM(B$62:AG$62,AM$62:AM$68,AM63)</f>
        <v>0</v>
      </c>
      <c r="AO63" s="9"/>
      <c r="AP63" s="9"/>
      <c r="AQ63" s="9"/>
      <c r="AR63" s="9"/>
      <c r="AS63" s="9"/>
      <c r="AT63" s="9"/>
      <c r="AU63" s="9"/>
      <c r="AV63" s="9"/>
    </row>
    <row r="64" spans="1:48">
      <c r="A64" s="9" t="s">
        <v>21</v>
      </c>
      <c r="B64" s="9">
        <f>B1</f>
        <v>0</v>
      </c>
      <c r="C64" s="9">
        <f t="shared" ref="C64:AK64" si="37">C1</f>
        <v>1</v>
      </c>
      <c r="D64" s="9">
        <f t="shared" si="37"/>
        <v>2</v>
      </c>
      <c r="E64" s="9">
        <f t="shared" si="37"/>
        <v>3</v>
      </c>
      <c r="F64" s="9">
        <f t="shared" si="37"/>
        <v>4</v>
      </c>
      <c r="G64" s="9">
        <f t="shared" si="37"/>
        <v>5</v>
      </c>
      <c r="H64" s="9">
        <f t="shared" si="37"/>
        <v>6</v>
      </c>
      <c r="I64" s="9">
        <f t="shared" si="37"/>
        <v>7</v>
      </c>
      <c r="J64" s="9">
        <f t="shared" si="37"/>
        <v>8</v>
      </c>
      <c r="K64" s="9">
        <f t="shared" si="37"/>
        <v>9</v>
      </c>
      <c r="L64" s="9">
        <f t="shared" si="37"/>
        <v>10</v>
      </c>
      <c r="M64" s="9">
        <f t="shared" si="37"/>
        <v>11</v>
      </c>
      <c r="N64" s="9">
        <f t="shared" si="37"/>
        <v>12</v>
      </c>
      <c r="O64" s="9">
        <f t="shared" si="37"/>
        <v>13</v>
      </c>
      <c r="P64" s="9">
        <f t="shared" si="37"/>
        <v>14</v>
      </c>
      <c r="Q64" s="9">
        <f t="shared" si="37"/>
        <v>15</v>
      </c>
      <c r="R64" s="9">
        <f t="shared" si="37"/>
        <v>16</v>
      </c>
      <c r="S64" s="9">
        <f t="shared" si="37"/>
        <v>17</v>
      </c>
      <c r="T64" s="9">
        <f t="shared" si="37"/>
        <v>18</v>
      </c>
      <c r="U64" s="9">
        <f t="shared" si="37"/>
        <v>19</v>
      </c>
      <c r="V64" s="9">
        <f t="shared" si="37"/>
        <v>20</v>
      </c>
      <c r="W64" s="9">
        <f t="shared" si="37"/>
        <v>21</v>
      </c>
      <c r="X64" s="9">
        <f t="shared" si="37"/>
        <v>22</v>
      </c>
      <c r="Y64" s="9">
        <f t="shared" si="37"/>
        <v>23</v>
      </c>
      <c r="Z64" s="9">
        <f t="shared" si="37"/>
        <v>24</v>
      </c>
      <c r="AA64" s="9">
        <f t="shared" si="37"/>
        <v>25</v>
      </c>
      <c r="AB64" s="9">
        <f t="shared" si="37"/>
        <v>26</v>
      </c>
      <c r="AC64" s="9">
        <f t="shared" si="37"/>
        <v>27</v>
      </c>
      <c r="AD64" s="9">
        <f t="shared" si="37"/>
        <v>28</v>
      </c>
      <c r="AE64" s="9">
        <f t="shared" si="37"/>
        <v>29</v>
      </c>
      <c r="AF64" s="9">
        <f t="shared" si="37"/>
        <v>30</v>
      </c>
      <c r="AG64" s="9">
        <f t="shared" si="37"/>
        <v>31</v>
      </c>
      <c r="AH64" s="9" t="str">
        <f t="shared" si="37"/>
        <v>STDEV</v>
      </c>
      <c r="AI64" s="9" t="str">
        <f t="shared" si="37"/>
        <v>-1.5σ</v>
      </c>
      <c r="AJ64" s="9" t="str">
        <f t="shared" si="37"/>
        <v>MEAN</v>
      </c>
      <c r="AK64" s="9" t="str">
        <f t="shared" si="37"/>
        <v>+1.5σ</v>
      </c>
      <c r="AM64" s="11">
        <f t="shared" ref="AM64" si="38">AM63+AM$61</f>
        <v>0</v>
      </c>
      <c r="AN64" s="9" t="b">
        <f ca="1">_xll.HISTOGRAM(B$62:AG$62,AM$62:AM$68,AM64)</f>
        <v>0</v>
      </c>
      <c r="AO64" s="9"/>
      <c r="AP64" s="9"/>
      <c r="AQ64" s="9"/>
      <c r="AR64" s="9"/>
      <c r="AS64" s="9"/>
      <c r="AT64" s="9"/>
      <c r="AU64" s="9"/>
      <c r="AV64" s="9"/>
    </row>
    <row r="65" spans="1:48" s="9" customFormat="1">
      <c r="A65" s="9">
        <f t="shared" ref="A65:A68" si="39">A43</f>
        <v>283.35547790527346</v>
      </c>
      <c r="B65" s="9">
        <f t="shared" ref="B65:AG65" si="40">B$61*$A43+B$62</f>
        <v>0</v>
      </c>
      <c r="C65" s="9">
        <f t="shared" si="40"/>
        <v>0</v>
      </c>
      <c r="D65" s="9">
        <f t="shared" si="40"/>
        <v>0</v>
      </c>
      <c r="E65" s="9">
        <f t="shared" si="40"/>
        <v>0</v>
      </c>
      <c r="F65" s="9">
        <f t="shared" si="40"/>
        <v>0</v>
      </c>
      <c r="G65" s="9">
        <f t="shared" si="40"/>
        <v>0</v>
      </c>
      <c r="H65" s="9">
        <f t="shared" si="40"/>
        <v>0</v>
      </c>
      <c r="I65" s="9">
        <f t="shared" si="40"/>
        <v>0</v>
      </c>
      <c r="J65" s="9">
        <f t="shared" si="40"/>
        <v>0</v>
      </c>
      <c r="K65" s="9">
        <f t="shared" si="40"/>
        <v>0</v>
      </c>
      <c r="L65" s="9">
        <f t="shared" si="40"/>
        <v>0</v>
      </c>
      <c r="M65" s="9">
        <f t="shared" si="40"/>
        <v>0</v>
      </c>
      <c r="N65" s="9">
        <f t="shared" si="40"/>
        <v>0</v>
      </c>
      <c r="O65" s="9">
        <f t="shared" si="40"/>
        <v>0</v>
      </c>
      <c r="P65" s="9">
        <f t="shared" si="40"/>
        <v>0</v>
      </c>
      <c r="Q65" s="9">
        <f t="shared" si="40"/>
        <v>0</v>
      </c>
      <c r="R65" s="9">
        <f t="shared" si="40"/>
        <v>0</v>
      </c>
      <c r="S65" s="9">
        <f t="shared" si="40"/>
        <v>0</v>
      </c>
      <c r="T65" s="9">
        <f t="shared" si="40"/>
        <v>0</v>
      </c>
      <c r="U65" s="9">
        <f t="shared" si="40"/>
        <v>0</v>
      </c>
      <c r="V65" s="9">
        <f t="shared" si="40"/>
        <v>0</v>
      </c>
      <c r="W65" s="9">
        <f t="shared" si="40"/>
        <v>0</v>
      </c>
      <c r="X65" s="9">
        <f t="shared" si="40"/>
        <v>0</v>
      </c>
      <c r="Y65" s="9">
        <f t="shared" si="40"/>
        <v>0</v>
      </c>
      <c r="Z65" s="9">
        <f t="shared" si="40"/>
        <v>0</v>
      </c>
      <c r="AA65" s="9">
        <f t="shared" si="40"/>
        <v>0</v>
      </c>
      <c r="AB65" s="9">
        <f t="shared" si="40"/>
        <v>0</v>
      </c>
      <c r="AC65" s="9">
        <f t="shared" si="40"/>
        <v>0</v>
      </c>
      <c r="AD65" s="9">
        <f t="shared" si="40"/>
        <v>0</v>
      </c>
      <c r="AE65" s="9">
        <f t="shared" si="40"/>
        <v>0</v>
      </c>
      <c r="AF65" s="9">
        <f t="shared" si="40"/>
        <v>0</v>
      </c>
      <c r="AG65" s="9">
        <f t="shared" si="40"/>
        <v>0</v>
      </c>
      <c r="AH65" s="9">
        <f t="shared" ref="AH65:AH68" si="41">STDEV(B65:AG65)</f>
        <v>0</v>
      </c>
      <c r="AI65" s="9">
        <f t="shared" ref="AI65:AI68" si="42">AJ65-1.5*AH65</f>
        <v>0</v>
      </c>
      <c r="AJ65" s="10">
        <f t="shared" ref="AJ65:AJ68" si="43">AVERAGE(B65:AG65)</f>
        <v>0</v>
      </c>
      <c r="AK65" s="9">
        <f t="shared" ref="AK65:AK68" si="44">AJ65+1.5*AH65</f>
        <v>0</v>
      </c>
      <c r="AM65" s="11">
        <f>AM64+AM$61</f>
        <v>0</v>
      </c>
      <c r="AN65" s="9" t="b">
        <f ca="1">_xll.HISTOGRAM(B$62:AG$62,AM$62:AM$68,AM65)</f>
        <v>0</v>
      </c>
    </row>
    <row r="66" spans="1:48" s="9" customFormat="1">
      <c r="A66" s="9">
        <f t="shared" si="39"/>
        <v>233.5469970703125</v>
      </c>
      <c r="B66" s="9">
        <f t="shared" ref="B66:AG66" si="45">B$61*$A44+B$62</f>
        <v>0</v>
      </c>
      <c r="C66" s="9">
        <f t="shared" si="45"/>
        <v>0</v>
      </c>
      <c r="D66" s="9">
        <f t="shared" si="45"/>
        <v>0</v>
      </c>
      <c r="E66" s="9">
        <f t="shared" si="45"/>
        <v>0</v>
      </c>
      <c r="F66" s="9">
        <f t="shared" si="45"/>
        <v>0</v>
      </c>
      <c r="G66" s="9">
        <f t="shared" si="45"/>
        <v>0</v>
      </c>
      <c r="H66" s="9">
        <f t="shared" si="45"/>
        <v>0</v>
      </c>
      <c r="I66" s="9">
        <f t="shared" si="45"/>
        <v>0</v>
      </c>
      <c r="J66" s="9">
        <f t="shared" si="45"/>
        <v>0</v>
      </c>
      <c r="K66" s="9">
        <f t="shared" si="45"/>
        <v>0</v>
      </c>
      <c r="L66" s="9">
        <f t="shared" si="45"/>
        <v>0</v>
      </c>
      <c r="M66" s="9">
        <f t="shared" si="45"/>
        <v>0</v>
      </c>
      <c r="N66" s="9">
        <f t="shared" si="45"/>
        <v>0</v>
      </c>
      <c r="O66" s="9">
        <f t="shared" si="45"/>
        <v>0</v>
      </c>
      <c r="P66" s="9">
        <f t="shared" si="45"/>
        <v>0</v>
      </c>
      <c r="Q66" s="9">
        <f t="shared" si="45"/>
        <v>0</v>
      </c>
      <c r="R66" s="9">
        <f t="shared" si="45"/>
        <v>0</v>
      </c>
      <c r="S66" s="9">
        <f t="shared" si="45"/>
        <v>0</v>
      </c>
      <c r="T66" s="9">
        <f t="shared" si="45"/>
        <v>0</v>
      </c>
      <c r="U66" s="9">
        <f t="shared" si="45"/>
        <v>0</v>
      </c>
      <c r="V66" s="9">
        <f t="shared" si="45"/>
        <v>0</v>
      </c>
      <c r="W66" s="9">
        <f t="shared" si="45"/>
        <v>0</v>
      </c>
      <c r="X66" s="9">
        <f t="shared" si="45"/>
        <v>0</v>
      </c>
      <c r="Y66" s="9">
        <f t="shared" si="45"/>
        <v>0</v>
      </c>
      <c r="Z66" s="9">
        <f t="shared" si="45"/>
        <v>0</v>
      </c>
      <c r="AA66" s="9">
        <f t="shared" si="45"/>
        <v>0</v>
      </c>
      <c r="AB66" s="9">
        <f t="shared" si="45"/>
        <v>0</v>
      </c>
      <c r="AC66" s="9">
        <f t="shared" si="45"/>
        <v>0</v>
      </c>
      <c r="AD66" s="9">
        <f t="shared" si="45"/>
        <v>0</v>
      </c>
      <c r="AE66" s="9">
        <f t="shared" si="45"/>
        <v>0</v>
      </c>
      <c r="AF66" s="9">
        <f t="shared" si="45"/>
        <v>0</v>
      </c>
      <c r="AG66" s="9">
        <f t="shared" si="45"/>
        <v>0</v>
      </c>
      <c r="AH66" s="9">
        <f t="shared" si="41"/>
        <v>0</v>
      </c>
      <c r="AI66" s="9">
        <f t="shared" si="42"/>
        <v>0</v>
      </c>
      <c r="AJ66" s="10">
        <f t="shared" si="43"/>
        <v>0</v>
      </c>
      <c r="AK66" s="9">
        <f t="shared" si="44"/>
        <v>0</v>
      </c>
      <c r="AM66" s="11">
        <f>AM65+AM$61</f>
        <v>0</v>
      </c>
      <c r="AN66" s="9" t="b">
        <f ca="1">_xll.HISTOGRAM(B$62:AG$62,AM$62:AM$68,AM66)</f>
        <v>0</v>
      </c>
    </row>
    <row r="67" spans="1:48" s="9" customFormat="1">
      <c r="A67" s="9">
        <f t="shared" si="39"/>
        <v>188.09650726318358</v>
      </c>
      <c r="B67" s="9">
        <f t="shared" ref="B67:AG67" si="46">B$61*$A45+B$62</f>
        <v>0</v>
      </c>
      <c r="C67" s="9">
        <f t="shared" si="46"/>
        <v>0</v>
      </c>
      <c r="D67" s="9">
        <f t="shared" si="46"/>
        <v>0</v>
      </c>
      <c r="E67" s="9">
        <f t="shared" si="46"/>
        <v>0</v>
      </c>
      <c r="F67" s="9">
        <f t="shared" si="46"/>
        <v>0</v>
      </c>
      <c r="G67" s="9">
        <f t="shared" si="46"/>
        <v>0</v>
      </c>
      <c r="H67" s="9">
        <f t="shared" si="46"/>
        <v>0</v>
      </c>
      <c r="I67" s="9">
        <f t="shared" si="46"/>
        <v>0</v>
      </c>
      <c r="J67" s="9">
        <f t="shared" si="46"/>
        <v>0</v>
      </c>
      <c r="K67" s="9">
        <f t="shared" si="46"/>
        <v>0</v>
      </c>
      <c r="L67" s="9">
        <f t="shared" si="46"/>
        <v>0</v>
      </c>
      <c r="M67" s="9">
        <f t="shared" si="46"/>
        <v>0</v>
      </c>
      <c r="N67" s="9">
        <f t="shared" si="46"/>
        <v>0</v>
      </c>
      <c r="O67" s="9">
        <f t="shared" si="46"/>
        <v>0</v>
      </c>
      <c r="P67" s="9">
        <f t="shared" si="46"/>
        <v>0</v>
      </c>
      <c r="Q67" s="9">
        <f t="shared" si="46"/>
        <v>0</v>
      </c>
      <c r="R67" s="9">
        <f t="shared" si="46"/>
        <v>0</v>
      </c>
      <c r="S67" s="9">
        <f t="shared" si="46"/>
        <v>0</v>
      </c>
      <c r="T67" s="9">
        <f t="shared" si="46"/>
        <v>0</v>
      </c>
      <c r="U67" s="9">
        <f t="shared" si="46"/>
        <v>0</v>
      </c>
      <c r="V67" s="9">
        <f t="shared" si="46"/>
        <v>0</v>
      </c>
      <c r="W67" s="9">
        <f t="shared" si="46"/>
        <v>0</v>
      </c>
      <c r="X67" s="9">
        <f t="shared" si="46"/>
        <v>0</v>
      </c>
      <c r="Y67" s="9">
        <f t="shared" si="46"/>
        <v>0</v>
      </c>
      <c r="Z67" s="9">
        <f t="shared" si="46"/>
        <v>0</v>
      </c>
      <c r="AA67" s="9">
        <f t="shared" si="46"/>
        <v>0</v>
      </c>
      <c r="AB67" s="9">
        <f t="shared" si="46"/>
        <v>0</v>
      </c>
      <c r="AC67" s="9">
        <f t="shared" si="46"/>
        <v>0</v>
      </c>
      <c r="AD67" s="9">
        <f t="shared" si="46"/>
        <v>0</v>
      </c>
      <c r="AE67" s="9">
        <f t="shared" si="46"/>
        <v>0</v>
      </c>
      <c r="AF67" s="9">
        <f t="shared" si="46"/>
        <v>0</v>
      </c>
      <c r="AG67" s="9">
        <f t="shared" si="46"/>
        <v>0</v>
      </c>
      <c r="AH67" s="9">
        <f t="shared" si="41"/>
        <v>0</v>
      </c>
      <c r="AI67" s="9">
        <f t="shared" si="42"/>
        <v>0</v>
      </c>
      <c r="AJ67" s="10">
        <f t="shared" si="43"/>
        <v>0</v>
      </c>
      <c r="AK67" s="9">
        <f t="shared" si="44"/>
        <v>0</v>
      </c>
      <c r="AM67" s="11">
        <f>AM66+AM$61</f>
        <v>0</v>
      </c>
      <c r="AN67" s="9" t="b">
        <f ca="1">_xll.HISTOGRAM(B$62:AG$62,AM$62:AM$68,AM67)</f>
        <v>0</v>
      </c>
    </row>
    <row r="68" spans="1:48" s="9" customFormat="1">
      <c r="A68" s="9">
        <f t="shared" si="39"/>
        <v>156.44500579833985</v>
      </c>
      <c r="B68" s="9">
        <f t="shared" ref="B68:AG68" si="47">B$61*$A46+B$62</f>
        <v>0</v>
      </c>
      <c r="C68" s="9">
        <f t="shared" si="47"/>
        <v>0</v>
      </c>
      <c r="D68" s="9">
        <f t="shared" si="47"/>
        <v>0</v>
      </c>
      <c r="E68" s="9">
        <f t="shared" si="47"/>
        <v>0</v>
      </c>
      <c r="F68" s="9">
        <f t="shared" si="47"/>
        <v>0</v>
      </c>
      <c r="G68" s="9">
        <f t="shared" si="47"/>
        <v>0</v>
      </c>
      <c r="H68" s="9">
        <f t="shared" si="47"/>
        <v>0</v>
      </c>
      <c r="I68" s="9">
        <f t="shared" si="47"/>
        <v>0</v>
      </c>
      <c r="J68" s="9">
        <f t="shared" si="47"/>
        <v>0</v>
      </c>
      <c r="K68" s="9">
        <f t="shared" si="47"/>
        <v>0</v>
      </c>
      <c r="L68" s="9">
        <f t="shared" si="47"/>
        <v>0</v>
      </c>
      <c r="M68" s="9">
        <f t="shared" si="47"/>
        <v>0</v>
      </c>
      <c r="N68" s="9">
        <f t="shared" si="47"/>
        <v>0</v>
      </c>
      <c r="O68" s="9">
        <f t="shared" si="47"/>
        <v>0</v>
      </c>
      <c r="P68" s="9">
        <f t="shared" si="47"/>
        <v>0</v>
      </c>
      <c r="Q68" s="9">
        <f t="shared" si="47"/>
        <v>0</v>
      </c>
      <c r="R68" s="9">
        <f t="shared" si="47"/>
        <v>0</v>
      </c>
      <c r="S68" s="9">
        <f t="shared" si="47"/>
        <v>0</v>
      </c>
      <c r="T68" s="9">
        <f t="shared" si="47"/>
        <v>0</v>
      </c>
      <c r="U68" s="9">
        <f t="shared" si="47"/>
        <v>0</v>
      </c>
      <c r="V68" s="9">
        <f t="shared" si="47"/>
        <v>0</v>
      </c>
      <c r="W68" s="9">
        <f t="shared" si="47"/>
        <v>0</v>
      </c>
      <c r="X68" s="9">
        <f t="shared" si="47"/>
        <v>0</v>
      </c>
      <c r="Y68" s="9">
        <f t="shared" si="47"/>
        <v>0</v>
      </c>
      <c r="Z68" s="9">
        <f t="shared" si="47"/>
        <v>0</v>
      </c>
      <c r="AA68" s="9">
        <f t="shared" si="47"/>
        <v>0</v>
      </c>
      <c r="AB68" s="9">
        <f t="shared" si="47"/>
        <v>0</v>
      </c>
      <c r="AC68" s="9">
        <f t="shared" si="47"/>
        <v>0</v>
      </c>
      <c r="AD68" s="9">
        <f t="shared" si="47"/>
        <v>0</v>
      </c>
      <c r="AE68" s="9">
        <f t="shared" si="47"/>
        <v>0</v>
      </c>
      <c r="AF68" s="9">
        <f t="shared" si="47"/>
        <v>0</v>
      </c>
      <c r="AG68" s="9">
        <f t="shared" si="47"/>
        <v>0</v>
      </c>
      <c r="AH68" s="9">
        <f t="shared" si="41"/>
        <v>0</v>
      </c>
      <c r="AI68" s="9">
        <f t="shared" si="42"/>
        <v>0</v>
      </c>
      <c r="AJ68" s="10">
        <f t="shared" si="43"/>
        <v>0</v>
      </c>
      <c r="AK68" s="9">
        <f t="shared" si="44"/>
        <v>0</v>
      </c>
      <c r="AM68" s="11"/>
    </row>
    <row r="69" spans="1:48" s="9" customFormat="1">
      <c r="A69" s="9">
        <f t="shared" ref="A69:A70" si="48">A47</f>
        <v>116.47100143432617</v>
      </c>
      <c r="B69" s="9">
        <f>B$61*$A47+B$62</f>
        <v>0</v>
      </c>
      <c r="C69" s="9">
        <f t="shared" ref="C69:AG69" si="49">C$61*$A47+C$62</f>
        <v>0</v>
      </c>
      <c r="D69" s="9">
        <f t="shared" si="49"/>
        <v>0</v>
      </c>
      <c r="E69" s="9">
        <f t="shared" si="49"/>
        <v>0</v>
      </c>
      <c r="F69" s="9">
        <f t="shared" si="49"/>
        <v>0</v>
      </c>
      <c r="G69" s="9">
        <f t="shared" si="49"/>
        <v>0</v>
      </c>
      <c r="H69" s="9">
        <f t="shared" si="49"/>
        <v>0</v>
      </c>
      <c r="I69" s="9">
        <f t="shared" si="49"/>
        <v>0</v>
      </c>
      <c r="J69" s="9">
        <f t="shared" si="49"/>
        <v>0</v>
      </c>
      <c r="K69" s="9">
        <f t="shared" si="49"/>
        <v>0</v>
      </c>
      <c r="L69" s="9">
        <f t="shared" si="49"/>
        <v>0</v>
      </c>
      <c r="M69" s="9">
        <f t="shared" si="49"/>
        <v>0</v>
      </c>
      <c r="N69" s="9">
        <f t="shared" si="49"/>
        <v>0</v>
      </c>
      <c r="O69" s="9">
        <f t="shared" si="49"/>
        <v>0</v>
      </c>
      <c r="P69" s="9">
        <f t="shared" si="49"/>
        <v>0</v>
      </c>
      <c r="Q69" s="9">
        <f t="shared" si="49"/>
        <v>0</v>
      </c>
      <c r="R69" s="9">
        <f t="shared" si="49"/>
        <v>0</v>
      </c>
      <c r="S69" s="9">
        <f t="shared" si="49"/>
        <v>0</v>
      </c>
      <c r="T69" s="9">
        <f t="shared" si="49"/>
        <v>0</v>
      </c>
      <c r="U69" s="9">
        <f t="shared" si="49"/>
        <v>0</v>
      </c>
      <c r="V69" s="9">
        <f t="shared" si="49"/>
        <v>0</v>
      </c>
      <c r="W69" s="9">
        <f t="shared" si="49"/>
        <v>0</v>
      </c>
      <c r="X69" s="9">
        <f t="shared" si="49"/>
        <v>0</v>
      </c>
      <c r="Y69" s="9">
        <f t="shared" si="49"/>
        <v>0</v>
      </c>
      <c r="Z69" s="9">
        <f t="shared" si="49"/>
        <v>0</v>
      </c>
      <c r="AA69" s="9">
        <f t="shared" si="49"/>
        <v>0</v>
      </c>
      <c r="AB69" s="9">
        <f t="shared" si="49"/>
        <v>0</v>
      </c>
      <c r="AC69" s="9">
        <f t="shared" si="49"/>
        <v>0</v>
      </c>
      <c r="AD69" s="9">
        <f t="shared" si="49"/>
        <v>0</v>
      </c>
      <c r="AE69" s="9">
        <f t="shared" si="49"/>
        <v>0</v>
      </c>
      <c r="AF69" s="9">
        <f t="shared" si="49"/>
        <v>0</v>
      </c>
      <c r="AG69" s="9">
        <f t="shared" si="49"/>
        <v>0</v>
      </c>
      <c r="AH69" s="9">
        <f t="shared" ref="AH69:AH70" si="50">STDEV(B69:AG69)</f>
        <v>0</v>
      </c>
      <c r="AI69" s="9">
        <f t="shared" si="31"/>
        <v>0</v>
      </c>
      <c r="AJ69" s="10">
        <f t="shared" ref="AJ69:AJ70" si="51">AVERAGE(B69:AG69)</f>
        <v>0</v>
      </c>
      <c r="AK69" s="9">
        <f t="shared" ref="AK69:AK70" si="52">AJ69+1.5*AH69</f>
        <v>0</v>
      </c>
    </row>
    <row r="70" spans="1:48" s="9" customFormat="1">
      <c r="A70" s="9">
        <f t="shared" si="48"/>
        <v>87.306494903564456</v>
      </c>
      <c r="B70" s="9">
        <f t="shared" ref="B70:AG70" si="53">B$61*$A48+B$62</f>
        <v>0</v>
      </c>
      <c r="C70" s="9">
        <f t="shared" si="53"/>
        <v>0</v>
      </c>
      <c r="D70" s="9">
        <f t="shared" si="53"/>
        <v>0</v>
      </c>
      <c r="E70" s="9">
        <f t="shared" si="53"/>
        <v>0</v>
      </c>
      <c r="F70" s="9">
        <f t="shared" si="53"/>
        <v>0</v>
      </c>
      <c r="G70" s="9">
        <f t="shared" si="53"/>
        <v>0</v>
      </c>
      <c r="H70" s="9">
        <f t="shared" si="53"/>
        <v>0</v>
      </c>
      <c r="I70" s="9">
        <f t="shared" si="53"/>
        <v>0</v>
      </c>
      <c r="J70" s="9">
        <f t="shared" si="53"/>
        <v>0</v>
      </c>
      <c r="K70" s="9">
        <f t="shared" si="53"/>
        <v>0</v>
      </c>
      <c r="L70" s="9">
        <f t="shared" si="53"/>
        <v>0</v>
      </c>
      <c r="M70" s="9">
        <f t="shared" si="53"/>
        <v>0</v>
      </c>
      <c r="N70" s="9">
        <f t="shared" si="53"/>
        <v>0</v>
      </c>
      <c r="O70" s="9">
        <f t="shared" si="53"/>
        <v>0</v>
      </c>
      <c r="P70" s="9">
        <f t="shared" si="53"/>
        <v>0</v>
      </c>
      <c r="Q70" s="9">
        <f t="shared" si="53"/>
        <v>0</v>
      </c>
      <c r="R70" s="9">
        <f t="shared" si="53"/>
        <v>0</v>
      </c>
      <c r="S70" s="9">
        <f t="shared" si="53"/>
        <v>0</v>
      </c>
      <c r="T70" s="9">
        <f t="shared" si="53"/>
        <v>0</v>
      </c>
      <c r="U70" s="9">
        <f t="shared" si="53"/>
        <v>0</v>
      </c>
      <c r="V70" s="9">
        <f t="shared" si="53"/>
        <v>0</v>
      </c>
      <c r="W70" s="9">
        <f t="shared" si="53"/>
        <v>0</v>
      </c>
      <c r="X70" s="9">
        <f t="shared" si="53"/>
        <v>0</v>
      </c>
      <c r="Y70" s="9">
        <f t="shared" si="53"/>
        <v>0</v>
      </c>
      <c r="Z70" s="9">
        <f t="shared" si="53"/>
        <v>0</v>
      </c>
      <c r="AA70" s="9">
        <f t="shared" si="53"/>
        <v>0</v>
      </c>
      <c r="AB70" s="9">
        <f t="shared" si="53"/>
        <v>0</v>
      </c>
      <c r="AC70" s="9">
        <f t="shared" si="53"/>
        <v>0</v>
      </c>
      <c r="AD70" s="9">
        <f t="shared" si="53"/>
        <v>0</v>
      </c>
      <c r="AE70" s="9">
        <f t="shared" si="53"/>
        <v>0</v>
      </c>
      <c r="AF70" s="9">
        <f t="shared" si="53"/>
        <v>0</v>
      </c>
      <c r="AG70" s="9">
        <f t="shared" si="53"/>
        <v>0</v>
      </c>
      <c r="AH70" s="9">
        <f t="shared" si="50"/>
        <v>0</v>
      </c>
      <c r="AI70" s="9">
        <f t="shared" si="31"/>
        <v>0</v>
      </c>
      <c r="AJ70" s="10">
        <f t="shared" si="51"/>
        <v>0</v>
      </c>
      <c r="AK70" s="9">
        <f t="shared" si="52"/>
        <v>0</v>
      </c>
    </row>
    <row r="71" spans="1:48">
      <c r="A71" s="9">
        <f>A49</f>
        <v>21.315652084350585</v>
      </c>
      <c r="B71" s="9">
        <f t="shared" ref="B71:B78" si="54">B$61*$A49+B$62</f>
        <v>0</v>
      </c>
      <c r="C71" s="9">
        <f t="shared" ref="C71:AG78" si="55">C$61*$A49+C$62</f>
        <v>0</v>
      </c>
      <c r="D71" s="9">
        <f t="shared" si="55"/>
        <v>0</v>
      </c>
      <c r="E71" s="9">
        <f t="shared" si="55"/>
        <v>0</v>
      </c>
      <c r="F71" s="9">
        <f t="shared" si="55"/>
        <v>0</v>
      </c>
      <c r="G71" s="9">
        <f t="shared" si="55"/>
        <v>0</v>
      </c>
      <c r="H71" s="9">
        <f t="shared" si="55"/>
        <v>0</v>
      </c>
      <c r="I71" s="9">
        <f t="shared" si="55"/>
        <v>0</v>
      </c>
      <c r="J71" s="9">
        <f t="shared" si="55"/>
        <v>0</v>
      </c>
      <c r="K71" s="9">
        <f t="shared" si="55"/>
        <v>0</v>
      </c>
      <c r="L71" s="9">
        <f t="shared" si="55"/>
        <v>0</v>
      </c>
      <c r="M71" s="9">
        <f t="shared" si="55"/>
        <v>0</v>
      </c>
      <c r="N71" s="9">
        <f t="shared" si="55"/>
        <v>0</v>
      </c>
      <c r="O71" s="9">
        <f t="shared" si="55"/>
        <v>0</v>
      </c>
      <c r="P71" s="9">
        <f t="shared" si="55"/>
        <v>0</v>
      </c>
      <c r="Q71" s="9">
        <f t="shared" si="55"/>
        <v>0</v>
      </c>
      <c r="R71" s="9">
        <f t="shared" si="55"/>
        <v>0</v>
      </c>
      <c r="S71" s="9">
        <f t="shared" si="55"/>
        <v>0</v>
      </c>
      <c r="T71" s="9">
        <f t="shared" si="55"/>
        <v>0</v>
      </c>
      <c r="U71" s="9">
        <f t="shared" si="55"/>
        <v>0</v>
      </c>
      <c r="V71" s="9">
        <f t="shared" si="55"/>
        <v>0</v>
      </c>
      <c r="W71" s="9">
        <f t="shared" si="55"/>
        <v>0</v>
      </c>
      <c r="X71" s="9">
        <f t="shared" si="55"/>
        <v>0</v>
      </c>
      <c r="Y71" s="9">
        <f t="shared" si="55"/>
        <v>0</v>
      </c>
      <c r="Z71" s="9">
        <f t="shared" si="55"/>
        <v>0</v>
      </c>
      <c r="AA71" s="9">
        <f t="shared" si="55"/>
        <v>0</v>
      </c>
      <c r="AB71" s="9">
        <f t="shared" si="55"/>
        <v>0</v>
      </c>
      <c r="AC71" s="9">
        <f t="shared" si="55"/>
        <v>0</v>
      </c>
      <c r="AD71" s="9">
        <f t="shared" si="55"/>
        <v>0</v>
      </c>
      <c r="AE71" s="9">
        <f t="shared" si="55"/>
        <v>0</v>
      </c>
      <c r="AF71" s="9">
        <f t="shared" si="55"/>
        <v>0</v>
      </c>
      <c r="AG71" s="9">
        <f t="shared" si="55"/>
        <v>0</v>
      </c>
      <c r="AH71" s="9">
        <f t="shared" si="30"/>
        <v>0</v>
      </c>
      <c r="AI71" s="9">
        <f t="shared" si="31"/>
        <v>0</v>
      </c>
      <c r="AJ71" s="10">
        <f t="shared" si="32"/>
        <v>0</v>
      </c>
      <c r="AK71" s="9">
        <f t="shared" si="33"/>
        <v>0</v>
      </c>
      <c r="AO71" s="9"/>
      <c r="AP71" s="9"/>
      <c r="AQ71" s="9"/>
      <c r="AR71" s="9"/>
      <c r="AS71" s="9"/>
      <c r="AT71" s="9"/>
      <c r="AU71" s="9"/>
      <c r="AV71" s="9"/>
    </row>
    <row r="72" spans="1:48">
      <c r="A72" s="9">
        <f t="shared" ref="A72:A77" si="56">A50</f>
        <v>17.340450096130372</v>
      </c>
      <c r="B72" s="9">
        <f t="shared" si="54"/>
        <v>0</v>
      </c>
      <c r="C72" s="9">
        <f t="shared" si="55"/>
        <v>0</v>
      </c>
      <c r="D72" s="9">
        <f t="shared" si="55"/>
        <v>0</v>
      </c>
      <c r="E72" s="9">
        <f t="shared" si="55"/>
        <v>0</v>
      </c>
      <c r="F72" s="9">
        <f t="shared" si="55"/>
        <v>0</v>
      </c>
      <c r="G72" s="9">
        <f t="shared" si="55"/>
        <v>0</v>
      </c>
      <c r="H72" s="9">
        <f t="shared" si="55"/>
        <v>0</v>
      </c>
      <c r="I72" s="9">
        <f t="shared" si="55"/>
        <v>0</v>
      </c>
      <c r="J72" s="9">
        <f t="shared" si="55"/>
        <v>0</v>
      </c>
      <c r="K72" s="9">
        <f t="shared" si="55"/>
        <v>0</v>
      </c>
      <c r="L72" s="9">
        <f t="shared" si="55"/>
        <v>0</v>
      </c>
      <c r="M72" s="9">
        <f t="shared" si="55"/>
        <v>0</v>
      </c>
      <c r="N72" s="9">
        <f t="shared" si="55"/>
        <v>0</v>
      </c>
      <c r="O72" s="9">
        <f t="shared" si="55"/>
        <v>0</v>
      </c>
      <c r="P72" s="9">
        <f t="shared" si="55"/>
        <v>0</v>
      </c>
      <c r="Q72" s="9">
        <f t="shared" si="55"/>
        <v>0</v>
      </c>
      <c r="R72" s="9">
        <f t="shared" si="55"/>
        <v>0</v>
      </c>
      <c r="S72" s="9">
        <f t="shared" si="55"/>
        <v>0</v>
      </c>
      <c r="T72" s="9">
        <f t="shared" si="55"/>
        <v>0</v>
      </c>
      <c r="U72" s="9">
        <f t="shared" si="55"/>
        <v>0</v>
      </c>
      <c r="V72" s="9">
        <f t="shared" si="55"/>
        <v>0</v>
      </c>
      <c r="W72" s="9">
        <f t="shared" si="55"/>
        <v>0</v>
      </c>
      <c r="X72" s="9">
        <f t="shared" si="55"/>
        <v>0</v>
      </c>
      <c r="Y72" s="9">
        <f t="shared" si="55"/>
        <v>0</v>
      </c>
      <c r="Z72" s="9">
        <f t="shared" si="55"/>
        <v>0</v>
      </c>
      <c r="AA72" s="9">
        <f t="shared" si="55"/>
        <v>0</v>
      </c>
      <c r="AB72" s="9">
        <f t="shared" si="55"/>
        <v>0</v>
      </c>
      <c r="AC72" s="9">
        <f t="shared" si="55"/>
        <v>0</v>
      </c>
      <c r="AD72" s="9">
        <f t="shared" si="55"/>
        <v>0</v>
      </c>
      <c r="AE72" s="9">
        <f t="shared" si="55"/>
        <v>0</v>
      </c>
      <c r="AF72" s="9">
        <f t="shared" si="55"/>
        <v>0</v>
      </c>
      <c r="AG72" s="9">
        <f t="shared" si="55"/>
        <v>0</v>
      </c>
      <c r="AH72" s="9">
        <f t="shared" si="30"/>
        <v>0</v>
      </c>
      <c r="AI72" s="9">
        <f t="shared" si="31"/>
        <v>0</v>
      </c>
      <c r="AJ72" s="10">
        <f t="shared" si="32"/>
        <v>0</v>
      </c>
      <c r="AK72" s="9">
        <f t="shared" si="33"/>
        <v>0</v>
      </c>
      <c r="AM72" s="9"/>
      <c r="AN72" s="9"/>
      <c r="AO72" s="9"/>
      <c r="AP72" s="9"/>
      <c r="AQ72" s="9"/>
      <c r="AR72" s="9"/>
      <c r="AS72" s="9"/>
      <c r="AT72" s="9"/>
      <c r="AU72" s="9"/>
      <c r="AV72" s="9"/>
    </row>
    <row r="73" spans="1:48">
      <c r="A73" s="9">
        <f t="shared" si="56"/>
        <v>14.188851261138916</v>
      </c>
      <c r="B73" s="9">
        <f t="shared" si="54"/>
        <v>0</v>
      </c>
      <c r="C73" s="9">
        <f t="shared" si="55"/>
        <v>0</v>
      </c>
      <c r="D73" s="9">
        <f t="shared" si="55"/>
        <v>0</v>
      </c>
      <c r="E73" s="9">
        <f t="shared" si="55"/>
        <v>0</v>
      </c>
      <c r="F73" s="9">
        <f t="shared" si="55"/>
        <v>0</v>
      </c>
      <c r="G73" s="9">
        <f t="shared" si="55"/>
        <v>0</v>
      </c>
      <c r="H73" s="9">
        <f t="shared" si="55"/>
        <v>0</v>
      </c>
      <c r="I73" s="9">
        <f t="shared" si="55"/>
        <v>0</v>
      </c>
      <c r="J73" s="9">
        <f t="shared" si="55"/>
        <v>0</v>
      </c>
      <c r="K73" s="9">
        <f t="shared" si="55"/>
        <v>0</v>
      </c>
      <c r="L73" s="9">
        <f t="shared" si="55"/>
        <v>0</v>
      </c>
      <c r="M73" s="9">
        <f t="shared" si="55"/>
        <v>0</v>
      </c>
      <c r="N73" s="9">
        <f t="shared" si="55"/>
        <v>0</v>
      </c>
      <c r="O73" s="9">
        <f t="shared" si="55"/>
        <v>0</v>
      </c>
      <c r="P73" s="9">
        <f t="shared" si="55"/>
        <v>0</v>
      </c>
      <c r="Q73" s="9">
        <f t="shared" si="55"/>
        <v>0</v>
      </c>
      <c r="R73" s="9">
        <f t="shared" si="55"/>
        <v>0</v>
      </c>
      <c r="S73" s="9">
        <f t="shared" si="55"/>
        <v>0</v>
      </c>
      <c r="T73" s="9">
        <f t="shared" si="55"/>
        <v>0</v>
      </c>
      <c r="U73" s="9">
        <f t="shared" si="55"/>
        <v>0</v>
      </c>
      <c r="V73" s="9">
        <f t="shared" si="55"/>
        <v>0</v>
      </c>
      <c r="W73" s="9">
        <f t="shared" si="55"/>
        <v>0</v>
      </c>
      <c r="X73" s="9">
        <f t="shared" si="55"/>
        <v>0</v>
      </c>
      <c r="Y73" s="9">
        <f t="shared" si="55"/>
        <v>0</v>
      </c>
      <c r="Z73" s="9">
        <f t="shared" si="55"/>
        <v>0</v>
      </c>
      <c r="AA73" s="9">
        <f t="shared" si="55"/>
        <v>0</v>
      </c>
      <c r="AB73" s="9">
        <f t="shared" si="55"/>
        <v>0</v>
      </c>
      <c r="AC73" s="9">
        <f t="shared" si="55"/>
        <v>0</v>
      </c>
      <c r="AD73" s="9">
        <f t="shared" si="55"/>
        <v>0</v>
      </c>
      <c r="AE73" s="9">
        <f t="shared" si="55"/>
        <v>0</v>
      </c>
      <c r="AF73" s="9">
        <f t="shared" si="55"/>
        <v>0</v>
      </c>
      <c r="AG73" s="9">
        <f t="shared" si="55"/>
        <v>0</v>
      </c>
      <c r="AH73" s="9">
        <f t="shared" si="30"/>
        <v>0</v>
      </c>
      <c r="AI73" s="9">
        <f t="shared" si="31"/>
        <v>0</v>
      </c>
      <c r="AJ73" s="10">
        <f t="shared" si="32"/>
        <v>0</v>
      </c>
      <c r="AK73" s="9">
        <f t="shared" si="33"/>
        <v>0</v>
      </c>
      <c r="AM73" s="9"/>
      <c r="AN73" s="9"/>
      <c r="AO73" s="9"/>
      <c r="AP73" s="9"/>
      <c r="AQ73" s="9"/>
      <c r="AR73" s="9"/>
      <c r="AS73" s="9"/>
      <c r="AT73" s="9"/>
      <c r="AU73" s="9"/>
      <c r="AV73" s="9"/>
    </row>
    <row r="74" spans="1:48">
      <c r="A74" s="9">
        <f t="shared" si="56"/>
        <v>11.795599174499511</v>
      </c>
      <c r="B74" s="9">
        <f t="shared" si="54"/>
        <v>0</v>
      </c>
      <c r="C74" s="9">
        <f t="shared" si="55"/>
        <v>0</v>
      </c>
      <c r="D74" s="9">
        <f t="shared" si="55"/>
        <v>0</v>
      </c>
      <c r="E74" s="9">
        <f t="shared" si="55"/>
        <v>0</v>
      </c>
      <c r="F74" s="9">
        <f t="shared" si="55"/>
        <v>0</v>
      </c>
      <c r="G74" s="9">
        <f t="shared" si="55"/>
        <v>0</v>
      </c>
      <c r="H74" s="9">
        <f t="shared" si="55"/>
        <v>0</v>
      </c>
      <c r="I74" s="9">
        <f t="shared" si="55"/>
        <v>0</v>
      </c>
      <c r="J74" s="9">
        <f t="shared" si="55"/>
        <v>0</v>
      </c>
      <c r="K74" s="9">
        <f t="shared" si="55"/>
        <v>0</v>
      </c>
      <c r="L74" s="9">
        <f t="shared" si="55"/>
        <v>0</v>
      </c>
      <c r="M74" s="9">
        <f t="shared" si="55"/>
        <v>0</v>
      </c>
      <c r="N74" s="9">
        <f t="shared" si="55"/>
        <v>0</v>
      </c>
      <c r="O74" s="9">
        <f t="shared" si="55"/>
        <v>0</v>
      </c>
      <c r="P74" s="9">
        <f t="shared" si="55"/>
        <v>0</v>
      </c>
      <c r="Q74" s="9">
        <f t="shared" si="55"/>
        <v>0</v>
      </c>
      <c r="R74" s="9">
        <f t="shared" si="55"/>
        <v>0</v>
      </c>
      <c r="S74" s="9">
        <f t="shared" si="55"/>
        <v>0</v>
      </c>
      <c r="T74" s="9">
        <f t="shared" si="55"/>
        <v>0</v>
      </c>
      <c r="U74" s="9">
        <f t="shared" si="55"/>
        <v>0</v>
      </c>
      <c r="V74" s="9">
        <f t="shared" si="55"/>
        <v>0</v>
      </c>
      <c r="W74" s="9">
        <f t="shared" si="55"/>
        <v>0</v>
      </c>
      <c r="X74" s="9">
        <f t="shared" si="55"/>
        <v>0</v>
      </c>
      <c r="Y74" s="9">
        <f t="shared" si="55"/>
        <v>0</v>
      </c>
      <c r="Z74" s="9">
        <f t="shared" si="55"/>
        <v>0</v>
      </c>
      <c r="AA74" s="9">
        <f t="shared" si="55"/>
        <v>0</v>
      </c>
      <c r="AB74" s="9">
        <f t="shared" si="55"/>
        <v>0</v>
      </c>
      <c r="AC74" s="9">
        <f t="shared" si="55"/>
        <v>0</v>
      </c>
      <c r="AD74" s="9">
        <f t="shared" si="55"/>
        <v>0</v>
      </c>
      <c r="AE74" s="9">
        <f t="shared" si="55"/>
        <v>0</v>
      </c>
      <c r="AF74" s="9">
        <f t="shared" si="55"/>
        <v>0</v>
      </c>
      <c r="AG74" s="9">
        <f t="shared" si="55"/>
        <v>0</v>
      </c>
      <c r="AH74" s="9">
        <f t="shared" si="30"/>
        <v>0</v>
      </c>
      <c r="AI74" s="9">
        <f t="shared" si="31"/>
        <v>0</v>
      </c>
      <c r="AJ74" s="10">
        <f t="shared" si="32"/>
        <v>0</v>
      </c>
      <c r="AK74" s="9">
        <f t="shared" si="33"/>
        <v>0</v>
      </c>
      <c r="AM74" s="9"/>
      <c r="AN74" s="9"/>
      <c r="AO74" s="9"/>
      <c r="AP74" s="9"/>
      <c r="AQ74" s="9"/>
      <c r="AR74" s="9"/>
      <c r="AS74" s="9"/>
      <c r="AT74" s="9"/>
      <c r="AU74" s="9"/>
      <c r="AV74" s="9"/>
    </row>
    <row r="75" spans="1:48">
      <c r="A75" s="9">
        <f t="shared" si="56"/>
        <v>8.797748947143555</v>
      </c>
      <c r="B75" s="9">
        <f t="shared" si="54"/>
        <v>0</v>
      </c>
      <c r="C75" s="9">
        <f t="shared" si="55"/>
        <v>0</v>
      </c>
      <c r="D75" s="9">
        <f t="shared" si="55"/>
        <v>0</v>
      </c>
      <c r="E75" s="9">
        <f t="shared" si="55"/>
        <v>0</v>
      </c>
      <c r="F75" s="9">
        <f t="shared" si="55"/>
        <v>0</v>
      </c>
      <c r="G75" s="9">
        <f t="shared" si="55"/>
        <v>0</v>
      </c>
      <c r="H75" s="9">
        <f t="shared" si="55"/>
        <v>0</v>
      </c>
      <c r="I75" s="9">
        <f t="shared" si="55"/>
        <v>0</v>
      </c>
      <c r="J75" s="9">
        <f t="shared" si="55"/>
        <v>0</v>
      </c>
      <c r="K75" s="9">
        <f t="shared" si="55"/>
        <v>0</v>
      </c>
      <c r="L75" s="9">
        <f t="shared" si="55"/>
        <v>0</v>
      </c>
      <c r="M75" s="9">
        <f t="shared" si="55"/>
        <v>0</v>
      </c>
      <c r="N75" s="9">
        <f t="shared" si="55"/>
        <v>0</v>
      </c>
      <c r="O75" s="9">
        <f t="shared" si="55"/>
        <v>0</v>
      </c>
      <c r="P75" s="9">
        <f t="shared" si="55"/>
        <v>0</v>
      </c>
      <c r="Q75" s="9">
        <f t="shared" si="55"/>
        <v>0</v>
      </c>
      <c r="R75" s="9">
        <f t="shared" si="55"/>
        <v>0</v>
      </c>
      <c r="S75" s="9">
        <f t="shared" si="55"/>
        <v>0</v>
      </c>
      <c r="T75" s="9">
        <f t="shared" si="55"/>
        <v>0</v>
      </c>
      <c r="U75" s="9">
        <f t="shared" si="55"/>
        <v>0</v>
      </c>
      <c r="V75" s="9">
        <f t="shared" si="55"/>
        <v>0</v>
      </c>
      <c r="W75" s="9">
        <f t="shared" si="55"/>
        <v>0</v>
      </c>
      <c r="X75" s="9">
        <f t="shared" si="55"/>
        <v>0</v>
      </c>
      <c r="Y75" s="9">
        <f t="shared" si="55"/>
        <v>0</v>
      </c>
      <c r="Z75" s="9">
        <f t="shared" si="55"/>
        <v>0</v>
      </c>
      <c r="AA75" s="9">
        <f t="shared" si="55"/>
        <v>0</v>
      </c>
      <c r="AB75" s="9">
        <f t="shared" si="55"/>
        <v>0</v>
      </c>
      <c r="AC75" s="9">
        <f t="shared" si="55"/>
        <v>0</v>
      </c>
      <c r="AD75" s="9">
        <f t="shared" si="55"/>
        <v>0</v>
      </c>
      <c r="AE75" s="9">
        <f t="shared" si="55"/>
        <v>0</v>
      </c>
      <c r="AF75" s="9">
        <f t="shared" si="55"/>
        <v>0</v>
      </c>
      <c r="AG75" s="9">
        <f t="shared" si="55"/>
        <v>0</v>
      </c>
      <c r="AH75" s="9">
        <f t="shared" si="30"/>
        <v>0</v>
      </c>
      <c r="AI75" s="9">
        <f t="shared" si="31"/>
        <v>0</v>
      </c>
      <c r="AJ75" s="10">
        <f t="shared" si="32"/>
        <v>0</v>
      </c>
      <c r="AK75" s="9">
        <f t="shared" si="33"/>
        <v>0</v>
      </c>
      <c r="AM75" s="9"/>
      <c r="AN75" s="9"/>
      <c r="AO75" s="9"/>
      <c r="AP75" s="9"/>
      <c r="AQ75" s="9"/>
      <c r="AR75" s="9"/>
      <c r="AS75" s="9"/>
      <c r="AT75" s="9"/>
      <c r="AU75" s="9"/>
      <c r="AV75" s="9"/>
    </row>
    <row r="76" spans="1:48">
      <c r="A76" s="9">
        <f t="shared" si="56"/>
        <v>6.5973999023437502</v>
      </c>
      <c r="B76" s="9">
        <f t="shared" si="54"/>
        <v>0</v>
      </c>
      <c r="C76" s="9">
        <f t="shared" si="55"/>
        <v>0</v>
      </c>
      <c r="D76" s="9">
        <f t="shared" si="55"/>
        <v>0</v>
      </c>
      <c r="E76" s="9">
        <f t="shared" si="55"/>
        <v>0</v>
      </c>
      <c r="F76" s="9">
        <f t="shared" si="55"/>
        <v>0</v>
      </c>
      <c r="G76" s="9">
        <f t="shared" si="55"/>
        <v>0</v>
      </c>
      <c r="H76" s="9">
        <f t="shared" si="55"/>
        <v>0</v>
      </c>
      <c r="I76" s="9">
        <f t="shared" si="55"/>
        <v>0</v>
      </c>
      <c r="J76" s="9">
        <f t="shared" si="55"/>
        <v>0</v>
      </c>
      <c r="K76" s="9">
        <f t="shared" si="55"/>
        <v>0</v>
      </c>
      <c r="L76" s="9">
        <f t="shared" si="55"/>
        <v>0</v>
      </c>
      <c r="M76" s="9">
        <f t="shared" si="55"/>
        <v>0</v>
      </c>
      <c r="N76" s="9">
        <f t="shared" si="55"/>
        <v>0</v>
      </c>
      <c r="O76" s="9">
        <f t="shared" si="55"/>
        <v>0</v>
      </c>
      <c r="P76" s="9">
        <f t="shared" si="55"/>
        <v>0</v>
      </c>
      <c r="Q76" s="9">
        <f t="shared" si="55"/>
        <v>0</v>
      </c>
      <c r="R76" s="9">
        <f t="shared" si="55"/>
        <v>0</v>
      </c>
      <c r="S76" s="9">
        <f t="shared" si="55"/>
        <v>0</v>
      </c>
      <c r="T76" s="9">
        <f t="shared" si="55"/>
        <v>0</v>
      </c>
      <c r="U76" s="9">
        <f t="shared" si="55"/>
        <v>0</v>
      </c>
      <c r="V76" s="9">
        <f t="shared" si="55"/>
        <v>0</v>
      </c>
      <c r="W76" s="9">
        <f t="shared" si="55"/>
        <v>0</v>
      </c>
      <c r="X76" s="9">
        <f t="shared" si="55"/>
        <v>0</v>
      </c>
      <c r="Y76" s="9">
        <f t="shared" si="55"/>
        <v>0</v>
      </c>
      <c r="Z76" s="9">
        <f t="shared" si="55"/>
        <v>0</v>
      </c>
      <c r="AA76" s="9">
        <f t="shared" si="55"/>
        <v>0</v>
      </c>
      <c r="AB76" s="9">
        <f t="shared" si="55"/>
        <v>0</v>
      </c>
      <c r="AC76" s="9">
        <f t="shared" si="55"/>
        <v>0</v>
      </c>
      <c r="AD76" s="9">
        <f t="shared" si="55"/>
        <v>0</v>
      </c>
      <c r="AE76" s="9">
        <f t="shared" si="55"/>
        <v>0</v>
      </c>
      <c r="AF76" s="9">
        <f t="shared" si="55"/>
        <v>0</v>
      </c>
      <c r="AG76" s="9">
        <f t="shared" si="55"/>
        <v>0</v>
      </c>
      <c r="AH76" s="9">
        <f t="shared" si="30"/>
        <v>0</v>
      </c>
      <c r="AI76" s="9">
        <f t="shared" si="31"/>
        <v>0</v>
      </c>
      <c r="AJ76" s="10">
        <f t="shared" si="32"/>
        <v>0</v>
      </c>
      <c r="AK76" s="9">
        <f t="shared" si="33"/>
        <v>0</v>
      </c>
      <c r="AM76" s="9"/>
      <c r="AN76" s="9"/>
      <c r="AO76" s="9"/>
      <c r="AP76" s="9"/>
      <c r="AQ76" s="9"/>
      <c r="AR76" s="9"/>
      <c r="AS76" s="9"/>
      <c r="AT76" s="9"/>
      <c r="AU76" s="9"/>
      <c r="AV76" s="9"/>
    </row>
    <row r="77" spans="1:48">
      <c r="A77" s="9">
        <f t="shared" si="56"/>
        <v>2.3447998762130737</v>
      </c>
      <c r="B77" s="9">
        <f t="shared" si="54"/>
        <v>0</v>
      </c>
      <c r="C77" s="9">
        <f t="shared" si="55"/>
        <v>0</v>
      </c>
      <c r="D77" s="9">
        <f t="shared" si="55"/>
        <v>0</v>
      </c>
      <c r="E77" s="9">
        <f t="shared" si="55"/>
        <v>0</v>
      </c>
      <c r="F77" s="9">
        <f t="shared" si="55"/>
        <v>0</v>
      </c>
      <c r="G77" s="9">
        <f t="shared" si="55"/>
        <v>0</v>
      </c>
      <c r="H77" s="9">
        <f t="shared" si="55"/>
        <v>0</v>
      </c>
      <c r="I77" s="9">
        <f t="shared" si="55"/>
        <v>0</v>
      </c>
      <c r="J77" s="9">
        <f t="shared" si="55"/>
        <v>0</v>
      </c>
      <c r="K77" s="9">
        <f t="shared" si="55"/>
        <v>0</v>
      </c>
      <c r="L77" s="9">
        <f t="shared" si="55"/>
        <v>0</v>
      </c>
      <c r="M77" s="9">
        <f t="shared" si="55"/>
        <v>0</v>
      </c>
      <c r="N77" s="9">
        <f t="shared" si="55"/>
        <v>0</v>
      </c>
      <c r="O77" s="9">
        <f t="shared" si="55"/>
        <v>0</v>
      </c>
      <c r="P77" s="9">
        <f t="shared" si="55"/>
        <v>0</v>
      </c>
      <c r="Q77" s="9">
        <f t="shared" si="55"/>
        <v>0</v>
      </c>
      <c r="R77" s="9">
        <f t="shared" si="55"/>
        <v>0</v>
      </c>
      <c r="S77" s="9">
        <f t="shared" si="55"/>
        <v>0</v>
      </c>
      <c r="T77" s="9">
        <f t="shared" si="55"/>
        <v>0</v>
      </c>
      <c r="U77" s="9">
        <f t="shared" si="55"/>
        <v>0</v>
      </c>
      <c r="V77" s="9">
        <f t="shared" si="55"/>
        <v>0</v>
      </c>
      <c r="W77" s="9">
        <f t="shared" si="55"/>
        <v>0</v>
      </c>
      <c r="X77" s="9">
        <f t="shared" si="55"/>
        <v>0</v>
      </c>
      <c r="Y77" s="9">
        <f t="shared" si="55"/>
        <v>0</v>
      </c>
      <c r="Z77" s="9">
        <f t="shared" si="55"/>
        <v>0</v>
      </c>
      <c r="AA77" s="9">
        <f t="shared" si="55"/>
        <v>0</v>
      </c>
      <c r="AB77" s="9">
        <f t="shared" si="55"/>
        <v>0</v>
      </c>
      <c r="AC77" s="9">
        <f t="shared" si="55"/>
        <v>0</v>
      </c>
      <c r="AD77" s="9">
        <f t="shared" si="55"/>
        <v>0</v>
      </c>
      <c r="AE77" s="9">
        <f t="shared" si="55"/>
        <v>0</v>
      </c>
      <c r="AF77" s="9">
        <f t="shared" si="55"/>
        <v>0</v>
      </c>
      <c r="AG77" s="9">
        <f t="shared" si="55"/>
        <v>0</v>
      </c>
      <c r="AH77" s="9">
        <f t="shared" si="30"/>
        <v>0</v>
      </c>
      <c r="AI77" s="9">
        <f t="shared" si="31"/>
        <v>0</v>
      </c>
      <c r="AJ77" s="10">
        <f t="shared" si="32"/>
        <v>0</v>
      </c>
      <c r="AK77" s="9">
        <f t="shared" si="33"/>
        <v>0</v>
      </c>
      <c r="AM77" s="9"/>
      <c r="AN77" s="9"/>
      <c r="AO77" s="9"/>
      <c r="AP77" s="9"/>
      <c r="AQ77" s="9"/>
      <c r="AR77" s="9"/>
      <c r="AS77" s="9"/>
      <c r="AT77" s="9"/>
      <c r="AU77" s="9"/>
      <c r="AV77" s="9"/>
    </row>
    <row r="78" spans="1:48">
      <c r="A78" s="9">
        <f>A56</f>
        <v>1.9071000814437866</v>
      </c>
      <c r="B78" s="9">
        <f t="shared" si="54"/>
        <v>0</v>
      </c>
      <c r="C78" s="9">
        <f t="shared" si="55"/>
        <v>0</v>
      </c>
      <c r="D78" s="9">
        <f t="shared" si="55"/>
        <v>0</v>
      </c>
      <c r="E78" s="9">
        <f t="shared" si="55"/>
        <v>0</v>
      </c>
      <c r="F78" s="9">
        <f t="shared" si="55"/>
        <v>0</v>
      </c>
      <c r="G78" s="9">
        <f t="shared" si="55"/>
        <v>0</v>
      </c>
      <c r="H78" s="9">
        <f t="shared" si="55"/>
        <v>0</v>
      </c>
      <c r="I78" s="9">
        <f t="shared" si="55"/>
        <v>0</v>
      </c>
      <c r="J78" s="9">
        <f t="shared" si="55"/>
        <v>0</v>
      </c>
      <c r="K78" s="9">
        <f t="shared" si="55"/>
        <v>0</v>
      </c>
      <c r="L78" s="9">
        <f t="shared" si="55"/>
        <v>0</v>
      </c>
      <c r="M78" s="9">
        <f t="shared" si="55"/>
        <v>0</v>
      </c>
      <c r="N78" s="9">
        <f t="shared" si="55"/>
        <v>0</v>
      </c>
      <c r="O78" s="9">
        <f t="shared" si="55"/>
        <v>0</v>
      </c>
      <c r="P78" s="9">
        <f t="shared" si="55"/>
        <v>0</v>
      </c>
      <c r="Q78" s="9">
        <f t="shared" si="55"/>
        <v>0</v>
      </c>
      <c r="R78" s="9">
        <f t="shared" si="55"/>
        <v>0</v>
      </c>
      <c r="S78" s="9">
        <f t="shared" si="55"/>
        <v>0</v>
      </c>
      <c r="T78" s="9">
        <f t="shared" si="55"/>
        <v>0</v>
      </c>
      <c r="U78" s="9">
        <f t="shared" si="55"/>
        <v>0</v>
      </c>
      <c r="V78" s="9">
        <f t="shared" si="55"/>
        <v>0</v>
      </c>
      <c r="W78" s="9">
        <f t="shared" si="55"/>
        <v>0</v>
      </c>
      <c r="X78" s="9">
        <f t="shared" si="55"/>
        <v>0</v>
      </c>
      <c r="Y78" s="9">
        <f t="shared" si="55"/>
        <v>0</v>
      </c>
      <c r="Z78" s="9">
        <f t="shared" si="55"/>
        <v>0</v>
      </c>
      <c r="AA78" s="9">
        <f t="shared" si="55"/>
        <v>0</v>
      </c>
      <c r="AB78" s="9">
        <f t="shared" si="55"/>
        <v>0</v>
      </c>
      <c r="AC78" s="9">
        <f t="shared" si="55"/>
        <v>0</v>
      </c>
      <c r="AD78" s="9">
        <f t="shared" si="55"/>
        <v>0</v>
      </c>
      <c r="AE78" s="9">
        <f t="shared" si="55"/>
        <v>0</v>
      </c>
      <c r="AF78" s="9">
        <f t="shared" si="55"/>
        <v>0</v>
      </c>
      <c r="AG78" s="9">
        <f t="shared" si="55"/>
        <v>0</v>
      </c>
      <c r="AH78" s="9">
        <f t="shared" si="30"/>
        <v>0</v>
      </c>
      <c r="AI78" s="9">
        <f t="shared" si="31"/>
        <v>0</v>
      </c>
      <c r="AJ78" s="10">
        <f t="shared" si="32"/>
        <v>0</v>
      </c>
      <c r="AK78" s="9">
        <f t="shared" si="33"/>
        <v>0</v>
      </c>
      <c r="AM78" s="9"/>
      <c r="AN78" s="9"/>
      <c r="AO78" s="9"/>
      <c r="AP78" s="9"/>
      <c r="AQ78" s="9"/>
      <c r="AR78" s="9"/>
      <c r="AS78" s="9"/>
      <c r="AT78" s="9"/>
      <c r="AU78" s="9"/>
      <c r="AV78" s="9"/>
    </row>
    <row r="79" spans="1:48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10"/>
      <c r="AK79" s="9"/>
      <c r="AM79" s="9"/>
      <c r="AN79" s="9"/>
      <c r="AO79" s="9"/>
      <c r="AP79" s="9"/>
      <c r="AQ79" s="9"/>
      <c r="AR79" s="9"/>
      <c r="AS79" s="9"/>
      <c r="AT79" s="9"/>
      <c r="AU79" s="9"/>
      <c r="AV79" s="9"/>
    </row>
    <row r="80" spans="1:48"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10"/>
      <c r="AK80" s="9"/>
      <c r="AM80" s="9"/>
      <c r="AN80" s="9"/>
      <c r="AO80" s="9"/>
      <c r="AP80" s="9"/>
      <c r="AQ80" s="9"/>
      <c r="AR80" s="9"/>
      <c r="AS80" s="9"/>
      <c r="AT80" s="9"/>
      <c r="AU80" s="9"/>
      <c r="AV80" s="9"/>
    </row>
    <row r="81" spans="1:41">
      <c r="A81" s="9"/>
      <c r="B81" s="9">
        <f>B64</f>
        <v>0</v>
      </c>
      <c r="C81" s="9">
        <f t="shared" ref="C81:AK81" si="57">C64</f>
        <v>1</v>
      </c>
      <c r="D81" s="9">
        <f t="shared" si="57"/>
        <v>2</v>
      </c>
      <c r="E81" s="9">
        <f t="shared" si="57"/>
        <v>3</v>
      </c>
      <c r="F81" s="9">
        <f t="shared" si="57"/>
        <v>4</v>
      </c>
      <c r="G81" s="9">
        <f t="shared" si="57"/>
        <v>5</v>
      </c>
      <c r="H81" s="9">
        <f t="shared" si="57"/>
        <v>6</v>
      </c>
      <c r="I81" s="9">
        <f t="shared" si="57"/>
        <v>7</v>
      </c>
      <c r="J81" s="9">
        <f t="shared" si="57"/>
        <v>8</v>
      </c>
      <c r="K81" s="9">
        <f t="shared" si="57"/>
        <v>9</v>
      </c>
      <c r="L81" s="9">
        <f t="shared" si="57"/>
        <v>10</v>
      </c>
      <c r="M81" s="9">
        <f t="shared" si="57"/>
        <v>11</v>
      </c>
      <c r="N81" s="9">
        <f t="shared" si="57"/>
        <v>12</v>
      </c>
      <c r="O81" s="9">
        <f t="shared" si="57"/>
        <v>13</v>
      </c>
      <c r="P81" s="9">
        <f t="shared" si="57"/>
        <v>14</v>
      </c>
      <c r="Q81" s="9">
        <f t="shared" si="57"/>
        <v>15</v>
      </c>
      <c r="R81" s="9">
        <f t="shared" si="57"/>
        <v>16</v>
      </c>
      <c r="S81" s="9">
        <f t="shared" si="57"/>
        <v>17</v>
      </c>
      <c r="T81" s="9">
        <f t="shared" si="57"/>
        <v>18</v>
      </c>
      <c r="U81" s="9">
        <f t="shared" si="57"/>
        <v>19</v>
      </c>
      <c r="V81" s="9">
        <f t="shared" si="57"/>
        <v>20</v>
      </c>
      <c r="W81" s="9">
        <f t="shared" si="57"/>
        <v>21</v>
      </c>
      <c r="X81" s="9">
        <f t="shared" si="57"/>
        <v>22</v>
      </c>
      <c r="Y81" s="9">
        <f t="shared" si="57"/>
        <v>23</v>
      </c>
      <c r="Z81" s="9">
        <f t="shared" si="57"/>
        <v>24</v>
      </c>
      <c r="AA81" s="9">
        <f t="shared" si="57"/>
        <v>25</v>
      </c>
      <c r="AB81" s="9">
        <f t="shared" si="57"/>
        <v>26</v>
      </c>
      <c r="AC81" s="9">
        <f t="shared" si="57"/>
        <v>27</v>
      </c>
      <c r="AD81" s="9">
        <f t="shared" si="57"/>
        <v>28</v>
      </c>
      <c r="AE81" s="9">
        <f t="shared" si="57"/>
        <v>29</v>
      </c>
      <c r="AF81" s="9">
        <f t="shared" si="57"/>
        <v>30</v>
      </c>
      <c r="AG81" s="9">
        <f t="shared" si="57"/>
        <v>31</v>
      </c>
      <c r="AH81" s="9" t="str">
        <f t="shared" si="57"/>
        <v>STDEV</v>
      </c>
      <c r="AI81" s="9" t="str">
        <f t="shared" si="57"/>
        <v>-1.5σ</v>
      </c>
      <c r="AJ81" s="9" t="str">
        <f t="shared" si="57"/>
        <v>MEAN</v>
      </c>
      <c r="AK81" s="9" t="str">
        <f t="shared" si="57"/>
        <v>+1.5σ</v>
      </c>
      <c r="AL81" s="9" t="s">
        <v>29</v>
      </c>
      <c r="AM81" s="9"/>
      <c r="AN81" s="9"/>
      <c r="AO81" s="9"/>
    </row>
    <row r="82" spans="1:41" s="9" customFormat="1">
      <c r="A82" s="9">
        <f t="shared" ref="A82:A86" si="58">A65</f>
        <v>283.35547790527346</v>
      </c>
      <c r="B82" s="9">
        <f t="shared" ref="B82:AG82" si="59">B43-B65</f>
        <v>0</v>
      </c>
      <c r="C82" s="9">
        <f t="shared" si="59"/>
        <v>0</v>
      </c>
      <c r="D82" s="9">
        <f t="shared" si="59"/>
        <v>0</v>
      </c>
      <c r="E82" s="9">
        <f t="shared" si="59"/>
        <v>0</v>
      </c>
      <c r="F82" s="9">
        <f t="shared" si="59"/>
        <v>0</v>
      </c>
      <c r="G82" s="9">
        <f t="shared" si="59"/>
        <v>0</v>
      </c>
      <c r="H82" s="9">
        <f t="shared" si="59"/>
        <v>0</v>
      </c>
      <c r="I82" s="9">
        <f t="shared" si="59"/>
        <v>0</v>
      </c>
      <c r="J82" s="9">
        <f t="shared" si="59"/>
        <v>0</v>
      </c>
      <c r="K82" s="9">
        <f t="shared" si="59"/>
        <v>0</v>
      </c>
      <c r="L82" s="9">
        <f t="shared" si="59"/>
        <v>0</v>
      </c>
      <c r="M82" s="9">
        <f t="shared" si="59"/>
        <v>0</v>
      </c>
      <c r="N82" s="9">
        <f t="shared" si="59"/>
        <v>0</v>
      </c>
      <c r="O82" s="9">
        <f t="shared" si="59"/>
        <v>0</v>
      </c>
      <c r="P82" s="9">
        <f t="shared" si="59"/>
        <v>0</v>
      </c>
      <c r="Q82" s="9">
        <f t="shared" si="59"/>
        <v>0</v>
      </c>
      <c r="R82" s="9">
        <f t="shared" si="59"/>
        <v>0</v>
      </c>
      <c r="S82" s="9">
        <f t="shared" si="59"/>
        <v>0</v>
      </c>
      <c r="T82" s="9">
        <f t="shared" si="59"/>
        <v>0</v>
      </c>
      <c r="U82" s="9">
        <f t="shared" si="59"/>
        <v>0</v>
      </c>
      <c r="V82" s="9">
        <f t="shared" si="59"/>
        <v>0</v>
      </c>
      <c r="W82" s="9">
        <f t="shared" si="59"/>
        <v>0</v>
      </c>
      <c r="X82" s="9">
        <f t="shared" si="59"/>
        <v>0</v>
      </c>
      <c r="Y82" s="9">
        <f t="shared" si="59"/>
        <v>0</v>
      </c>
      <c r="Z82" s="9">
        <f t="shared" si="59"/>
        <v>0</v>
      </c>
      <c r="AA82" s="9">
        <f t="shared" si="59"/>
        <v>0</v>
      </c>
      <c r="AB82" s="9">
        <f t="shared" si="59"/>
        <v>0</v>
      </c>
      <c r="AC82" s="9">
        <f t="shared" si="59"/>
        <v>0</v>
      </c>
      <c r="AD82" s="9">
        <f t="shared" si="59"/>
        <v>0</v>
      </c>
      <c r="AE82" s="9">
        <f t="shared" si="59"/>
        <v>0</v>
      </c>
      <c r="AF82" s="9">
        <f t="shared" si="59"/>
        <v>0</v>
      </c>
      <c r="AG82" s="9">
        <f t="shared" si="59"/>
        <v>0</v>
      </c>
      <c r="AH82" s="9">
        <f t="shared" ref="AH82:AH86" si="60">STDEV(B82:AG82)</f>
        <v>0</v>
      </c>
      <c r="AI82" s="9">
        <f t="shared" ref="AI82:AI86" si="61">AJ82-1.5*AH82</f>
        <v>0</v>
      </c>
      <c r="AJ82" s="10">
        <f t="shared" ref="AJ82:AJ86" si="62">AVERAGE(B82:AG82)</f>
        <v>0</v>
      </c>
      <c r="AK82" s="9">
        <f t="shared" ref="AK82:AK86" si="63">AJ82+1.5*AH82</f>
        <v>0</v>
      </c>
      <c r="AL82" s="9">
        <f t="shared" ref="AL82:AL86" si="64">ABS(AJ82)</f>
        <v>0</v>
      </c>
    </row>
    <row r="83" spans="1:41" s="9" customFormat="1">
      <c r="A83" s="9">
        <f t="shared" si="58"/>
        <v>233.5469970703125</v>
      </c>
      <c r="B83" s="9">
        <f t="shared" ref="B83:AG83" si="65">B44-B66</f>
        <v>0</v>
      </c>
      <c r="C83" s="9">
        <f t="shared" si="65"/>
        <v>0</v>
      </c>
      <c r="D83" s="9">
        <f t="shared" si="65"/>
        <v>0</v>
      </c>
      <c r="E83" s="9">
        <f t="shared" si="65"/>
        <v>0</v>
      </c>
      <c r="F83" s="9">
        <f t="shared" si="65"/>
        <v>0</v>
      </c>
      <c r="G83" s="9">
        <f t="shared" si="65"/>
        <v>0</v>
      </c>
      <c r="H83" s="9">
        <f t="shared" si="65"/>
        <v>0</v>
      </c>
      <c r="I83" s="9">
        <f t="shared" si="65"/>
        <v>0</v>
      </c>
      <c r="J83" s="9">
        <f t="shared" si="65"/>
        <v>0</v>
      </c>
      <c r="K83" s="9">
        <f t="shared" si="65"/>
        <v>0</v>
      </c>
      <c r="L83" s="9">
        <f t="shared" si="65"/>
        <v>0</v>
      </c>
      <c r="M83" s="9">
        <f t="shared" si="65"/>
        <v>0</v>
      </c>
      <c r="N83" s="9">
        <f t="shared" si="65"/>
        <v>0</v>
      </c>
      <c r="O83" s="9">
        <f t="shared" si="65"/>
        <v>0</v>
      </c>
      <c r="P83" s="9">
        <f t="shared" si="65"/>
        <v>0</v>
      </c>
      <c r="Q83" s="9">
        <f t="shared" si="65"/>
        <v>0</v>
      </c>
      <c r="R83" s="9">
        <f t="shared" si="65"/>
        <v>0</v>
      </c>
      <c r="S83" s="9">
        <f t="shared" si="65"/>
        <v>0</v>
      </c>
      <c r="T83" s="9">
        <f t="shared" si="65"/>
        <v>0</v>
      </c>
      <c r="U83" s="9">
        <f t="shared" si="65"/>
        <v>0</v>
      </c>
      <c r="V83" s="9">
        <f t="shared" si="65"/>
        <v>0</v>
      </c>
      <c r="W83" s="9">
        <f t="shared" si="65"/>
        <v>0</v>
      </c>
      <c r="X83" s="9">
        <f t="shared" si="65"/>
        <v>0</v>
      </c>
      <c r="Y83" s="9">
        <f t="shared" si="65"/>
        <v>0</v>
      </c>
      <c r="Z83" s="9">
        <f t="shared" si="65"/>
        <v>0</v>
      </c>
      <c r="AA83" s="9">
        <f t="shared" si="65"/>
        <v>0</v>
      </c>
      <c r="AB83" s="9">
        <f t="shared" si="65"/>
        <v>0</v>
      </c>
      <c r="AC83" s="9">
        <f t="shared" si="65"/>
        <v>0</v>
      </c>
      <c r="AD83" s="9">
        <f t="shared" si="65"/>
        <v>0</v>
      </c>
      <c r="AE83" s="9">
        <f t="shared" si="65"/>
        <v>0</v>
      </c>
      <c r="AF83" s="9">
        <f t="shared" si="65"/>
        <v>0</v>
      </c>
      <c r="AG83" s="9">
        <f t="shared" si="65"/>
        <v>0</v>
      </c>
      <c r="AH83" s="9">
        <f t="shared" si="60"/>
        <v>0</v>
      </c>
      <c r="AI83" s="9">
        <f t="shared" si="61"/>
        <v>0</v>
      </c>
      <c r="AJ83" s="10">
        <f t="shared" si="62"/>
        <v>0</v>
      </c>
      <c r="AK83" s="9">
        <f t="shared" si="63"/>
        <v>0</v>
      </c>
      <c r="AL83" s="9">
        <f t="shared" si="64"/>
        <v>0</v>
      </c>
    </row>
    <row r="84" spans="1:41" s="9" customFormat="1">
      <c r="A84" s="9">
        <f t="shared" si="58"/>
        <v>188.09650726318358</v>
      </c>
      <c r="B84" s="9">
        <f t="shared" ref="B84:AG84" si="66">B45-B67</f>
        <v>0</v>
      </c>
      <c r="C84" s="9">
        <f t="shared" si="66"/>
        <v>0</v>
      </c>
      <c r="D84" s="9">
        <f t="shared" si="66"/>
        <v>0</v>
      </c>
      <c r="E84" s="9">
        <f t="shared" si="66"/>
        <v>0</v>
      </c>
      <c r="F84" s="9">
        <f t="shared" si="66"/>
        <v>0</v>
      </c>
      <c r="G84" s="9">
        <f t="shared" si="66"/>
        <v>0</v>
      </c>
      <c r="H84" s="9">
        <f t="shared" si="66"/>
        <v>0</v>
      </c>
      <c r="I84" s="9">
        <f t="shared" si="66"/>
        <v>0</v>
      </c>
      <c r="J84" s="9">
        <f t="shared" si="66"/>
        <v>0</v>
      </c>
      <c r="K84" s="9">
        <f t="shared" si="66"/>
        <v>0</v>
      </c>
      <c r="L84" s="9">
        <f t="shared" si="66"/>
        <v>0</v>
      </c>
      <c r="M84" s="9">
        <f t="shared" si="66"/>
        <v>0</v>
      </c>
      <c r="N84" s="9">
        <f t="shared" si="66"/>
        <v>0</v>
      </c>
      <c r="O84" s="9">
        <f t="shared" si="66"/>
        <v>0</v>
      </c>
      <c r="P84" s="9">
        <f t="shared" si="66"/>
        <v>0</v>
      </c>
      <c r="Q84" s="9">
        <f t="shared" si="66"/>
        <v>0</v>
      </c>
      <c r="R84" s="9">
        <f t="shared" si="66"/>
        <v>0</v>
      </c>
      <c r="S84" s="9">
        <f t="shared" si="66"/>
        <v>0</v>
      </c>
      <c r="T84" s="9">
        <f t="shared" si="66"/>
        <v>0</v>
      </c>
      <c r="U84" s="9">
        <f t="shared" si="66"/>
        <v>0</v>
      </c>
      <c r="V84" s="9">
        <f t="shared" si="66"/>
        <v>0</v>
      </c>
      <c r="W84" s="9">
        <f t="shared" si="66"/>
        <v>0</v>
      </c>
      <c r="X84" s="9">
        <f t="shared" si="66"/>
        <v>0</v>
      </c>
      <c r="Y84" s="9">
        <f t="shared" si="66"/>
        <v>0</v>
      </c>
      <c r="Z84" s="9">
        <f t="shared" si="66"/>
        <v>0</v>
      </c>
      <c r="AA84" s="9">
        <f t="shared" si="66"/>
        <v>0</v>
      </c>
      <c r="AB84" s="9">
        <f t="shared" si="66"/>
        <v>0</v>
      </c>
      <c r="AC84" s="9">
        <f t="shared" si="66"/>
        <v>0</v>
      </c>
      <c r="AD84" s="9">
        <f t="shared" si="66"/>
        <v>0</v>
      </c>
      <c r="AE84" s="9">
        <f t="shared" si="66"/>
        <v>0</v>
      </c>
      <c r="AF84" s="9">
        <f t="shared" si="66"/>
        <v>0</v>
      </c>
      <c r="AG84" s="9">
        <f t="shared" si="66"/>
        <v>0</v>
      </c>
      <c r="AH84" s="9">
        <f t="shared" si="60"/>
        <v>0</v>
      </c>
      <c r="AI84" s="9">
        <f t="shared" si="61"/>
        <v>0</v>
      </c>
      <c r="AJ84" s="10">
        <f t="shared" si="62"/>
        <v>0</v>
      </c>
      <c r="AK84" s="9">
        <f t="shared" si="63"/>
        <v>0</v>
      </c>
      <c r="AL84" s="9">
        <f t="shared" si="64"/>
        <v>0</v>
      </c>
    </row>
    <row r="85" spans="1:41" s="9" customFormat="1">
      <c r="A85" s="9">
        <f t="shared" si="58"/>
        <v>156.44500579833985</v>
      </c>
      <c r="B85" s="9">
        <f t="shared" ref="B85:AG85" si="67">B46-B68</f>
        <v>0</v>
      </c>
      <c r="C85" s="9">
        <f t="shared" si="67"/>
        <v>0</v>
      </c>
      <c r="D85" s="9">
        <f t="shared" si="67"/>
        <v>0</v>
      </c>
      <c r="E85" s="9">
        <f t="shared" si="67"/>
        <v>0</v>
      </c>
      <c r="F85" s="9">
        <f t="shared" si="67"/>
        <v>0</v>
      </c>
      <c r="G85" s="9">
        <f t="shared" si="67"/>
        <v>0</v>
      </c>
      <c r="H85" s="9">
        <f t="shared" si="67"/>
        <v>0</v>
      </c>
      <c r="I85" s="9">
        <f t="shared" si="67"/>
        <v>0</v>
      </c>
      <c r="J85" s="9">
        <f t="shared" si="67"/>
        <v>0</v>
      </c>
      <c r="K85" s="9">
        <f t="shared" si="67"/>
        <v>0</v>
      </c>
      <c r="L85" s="9">
        <f t="shared" si="67"/>
        <v>0</v>
      </c>
      <c r="M85" s="9">
        <f t="shared" si="67"/>
        <v>0</v>
      </c>
      <c r="N85" s="9">
        <f t="shared" si="67"/>
        <v>0</v>
      </c>
      <c r="O85" s="9">
        <f t="shared" si="67"/>
        <v>0</v>
      </c>
      <c r="P85" s="9">
        <f t="shared" si="67"/>
        <v>0</v>
      </c>
      <c r="Q85" s="9">
        <f t="shared" si="67"/>
        <v>0</v>
      </c>
      <c r="R85" s="9">
        <f t="shared" si="67"/>
        <v>0</v>
      </c>
      <c r="S85" s="9">
        <f t="shared" si="67"/>
        <v>0</v>
      </c>
      <c r="T85" s="9">
        <f t="shared" si="67"/>
        <v>0</v>
      </c>
      <c r="U85" s="9">
        <f t="shared" si="67"/>
        <v>0</v>
      </c>
      <c r="V85" s="9">
        <f t="shared" si="67"/>
        <v>0</v>
      </c>
      <c r="W85" s="9">
        <f t="shared" si="67"/>
        <v>0</v>
      </c>
      <c r="X85" s="9">
        <f t="shared" si="67"/>
        <v>0</v>
      </c>
      <c r="Y85" s="9">
        <f t="shared" si="67"/>
        <v>0</v>
      </c>
      <c r="Z85" s="9">
        <f t="shared" si="67"/>
        <v>0</v>
      </c>
      <c r="AA85" s="9">
        <f t="shared" si="67"/>
        <v>0</v>
      </c>
      <c r="AB85" s="9">
        <f t="shared" si="67"/>
        <v>0</v>
      </c>
      <c r="AC85" s="9">
        <f t="shared" si="67"/>
        <v>0</v>
      </c>
      <c r="AD85" s="9">
        <f t="shared" si="67"/>
        <v>0</v>
      </c>
      <c r="AE85" s="9">
        <f t="shared" si="67"/>
        <v>0</v>
      </c>
      <c r="AF85" s="9">
        <f t="shared" si="67"/>
        <v>0</v>
      </c>
      <c r="AG85" s="9">
        <f t="shared" si="67"/>
        <v>0</v>
      </c>
      <c r="AH85" s="9">
        <f t="shared" si="60"/>
        <v>0</v>
      </c>
      <c r="AI85" s="9">
        <f t="shared" si="61"/>
        <v>0</v>
      </c>
      <c r="AJ85" s="10">
        <f t="shared" si="62"/>
        <v>0</v>
      </c>
      <c r="AK85" s="9">
        <f t="shared" si="63"/>
        <v>0</v>
      </c>
      <c r="AL85" s="9">
        <f t="shared" si="64"/>
        <v>0</v>
      </c>
    </row>
    <row r="86" spans="1:41" s="9" customFormat="1">
      <c r="A86" s="9">
        <f t="shared" si="58"/>
        <v>116.47100143432617</v>
      </c>
      <c r="B86" s="9">
        <f t="shared" ref="B86:AG86" si="68">B47-B69</f>
        <v>0</v>
      </c>
      <c r="C86" s="9">
        <f t="shared" si="68"/>
        <v>0</v>
      </c>
      <c r="D86" s="9">
        <f t="shared" si="68"/>
        <v>0</v>
      </c>
      <c r="E86" s="9">
        <f t="shared" si="68"/>
        <v>0</v>
      </c>
      <c r="F86" s="9">
        <f t="shared" si="68"/>
        <v>0</v>
      </c>
      <c r="G86" s="9">
        <f t="shared" si="68"/>
        <v>0</v>
      </c>
      <c r="H86" s="9">
        <f t="shared" si="68"/>
        <v>0</v>
      </c>
      <c r="I86" s="9">
        <f t="shared" si="68"/>
        <v>0</v>
      </c>
      <c r="J86" s="9">
        <f t="shared" si="68"/>
        <v>0</v>
      </c>
      <c r="K86" s="9">
        <f t="shared" si="68"/>
        <v>0</v>
      </c>
      <c r="L86" s="9">
        <f t="shared" si="68"/>
        <v>0</v>
      </c>
      <c r="M86" s="9">
        <f t="shared" si="68"/>
        <v>0</v>
      </c>
      <c r="N86" s="9">
        <f t="shared" si="68"/>
        <v>0</v>
      </c>
      <c r="O86" s="9">
        <f t="shared" si="68"/>
        <v>0</v>
      </c>
      <c r="P86" s="9">
        <f t="shared" si="68"/>
        <v>0</v>
      </c>
      <c r="Q86" s="9">
        <f t="shared" si="68"/>
        <v>0</v>
      </c>
      <c r="R86" s="9">
        <f t="shared" si="68"/>
        <v>0</v>
      </c>
      <c r="S86" s="9">
        <f t="shared" si="68"/>
        <v>0</v>
      </c>
      <c r="T86" s="9">
        <f t="shared" si="68"/>
        <v>0</v>
      </c>
      <c r="U86" s="9">
        <f t="shared" si="68"/>
        <v>0</v>
      </c>
      <c r="V86" s="9">
        <f t="shared" si="68"/>
        <v>0</v>
      </c>
      <c r="W86" s="9">
        <f t="shared" si="68"/>
        <v>0</v>
      </c>
      <c r="X86" s="9">
        <f t="shared" si="68"/>
        <v>0</v>
      </c>
      <c r="Y86" s="9">
        <f t="shared" si="68"/>
        <v>0</v>
      </c>
      <c r="Z86" s="9">
        <f t="shared" si="68"/>
        <v>0</v>
      </c>
      <c r="AA86" s="9">
        <f t="shared" si="68"/>
        <v>0</v>
      </c>
      <c r="AB86" s="9">
        <f t="shared" si="68"/>
        <v>0</v>
      </c>
      <c r="AC86" s="9">
        <f t="shared" si="68"/>
        <v>0</v>
      </c>
      <c r="AD86" s="9">
        <f t="shared" si="68"/>
        <v>0</v>
      </c>
      <c r="AE86" s="9">
        <f t="shared" si="68"/>
        <v>0</v>
      </c>
      <c r="AF86" s="9">
        <f t="shared" si="68"/>
        <v>0</v>
      </c>
      <c r="AG86" s="9">
        <f t="shared" si="68"/>
        <v>0</v>
      </c>
      <c r="AH86" s="9">
        <f t="shared" si="60"/>
        <v>0</v>
      </c>
      <c r="AI86" s="9">
        <f t="shared" si="61"/>
        <v>0</v>
      </c>
      <c r="AJ86" s="10">
        <f t="shared" si="62"/>
        <v>0</v>
      </c>
      <c r="AK86" s="9">
        <f t="shared" si="63"/>
        <v>0</v>
      </c>
      <c r="AL86" s="9">
        <f t="shared" si="64"/>
        <v>0</v>
      </c>
    </row>
    <row r="87" spans="1:41" s="9" customFormat="1">
      <c r="A87" s="9">
        <f t="shared" ref="A87" si="69">A70</f>
        <v>87.306494903564456</v>
      </c>
      <c r="B87" s="9">
        <f t="shared" ref="B87:AG87" si="70">B48-B70</f>
        <v>0</v>
      </c>
      <c r="C87" s="9">
        <f t="shared" si="70"/>
        <v>0</v>
      </c>
      <c r="D87" s="9">
        <f t="shared" si="70"/>
        <v>0</v>
      </c>
      <c r="E87" s="9">
        <f t="shared" si="70"/>
        <v>0</v>
      </c>
      <c r="F87" s="9">
        <f t="shared" si="70"/>
        <v>0</v>
      </c>
      <c r="G87" s="9">
        <f t="shared" si="70"/>
        <v>0</v>
      </c>
      <c r="H87" s="9">
        <f t="shared" si="70"/>
        <v>0</v>
      </c>
      <c r="I87" s="9">
        <f t="shared" si="70"/>
        <v>0</v>
      </c>
      <c r="J87" s="9">
        <f t="shared" si="70"/>
        <v>0</v>
      </c>
      <c r="K87" s="9">
        <f t="shared" si="70"/>
        <v>0</v>
      </c>
      <c r="L87" s="9">
        <f t="shared" si="70"/>
        <v>0</v>
      </c>
      <c r="M87" s="9">
        <f t="shared" si="70"/>
        <v>0</v>
      </c>
      <c r="N87" s="9">
        <f t="shared" si="70"/>
        <v>0</v>
      </c>
      <c r="O87" s="9">
        <f t="shared" si="70"/>
        <v>0</v>
      </c>
      <c r="P87" s="9">
        <f t="shared" si="70"/>
        <v>0</v>
      </c>
      <c r="Q87" s="9">
        <f t="shared" si="70"/>
        <v>0</v>
      </c>
      <c r="R87" s="9">
        <f t="shared" si="70"/>
        <v>0</v>
      </c>
      <c r="S87" s="9">
        <f t="shared" si="70"/>
        <v>0</v>
      </c>
      <c r="T87" s="9">
        <f t="shared" si="70"/>
        <v>0</v>
      </c>
      <c r="U87" s="9">
        <f t="shared" si="70"/>
        <v>0</v>
      </c>
      <c r="V87" s="9">
        <f t="shared" si="70"/>
        <v>0</v>
      </c>
      <c r="W87" s="9">
        <f t="shared" si="70"/>
        <v>0</v>
      </c>
      <c r="X87" s="9">
        <f t="shared" si="70"/>
        <v>0</v>
      </c>
      <c r="Y87" s="9">
        <f t="shared" si="70"/>
        <v>0</v>
      </c>
      <c r="Z87" s="9">
        <f t="shared" si="70"/>
        <v>0</v>
      </c>
      <c r="AA87" s="9">
        <f t="shared" si="70"/>
        <v>0</v>
      </c>
      <c r="AB87" s="9">
        <f t="shared" si="70"/>
        <v>0</v>
      </c>
      <c r="AC87" s="9">
        <f t="shared" si="70"/>
        <v>0</v>
      </c>
      <c r="AD87" s="9">
        <f t="shared" si="70"/>
        <v>0</v>
      </c>
      <c r="AE87" s="9">
        <f t="shared" si="70"/>
        <v>0</v>
      </c>
      <c r="AF87" s="9">
        <f t="shared" si="70"/>
        <v>0</v>
      </c>
      <c r="AG87" s="9">
        <f t="shared" si="70"/>
        <v>0</v>
      </c>
      <c r="AH87" s="9">
        <f t="shared" ref="AH87" si="71">STDEV(B87:AG87)</f>
        <v>0</v>
      </c>
      <c r="AI87" s="9">
        <f t="shared" si="31"/>
        <v>0</v>
      </c>
      <c r="AJ87" s="10">
        <f t="shared" ref="AJ87" si="72">AVERAGE(B87:AG87)</f>
        <v>0</v>
      </c>
      <c r="AK87" s="9">
        <f t="shared" ref="AK87" si="73">AJ87+1.5*AH87</f>
        <v>0</v>
      </c>
      <c r="AL87" s="9">
        <f t="shared" ref="AL87:AL94" si="74">ABS(AJ87)</f>
        <v>0</v>
      </c>
    </row>
    <row r="88" spans="1:41">
      <c r="A88" s="9">
        <f t="shared" ref="A88:A94" si="75">A71</f>
        <v>21.315652084350585</v>
      </c>
      <c r="B88" s="9">
        <f t="shared" ref="B88:AG88" si="76">B49-B71</f>
        <v>0</v>
      </c>
      <c r="C88" s="9">
        <f t="shared" si="76"/>
        <v>0</v>
      </c>
      <c r="D88" s="9">
        <f t="shared" si="76"/>
        <v>0</v>
      </c>
      <c r="E88" s="9">
        <f t="shared" si="76"/>
        <v>0</v>
      </c>
      <c r="F88" s="9">
        <f t="shared" si="76"/>
        <v>0</v>
      </c>
      <c r="G88" s="9">
        <f t="shared" si="76"/>
        <v>0</v>
      </c>
      <c r="H88" s="9">
        <f t="shared" si="76"/>
        <v>0</v>
      </c>
      <c r="I88" s="9">
        <f t="shared" si="76"/>
        <v>0</v>
      </c>
      <c r="J88" s="9">
        <f t="shared" si="76"/>
        <v>0</v>
      </c>
      <c r="K88" s="9">
        <f t="shared" si="76"/>
        <v>0</v>
      </c>
      <c r="L88" s="9">
        <f t="shared" si="76"/>
        <v>0</v>
      </c>
      <c r="M88" s="9">
        <f t="shared" si="76"/>
        <v>0</v>
      </c>
      <c r="N88" s="9">
        <f t="shared" si="76"/>
        <v>0</v>
      </c>
      <c r="O88" s="9">
        <f t="shared" si="76"/>
        <v>0</v>
      </c>
      <c r="P88" s="9">
        <f t="shared" si="76"/>
        <v>0</v>
      </c>
      <c r="Q88" s="9">
        <f t="shared" si="76"/>
        <v>0</v>
      </c>
      <c r="R88" s="9">
        <f t="shared" si="76"/>
        <v>0</v>
      </c>
      <c r="S88" s="9">
        <f t="shared" si="76"/>
        <v>0</v>
      </c>
      <c r="T88" s="9">
        <f t="shared" si="76"/>
        <v>0</v>
      </c>
      <c r="U88" s="9">
        <f t="shared" si="76"/>
        <v>0</v>
      </c>
      <c r="V88" s="9">
        <f t="shared" si="76"/>
        <v>0</v>
      </c>
      <c r="W88" s="9">
        <f t="shared" si="76"/>
        <v>0</v>
      </c>
      <c r="X88" s="9">
        <f t="shared" si="76"/>
        <v>0</v>
      </c>
      <c r="Y88" s="9">
        <f t="shared" si="76"/>
        <v>0</v>
      </c>
      <c r="Z88" s="9">
        <f t="shared" si="76"/>
        <v>0</v>
      </c>
      <c r="AA88" s="9">
        <f t="shared" si="76"/>
        <v>0</v>
      </c>
      <c r="AB88" s="9">
        <f t="shared" si="76"/>
        <v>0</v>
      </c>
      <c r="AC88" s="9">
        <f t="shared" si="76"/>
        <v>0</v>
      </c>
      <c r="AD88" s="9">
        <f t="shared" si="76"/>
        <v>0</v>
      </c>
      <c r="AE88" s="9">
        <f t="shared" si="76"/>
        <v>0</v>
      </c>
      <c r="AF88" s="9">
        <f t="shared" si="76"/>
        <v>0</v>
      </c>
      <c r="AG88" s="9">
        <f t="shared" si="76"/>
        <v>0</v>
      </c>
      <c r="AH88" s="9">
        <f t="shared" si="30"/>
        <v>0</v>
      </c>
      <c r="AI88" s="9">
        <f t="shared" si="31"/>
        <v>0</v>
      </c>
      <c r="AJ88" s="10">
        <f t="shared" si="32"/>
        <v>0</v>
      </c>
      <c r="AK88" s="9">
        <f t="shared" si="33"/>
        <v>0</v>
      </c>
      <c r="AL88" s="9">
        <f t="shared" si="74"/>
        <v>0</v>
      </c>
      <c r="AM88" s="9"/>
      <c r="AN88" s="9"/>
      <c r="AO88" s="9"/>
    </row>
    <row r="89" spans="1:41">
      <c r="A89" s="9">
        <f t="shared" si="75"/>
        <v>17.340450096130372</v>
      </c>
      <c r="B89" s="9">
        <f t="shared" ref="B89:AG89" si="77">B50-B72</f>
        <v>0</v>
      </c>
      <c r="C89" s="9">
        <f t="shared" si="77"/>
        <v>0</v>
      </c>
      <c r="D89" s="9">
        <f t="shared" si="77"/>
        <v>0</v>
      </c>
      <c r="E89" s="9">
        <f t="shared" si="77"/>
        <v>0</v>
      </c>
      <c r="F89" s="9">
        <f t="shared" si="77"/>
        <v>0</v>
      </c>
      <c r="G89" s="9">
        <f t="shared" si="77"/>
        <v>0</v>
      </c>
      <c r="H89" s="9">
        <f t="shared" si="77"/>
        <v>0</v>
      </c>
      <c r="I89" s="9">
        <f t="shared" si="77"/>
        <v>0</v>
      </c>
      <c r="J89" s="9">
        <f t="shared" si="77"/>
        <v>0</v>
      </c>
      <c r="K89" s="9">
        <f t="shared" si="77"/>
        <v>0</v>
      </c>
      <c r="L89" s="9">
        <f t="shared" si="77"/>
        <v>0</v>
      </c>
      <c r="M89" s="9">
        <f t="shared" si="77"/>
        <v>0</v>
      </c>
      <c r="N89" s="9">
        <f t="shared" si="77"/>
        <v>0</v>
      </c>
      <c r="O89" s="9">
        <f t="shared" si="77"/>
        <v>0</v>
      </c>
      <c r="P89" s="9">
        <f t="shared" si="77"/>
        <v>0</v>
      </c>
      <c r="Q89" s="9">
        <f t="shared" si="77"/>
        <v>0</v>
      </c>
      <c r="R89" s="9">
        <f t="shared" si="77"/>
        <v>0</v>
      </c>
      <c r="S89" s="9">
        <f t="shared" si="77"/>
        <v>0</v>
      </c>
      <c r="T89" s="9">
        <f t="shared" si="77"/>
        <v>0</v>
      </c>
      <c r="U89" s="9">
        <f t="shared" si="77"/>
        <v>0</v>
      </c>
      <c r="V89" s="9">
        <f t="shared" si="77"/>
        <v>0</v>
      </c>
      <c r="W89" s="9">
        <f t="shared" si="77"/>
        <v>0</v>
      </c>
      <c r="X89" s="9">
        <f t="shared" si="77"/>
        <v>0</v>
      </c>
      <c r="Y89" s="9">
        <f t="shared" si="77"/>
        <v>0</v>
      </c>
      <c r="Z89" s="9">
        <f t="shared" si="77"/>
        <v>0</v>
      </c>
      <c r="AA89" s="9">
        <f t="shared" si="77"/>
        <v>0</v>
      </c>
      <c r="AB89" s="9">
        <f t="shared" si="77"/>
        <v>0</v>
      </c>
      <c r="AC89" s="9">
        <f t="shared" si="77"/>
        <v>0</v>
      </c>
      <c r="AD89" s="9">
        <f t="shared" si="77"/>
        <v>0</v>
      </c>
      <c r="AE89" s="9">
        <f t="shared" si="77"/>
        <v>0</v>
      </c>
      <c r="AF89" s="9">
        <f t="shared" si="77"/>
        <v>0</v>
      </c>
      <c r="AG89" s="9">
        <f t="shared" si="77"/>
        <v>0</v>
      </c>
      <c r="AH89" s="9">
        <f t="shared" si="30"/>
        <v>0</v>
      </c>
      <c r="AI89" s="9">
        <f t="shared" si="31"/>
        <v>0</v>
      </c>
      <c r="AJ89" s="10">
        <f t="shared" si="32"/>
        <v>0</v>
      </c>
      <c r="AK89" s="9">
        <f t="shared" si="33"/>
        <v>0</v>
      </c>
      <c r="AL89" s="9">
        <f t="shared" si="74"/>
        <v>0</v>
      </c>
      <c r="AM89" s="9"/>
      <c r="AN89" s="9"/>
      <c r="AO89" s="9"/>
    </row>
    <row r="90" spans="1:41">
      <c r="A90" s="9">
        <f t="shared" si="75"/>
        <v>14.188851261138916</v>
      </c>
      <c r="B90" s="9">
        <f t="shared" ref="B90:AG90" si="78">B51-B73</f>
        <v>0</v>
      </c>
      <c r="C90" s="9">
        <f t="shared" si="78"/>
        <v>0</v>
      </c>
      <c r="D90" s="9">
        <f t="shared" si="78"/>
        <v>0</v>
      </c>
      <c r="E90" s="9">
        <f t="shared" si="78"/>
        <v>0</v>
      </c>
      <c r="F90" s="9">
        <f t="shared" si="78"/>
        <v>0</v>
      </c>
      <c r="G90" s="9">
        <f t="shared" si="78"/>
        <v>0</v>
      </c>
      <c r="H90" s="9">
        <f t="shared" si="78"/>
        <v>0</v>
      </c>
      <c r="I90" s="9">
        <f t="shared" si="78"/>
        <v>0</v>
      </c>
      <c r="J90" s="9">
        <f t="shared" si="78"/>
        <v>0</v>
      </c>
      <c r="K90" s="9">
        <f t="shared" si="78"/>
        <v>0</v>
      </c>
      <c r="L90" s="9">
        <f t="shared" si="78"/>
        <v>0</v>
      </c>
      <c r="M90" s="9">
        <f t="shared" si="78"/>
        <v>0</v>
      </c>
      <c r="N90" s="9">
        <f t="shared" si="78"/>
        <v>0</v>
      </c>
      <c r="O90" s="9">
        <f t="shared" si="78"/>
        <v>0</v>
      </c>
      <c r="P90" s="9">
        <f t="shared" si="78"/>
        <v>0</v>
      </c>
      <c r="Q90" s="9">
        <f t="shared" si="78"/>
        <v>0</v>
      </c>
      <c r="R90" s="9">
        <f t="shared" si="78"/>
        <v>0</v>
      </c>
      <c r="S90" s="9">
        <f t="shared" si="78"/>
        <v>0</v>
      </c>
      <c r="T90" s="9">
        <f t="shared" si="78"/>
        <v>0</v>
      </c>
      <c r="U90" s="9">
        <f t="shared" si="78"/>
        <v>0</v>
      </c>
      <c r="V90" s="9">
        <f t="shared" si="78"/>
        <v>0</v>
      </c>
      <c r="W90" s="9">
        <f t="shared" si="78"/>
        <v>0</v>
      </c>
      <c r="X90" s="9">
        <f t="shared" si="78"/>
        <v>0</v>
      </c>
      <c r="Y90" s="9">
        <f t="shared" si="78"/>
        <v>0</v>
      </c>
      <c r="Z90" s="9">
        <f t="shared" si="78"/>
        <v>0</v>
      </c>
      <c r="AA90" s="9">
        <f t="shared" si="78"/>
        <v>0</v>
      </c>
      <c r="AB90" s="9">
        <f t="shared" si="78"/>
        <v>0</v>
      </c>
      <c r="AC90" s="9">
        <f t="shared" si="78"/>
        <v>0</v>
      </c>
      <c r="AD90" s="9">
        <f t="shared" si="78"/>
        <v>0</v>
      </c>
      <c r="AE90" s="9">
        <f t="shared" si="78"/>
        <v>0</v>
      </c>
      <c r="AF90" s="9">
        <f t="shared" si="78"/>
        <v>0</v>
      </c>
      <c r="AG90" s="9">
        <f t="shared" si="78"/>
        <v>0</v>
      </c>
      <c r="AH90" s="9">
        <f t="shared" si="30"/>
        <v>0</v>
      </c>
      <c r="AI90" s="9">
        <f t="shared" si="31"/>
        <v>0</v>
      </c>
      <c r="AJ90" s="10">
        <f t="shared" si="32"/>
        <v>0</v>
      </c>
      <c r="AK90" s="9">
        <f t="shared" si="33"/>
        <v>0</v>
      </c>
      <c r="AL90" s="9">
        <f t="shared" si="74"/>
        <v>0</v>
      </c>
      <c r="AM90" s="9"/>
      <c r="AN90" s="9"/>
      <c r="AO90" s="9"/>
    </row>
    <row r="91" spans="1:41">
      <c r="A91" s="9">
        <f t="shared" si="75"/>
        <v>11.795599174499511</v>
      </c>
      <c r="B91" s="9">
        <f t="shared" ref="B91:AG91" si="79">B52-B74</f>
        <v>0</v>
      </c>
      <c r="C91" s="9">
        <f t="shared" si="79"/>
        <v>0</v>
      </c>
      <c r="D91" s="9">
        <f t="shared" si="79"/>
        <v>0</v>
      </c>
      <c r="E91" s="9">
        <f t="shared" si="79"/>
        <v>0</v>
      </c>
      <c r="F91" s="9">
        <f t="shared" si="79"/>
        <v>0</v>
      </c>
      <c r="G91" s="9">
        <f t="shared" si="79"/>
        <v>0</v>
      </c>
      <c r="H91" s="9">
        <f t="shared" si="79"/>
        <v>0</v>
      </c>
      <c r="I91" s="9">
        <f t="shared" si="79"/>
        <v>0</v>
      </c>
      <c r="J91" s="9">
        <f t="shared" si="79"/>
        <v>0</v>
      </c>
      <c r="K91" s="9">
        <f t="shared" si="79"/>
        <v>0</v>
      </c>
      <c r="L91" s="9">
        <f t="shared" si="79"/>
        <v>0</v>
      </c>
      <c r="M91" s="9">
        <f t="shared" si="79"/>
        <v>0</v>
      </c>
      <c r="N91" s="9">
        <f t="shared" si="79"/>
        <v>0</v>
      </c>
      <c r="O91" s="9">
        <f t="shared" si="79"/>
        <v>0</v>
      </c>
      <c r="P91" s="9">
        <f t="shared" si="79"/>
        <v>0</v>
      </c>
      <c r="Q91" s="9">
        <f t="shared" si="79"/>
        <v>0</v>
      </c>
      <c r="R91" s="9">
        <f t="shared" si="79"/>
        <v>0</v>
      </c>
      <c r="S91" s="9">
        <f t="shared" si="79"/>
        <v>0</v>
      </c>
      <c r="T91" s="9">
        <f t="shared" si="79"/>
        <v>0</v>
      </c>
      <c r="U91" s="9">
        <f t="shared" si="79"/>
        <v>0</v>
      </c>
      <c r="V91" s="9">
        <f t="shared" si="79"/>
        <v>0</v>
      </c>
      <c r="W91" s="9">
        <f t="shared" si="79"/>
        <v>0</v>
      </c>
      <c r="X91" s="9">
        <f t="shared" si="79"/>
        <v>0</v>
      </c>
      <c r="Y91" s="9">
        <f t="shared" si="79"/>
        <v>0</v>
      </c>
      <c r="Z91" s="9">
        <f t="shared" si="79"/>
        <v>0</v>
      </c>
      <c r="AA91" s="9">
        <f t="shared" si="79"/>
        <v>0</v>
      </c>
      <c r="AB91" s="9">
        <f t="shared" si="79"/>
        <v>0</v>
      </c>
      <c r="AC91" s="9">
        <f t="shared" si="79"/>
        <v>0</v>
      </c>
      <c r="AD91" s="9">
        <f t="shared" si="79"/>
        <v>0</v>
      </c>
      <c r="AE91" s="9">
        <f t="shared" si="79"/>
        <v>0</v>
      </c>
      <c r="AF91" s="9">
        <f t="shared" si="79"/>
        <v>0</v>
      </c>
      <c r="AG91" s="9">
        <f t="shared" si="79"/>
        <v>0</v>
      </c>
      <c r="AH91" s="9">
        <f t="shared" si="30"/>
        <v>0</v>
      </c>
      <c r="AI91" s="9">
        <f t="shared" si="31"/>
        <v>0</v>
      </c>
      <c r="AJ91" s="10">
        <f t="shared" si="32"/>
        <v>0</v>
      </c>
      <c r="AK91" s="9">
        <f t="shared" si="33"/>
        <v>0</v>
      </c>
      <c r="AL91" s="9">
        <f t="shared" si="74"/>
        <v>0</v>
      </c>
      <c r="AM91" s="9"/>
      <c r="AN91" s="9"/>
      <c r="AO91" s="9"/>
    </row>
    <row r="92" spans="1:41">
      <c r="A92" s="9">
        <f t="shared" si="75"/>
        <v>8.797748947143555</v>
      </c>
      <c r="B92" s="9">
        <f t="shared" ref="B92:AG92" si="80">B53-B75</f>
        <v>0</v>
      </c>
      <c r="C92" s="9">
        <f t="shared" si="80"/>
        <v>0</v>
      </c>
      <c r="D92" s="9">
        <f t="shared" si="80"/>
        <v>0</v>
      </c>
      <c r="E92" s="9">
        <f t="shared" si="80"/>
        <v>0</v>
      </c>
      <c r="F92" s="9">
        <f t="shared" si="80"/>
        <v>0</v>
      </c>
      <c r="G92" s="9">
        <f t="shared" si="80"/>
        <v>0</v>
      </c>
      <c r="H92" s="9">
        <f t="shared" si="80"/>
        <v>0</v>
      </c>
      <c r="I92" s="9">
        <f t="shared" si="80"/>
        <v>0</v>
      </c>
      <c r="J92" s="9">
        <f t="shared" si="80"/>
        <v>0</v>
      </c>
      <c r="K92" s="9">
        <f t="shared" si="80"/>
        <v>0</v>
      </c>
      <c r="L92" s="9">
        <f t="shared" si="80"/>
        <v>0</v>
      </c>
      <c r="M92" s="9">
        <f t="shared" si="80"/>
        <v>0</v>
      </c>
      <c r="N92" s="9">
        <f t="shared" si="80"/>
        <v>0</v>
      </c>
      <c r="O92" s="9">
        <f t="shared" si="80"/>
        <v>0</v>
      </c>
      <c r="P92" s="9">
        <f t="shared" si="80"/>
        <v>0</v>
      </c>
      <c r="Q92" s="9">
        <f t="shared" si="80"/>
        <v>0</v>
      </c>
      <c r="R92" s="9">
        <f t="shared" si="80"/>
        <v>0</v>
      </c>
      <c r="S92" s="9">
        <f t="shared" si="80"/>
        <v>0</v>
      </c>
      <c r="T92" s="9">
        <f t="shared" si="80"/>
        <v>0</v>
      </c>
      <c r="U92" s="9">
        <f t="shared" si="80"/>
        <v>0</v>
      </c>
      <c r="V92" s="9">
        <f t="shared" si="80"/>
        <v>0</v>
      </c>
      <c r="W92" s="9">
        <f t="shared" si="80"/>
        <v>0</v>
      </c>
      <c r="X92" s="9">
        <f t="shared" si="80"/>
        <v>0</v>
      </c>
      <c r="Y92" s="9">
        <f t="shared" si="80"/>
        <v>0</v>
      </c>
      <c r="Z92" s="9">
        <f t="shared" si="80"/>
        <v>0</v>
      </c>
      <c r="AA92" s="9">
        <f t="shared" si="80"/>
        <v>0</v>
      </c>
      <c r="AB92" s="9">
        <f t="shared" si="80"/>
        <v>0</v>
      </c>
      <c r="AC92" s="9">
        <f t="shared" si="80"/>
        <v>0</v>
      </c>
      <c r="AD92" s="9">
        <f t="shared" si="80"/>
        <v>0</v>
      </c>
      <c r="AE92" s="9">
        <f t="shared" si="80"/>
        <v>0</v>
      </c>
      <c r="AF92" s="9">
        <f t="shared" si="80"/>
        <v>0</v>
      </c>
      <c r="AG92" s="9">
        <f t="shared" si="80"/>
        <v>0</v>
      </c>
      <c r="AH92" s="9">
        <f t="shared" si="30"/>
        <v>0</v>
      </c>
      <c r="AI92" s="9">
        <f t="shared" si="31"/>
        <v>0</v>
      </c>
      <c r="AJ92" s="10">
        <f t="shared" si="32"/>
        <v>0</v>
      </c>
      <c r="AK92" s="9">
        <f t="shared" si="33"/>
        <v>0</v>
      </c>
      <c r="AL92" s="9">
        <f t="shared" si="74"/>
        <v>0</v>
      </c>
      <c r="AM92" s="9"/>
      <c r="AN92" s="9"/>
      <c r="AO92" s="9"/>
    </row>
    <row r="93" spans="1:41">
      <c r="A93" s="9">
        <f t="shared" si="75"/>
        <v>6.5973999023437502</v>
      </c>
      <c r="B93" s="9">
        <f t="shared" ref="B93:AG93" si="81">B54-B76</f>
        <v>0</v>
      </c>
      <c r="C93" s="9">
        <f t="shared" si="81"/>
        <v>0</v>
      </c>
      <c r="D93" s="9">
        <f t="shared" si="81"/>
        <v>0</v>
      </c>
      <c r="E93" s="9">
        <f t="shared" si="81"/>
        <v>0</v>
      </c>
      <c r="F93" s="9">
        <f t="shared" si="81"/>
        <v>0</v>
      </c>
      <c r="G93" s="9">
        <f t="shared" si="81"/>
        <v>0</v>
      </c>
      <c r="H93" s="9">
        <f t="shared" si="81"/>
        <v>0</v>
      </c>
      <c r="I93" s="9">
        <f t="shared" si="81"/>
        <v>0</v>
      </c>
      <c r="J93" s="9">
        <f t="shared" si="81"/>
        <v>0</v>
      </c>
      <c r="K93" s="9">
        <f t="shared" si="81"/>
        <v>0</v>
      </c>
      <c r="L93" s="9">
        <f t="shared" si="81"/>
        <v>0</v>
      </c>
      <c r="M93" s="9">
        <f t="shared" si="81"/>
        <v>0</v>
      </c>
      <c r="N93" s="9">
        <f t="shared" si="81"/>
        <v>0</v>
      </c>
      <c r="O93" s="9">
        <f t="shared" si="81"/>
        <v>0</v>
      </c>
      <c r="P93" s="9">
        <f t="shared" si="81"/>
        <v>0</v>
      </c>
      <c r="Q93" s="9">
        <f t="shared" si="81"/>
        <v>0</v>
      </c>
      <c r="R93" s="9">
        <f t="shared" si="81"/>
        <v>0</v>
      </c>
      <c r="S93" s="9">
        <f t="shared" si="81"/>
        <v>0</v>
      </c>
      <c r="T93" s="9">
        <f t="shared" si="81"/>
        <v>0</v>
      </c>
      <c r="U93" s="9">
        <f t="shared" si="81"/>
        <v>0</v>
      </c>
      <c r="V93" s="9">
        <f t="shared" si="81"/>
        <v>0</v>
      </c>
      <c r="W93" s="9">
        <f t="shared" si="81"/>
        <v>0</v>
      </c>
      <c r="X93" s="9">
        <f t="shared" si="81"/>
        <v>0</v>
      </c>
      <c r="Y93" s="9">
        <f t="shared" si="81"/>
        <v>0</v>
      </c>
      <c r="Z93" s="9">
        <f t="shared" si="81"/>
        <v>0</v>
      </c>
      <c r="AA93" s="9">
        <f t="shared" si="81"/>
        <v>0</v>
      </c>
      <c r="AB93" s="9">
        <f t="shared" si="81"/>
        <v>0</v>
      </c>
      <c r="AC93" s="9">
        <f t="shared" si="81"/>
        <v>0</v>
      </c>
      <c r="AD93" s="9">
        <f t="shared" si="81"/>
        <v>0</v>
      </c>
      <c r="AE93" s="9">
        <f t="shared" si="81"/>
        <v>0</v>
      </c>
      <c r="AF93" s="9">
        <f t="shared" si="81"/>
        <v>0</v>
      </c>
      <c r="AG93" s="9">
        <f t="shared" si="81"/>
        <v>0</v>
      </c>
      <c r="AH93" s="9">
        <f t="shared" si="30"/>
        <v>0</v>
      </c>
      <c r="AI93" s="9">
        <f t="shared" si="31"/>
        <v>0</v>
      </c>
      <c r="AJ93" s="10">
        <f t="shared" si="32"/>
        <v>0</v>
      </c>
      <c r="AK93" s="9">
        <f t="shared" si="33"/>
        <v>0</v>
      </c>
      <c r="AL93" s="9">
        <f t="shared" si="74"/>
        <v>0</v>
      </c>
      <c r="AM93" s="9"/>
      <c r="AN93" s="9"/>
      <c r="AO93" s="9"/>
    </row>
    <row r="94" spans="1:41">
      <c r="A94" s="9">
        <f t="shared" si="75"/>
        <v>2.3447998762130737</v>
      </c>
      <c r="B94" s="9">
        <f t="shared" ref="B94:AG94" si="82">B55-B77</f>
        <v>0</v>
      </c>
      <c r="C94" s="9">
        <f t="shared" si="82"/>
        <v>0</v>
      </c>
      <c r="D94" s="9">
        <f t="shared" si="82"/>
        <v>0</v>
      </c>
      <c r="E94" s="9">
        <f t="shared" si="82"/>
        <v>0</v>
      </c>
      <c r="F94" s="9">
        <f t="shared" si="82"/>
        <v>0</v>
      </c>
      <c r="G94" s="9">
        <f t="shared" si="82"/>
        <v>0</v>
      </c>
      <c r="H94" s="9">
        <f t="shared" si="82"/>
        <v>0</v>
      </c>
      <c r="I94" s="9">
        <f t="shared" si="82"/>
        <v>0</v>
      </c>
      <c r="J94" s="9">
        <f t="shared" si="82"/>
        <v>0</v>
      </c>
      <c r="K94" s="9">
        <f t="shared" si="82"/>
        <v>0</v>
      </c>
      <c r="L94" s="9">
        <f t="shared" si="82"/>
        <v>0</v>
      </c>
      <c r="M94" s="9">
        <f t="shared" si="82"/>
        <v>0</v>
      </c>
      <c r="N94" s="9">
        <f t="shared" si="82"/>
        <v>0</v>
      </c>
      <c r="O94" s="9">
        <f t="shared" si="82"/>
        <v>0</v>
      </c>
      <c r="P94" s="9">
        <f t="shared" si="82"/>
        <v>0</v>
      </c>
      <c r="Q94" s="9">
        <f t="shared" si="82"/>
        <v>0</v>
      </c>
      <c r="R94" s="9">
        <f t="shared" si="82"/>
        <v>0</v>
      </c>
      <c r="S94" s="9">
        <f t="shared" si="82"/>
        <v>0</v>
      </c>
      <c r="T94" s="9">
        <f t="shared" si="82"/>
        <v>0</v>
      </c>
      <c r="U94" s="9">
        <f t="shared" si="82"/>
        <v>0</v>
      </c>
      <c r="V94" s="9">
        <f t="shared" si="82"/>
        <v>0</v>
      </c>
      <c r="W94" s="9">
        <f t="shared" si="82"/>
        <v>0</v>
      </c>
      <c r="X94" s="9">
        <f t="shared" si="82"/>
        <v>0</v>
      </c>
      <c r="Y94" s="9">
        <f t="shared" si="82"/>
        <v>0</v>
      </c>
      <c r="Z94" s="9">
        <f t="shared" si="82"/>
        <v>0</v>
      </c>
      <c r="AA94" s="9">
        <f t="shared" si="82"/>
        <v>0</v>
      </c>
      <c r="AB94" s="9">
        <f t="shared" si="82"/>
        <v>0</v>
      </c>
      <c r="AC94" s="9">
        <f t="shared" si="82"/>
        <v>0</v>
      </c>
      <c r="AD94" s="9">
        <f t="shared" si="82"/>
        <v>0</v>
      </c>
      <c r="AE94" s="9">
        <f t="shared" si="82"/>
        <v>0</v>
      </c>
      <c r="AF94" s="9">
        <f t="shared" si="82"/>
        <v>0</v>
      </c>
      <c r="AG94" s="9">
        <f t="shared" si="82"/>
        <v>0</v>
      </c>
      <c r="AH94" s="9">
        <f t="shared" si="30"/>
        <v>0</v>
      </c>
      <c r="AI94" s="9">
        <f t="shared" si="31"/>
        <v>0</v>
      </c>
      <c r="AJ94" s="10">
        <f t="shared" si="32"/>
        <v>0</v>
      </c>
      <c r="AK94" s="9">
        <f t="shared" si="33"/>
        <v>0</v>
      </c>
      <c r="AL94" s="9">
        <f t="shared" si="74"/>
        <v>0</v>
      </c>
      <c r="AM94" s="9"/>
      <c r="AN94" s="9"/>
      <c r="AO94" s="9"/>
    </row>
    <row r="95" spans="1:41">
      <c r="A95" s="9">
        <f t="shared" ref="A95" si="83">A78</f>
        <v>1.9071000814437866</v>
      </c>
      <c r="B95" s="9">
        <f t="shared" ref="B95:AG95" si="84">B56-B78</f>
        <v>0</v>
      </c>
      <c r="C95" s="9">
        <f t="shared" si="84"/>
        <v>0</v>
      </c>
      <c r="D95" s="9">
        <f t="shared" si="84"/>
        <v>0</v>
      </c>
      <c r="E95" s="9">
        <f t="shared" si="84"/>
        <v>0</v>
      </c>
      <c r="F95" s="9">
        <f t="shared" si="84"/>
        <v>0</v>
      </c>
      <c r="G95" s="9">
        <f t="shared" si="84"/>
        <v>0</v>
      </c>
      <c r="H95" s="9">
        <f t="shared" si="84"/>
        <v>0</v>
      </c>
      <c r="I95" s="9">
        <f t="shared" si="84"/>
        <v>0</v>
      </c>
      <c r="J95" s="9">
        <f t="shared" si="84"/>
        <v>0</v>
      </c>
      <c r="K95" s="9">
        <f t="shared" si="84"/>
        <v>0</v>
      </c>
      <c r="L95" s="9">
        <f t="shared" si="84"/>
        <v>0</v>
      </c>
      <c r="M95" s="9">
        <f t="shared" si="84"/>
        <v>0</v>
      </c>
      <c r="N95" s="9">
        <f t="shared" si="84"/>
        <v>0</v>
      </c>
      <c r="O95" s="9">
        <f t="shared" si="84"/>
        <v>0</v>
      </c>
      <c r="P95" s="9">
        <f t="shared" si="84"/>
        <v>0</v>
      </c>
      <c r="Q95" s="9">
        <f t="shared" si="84"/>
        <v>0</v>
      </c>
      <c r="R95" s="9">
        <f t="shared" si="84"/>
        <v>0</v>
      </c>
      <c r="S95" s="9">
        <f t="shared" si="84"/>
        <v>0</v>
      </c>
      <c r="T95" s="9">
        <f t="shared" si="84"/>
        <v>0</v>
      </c>
      <c r="U95" s="9">
        <f t="shared" si="84"/>
        <v>0</v>
      </c>
      <c r="V95" s="9">
        <f t="shared" si="84"/>
        <v>0</v>
      </c>
      <c r="W95" s="9">
        <f t="shared" si="84"/>
        <v>0</v>
      </c>
      <c r="X95" s="9">
        <f t="shared" si="84"/>
        <v>0</v>
      </c>
      <c r="Y95" s="9">
        <f t="shared" si="84"/>
        <v>0</v>
      </c>
      <c r="Z95" s="9">
        <f t="shared" si="84"/>
        <v>0</v>
      </c>
      <c r="AA95" s="9">
        <f t="shared" si="84"/>
        <v>0</v>
      </c>
      <c r="AB95" s="9">
        <f t="shared" si="84"/>
        <v>0</v>
      </c>
      <c r="AC95" s="9">
        <f t="shared" si="84"/>
        <v>0</v>
      </c>
      <c r="AD95" s="9">
        <f t="shared" si="84"/>
        <v>0</v>
      </c>
      <c r="AE95" s="9">
        <f t="shared" si="84"/>
        <v>0</v>
      </c>
      <c r="AF95" s="9">
        <f t="shared" si="84"/>
        <v>0</v>
      </c>
      <c r="AG95" s="9">
        <f t="shared" si="84"/>
        <v>0</v>
      </c>
      <c r="AH95" s="9"/>
      <c r="AI95" s="9">
        <f t="shared" si="31"/>
        <v>0</v>
      </c>
      <c r="AJ95" s="10">
        <f t="shared" si="32"/>
        <v>0</v>
      </c>
      <c r="AK95" s="9">
        <f t="shared" si="33"/>
        <v>0</v>
      </c>
      <c r="AM95" s="9"/>
      <c r="AN95" s="9"/>
      <c r="AO95" s="9"/>
    </row>
    <row r="96" spans="1:41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M96" s="9"/>
      <c r="AN96" s="9"/>
      <c r="AO96" s="9"/>
    </row>
    <row r="97" spans="1:41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M97" s="9"/>
      <c r="AN97" s="9"/>
      <c r="AO97" s="9"/>
    </row>
    <row r="98" spans="1:41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M98" s="9"/>
      <c r="AN98" s="9"/>
      <c r="AO98" s="9"/>
    </row>
    <row r="99" spans="1:41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M99" s="9"/>
      <c r="AN99" s="9"/>
      <c r="AO99" s="9"/>
    </row>
    <row r="100" spans="1:41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M100" s="9"/>
      <c r="AN100" s="9"/>
      <c r="AO100" s="9"/>
    </row>
    <row r="101" spans="1:4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M101" s="9"/>
      <c r="AN101" s="9"/>
      <c r="AO101" s="9"/>
    </row>
    <row r="102" spans="1:41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M102" s="9"/>
      <c r="AN102" s="9"/>
      <c r="AO102" s="9"/>
    </row>
    <row r="103" spans="1:4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M103" s="9"/>
      <c r="AN103" s="9"/>
      <c r="AO103" s="9"/>
    </row>
    <row r="104" spans="1:4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M104" s="9"/>
      <c r="AN104" s="9"/>
      <c r="AO104" s="9"/>
    </row>
    <row r="105" spans="1:4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M105" s="9"/>
      <c r="AN105" s="9"/>
      <c r="AO105" s="9"/>
    </row>
    <row r="106" spans="1:4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M106" s="9"/>
      <c r="AN106" s="9"/>
      <c r="AO106" s="9"/>
    </row>
    <row r="107" spans="1:4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M107" s="9"/>
      <c r="AN107" s="9"/>
      <c r="AO107" s="9"/>
    </row>
    <row r="108" spans="1:4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M108" s="9"/>
      <c r="AN108" s="9"/>
      <c r="AO108" s="9"/>
    </row>
  </sheetData>
  <mergeCells count="3">
    <mergeCell ref="AL29:AP29"/>
    <mergeCell ref="AL30:AP30"/>
    <mergeCell ref="AL31:AP3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AV135"/>
  <sheetViews>
    <sheetView zoomScale="70" zoomScaleNormal="70" workbookViewId="0">
      <selection activeCell="B2" sqref="B2:AG26"/>
    </sheetView>
  </sheetViews>
  <sheetFormatPr defaultRowHeight="15"/>
  <cols>
    <col min="2" max="34" width="6.5703125" customWidth="1"/>
    <col min="35" max="35" width="8.7109375" customWidth="1"/>
    <col min="36" max="37" width="6.5703125" customWidth="1"/>
    <col min="38" max="38" width="6.5703125" style="9" customWidth="1"/>
  </cols>
  <sheetData>
    <row r="1" spans="1:42">
      <c r="B1" s="3">
        <f>data0!B1</f>
        <v>0</v>
      </c>
      <c r="C1" s="3">
        <f>data0!C1</f>
        <v>1</v>
      </c>
      <c r="D1" s="3">
        <f>data0!D1</f>
        <v>2</v>
      </c>
      <c r="E1" s="3">
        <f>data0!E1</f>
        <v>3</v>
      </c>
      <c r="F1" s="3">
        <f>data0!F1</f>
        <v>4</v>
      </c>
      <c r="G1" s="3">
        <f>data0!G1</f>
        <v>5</v>
      </c>
      <c r="H1" s="3">
        <f>data0!H1</f>
        <v>6</v>
      </c>
      <c r="I1" s="3">
        <f>data0!I1</f>
        <v>7</v>
      </c>
      <c r="J1" s="3">
        <f>data0!J1</f>
        <v>8</v>
      </c>
      <c r="K1" s="3">
        <f>data0!K1</f>
        <v>9</v>
      </c>
      <c r="L1" s="3">
        <f>data0!L1</f>
        <v>10</v>
      </c>
      <c r="M1" s="3">
        <f>data0!M1</f>
        <v>11</v>
      </c>
      <c r="N1" s="3">
        <f>data0!N1</f>
        <v>12</v>
      </c>
      <c r="O1" s="3">
        <f>data0!O1</f>
        <v>13</v>
      </c>
      <c r="P1" s="3">
        <f>data0!P1</f>
        <v>14</v>
      </c>
      <c r="Q1" s="3">
        <f>data0!Q1</f>
        <v>15</v>
      </c>
      <c r="R1" s="3">
        <f>data0!R1</f>
        <v>16</v>
      </c>
      <c r="S1" s="3">
        <f>data0!S1</f>
        <v>17</v>
      </c>
      <c r="T1" s="3">
        <f>data0!T1</f>
        <v>18</v>
      </c>
      <c r="U1" s="3">
        <f>data0!U1</f>
        <v>19</v>
      </c>
      <c r="V1" s="3">
        <f>data0!V1</f>
        <v>20</v>
      </c>
      <c r="W1" s="3">
        <f>data0!W1</f>
        <v>21</v>
      </c>
      <c r="X1" s="3">
        <f>data0!X1</f>
        <v>22</v>
      </c>
      <c r="Y1" s="3">
        <f>data0!Y1</f>
        <v>23</v>
      </c>
      <c r="Z1" s="3">
        <f>data0!Z1</f>
        <v>24</v>
      </c>
      <c r="AA1" s="3">
        <f>data0!AA1</f>
        <v>25</v>
      </c>
      <c r="AB1" s="3">
        <f>data0!AB1</f>
        <v>26</v>
      </c>
      <c r="AC1" s="3">
        <f>data0!AC1</f>
        <v>27</v>
      </c>
      <c r="AD1" s="3">
        <f>data0!AD1</f>
        <v>28</v>
      </c>
      <c r="AE1" s="3">
        <f>data0!AE1</f>
        <v>29</v>
      </c>
      <c r="AF1" s="3">
        <f>data0!AF1</f>
        <v>30</v>
      </c>
      <c r="AG1" s="3">
        <f>data0!AG1</f>
        <v>31</v>
      </c>
      <c r="AH1" s="5" t="s">
        <v>13</v>
      </c>
      <c r="AI1" s="15" t="s">
        <v>22</v>
      </c>
      <c r="AJ1" s="5" t="s">
        <v>14</v>
      </c>
      <c r="AK1" s="15" t="s">
        <v>23</v>
      </c>
      <c r="AL1" s="18" t="s">
        <v>19</v>
      </c>
      <c r="AM1" s="18" t="str">
        <f>AI1</f>
        <v>-1.5σ</v>
      </c>
      <c r="AN1" s="18" t="str">
        <f t="shared" ref="AN1:AO1" si="0">AJ1</f>
        <v>MEAN</v>
      </c>
      <c r="AO1" s="18" t="str">
        <f t="shared" si="0"/>
        <v>+1.5σ</v>
      </c>
      <c r="AP1" s="18"/>
    </row>
    <row r="2" spans="1:42">
      <c r="A2" s="3">
        <f>data0!A2</f>
        <v>3007.1739501953125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t="e">
        <f>STDEV(B2:AG2)</f>
        <v>#DIV/0!</v>
      </c>
      <c r="AI2" t="e">
        <f>AJ2-1.5*AH2</f>
        <v>#DIV/0!</v>
      </c>
      <c r="AJ2" t="e">
        <f>AVERAGE(B2:AG2)</f>
        <v>#DIV/0!</v>
      </c>
      <c r="AK2" t="e">
        <f>AJ2+1.5*AH2</f>
        <v>#DIV/0!</v>
      </c>
      <c r="AL2" s="9">
        <f>MAX(B2:AG2)</f>
        <v>0</v>
      </c>
      <c r="AP2" s="18"/>
    </row>
    <row r="3" spans="1:42">
      <c r="A3" s="3">
        <f>data0!A3</f>
        <v>2440.1146484374999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3" t="e">
        <f t="shared" ref="AH3:AH26" si="1">STDEV(B3:AG3)</f>
        <v>#DIV/0!</v>
      </c>
      <c r="AI3" s="3" t="e">
        <f t="shared" ref="AI3:AI26" si="2">AJ3-1.5*AH3</f>
        <v>#DIV/0!</v>
      </c>
      <c r="AJ3" s="3" t="e">
        <f t="shared" ref="AJ3:AJ26" si="3">AVERAGE(B3:AG3)</f>
        <v>#DIV/0!</v>
      </c>
      <c r="AK3" s="3" t="e">
        <f t="shared" ref="AK3:AK26" si="4">AJ3+1.5*AH3</f>
        <v>#DIV/0!</v>
      </c>
      <c r="AL3" s="9">
        <f t="shared" ref="AL3:AL26" si="5">MAX(B3:AG3)</f>
        <v>0</v>
      </c>
      <c r="AM3" s="18"/>
      <c r="AN3" s="18"/>
      <c r="AO3" s="18"/>
      <c r="AP3" s="18"/>
    </row>
    <row r="4" spans="1:42">
      <c r="A4" s="3">
        <f>data0!A4</f>
        <v>1996.1750244140626</v>
      </c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3" t="e">
        <f t="shared" si="1"/>
        <v>#DIV/0!</v>
      </c>
      <c r="AI4" s="3" t="e">
        <f t="shared" si="2"/>
        <v>#DIV/0!</v>
      </c>
      <c r="AJ4" s="3" t="e">
        <f t="shared" si="3"/>
        <v>#DIV/0!</v>
      </c>
      <c r="AK4" s="3" t="e">
        <f t="shared" si="4"/>
        <v>#DIV/0!</v>
      </c>
      <c r="AL4" s="9">
        <f t="shared" si="5"/>
        <v>0</v>
      </c>
      <c r="AM4" s="9" t="e">
        <f t="shared" ref="AM4:AM6" si="6">AI4*mult</f>
        <v>#DIV/0!</v>
      </c>
      <c r="AN4" s="9" t="e">
        <f t="shared" ref="AN4:AN6" si="7">AJ4*mult</f>
        <v>#DIV/0!</v>
      </c>
      <c r="AO4" s="9" t="e">
        <f t="shared" ref="AO4:AO6" si="8">AK4*mult</f>
        <v>#DIV/0!</v>
      </c>
      <c r="AP4" s="18"/>
    </row>
    <row r="5" spans="1:42">
      <c r="A5" s="3">
        <f>data0!A5</f>
        <v>1659.095166015625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3" t="e">
        <f t="shared" si="1"/>
        <v>#DIV/0!</v>
      </c>
      <c r="AI5" s="3" t="e">
        <f t="shared" si="2"/>
        <v>#DIV/0!</v>
      </c>
      <c r="AJ5" s="3" t="e">
        <f t="shared" si="3"/>
        <v>#DIV/0!</v>
      </c>
      <c r="AK5" s="3" t="e">
        <f t="shared" si="4"/>
        <v>#DIV/0!</v>
      </c>
      <c r="AL5" s="9">
        <f t="shared" si="5"/>
        <v>0</v>
      </c>
      <c r="AM5" s="9" t="e">
        <f t="shared" si="6"/>
        <v>#DIV/0!</v>
      </c>
      <c r="AN5" s="9" t="e">
        <f t="shared" si="7"/>
        <v>#DIV/0!</v>
      </c>
      <c r="AO5" s="9" t="e">
        <f t="shared" si="8"/>
        <v>#DIV/0!</v>
      </c>
    </row>
    <row r="6" spans="1:42">
      <c r="A6" s="3">
        <f>data0!A6</f>
        <v>1234.2751586914062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3" t="e">
        <f t="shared" si="1"/>
        <v>#DIV/0!</v>
      </c>
      <c r="AI6" s="3" t="e">
        <f t="shared" si="2"/>
        <v>#DIV/0!</v>
      </c>
      <c r="AJ6" s="3" t="e">
        <f t="shared" si="3"/>
        <v>#DIV/0!</v>
      </c>
      <c r="AK6" s="3" t="e">
        <f t="shared" si="4"/>
        <v>#DIV/0!</v>
      </c>
      <c r="AL6" s="9">
        <f t="shared" si="5"/>
        <v>0</v>
      </c>
      <c r="AM6" s="9" t="e">
        <f t="shared" si="6"/>
        <v>#DIV/0!</v>
      </c>
      <c r="AN6" s="9" t="e">
        <f t="shared" si="7"/>
        <v>#DIV/0!</v>
      </c>
      <c r="AO6" s="9" t="e">
        <f t="shared" si="8"/>
        <v>#DIV/0!</v>
      </c>
    </row>
    <row r="7" spans="1:42">
      <c r="A7" s="3">
        <f>data0!A7</f>
        <v>924.54020385742183</v>
      </c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3" t="e">
        <f t="shared" si="1"/>
        <v>#DIV/0!</v>
      </c>
      <c r="AI7" s="3" t="e">
        <f t="shared" si="2"/>
        <v>#DIV/0!</v>
      </c>
      <c r="AJ7" s="3" t="e">
        <f t="shared" si="3"/>
        <v>#DIV/0!</v>
      </c>
      <c r="AK7" s="3" t="e">
        <f t="shared" si="4"/>
        <v>#DIV/0!</v>
      </c>
      <c r="AL7" s="9">
        <f t="shared" si="5"/>
        <v>0</v>
      </c>
      <c r="AM7" s="9" t="e">
        <f t="shared" ref="AM7:AM26" si="9">AI7*mult</f>
        <v>#DIV/0!</v>
      </c>
      <c r="AN7" s="9" t="e">
        <f t="shared" ref="AN7:AN26" si="10">AJ7*mult</f>
        <v>#DIV/0!</v>
      </c>
      <c r="AO7" s="9" t="e">
        <f t="shared" ref="AO7:AO26" si="11">AK7*mult</f>
        <v>#DIV/0!</v>
      </c>
    </row>
    <row r="8" spans="1:42">
      <c r="A8" s="3">
        <f>data0!A8</f>
        <v>761.20014648437495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" t="e">
        <f t="shared" si="1"/>
        <v>#DIV/0!</v>
      </c>
      <c r="AI8" s="3" t="e">
        <f t="shared" si="2"/>
        <v>#DIV/0!</v>
      </c>
      <c r="AJ8" s="3" t="e">
        <f t="shared" si="3"/>
        <v>#DIV/0!</v>
      </c>
      <c r="AK8" s="3" t="e">
        <f t="shared" si="4"/>
        <v>#DIV/0!</v>
      </c>
      <c r="AL8" s="9">
        <f t="shared" si="5"/>
        <v>0</v>
      </c>
      <c r="AM8" s="9" t="e">
        <f t="shared" si="9"/>
        <v>#DIV/0!</v>
      </c>
      <c r="AN8" s="9" t="e">
        <f t="shared" si="10"/>
        <v>#DIV/0!</v>
      </c>
      <c r="AO8" s="9" t="e">
        <f t="shared" si="11"/>
        <v>#DIV/0!</v>
      </c>
    </row>
    <row r="9" spans="1:42">
      <c r="A9" s="3">
        <f>data0!A9</f>
        <v>618.7050842285156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3" t="e">
        <f t="shared" si="1"/>
        <v>#DIV/0!</v>
      </c>
      <c r="AI9" s="3" t="e">
        <f t="shared" si="2"/>
        <v>#DIV/0!</v>
      </c>
      <c r="AJ9" s="3" t="e">
        <f t="shared" si="3"/>
        <v>#DIV/0!</v>
      </c>
      <c r="AK9" s="3" t="e">
        <f t="shared" si="4"/>
        <v>#DIV/0!</v>
      </c>
      <c r="AL9" s="9">
        <f t="shared" si="5"/>
        <v>0</v>
      </c>
      <c r="AM9" s="9" t="e">
        <f t="shared" si="9"/>
        <v>#DIV/0!</v>
      </c>
      <c r="AN9" s="9" t="e">
        <f t="shared" si="10"/>
        <v>#DIV/0!</v>
      </c>
      <c r="AO9" s="9" t="e">
        <f t="shared" si="11"/>
        <v>#DIV/0!</v>
      </c>
    </row>
    <row r="10" spans="1:42">
      <c r="A10" s="3">
        <f>data0!A10</f>
        <v>506.39999389648438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3" t="e">
        <f t="shared" si="1"/>
        <v>#DIV/0!</v>
      </c>
      <c r="AI10" s="3" t="e">
        <f t="shared" si="2"/>
        <v>#DIV/0!</v>
      </c>
      <c r="AJ10" s="3" t="e">
        <f t="shared" si="3"/>
        <v>#DIV/0!</v>
      </c>
      <c r="AK10" s="3" t="e">
        <f t="shared" si="4"/>
        <v>#DIV/0!</v>
      </c>
      <c r="AL10" s="9">
        <f t="shared" si="5"/>
        <v>0</v>
      </c>
      <c r="AM10" s="9" t="e">
        <f t="shared" si="9"/>
        <v>#DIV/0!</v>
      </c>
      <c r="AN10" s="9" t="e">
        <f t="shared" si="10"/>
        <v>#DIV/0!</v>
      </c>
      <c r="AO10" s="9" t="e">
        <f t="shared" si="11"/>
        <v>#DIV/0!</v>
      </c>
    </row>
    <row r="11" spans="1:42">
      <c r="A11" s="3">
        <f>data0!A11</f>
        <v>421.14996337890625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3" t="e">
        <f t="shared" si="1"/>
        <v>#DIV/0!</v>
      </c>
      <c r="AI11" s="3" t="e">
        <f t="shared" si="2"/>
        <v>#DIV/0!</v>
      </c>
      <c r="AJ11" s="3" t="e">
        <f t="shared" si="3"/>
        <v>#DIV/0!</v>
      </c>
      <c r="AK11" s="3" t="e">
        <f t="shared" si="4"/>
        <v>#DIV/0!</v>
      </c>
      <c r="AL11" s="9">
        <f t="shared" si="5"/>
        <v>0</v>
      </c>
      <c r="AM11" s="9" t="e">
        <f t="shared" si="9"/>
        <v>#DIV/0!</v>
      </c>
      <c r="AN11" s="9" t="e">
        <f t="shared" si="10"/>
        <v>#DIV/0!</v>
      </c>
      <c r="AO11" s="9" t="e">
        <f t="shared" si="11"/>
        <v>#DIV/0!</v>
      </c>
    </row>
    <row r="12" spans="1:42">
      <c r="A12" s="3">
        <f>data0!A12</f>
        <v>313.39996337890625</v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3" t="e">
        <f t="shared" si="1"/>
        <v>#DIV/0!</v>
      </c>
      <c r="AI12" s="3" t="e">
        <f t="shared" si="2"/>
        <v>#DIV/0!</v>
      </c>
      <c r="AJ12" s="3" t="e">
        <f t="shared" si="3"/>
        <v>#DIV/0!</v>
      </c>
      <c r="AK12" s="3" t="e">
        <f t="shared" si="4"/>
        <v>#DIV/0!</v>
      </c>
      <c r="AL12" s="9">
        <f t="shared" si="5"/>
        <v>0</v>
      </c>
      <c r="AM12" s="9" t="e">
        <f t="shared" si="9"/>
        <v>#DIV/0!</v>
      </c>
      <c r="AN12" s="9" t="e">
        <f t="shared" si="10"/>
        <v>#DIV/0!</v>
      </c>
      <c r="AO12" s="9" t="e">
        <f t="shared" si="11"/>
        <v>#DIV/0!</v>
      </c>
    </row>
    <row r="13" spans="1:42">
      <c r="A13" s="3">
        <f>data0!A13</f>
        <v>283.35547790527346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3" t="e">
        <f t="shared" si="1"/>
        <v>#DIV/0!</v>
      </c>
      <c r="AI13" s="3" t="e">
        <f t="shared" si="2"/>
        <v>#DIV/0!</v>
      </c>
      <c r="AJ13" s="3" t="e">
        <f t="shared" si="3"/>
        <v>#DIV/0!</v>
      </c>
      <c r="AK13" s="3" t="e">
        <f t="shared" si="4"/>
        <v>#DIV/0!</v>
      </c>
      <c r="AL13" s="9">
        <f t="shared" si="5"/>
        <v>0</v>
      </c>
      <c r="AM13" s="9" t="e">
        <f t="shared" si="9"/>
        <v>#DIV/0!</v>
      </c>
      <c r="AN13" s="9" t="e">
        <f t="shared" si="10"/>
        <v>#DIV/0!</v>
      </c>
      <c r="AO13" s="9" t="e">
        <f t="shared" si="11"/>
        <v>#DIV/0!</v>
      </c>
    </row>
    <row r="14" spans="1:42">
      <c r="A14" s="3">
        <f>data0!A14</f>
        <v>233.5469970703125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3" t="e">
        <f t="shared" si="1"/>
        <v>#DIV/0!</v>
      </c>
      <c r="AI14" s="3" t="e">
        <f t="shared" si="2"/>
        <v>#DIV/0!</v>
      </c>
      <c r="AJ14" s="3" t="e">
        <f t="shared" si="3"/>
        <v>#DIV/0!</v>
      </c>
      <c r="AK14" s="3" t="e">
        <f t="shared" si="4"/>
        <v>#DIV/0!</v>
      </c>
      <c r="AL14" s="9">
        <f t="shared" si="5"/>
        <v>0</v>
      </c>
      <c r="AM14" s="9" t="e">
        <f t="shared" si="9"/>
        <v>#DIV/0!</v>
      </c>
      <c r="AN14" s="9" t="e">
        <f t="shared" si="10"/>
        <v>#DIV/0!</v>
      </c>
      <c r="AO14" s="9" t="e">
        <f t="shared" si="11"/>
        <v>#DIV/0!</v>
      </c>
    </row>
    <row r="15" spans="1:42">
      <c r="A15" s="3">
        <f>data0!A15</f>
        <v>188.09650726318358</v>
      </c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3" t="e">
        <f t="shared" si="1"/>
        <v>#DIV/0!</v>
      </c>
      <c r="AI15" s="3" t="e">
        <f t="shared" si="2"/>
        <v>#DIV/0!</v>
      </c>
      <c r="AJ15" s="3" t="e">
        <f t="shared" si="3"/>
        <v>#DIV/0!</v>
      </c>
      <c r="AK15" s="3" t="e">
        <f t="shared" si="4"/>
        <v>#DIV/0!</v>
      </c>
      <c r="AL15" s="9">
        <f t="shared" si="5"/>
        <v>0</v>
      </c>
      <c r="AM15" s="9" t="e">
        <f t="shared" si="9"/>
        <v>#DIV/0!</v>
      </c>
      <c r="AN15" s="9" t="e">
        <f t="shared" si="10"/>
        <v>#DIV/0!</v>
      </c>
      <c r="AO15" s="9" t="e">
        <f t="shared" si="11"/>
        <v>#DIV/0!</v>
      </c>
    </row>
    <row r="16" spans="1:42">
      <c r="A16" s="3">
        <f>data0!A16</f>
        <v>156.44500579833985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3" t="e">
        <f t="shared" si="1"/>
        <v>#DIV/0!</v>
      </c>
      <c r="AI16" s="3" t="e">
        <f t="shared" si="2"/>
        <v>#DIV/0!</v>
      </c>
      <c r="AJ16" s="3" t="e">
        <f t="shared" si="3"/>
        <v>#DIV/0!</v>
      </c>
      <c r="AK16" s="3" t="e">
        <f t="shared" si="4"/>
        <v>#DIV/0!</v>
      </c>
      <c r="AL16" s="9">
        <f t="shared" si="5"/>
        <v>0</v>
      </c>
      <c r="AM16" s="9" t="e">
        <f t="shared" si="9"/>
        <v>#DIV/0!</v>
      </c>
      <c r="AN16" s="9" t="e">
        <f t="shared" si="10"/>
        <v>#DIV/0!</v>
      </c>
      <c r="AO16" s="9" t="e">
        <f t="shared" si="11"/>
        <v>#DIV/0!</v>
      </c>
    </row>
    <row r="17" spans="1:43">
      <c r="A17" s="3">
        <f>data0!A17</f>
        <v>116.47100143432617</v>
      </c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3" t="e">
        <f t="shared" si="1"/>
        <v>#DIV/0!</v>
      </c>
      <c r="AI17" s="3" t="e">
        <f t="shared" si="2"/>
        <v>#DIV/0!</v>
      </c>
      <c r="AJ17" s="3" t="e">
        <f t="shared" si="3"/>
        <v>#DIV/0!</v>
      </c>
      <c r="AK17" s="3" t="e">
        <f t="shared" si="4"/>
        <v>#DIV/0!</v>
      </c>
      <c r="AL17" s="9">
        <f t="shared" si="5"/>
        <v>0</v>
      </c>
      <c r="AM17" s="9" t="e">
        <f t="shared" si="9"/>
        <v>#DIV/0!</v>
      </c>
      <c r="AN17" s="9" t="e">
        <f t="shared" si="10"/>
        <v>#DIV/0!</v>
      </c>
      <c r="AO17" s="9" t="e">
        <f t="shared" si="11"/>
        <v>#DIV/0!</v>
      </c>
    </row>
    <row r="18" spans="1:43">
      <c r="A18" s="3">
        <f>data0!A18</f>
        <v>87.306494903564456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3" t="e">
        <f t="shared" si="1"/>
        <v>#DIV/0!</v>
      </c>
      <c r="AI18" s="3" t="e">
        <f t="shared" si="2"/>
        <v>#DIV/0!</v>
      </c>
      <c r="AJ18" s="3" t="e">
        <f t="shared" si="3"/>
        <v>#DIV/0!</v>
      </c>
      <c r="AK18" s="3" t="e">
        <f t="shared" si="4"/>
        <v>#DIV/0!</v>
      </c>
      <c r="AL18" s="9">
        <f t="shared" si="5"/>
        <v>0</v>
      </c>
      <c r="AM18" s="9" t="e">
        <f t="shared" si="9"/>
        <v>#DIV/0!</v>
      </c>
      <c r="AN18" s="9" t="e">
        <f t="shared" si="10"/>
        <v>#DIV/0!</v>
      </c>
      <c r="AO18" s="9" t="e">
        <f t="shared" si="11"/>
        <v>#DIV/0!</v>
      </c>
    </row>
    <row r="19" spans="1:43">
      <c r="A19" s="3">
        <f>data0!A19</f>
        <v>21.315652084350585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3" t="e">
        <f t="shared" si="1"/>
        <v>#DIV/0!</v>
      </c>
      <c r="AI19" s="3" t="e">
        <f t="shared" si="2"/>
        <v>#DIV/0!</v>
      </c>
      <c r="AJ19" s="3" t="e">
        <f t="shared" si="3"/>
        <v>#DIV/0!</v>
      </c>
      <c r="AK19" s="3" t="e">
        <f t="shared" si="4"/>
        <v>#DIV/0!</v>
      </c>
      <c r="AL19" s="9">
        <f t="shared" si="5"/>
        <v>0</v>
      </c>
      <c r="AM19" s="9" t="e">
        <f t="shared" si="9"/>
        <v>#DIV/0!</v>
      </c>
      <c r="AN19" s="9" t="e">
        <f t="shared" si="10"/>
        <v>#DIV/0!</v>
      </c>
      <c r="AO19" s="9" t="e">
        <f t="shared" si="11"/>
        <v>#DIV/0!</v>
      </c>
    </row>
    <row r="20" spans="1:43">
      <c r="A20" s="3">
        <f>data0!A20</f>
        <v>17.340450096130372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3" t="e">
        <f t="shared" si="1"/>
        <v>#DIV/0!</v>
      </c>
      <c r="AI20" s="3" t="e">
        <f t="shared" si="2"/>
        <v>#DIV/0!</v>
      </c>
      <c r="AJ20" s="3" t="e">
        <f t="shared" si="3"/>
        <v>#DIV/0!</v>
      </c>
      <c r="AK20" s="3" t="e">
        <f t="shared" si="4"/>
        <v>#DIV/0!</v>
      </c>
      <c r="AL20" s="9">
        <f t="shared" si="5"/>
        <v>0</v>
      </c>
      <c r="AM20" s="9" t="e">
        <f t="shared" si="9"/>
        <v>#DIV/0!</v>
      </c>
      <c r="AN20" s="9" t="e">
        <f t="shared" si="10"/>
        <v>#DIV/0!</v>
      </c>
      <c r="AO20" s="9" t="e">
        <f t="shared" si="11"/>
        <v>#DIV/0!</v>
      </c>
    </row>
    <row r="21" spans="1:43">
      <c r="A21" s="3">
        <f>data0!A21</f>
        <v>14.188851261138916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3" t="e">
        <f t="shared" si="1"/>
        <v>#DIV/0!</v>
      </c>
      <c r="AI21" s="3" t="e">
        <f t="shared" si="2"/>
        <v>#DIV/0!</v>
      </c>
      <c r="AJ21" s="3" t="e">
        <f t="shared" si="3"/>
        <v>#DIV/0!</v>
      </c>
      <c r="AK21" s="3" t="e">
        <f t="shared" si="4"/>
        <v>#DIV/0!</v>
      </c>
      <c r="AL21" s="9">
        <f t="shared" si="5"/>
        <v>0</v>
      </c>
      <c r="AM21" s="9" t="e">
        <f t="shared" si="9"/>
        <v>#DIV/0!</v>
      </c>
      <c r="AN21" s="9" t="e">
        <f t="shared" si="10"/>
        <v>#DIV/0!</v>
      </c>
      <c r="AO21" s="9" t="e">
        <f t="shared" si="11"/>
        <v>#DIV/0!</v>
      </c>
    </row>
    <row r="22" spans="1:43">
      <c r="A22" s="3">
        <f>data0!A22</f>
        <v>11.795599174499511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3" t="e">
        <f t="shared" si="1"/>
        <v>#DIV/0!</v>
      </c>
      <c r="AI22" s="3" t="e">
        <f t="shared" si="2"/>
        <v>#DIV/0!</v>
      </c>
      <c r="AJ22" s="3" t="e">
        <f t="shared" si="3"/>
        <v>#DIV/0!</v>
      </c>
      <c r="AK22" s="3" t="e">
        <f t="shared" si="4"/>
        <v>#DIV/0!</v>
      </c>
      <c r="AL22" s="9">
        <f t="shared" si="5"/>
        <v>0</v>
      </c>
      <c r="AM22" s="9" t="e">
        <f t="shared" si="9"/>
        <v>#DIV/0!</v>
      </c>
      <c r="AN22" s="9" t="e">
        <f t="shared" si="10"/>
        <v>#DIV/0!</v>
      </c>
      <c r="AO22" s="9" t="e">
        <f t="shared" si="11"/>
        <v>#DIV/0!</v>
      </c>
    </row>
    <row r="23" spans="1:43">
      <c r="A23" s="3">
        <f>data0!A23</f>
        <v>8.797748947143555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3" t="e">
        <f t="shared" si="1"/>
        <v>#DIV/0!</v>
      </c>
      <c r="AI23" s="3" t="e">
        <f t="shared" si="2"/>
        <v>#DIV/0!</v>
      </c>
      <c r="AJ23" s="3" t="e">
        <f t="shared" si="3"/>
        <v>#DIV/0!</v>
      </c>
      <c r="AK23" s="3" t="e">
        <f t="shared" si="4"/>
        <v>#DIV/0!</v>
      </c>
      <c r="AL23" s="9">
        <f t="shared" si="5"/>
        <v>0</v>
      </c>
      <c r="AM23" s="9" t="e">
        <f t="shared" si="9"/>
        <v>#DIV/0!</v>
      </c>
      <c r="AN23" s="9" t="e">
        <f t="shared" si="10"/>
        <v>#DIV/0!</v>
      </c>
      <c r="AO23" s="9" t="e">
        <f t="shared" si="11"/>
        <v>#DIV/0!</v>
      </c>
    </row>
    <row r="24" spans="1:43">
      <c r="A24" s="3">
        <f>data0!A24</f>
        <v>6.5973999023437502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3" t="e">
        <f t="shared" si="1"/>
        <v>#DIV/0!</v>
      </c>
      <c r="AI24" s="3" t="e">
        <f t="shared" si="2"/>
        <v>#DIV/0!</v>
      </c>
      <c r="AJ24" s="3" t="e">
        <f t="shared" si="3"/>
        <v>#DIV/0!</v>
      </c>
      <c r="AK24" s="3" t="e">
        <f t="shared" si="4"/>
        <v>#DIV/0!</v>
      </c>
      <c r="AL24" s="9">
        <f t="shared" si="5"/>
        <v>0</v>
      </c>
      <c r="AM24" s="9" t="e">
        <f t="shared" si="9"/>
        <v>#DIV/0!</v>
      </c>
      <c r="AN24" s="9" t="e">
        <f t="shared" si="10"/>
        <v>#DIV/0!</v>
      </c>
      <c r="AO24" s="9" t="e">
        <f t="shared" si="11"/>
        <v>#DIV/0!</v>
      </c>
    </row>
    <row r="25" spans="1:43">
      <c r="A25" s="3">
        <f>data0!A25</f>
        <v>2.3447998762130737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3" t="e">
        <f t="shared" si="1"/>
        <v>#DIV/0!</v>
      </c>
      <c r="AI25" s="3" t="e">
        <f t="shared" si="2"/>
        <v>#DIV/0!</v>
      </c>
      <c r="AJ25" s="3" t="e">
        <f t="shared" si="3"/>
        <v>#DIV/0!</v>
      </c>
      <c r="AK25" s="3" t="e">
        <f t="shared" si="4"/>
        <v>#DIV/0!</v>
      </c>
      <c r="AL25" s="9">
        <f t="shared" si="5"/>
        <v>0</v>
      </c>
      <c r="AM25" s="9" t="e">
        <f t="shared" si="9"/>
        <v>#DIV/0!</v>
      </c>
      <c r="AN25" s="9" t="e">
        <f t="shared" si="10"/>
        <v>#DIV/0!</v>
      </c>
      <c r="AO25" s="9" t="e">
        <f t="shared" si="11"/>
        <v>#DIV/0!</v>
      </c>
    </row>
    <row r="26" spans="1:43">
      <c r="A26" s="3">
        <f>data0!A26</f>
        <v>1.9071000814437866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3" t="e">
        <f t="shared" si="1"/>
        <v>#DIV/0!</v>
      </c>
      <c r="AI26" s="3" t="e">
        <f t="shared" si="2"/>
        <v>#DIV/0!</v>
      </c>
      <c r="AJ26" s="3" t="e">
        <f t="shared" si="3"/>
        <v>#DIV/0!</v>
      </c>
      <c r="AK26" s="3" t="e">
        <f t="shared" si="4"/>
        <v>#DIV/0!</v>
      </c>
      <c r="AL26" s="9">
        <f t="shared" si="5"/>
        <v>0</v>
      </c>
      <c r="AM26" s="9" t="e">
        <f t="shared" si="9"/>
        <v>#DIV/0!</v>
      </c>
      <c r="AN26" s="9" t="e">
        <f t="shared" si="10"/>
        <v>#DIV/0!</v>
      </c>
      <c r="AO26" s="9" t="e">
        <f t="shared" si="11"/>
        <v>#DIV/0!</v>
      </c>
    </row>
    <row r="28" spans="1:43">
      <c r="AI28" s="9"/>
      <c r="AJ28" s="9" t="s">
        <v>5</v>
      </c>
      <c r="AK28" s="34" t="s">
        <v>24</v>
      </c>
      <c r="AL28" s="36" t="str">
        <f>data0!AP1</f>
        <v>Mult</v>
      </c>
      <c r="AM28">
        <f>mult</f>
        <v>0.5</v>
      </c>
      <c r="AN28" s="36" t="str">
        <f>data0!AP2</f>
        <v>Range</v>
      </c>
      <c r="AO28" s="9">
        <v>3</v>
      </c>
      <c r="AP28" s="20">
        <v>1000</v>
      </c>
    </row>
    <row r="29" spans="1:43">
      <c r="AI29" s="9" t="s">
        <v>33</v>
      </c>
      <c r="AJ29" s="2" t="e">
        <f>AN4/A4-1</f>
        <v>#DIV/0!</v>
      </c>
      <c r="AK29" s="2" t="e">
        <f>1.5*AH4/A4</f>
        <v>#DIV/0!</v>
      </c>
      <c r="AL29" s="48" t="e">
        <f>"Range " &amp; AO28 &amp;" Gain Error: " &amp;INT(AJ29*1000)/10 &amp; "% +/- " &amp;INT(AK29*1000)/10 &amp; "%"</f>
        <v>#DIV/0!</v>
      </c>
      <c r="AM29" s="48"/>
      <c r="AN29" s="48"/>
      <c r="AO29" s="48"/>
      <c r="AP29" s="48"/>
      <c r="AQ29" s="39"/>
    </row>
    <row r="30" spans="1:43">
      <c r="AI30" s="9" t="s">
        <v>34</v>
      </c>
      <c r="AJ30" s="37">
        <f>AJ71</f>
        <v>0</v>
      </c>
      <c r="AK30" s="37">
        <f>AH71</f>
        <v>0</v>
      </c>
      <c r="AL30" s="49" t="str">
        <f>"Range" &amp;AO28 &amp; " Offset Histogram: " &amp; INT(AJ71*100)/100 &amp; " +/- " &amp; INT(AH71*100)/100 &amp; " Lux"</f>
        <v>Range3 Offset Histogram: 0 +/- 0 Lux</v>
      </c>
      <c r="AM30" s="49"/>
      <c r="AN30" s="49"/>
      <c r="AO30" s="49"/>
      <c r="AP30" s="49"/>
      <c r="AQ30" s="20"/>
    </row>
    <row r="31" spans="1:43">
      <c r="AI31" s="9" t="s">
        <v>35</v>
      </c>
      <c r="AJ31" s="38">
        <f>MAX(AL100:AL121)/AP28</f>
        <v>0</v>
      </c>
      <c r="AK31" s="38">
        <f>MAX(AH100:AH122)/AP28</f>
        <v>0</v>
      </c>
      <c r="AL31" s="49" t="str">
        <f>"Range "&amp; AO28 &amp; " `Linearity` Error: " &amp;INT(AJ31*10000)/100 &amp; " +/-"&amp;INT(AK31*10000)/100 &amp; "%"</f>
        <v>Range 3 `Linearity` Error: 0 +/-0%</v>
      </c>
      <c r="AM31" s="49"/>
      <c r="AN31" s="49"/>
      <c r="AO31" s="49"/>
      <c r="AP31" s="49"/>
      <c r="AQ31" s="20"/>
    </row>
    <row r="43" spans="1:33" s="9" customFormat="1">
      <c r="A43" s="9">
        <f t="shared" ref="A43:A45" si="12">A4</f>
        <v>1996.1750244140626</v>
      </c>
      <c r="B43" s="9">
        <f t="shared" ref="B43:AG43" si="13">B4*mult</f>
        <v>0</v>
      </c>
      <c r="C43" s="9">
        <f t="shared" si="13"/>
        <v>0</v>
      </c>
      <c r="D43" s="9">
        <f t="shared" si="13"/>
        <v>0</v>
      </c>
      <c r="E43" s="9">
        <f t="shared" si="13"/>
        <v>0</v>
      </c>
      <c r="F43" s="9">
        <f t="shared" si="13"/>
        <v>0</v>
      </c>
      <c r="G43" s="9">
        <f t="shared" si="13"/>
        <v>0</v>
      </c>
      <c r="H43" s="9">
        <f t="shared" si="13"/>
        <v>0</v>
      </c>
      <c r="I43" s="9">
        <f t="shared" si="13"/>
        <v>0</v>
      </c>
      <c r="J43" s="9">
        <f t="shared" si="13"/>
        <v>0</v>
      </c>
      <c r="K43" s="9">
        <f t="shared" si="13"/>
        <v>0</v>
      </c>
      <c r="L43" s="9">
        <f t="shared" si="13"/>
        <v>0</v>
      </c>
      <c r="M43" s="9">
        <f t="shared" si="13"/>
        <v>0</v>
      </c>
      <c r="N43" s="9">
        <f t="shared" si="13"/>
        <v>0</v>
      </c>
      <c r="O43" s="9">
        <f t="shared" si="13"/>
        <v>0</v>
      </c>
      <c r="P43" s="9">
        <f t="shared" si="13"/>
        <v>0</v>
      </c>
      <c r="Q43" s="9">
        <f t="shared" si="13"/>
        <v>0</v>
      </c>
      <c r="R43" s="9">
        <f t="shared" si="13"/>
        <v>0</v>
      </c>
      <c r="S43" s="9">
        <f t="shared" si="13"/>
        <v>0</v>
      </c>
      <c r="T43" s="9">
        <f t="shared" si="13"/>
        <v>0</v>
      </c>
      <c r="U43" s="9">
        <f t="shared" si="13"/>
        <v>0</v>
      </c>
      <c r="V43" s="9">
        <f t="shared" si="13"/>
        <v>0</v>
      </c>
      <c r="W43" s="9">
        <f t="shared" si="13"/>
        <v>0</v>
      </c>
      <c r="X43" s="9">
        <f t="shared" si="13"/>
        <v>0</v>
      </c>
      <c r="Y43" s="9">
        <f t="shared" si="13"/>
        <v>0</v>
      </c>
      <c r="Z43" s="9">
        <f t="shared" si="13"/>
        <v>0</v>
      </c>
      <c r="AA43" s="9">
        <f t="shared" si="13"/>
        <v>0</v>
      </c>
      <c r="AB43" s="9">
        <f t="shared" si="13"/>
        <v>0</v>
      </c>
      <c r="AC43" s="9">
        <f t="shared" si="13"/>
        <v>0</v>
      </c>
      <c r="AD43" s="9">
        <f t="shared" si="13"/>
        <v>0</v>
      </c>
      <c r="AE43" s="9">
        <f t="shared" si="13"/>
        <v>0</v>
      </c>
      <c r="AF43" s="9">
        <f t="shared" si="13"/>
        <v>0</v>
      </c>
      <c r="AG43" s="9">
        <f t="shared" si="13"/>
        <v>0</v>
      </c>
    </row>
    <row r="44" spans="1:33" s="9" customFormat="1">
      <c r="A44" s="9">
        <f t="shared" si="12"/>
        <v>1659.095166015625</v>
      </c>
      <c r="B44" s="9">
        <f t="shared" ref="B44:AG44" si="14">B5*mult</f>
        <v>0</v>
      </c>
      <c r="C44" s="9">
        <f t="shared" si="14"/>
        <v>0</v>
      </c>
      <c r="D44" s="9">
        <f t="shared" si="14"/>
        <v>0</v>
      </c>
      <c r="E44" s="9">
        <f t="shared" si="14"/>
        <v>0</v>
      </c>
      <c r="F44" s="9">
        <f t="shared" si="14"/>
        <v>0</v>
      </c>
      <c r="G44" s="9">
        <f t="shared" si="14"/>
        <v>0</v>
      </c>
      <c r="H44" s="9">
        <f t="shared" si="14"/>
        <v>0</v>
      </c>
      <c r="I44" s="9">
        <f t="shared" si="14"/>
        <v>0</v>
      </c>
      <c r="J44" s="9">
        <f t="shared" si="14"/>
        <v>0</v>
      </c>
      <c r="K44" s="9">
        <f t="shared" si="14"/>
        <v>0</v>
      </c>
      <c r="L44" s="9">
        <f t="shared" si="14"/>
        <v>0</v>
      </c>
      <c r="M44" s="9">
        <f t="shared" si="14"/>
        <v>0</v>
      </c>
      <c r="N44" s="9">
        <f t="shared" si="14"/>
        <v>0</v>
      </c>
      <c r="O44" s="9">
        <f t="shared" si="14"/>
        <v>0</v>
      </c>
      <c r="P44" s="9">
        <f t="shared" si="14"/>
        <v>0</v>
      </c>
      <c r="Q44" s="9">
        <f t="shared" si="14"/>
        <v>0</v>
      </c>
      <c r="R44" s="9">
        <f t="shared" si="14"/>
        <v>0</v>
      </c>
      <c r="S44" s="9">
        <f t="shared" si="14"/>
        <v>0</v>
      </c>
      <c r="T44" s="9">
        <f t="shared" si="14"/>
        <v>0</v>
      </c>
      <c r="U44" s="9">
        <f t="shared" si="14"/>
        <v>0</v>
      </c>
      <c r="V44" s="9">
        <f t="shared" si="14"/>
        <v>0</v>
      </c>
      <c r="W44" s="9">
        <f t="shared" si="14"/>
        <v>0</v>
      </c>
      <c r="X44" s="9">
        <f t="shared" si="14"/>
        <v>0</v>
      </c>
      <c r="Y44" s="9">
        <f t="shared" si="14"/>
        <v>0</v>
      </c>
      <c r="Z44" s="9">
        <f t="shared" si="14"/>
        <v>0</v>
      </c>
      <c r="AA44" s="9">
        <f t="shared" si="14"/>
        <v>0</v>
      </c>
      <c r="AB44" s="9">
        <f t="shared" si="14"/>
        <v>0</v>
      </c>
      <c r="AC44" s="9">
        <f t="shared" si="14"/>
        <v>0</v>
      </c>
      <c r="AD44" s="9">
        <f t="shared" si="14"/>
        <v>0</v>
      </c>
      <c r="AE44" s="9">
        <f t="shared" si="14"/>
        <v>0</v>
      </c>
      <c r="AF44" s="9">
        <f t="shared" si="14"/>
        <v>0</v>
      </c>
      <c r="AG44" s="9">
        <f t="shared" si="14"/>
        <v>0</v>
      </c>
    </row>
    <row r="45" spans="1:33" s="9" customFormat="1">
      <c r="A45" s="9">
        <f t="shared" si="12"/>
        <v>1234.2751586914062</v>
      </c>
      <c r="B45" s="9">
        <f t="shared" ref="B45:AG45" si="15">B6*mult</f>
        <v>0</v>
      </c>
      <c r="C45" s="9">
        <f t="shared" si="15"/>
        <v>0</v>
      </c>
      <c r="D45" s="9">
        <f t="shared" si="15"/>
        <v>0</v>
      </c>
      <c r="E45" s="9">
        <f t="shared" si="15"/>
        <v>0</v>
      </c>
      <c r="F45" s="9">
        <f t="shared" si="15"/>
        <v>0</v>
      </c>
      <c r="G45" s="9">
        <f t="shared" si="15"/>
        <v>0</v>
      </c>
      <c r="H45" s="9">
        <f t="shared" si="15"/>
        <v>0</v>
      </c>
      <c r="I45" s="9">
        <f t="shared" si="15"/>
        <v>0</v>
      </c>
      <c r="J45" s="9">
        <f t="shared" si="15"/>
        <v>0</v>
      </c>
      <c r="K45" s="9">
        <f t="shared" si="15"/>
        <v>0</v>
      </c>
      <c r="L45" s="9">
        <f t="shared" si="15"/>
        <v>0</v>
      </c>
      <c r="M45" s="9">
        <f t="shared" si="15"/>
        <v>0</v>
      </c>
      <c r="N45" s="9">
        <f t="shared" si="15"/>
        <v>0</v>
      </c>
      <c r="O45" s="9">
        <f t="shared" si="15"/>
        <v>0</v>
      </c>
      <c r="P45" s="9">
        <f t="shared" si="15"/>
        <v>0</v>
      </c>
      <c r="Q45" s="9">
        <f t="shared" si="15"/>
        <v>0</v>
      </c>
      <c r="R45" s="9">
        <f t="shared" si="15"/>
        <v>0</v>
      </c>
      <c r="S45" s="9">
        <f t="shared" si="15"/>
        <v>0</v>
      </c>
      <c r="T45" s="9">
        <f t="shared" si="15"/>
        <v>0</v>
      </c>
      <c r="U45" s="9">
        <f t="shared" si="15"/>
        <v>0</v>
      </c>
      <c r="V45" s="9">
        <f t="shared" si="15"/>
        <v>0</v>
      </c>
      <c r="W45" s="9">
        <f t="shared" si="15"/>
        <v>0</v>
      </c>
      <c r="X45" s="9">
        <f t="shared" si="15"/>
        <v>0</v>
      </c>
      <c r="Y45" s="9">
        <f t="shared" si="15"/>
        <v>0</v>
      </c>
      <c r="Z45" s="9">
        <f t="shared" si="15"/>
        <v>0</v>
      </c>
      <c r="AA45" s="9">
        <f t="shared" si="15"/>
        <v>0</v>
      </c>
      <c r="AB45" s="9">
        <f t="shared" si="15"/>
        <v>0</v>
      </c>
      <c r="AC45" s="9">
        <f t="shared" si="15"/>
        <v>0</v>
      </c>
      <c r="AD45" s="9">
        <f t="shared" si="15"/>
        <v>0</v>
      </c>
      <c r="AE45" s="9">
        <f t="shared" si="15"/>
        <v>0</v>
      </c>
      <c r="AF45" s="9">
        <f t="shared" si="15"/>
        <v>0</v>
      </c>
      <c r="AG45" s="9">
        <f t="shared" si="15"/>
        <v>0</v>
      </c>
    </row>
    <row r="46" spans="1:33" s="9" customFormat="1">
      <c r="A46" s="9">
        <f t="shared" ref="A46:A55" si="16">A7</f>
        <v>924.54020385742183</v>
      </c>
      <c r="B46" s="9">
        <f t="shared" ref="B46:AG46" si="17">B7*mult</f>
        <v>0</v>
      </c>
      <c r="C46" s="9">
        <f t="shared" si="17"/>
        <v>0</v>
      </c>
      <c r="D46" s="9">
        <f t="shared" si="17"/>
        <v>0</v>
      </c>
      <c r="E46" s="9">
        <f t="shared" si="17"/>
        <v>0</v>
      </c>
      <c r="F46" s="9">
        <f t="shared" si="17"/>
        <v>0</v>
      </c>
      <c r="G46" s="9">
        <f t="shared" si="17"/>
        <v>0</v>
      </c>
      <c r="H46" s="9">
        <f t="shared" si="17"/>
        <v>0</v>
      </c>
      <c r="I46" s="9">
        <f t="shared" si="17"/>
        <v>0</v>
      </c>
      <c r="J46" s="9">
        <f t="shared" si="17"/>
        <v>0</v>
      </c>
      <c r="K46" s="9">
        <f t="shared" si="17"/>
        <v>0</v>
      </c>
      <c r="L46" s="9">
        <f t="shared" si="17"/>
        <v>0</v>
      </c>
      <c r="M46" s="9">
        <f t="shared" si="17"/>
        <v>0</v>
      </c>
      <c r="N46" s="9">
        <f t="shared" si="17"/>
        <v>0</v>
      </c>
      <c r="O46" s="9">
        <f t="shared" si="17"/>
        <v>0</v>
      </c>
      <c r="P46" s="9">
        <f t="shared" si="17"/>
        <v>0</v>
      </c>
      <c r="Q46" s="9">
        <f t="shared" si="17"/>
        <v>0</v>
      </c>
      <c r="R46" s="9">
        <f t="shared" si="17"/>
        <v>0</v>
      </c>
      <c r="S46" s="9">
        <f t="shared" si="17"/>
        <v>0</v>
      </c>
      <c r="T46" s="9">
        <f t="shared" si="17"/>
        <v>0</v>
      </c>
      <c r="U46" s="9">
        <f t="shared" si="17"/>
        <v>0</v>
      </c>
      <c r="V46" s="9">
        <f t="shared" si="17"/>
        <v>0</v>
      </c>
      <c r="W46" s="9">
        <f t="shared" si="17"/>
        <v>0</v>
      </c>
      <c r="X46" s="9">
        <f t="shared" si="17"/>
        <v>0</v>
      </c>
      <c r="Y46" s="9">
        <f t="shared" si="17"/>
        <v>0</v>
      </c>
      <c r="Z46" s="9">
        <f t="shared" si="17"/>
        <v>0</v>
      </c>
      <c r="AA46" s="9">
        <f t="shared" si="17"/>
        <v>0</v>
      </c>
      <c r="AB46" s="9">
        <f t="shared" si="17"/>
        <v>0</v>
      </c>
      <c r="AC46" s="9">
        <f t="shared" si="17"/>
        <v>0</v>
      </c>
      <c r="AD46" s="9">
        <f t="shared" si="17"/>
        <v>0</v>
      </c>
      <c r="AE46" s="9">
        <f t="shared" si="17"/>
        <v>0</v>
      </c>
      <c r="AF46" s="9">
        <f t="shared" si="17"/>
        <v>0</v>
      </c>
      <c r="AG46" s="9">
        <f t="shared" si="17"/>
        <v>0</v>
      </c>
    </row>
    <row r="47" spans="1:33" s="9" customFormat="1">
      <c r="A47" s="9">
        <f t="shared" si="16"/>
        <v>761.20014648437495</v>
      </c>
      <c r="B47" s="9">
        <f t="shared" ref="B47:AG47" si="18">B8*mult</f>
        <v>0</v>
      </c>
      <c r="C47" s="9">
        <f t="shared" si="18"/>
        <v>0</v>
      </c>
      <c r="D47" s="9">
        <f t="shared" si="18"/>
        <v>0</v>
      </c>
      <c r="E47" s="9">
        <f t="shared" si="18"/>
        <v>0</v>
      </c>
      <c r="F47" s="9">
        <f t="shared" si="18"/>
        <v>0</v>
      </c>
      <c r="G47" s="9">
        <f t="shared" si="18"/>
        <v>0</v>
      </c>
      <c r="H47" s="9">
        <f t="shared" si="18"/>
        <v>0</v>
      </c>
      <c r="I47" s="9">
        <f t="shared" si="18"/>
        <v>0</v>
      </c>
      <c r="J47" s="9">
        <f t="shared" si="18"/>
        <v>0</v>
      </c>
      <c r="K47" s="9">
        <f t="shared" si="18"/>
        <v>0</v>
      </c>
      <c r="L47" s="9">
        <f t="shared" si="18"/>
        <v>0</v>
      </c>
      <c r="M47" s="9">
        <f t="shared" si="18"/>
        <v>0</v>
      </c>
      <c r="N47" s="9">
        <f t="shared" si="18"/>
        <v>0</v>
      </c>
      <c r="O47" s="9">
        <f t="shared" si="18"/>
        <v>0</v>
      </c>
      <c r="P47" s="9">
        <f t="shared" si="18"/>
        <v>0</v>
      </c>
      <c r="Q47" s="9">
        <f t="shared" si="18"/>
        <v>0</v>
      </c>
      <c r="R47" s="9">
        <f t="shared" si="18"/>
        <v>0</v>
      </c>
      <c r="S47" s="9">
        <f t="shared" si="18"/>
        <v>0</v>
      </c>
      <c r="T47" s="9">
        <f t="shared" si="18"/>
        <v>0</v>
      </c>
      <c r="U47" s="9">
        <f t="shared" si="18"/>
        <v>0</v>
      </c>
      <c r="V47" s="9">
        <f t="shared" si="18"/>
        <v>0</v>
      </c>
      <c r="W47" s="9">
        <f t="shared" si="18"/>
        <v>0</v>
      </c>
      <c r="X47" s="9">
        <f t="shared" si="18"/>
        <v>0</v>
      </c>
      <c r="Y47" s="9">
        <f t="shared" si="18"/>
        <v>0</v>
      </c>
      <c r="Z47" s="9">
        <f t="shared" si="18"/>
        <v>0</v>
      </c>
      <c r="AA47" s="9">
        <f t="shared" si="18"/>
        <v>0</v>
      </c>
      <c r="AB47" s="9">
        <f t="shared" si="18"/>
        <v>0</v>
      </c>
      <c r="AC47" s="9">
        <f t="shared" si="18"/>
        <v>0</v>
      </c>
      <c r="AD47" s="9">
        <f t="shared" si="18"/>
        <v>0</v>
      </c>
      <c r="AE47" s="9">
        <f t="shared" si="18"/>
        <v>0</v>
      </c>
      <c r="AF47" s="9">
        <f t="shared" si="18"/>
        <v>0</v>
      </c>
      <c r="AG47" s="9">
        <f t="shared" si="18"/>
        <v>0</v>
      </c>
    </row>
    <row r="48" spans="1:33" s="9" customFormat="1">
      <c r="A48" s="9">
        <f t="shared" si="16"/>
        <v>618.7050842285156</v>
      </c>
      <c r="B48" s="9">
        <f t="shared" ref="B48:AG48" si="19">B9*mult</f>
        <v>0</v>
      </c>
      <c r="C48" s="9">
        <f t="shared" si="19"/>
        <v>0</v>
      </c>
      <c r="D48" s="9">
        <f t="shared" si="19"/>
        <v>0</v>
      </c>
      <c r="E48" s="9">
        <f t="shared" si="19"/>
        <v>0</v>
      </c>
      <c r="F48" s="9">
        <f t="shared" si="19"/>
        <v>0</v>
      </c>
      <c r="G48" s="9">
        <f t="shared" si="19"/>
        <v>0</v>
      </c>
      <c r="H48" s="9">
        <f t="shared" si="19"/>
        <v>0</v>
      </c>
      <c r="I48" s="9">
        <f t="shared" si="19"/>
        <v>0</v>
      </c>
      <c r="J48" s="9">
        <f t="shared" si="19"/>
        <v>0</v>
      </c>
      <c r="K48" s="9">
        <f t="shared" si="19"/>
        <v>0</v>
      </c>
      <c r="L48" s="9">
        <f t="shared" si="19"/>
        <v>0</v>
      </c>
      <c r="M48" s="9">
        <f t="shared" si="19"/>
        <v>0</v>
      </c>
      <c r="N48" s="9">
        <f t="shared" si="19"/>
        <v>0</v>
      </c>
      <c r="O48" s="9">
        <f t="shared" si="19"/>
        <v>0</v>
      </c>
      <c r="P48" s="9">
        <f t="shared" si="19"/>
        <v>0</v>
      </c>
      <c r="Q48" s="9">
        <f t="shared" si="19"/>
        <v>0</v>
      </c>
      <c r="R48" s="9">
        <f t="shared" si="19"/>
        <v>0</v>
      </c>
      <c r="S48" s="9">
        <f t="shared" si="19"/>
        <v>0</v>
      </c>
      <c r="T48" s="9">
        <f t="shared" si="19"/>
        <v>0</v>
      </c>
      <c r="U48" s="9">
        <f t="shared" si="19"/>
        <v>0</v>
      </c>
      <c r="V48" s="9">
        <f t="shared" si="19"/>
        <v>0</v>
      </c>
      <c r="W48" s="9">
        <f t="shared" si="19"/>
        <v>0</v>
      </c>
      <c r="X48" s="9">
        <f t="shared" si="19"/>
        <v>0</v>
      </c>
      <c r="Y48" s="9">
        <f t="shared" si="19"/>
        <v>0</v>
      </c>
      <c r="Z48" s="9">
        <f t="shared" si="19"/>
        <v>0</v>
      </c>
      <c r="AA48" s="9">
        <f t="shared" si="19"/>
        <v>0</v>
      </c>
      <c r="AB48" s="9">
        <f t="shared" si="19"/>
        <v>0</v>
      </c>
      <c r="AC48" s="9">
        <f t="shared" si="19"/>
        <v>0</v>
      </c>
      <c r="AD48" s="9">
        <f t="shared" si="19"/>
        <v>0</v>
      </c>
      <c r="AE48" s="9">
        <f t="shared" si="19"/>
        <v>0</v>
      </c>
      <c r="AF48" s="9">
        <f t="shared" si="19"/>
        <v>0</v>
      </c>
      <c r="AG48" s="9">
        <f t="shared" si="19"/>
        <v>0</v>
      </c>
    </row>
    <row r="49" spans="1:41" s="9" customFormat="1">
      <c r="A49" s="9">
        <f t="shared" si="16"/>
        <v>506.39999389648438</v>
      </c>
      <c r="B49" s="9">
        <f t="shared" ref="B49:AG49" si="20">B10*mult</f>
        <v>0</v>
      </c>
      <c r="C49" s="9">
        <f t="shared" si="20"/>
        <v>0</v>
      </c>
      <c r="D49" s="9">
        <f t="shared" si="20"/>
        <v>0</v>
      </c>
      <c r="E49" s="9">
        <f t="shared" si="20"/>
        <v>0</v>
      </c>
      <c r="F49" s="9">
        <f t="shared" si="20"/>
        <v>0</v>
      </c>
      <c r="G49" s="9">
        <f t="shared" si="20"/>
        <v>0</v>
      </c>
      <c r="H49" s="9">
        <f t="shared" si="20"/>
        <v>0</v>
      </c>
      <c r="I49" s="9">
        <f t="shared" si="20"/>
        <v>0</v>
      </c>
      <c r="J49" s="9">
        <f t="shared" si="20"/>
        <v>0</v>
      </c>
      <c r="K49" s="9">
        <f t="shared" si="20"/>
        <v>0</v>
      </c>
      <c r="L49" s="9">
        <f t="shared" si="20"/>
        <v>0</v>
      </c>
      <c r="M49" s="9">
        <f t="shared" si="20"/>
        <v>0</v>
      </c>
      <c r="N49" s="9">
        <f t="shared" si="20"/>
        <v>0</v>
      </c>
      <c r="O49" s="9">
        <f t="shared" si="20"/>
        <v>0</v>
      </c>
      <c r="P49" s="9">
        <f t="shared" si="20"/>
        <v>0</v>
      </c>
      <c r="Q49" s="9">
        <f t="shared" si="20"/>
        <v>0</v>
      </c>
      <c r="R49" s="9">
        <f t="shared" si="20"/>
        <v>0</v>
      </c>
      <c r="S49" s="9">
        <f t="shared" si="20"/>
        <v>0</v>
      </c>
      <c r="T49" s="9">
        <f t="shared" si="20"/>
        <v>0</v>
      </c>
      <c r="U49" s="9">
        <f t="shared" si="20"/>
        <v>0</v>
      </c>
      <c r="V49" s="9">
        <f t="shared" si="20"/>
        <v>0</v>
      </c>
      <c r="W49" s="9">
        <f t="shared" si="20"/>
        <v>0</v>
      </c>
      <c r="X49" s="9">
        <f t="shared" si="20"/>
        <v>0</v>
      </c>
      <c r="Y49" s="9">
        <f t="shared" si="20"/>
        <v>0</v>
      </c>
      <c r="Z49" s="9">
        <f t="shared" si="20"/>
        <v>0</v>
      </c>
      <c r="AA49" s="9">
        <f t="shared" si="20"/>
        <v>0</v>
      </c>
      <c r="AB49" s="9">
        <f t="shared" si="20"/>
        <v>0</v>
      </c>
      <c r="AC49" s="9">
        <f t="shared" si="20"/>
        <v>0</v>
      </c>
      <c r="AD49" s="9">
        <f t="shared" si="20"/>
        <v>0</v>
      </c>
      <c r="AE49" s="9">
        <f t="shared" si="20"/>
        <v>0</v>
      </c>
      <c r="AF49" s="9">
        <f t="shared" si="20"/>
        <v>0</v>
      </c>
      <c r="AG49" s="9">
        <f t="shared" si="20"/>
        <v>0</v>
      </c>
    </row>
    <row r="50" spans="1:41" s="9" customFormat="1">
      <c r="A50" s="9">
        <f t="shared" si="16"/>
        <v>421.14996337890625</v>
      </c>
      <c r="B50" s="9">
        <f t="shared" ref="B50:AG50" si="21">B11*mult</f>
        <v>0</v>
      </c>
      <c r="C50" s="9">
        <f t="shared" si="21"/>
        <v>0</v>
      </c>
      <c r="D50" s="9">
        <f t="shared" si="21"/>
        <v>0</v>
      </c>
      <c r="E50" s="9">
        <f t="shared" si="21"/>
        <v>0</v>
      </c>
      <c r="F50" s="9">
        <f t="shared" si="21"/>
        <v>0</v>
      </c>
      <c r="G50" s="9">
        <f t="shared" si="21"/>
        <v>0</v>
      </c>
      <c r="H50" s="9">
        <f t="shared" si="21"/>
        <v>0</v>
      </c>
      <c r="I50" s="9">
        <f t="shared" si="21"/>
        <v>0</v>
      </c>
      <c r="J50" s="9">
        <f t="shared" si="21"/>
        <v>0</v>
      </c>
      <c r="K50" s="9">
        <f t="shared" si="21"/>
        <v>0</v>
      </c>
      <c r="L50" s="9">
        <f t="shared" si="21"/>
        <v>0</v>
      </c>
      <c r="M50" s="9">
        <f t="shared" si="21"/>
        <v>0</v>
      </c>
      <c r="N50" s="9">
        <f t="shared" si="21"/>
        <v>0</v>
      </c>
      <c r="O50" s="9">
        <f t="shared" si="21"/>
        <v>0</v>
      </c>
      <c r="P50" s="9">
        <f t="shared" si="21"/>
        <v>0</v>
      </c>
      <c r="Q50" s="9">
        <f t="shared" si="21"/>
        <v>0</v>
      </c>
      <c r="R50" s="9">
        <f t="shared" si="21"/>
        <v>0</v>
      </c>
      <c r="S50" s="9">
        <f t="shared" si="21"/>
        <v>0</v>
      </c>
      <c r="T50" s="9">
        <f t="shared" si="21"/>
        <v>0</v>
      </c>
      <c r="U50" s="9">
        <f t="shared" si="21"/>
        <v>0</v>
      </c>
      <c r="V50" s="9">
        <f t="shared" si="21"/>
        <v>0</v>
      </c>
      <c r="W50" s="9">
        <f t="shared" si="21"/>
        <v>0</v>
      </c>
      <c r="X50" s="9">
        <f t="shared" si="21"/>
        <v>0</v>
      </c>
      <c r="Y50" s="9">
        <f t="shared" si="21"/>
        <v>0</v>
      </c>
      <c r="Z50" s="9">
        <f t="shared" si="21"/>
        <v>0</v>
      </c>
      <c r="AA50" s="9">
        <f t="shared" si="21"/>
        <v>0</v>
      </c>
      <c r="AB50" s="9">
        <f t="shared" si="21"/>
        <v>0</v>
      </c>
      <c r="AC50" s="9">
        <f t="shared" si="21"/>
        <v>0</v>
      </c>
      <c r="AD50" s="9">
        <f t="shared" si="21"/>
        <v>0</v>
      </c>
      <c r="AE50" s="9">
        <f t="shared" si="21"/>
        <v>0</v>
      </c>
      <c r="AF50" s="9">
        <f t="shared" si="21"/>
        <v>0</v>
      </c>
      <c r="AG50" s="9">
        <f t="shared" si="21"/>
        <v>0</v>
      </c>
    </row>
    <row r="51" spans="1:41" s="9" customFormat="1">
      <c r="A51" s="9">
        <f t="shared" si="16"/>
        <v>313.39996337890625</v>
      </c>
      <c r="B51" s="9">
        <f t="shared" ref="B51:AG51" si="22">B12*mult</f>
        <v>0</v>
      </c>
      <c r="C51" s="9">
        <f t="shared" si="22"/>
        <v>0</v>
      </c>
      <c r="D51" s="9">
        <f t="shared" si="22"/>
        <v>0</v>
      </c>
      <c r="E51" s="9">
        <f t="shared" si="22"/>
        <v>0</v>
      </c>
      <c r="F51" s="9">
        <f t="shared" si="22"/>
        <v>0</v>
      </c>
      <c r="G51" s="9">
        <f t="shared" si="22"/>
        <v>0</v>
      </c>
      <c r="H51" s="9">
        <f t="shared" si="22"/>
        <v>0</v>
      </c>
      <c r="I51" s="9">
        <f t="shared" si="22"/>
        <v>0</v>
      </c>
      <c r="J51" s="9">
        <f t="shared" si="22"/>
        <v>0</v>
      </c>
      <c r="K51" s="9">
        <f t="shared" si="22"/>
        <v>0</v>
      </c>
      <c r="L51" s="9">
        <f t="shared" si="22"/>
        <v>0</v>
      </c>
      <c r="M51" s="9">
        <f t="shared" si="22"/>
        <v>0</v>
      </c>
      <c r="N51" s="9">
        <f t="shared" si="22"/>
        <v>0</v>
      </c>
      <c r="O51" s="9">
        <f t="shared" si="22"/>
        <v>0</v>
      </c>
      <c r="P51" s="9">
        <f t="shared" si="22"/>
        <v>0</v>
      </c>
      <c r="Q51" s="9">
        <f t="shared" si="22"/>
        <v>0</v>
      </c>
      <c r="R51" s="9">
        <f t="shared" si="22"/>
        <v>0</v>
      </c>
      <c r="S51" s="9">
        <f t="shared" si="22"/>
        <v>0</v>
      </c>
      <c r="T51" s="9">
        <f t="shared" si="22"/>
        <v>0</v>
      </c>
      <c r="U51" s="9">
        <f t="shared" si="22"/>
        <v>0</v>
      </c>
      <c r="V51" s="9">
        <f t="shared" si="22"/>
        <v>0</v>
      </c>
      <c r="W51" s="9">
        <f t="shared" si="22"/>
        <v>0</v>
      </c>
      <c r="X51" s="9">
        <f t="shared" si="22"/>
        <v>0</v>
      </c>
      <c r="Y51" s="9">
        <f t="shared" si="22"/>
        <v>0</v>
      </c>
      <c r="Z51" s="9">
        <f t="shared" si="22"/>
        <v>0</v>
      </c>
      <c r="AA51" s="9">
        <f t="shared" si="22"/>
        <v>0</v>
      </c>
      <c r="AB51" s="9">
        <f t="shared" si="22"/>
        <v>0</v>
      </c>
      <c r="AC51" s="9">
        <f t="shared" si="22"/>
        <v>0</v>
      </c>
      <c r="AD51" s="9">
        <f t="shared" si="22"/>
        <v>0</v>
      </c>
      <c r="AE51" s="9">
        <f t="shared" si="22"/>
        <v>0</v>
      </c>
      <c r="AF51" s="9">
        <f t="shared" si="22"/>
        <v>0</v>
      </c>
      <c r="AG51" s="9">
        <f t="shared" si="22"/>
        <v>0</v>
      </c>
    </row>
    <row r="52" spans="1:41" s="9" customFormat="1">
      <c r="A52" s="9">
        <f t="shared" si="16"/>
        <v>283.35547790527346</v>
      </c>
      <c r="B52" s="9">
        <f t="shared" ref="B52:AG52" si="23">B13*mult</f>
        <v>0</v>
      </c>
      <c r="C52" s="9">
        <f t="shared" si="23"/>
        <v>0</v>
      </c>
      <c r="D52" s="9">
        <f t="shared" si="23"/>
        <v>0</v>
      </c>
      <c r="E52" s="9">
        <f t="shared" si="23"/>
        <v>0</v>
      </c>
      <c r="F52" s="9">
        <f t="shared" si="23"/>
        <v>0</v>
      </c>
      <c r="G52" s="9">
        <f t="shared" si="23"/>
        <v>0</v>
      </c>
      <c r="H52" s="9">
        <f t="shared" si="23"/>
        <v>0</v>
      </c>
      <c r="I52" s="9">
        <f t="shared" si="23"/>
        <v>0</v>
      </c>
      <c r="J52" s="9">
        <f t="shared" si="23"/>
        <v>0</v>
      </c>
      <c r="K52" s="9">
        <f t="shared" si="23"/>
        <v>0</v>
      </c>
      <c r="L52" s="9">
        <f t="shared" si="23"/>
        <v>0</v>
      </c>
      <c r="M52" s="9">
        <f t="shared" si="23"/>
        <v>0</v>
      </c>
      <c r="N52" s="9">
        <f t="shared" si="23"/>
        <v>0</v>
      </c>
      <c r="O52" s="9">
        <f t="shared" si="23"/>
        <v>0</v>
      </c>
      <c r="P52" s="9">
        <f t="shared" si="23"/>
        <v>0</v>
      </c>
      <c r="Q52" s="9">
        <f t="shared" si="23"/>
        <v>0</v>
      </c>
      <c r="R52" s="9">
        <f t="shared" si="23"/>
        <v>0</v>
      </c>
      <c r="S52" s="9">
        <f t="shared" si="23"/>
        <v>0</v>
      </c>
      <c r="T52" s="9">
        <f t="shared" si="23"/>
        <v>0</v>
      </c>
      <c r="U52" s="9">
        <f t="shared" si="23"/>
        <v>0</v>
      </c>
      <c r="V52" s="9">
        <f t="shared" si="23"/>
        <v>0</v>
      </c>
      <c r="W52" s="9">
        <f t="shared" si="23"/>
        <v>0</v>
      </c>
      <c r="X52" s="9">
        <f t="shared" si="23"/>
        <v>0</v>
      </c>
      <c r="Y52" s="9">
        <f t="shared" si="23"/>
        <v>0</v>
      </c>
      <c r="Z52" s="9">
        <f t="shared" si="23"/>
        <v>0</v>
      </c>
      <c r="AA52" s="9">
        <f t="shared" si="23"/>
        <v>0</v>
      </c>
      <c r="AB52" s="9">
        <f t="shared" si="23"/>
        <v>0</v>
      </c>
      <c r="AC52" s="9">
        <f t="shared" si="23"/>
        <v>0</v>
      </c>
      <c r="AD52" s="9">
        <f t="shared" si="23"/>
        <v>0</v>
      </c>
      <c r="AE52" s="9">
        <f t="shared" si="23"/>
        <v>0</v>
      </c>
      <c r="AF52" s="9">
        <f t="shared" si="23"/>
        <v>0</v>
      </c>
      <c r="AG52" s="9">
        <f t="shared" si="23"/>
        <v>0</v>
      </c>
    </row>
    <row r="53" spans="1:41" s="9" customFormat="1">
      <c r="A53" s="9">
        <f t="shared" si="16"/>
        <v>233.5469970703125</v>
      </c>
      <c r="B53" s="9">
        <f t="shared" ref="B53:AG53" si="24">B14*mult</f>
        <v>0</v>
      </c>
      <c r="C53" s="9">
        <f t="shared" si="24"/>
        <v>0</v>
      </c>
      <c r="D53" s="9">
        <f t="shared" si="24"/>
        <v>0</v>
      </c>
      <c r="E53" s="9">
        <f t="shared" si="24"/>
        <v>0</v>
      </c>
      <c r="F53" s="9">
        <f t="shared" si="24"/>
        <v>0</v>
      </c>
      <c r="G53" s="9">
        <f t="shared" si="24"/>
        <v>0</v>
      </c>
      <c r="H53" s="9">
        <f t="shared" si="24"/>
        <v>0</v>
      </c>
      <c r="I53" s="9">
        <f t="shared" si="24"/>
        <v>0</v>
      </c>
      <c r="J53" s="9">
        <f t="shared" si="24"/>
        <v>0</v>
      </c>
      <c r="K53" s="9">
        <f t="shared" si="24"/>
        <v>0</v>
      </c>
      <c r="L53" s="9">
        <f t="shared" si="24"/>
        <v>0</v>
      </c>
      <c r="M53" s="9">
        <f t="shared" si="24"/>
        <v>0</v>
      </c>
      <c r="N53" s="9">
        <f t="shared" si="24"/>
        <v>0</v>
      </c>
      <c r="O53" s="9">
        <f t="shared" si="24"/>
        <v>0</v>
      </c>
      <c r="P53" s="9">
        <f t="shared" si="24"/>
        <v>0</v>
      </c>
      <c r="Q53" s="9">
        <f t="shared" si="24"/>
        <v>0</v>
      </c>
      <c r="R53" s="9">
        <f t="shared" si="24"/>
        <v>0</v>
      </c>
      <c r="S53" s="9">
        <f t="shared" si="24"/>
        <v>0</v>
      </c>
      <c r="T53" s="9">
        <f t="shared" si="24"/>
        <v>0</v>
      </c>
      <c r="U53" s="9">
        <f t="shared" si="24"/>
        <v>0</v>
      </c>
      <c r="V53" s="9">
        <f t="shared" si="24"/>
        <v>0</v>
      </c>
      <c r="W53" s="9">
        <f t="shared" si="24"/>
        <v>0</v>
      </c>
      <c r="X53" s="9">
        <f t="shared" si="24"/>
        <v>0</v>
      </c>
      <c r="Y53" s="9">
        <f t="shared" si="24"/>
        <v>0</v>
      </c>
      <c r="Z53" s="9">
        <f t="shared" si="24"/>
        <v>0</v>
      </c>
      <c r="AA53" s="9">
        <f t="shared" si="24"/>
        <v>0</v>
      </c>
      <c r="AB53" s="9">
        <f t="shared" si="24"/>
        <v>0</v>
      </c>
      <c r="AC53" s="9">
        <f t="shared" si="24"/>
        <v>0</v>
      </c>
      <c r="AD53" s="9">
        <f t="shared" si="24"/>
        <v>0</v>
      </c>
      <c r="AE53" s="9">
        <f t="shared" si="24"/>
        <v>0</v>
      </c>
      <c r="AF53" s="9">
        <f t="shared" si="24"/>
        <v>0</v>
      </c>
      <c r="AG53" s="9">
        <f t="shared" si="24"/>
        <v>0</v>
      </c>
    </row>
    <row r="54" spans="1:41" s="9" customFormat="1">
      <c r="A54" s="9">
        <f t="shared" si="16"/>
        <v>188.09650726318358</v>
      </c>
      <c r="B54" s="9">
        <f t="shared" ref="B54:AG54" si="25">B15*mult</f>
        <v>0</v>
      </c>
      <c r="C54" s="9">
        <f t="shared" si="25"/>
        <v>0</v>
      </c>
      <c r="D54" s="9">
        <f t="shared" si="25"/>
        <v>0</v>
      </c>
      <c r="E54" s="9">
        <f t="shared" si="25"/>
        <v>0</v>
      </c>
      <c r="F54" s="9">
        <f t="shared" si="25"/>
        <v>0</v>
      </c>
      <c r="G54" s="9">
        <f t="shared" si="25"/>
        <v>0</v>
      </c>
      <c r="H54" s="9">
        <f t="shared" si="25"/>
        <v>0</v>
      </c>
      <c r="I54" s="9">
        <f t="shared" si="25"/>
        <v>0</v>
      </c>
      <c r="J54" s="9">
        <f t="shared" si="25"/>
        <v>0</v>
      </c>
      <c r="K54" s="9">
        <f t="shared" si="25"/>
        <v>0</v>
      </c>
      <c r="L54" s="9">
        <f t="shared" si="25"/>
        <v>0</v>
      </c>
      <c r="M54" s="9">
        <f t="shared" si="25"/>
        <v>0</v>
      </c>
      <c r="N54" s="9">
        <f t="shared" si="25"/>
        <v>0</v>
      </c>
      <c r="O54" s="9">
        <f t="shared" si="25"/>
        <v>0</v>
      </c>
      <c r="P54" s="9">
        <f t="shared" si="25"/>
        <v>0</v>
      </c>
      <c r="Q54" s="9">
        <f t="shared" si="25"/>
        <v>0</v>
      </c>
      <c r="R54" s="9">
        <f t="shared" si="25"/>
        <v>0</v>
      </c>
      <c r="S54" s="9">
        <f t="shared" si="25"/>
        <v>0</v>
      </c>
      <c r="T54" s="9">
        <f t="shared" si="25"/>
        <v>0</v>
      </c>
      <c r="U54" s="9">
        <f t="shared" si="25"/>
        <v>0</v>
      </c>
      <c r="V54" s="9">
        <f t="shared" si="25"/>
        <v>0</v>
      </c>
      <c r="W54" s="9">
        <f t="shared" si="25"/>
        <v>0</v>
      </c>
      <c r="X54" s="9">
        <f t="shared" si="25"/>
        <v>0</v>
      </c>
      <c r="Y54" s="9">
        <f t="shared" si="25"/>
        <v>0</v>
      </c>
      <c r="Z54" s="9">
        <f t="shared" si="25"/>
        <v>0</v>
      </c>
      <c r="AA54" s="9">
        <f t="shared" si="25"/>
        <v>0</v>
      </c>
      <c r="AB54" s="9">
        <f t="shared" si="25"/>
        <v>0</v>
      </c>
      <c r="AC54" s="9">
        <f t="shared" si="25"/>
        <v>0</v>
      </c>
      <c r="AD54" s="9">
        <f t="shared" si="25"/>
        <v>0</v>
      </c>
      <c r="AE54" s="9">
        <f t="shared" si="25"/>
        <v>0</v>
      </c>
      <c r="AF54" s="9">
        <f t="shared" si="25"/>
        <v>0</v>
      </c>
      <c r="AG54" s="9">
        <f t="shared" si="25"/>
        <v>0</v>
      </c>
    </row>
    <row r="55" spans="1:41" s="9" customFormat="1">
      <c r="A55" s="9">
        <f t="shared" si="16"/>
        <v>156.44500579833985</v>
      </c>
      <c r="B55" s="9">
        <f t="shared" ref="B55:AG55" si="26">B16*mult</f>
        <v>0</v>
      </c>
      <c r="C55" s="9">
        <f t="shared" si="26"/>
        <v>0</v>
      </c>
      <c r="D55" s="9">
        <f t="shared" si="26"/>
        <v>0</v>
      </c>
      <c r="E55" s="9">
        <f t="shared" si="26"/>
        <v>0</v>
      </c>
      <c r="F55" s="9">
        <f t="shared" si="26"/>
        <v>0</v>
      </c>
      <c r="G55" s="9">
        <f t="shared" si="26"/>
        <v>0</v>
      </c>
      <c r="H55" s="9">
        <f t="shared" si="26"/>
        <v>0</v>
      </c>
      <c r="I55" s="9">
        <f t="shared" si="26"/>
        <v>0</v>
      </c>
      <c r="J55" s="9">
        <f t="shared" si="26"/>
        <v>0</v>
      </c>
      <c r="K55" s="9">
        <f t="shared" si="26"/>
        <v>0</v>
      </c>
      <c r="L55" s="9">
        <f t="shared" si="26"/>
        <v>0</v>
      </c>
      <c r="M55" s="9">
        <f t="shared" si="26"/>
        <v>0</v>
      </c>
      <c r="N55" s="9">
        <f t="shared" si="26"/>
        <v>0</v>
      </c>
      <c r="O55" s="9">
        <f t="shared" si="26"/>
        <v>0</v>
      </c>
      <c r="P55" s="9">
        <f t="shared" si="26"/>
        <v>0</v>
      </c>
      <c r="Q55" s="9">
        <f t="shared" si="26"/>
        <v>0</v>
      </c>
      <c r="R55" s="9">
        <f t="shared" si="26"/>
        <v>0</v>
      </c>
      <c r="S55" s="9">
        <f t="shared" si="26"/>
        <v>0</v>
      </c>
      <c r="T55" s="9">
        <f t="shared" si="26"/>
        <v>0</v>
      </c>
      <c r="U55" s="9">
        <f t="shared" si="26"/>
        <v>0</v>
      </c>
      <c r="V55" s="9">
        <f t="shared" si="26"/>
        <v>0</v>
      </c>
      <c r="W55" s="9">
        <f t="shared" si="26"/>
        <v>0</v>
      </c>
      <c r="X55" s="9">
        <f t="shared" si="26"/>
        <v>0</v>
      </c>
      <c r="Y55" s="9">
        <f t="shared" si="26"/>
        <v>0</v>
      </c>
      <c r="Z55" s="9">
        <f t="shared" si="26"/>
        <v>0</v>
      </c>
      <c r="AA55" s="9">
        <f t="shared" si="26"/>
        <v>0</v>
      </c>
      <c r="AB55" s="9">
        <f t="shared" si="26"/>
        <v>0</v>
      </c>
      <c r="AC55" s="9">
        <f t="shared" si="26"/>
        <v>0</v>
      </c>
      <c r="AD55" s="9">
        <f t="shared" si="26"/>
        <v>0</v>
      </c>
      <c r="AE55" s="9">
        <f t="shared" si="26"/>
        <v>0</v>
      </c>
      <c r="AF55" s="9">
        <f t="shared" si="26"/>
        <v>0</v>
      </c>
      <c r="AG55" s="9">
        <f t="shared" si="26"/>
        <v>0</v>
      </c>
    </row>
    <row r="56" spans="1:41">
      <c r="A56" s="9">
        <f>A17</f>
        <v>116.47100143432617</v>
      </c>
      <c r="B56" s="9">
        <f t="shared" ref="B56:AG56" si="27">B17*mult</f>
        <v>0</v>
      </c>
      <c r="C56" s="9">
        <f t="shared" si="27"/>
        <v>0</v>
      </c>
      <c r="D56" s="9">
        <f t="shared" si="27"/>
        <v>0</v>
      </c>
      <c r="E56" s="9">
        <f t="shared" si="27"/>
        <v>0</v>
      </c>
      <c r="F56" s="9">
        <f t="shared" si="27"/>
        <v>0</v>
      </c>
      <c r="G56" s="9">
        <f t="shared" si="27"/>
        <v>0</v>
      </c>
      <c r="H56" s="9">
        <f t="shared" si="27"/>
        <v>0</v>
      </c>
      <c r="I56" s="9">
        <f t="shared" si="27"/>
        <v>0</v>
      </c>
      <c r="J56" s="9">
        <f t="shared" si="27"/>
        <v>0</v>
      </c>
      <c r="K56" s="9">
        <f t="shared" si="27"/>
        <v>0</v>
      </c>
      <c r="L56" s="9">
        <f t="shared" si="27"/>
        <v>0</v>
      </c>
      <c r="M56" s="9">
        <f t="shared" si="27"/>
        <v>0</v>
      </c>
      <c r="N56" s="9">
        <f t="shared" si="27"/>
        <v>0</v>
      </c>
      <c r="O56" s="9">
        <f t="shared" si="27"/>
        <v>0</v>
      </c>
      <c r="P56" s="9">
        <f t="shared" si="27"/>
        <v>0</v>
      </c>
      <c r="Q56" s="9">
        <f t="shared" si="27"/>
        <v>0</v>
      </c>
      <c r="R56" s="9">
        <f t="shared" si="27"/>
        <v>0</v>
      </c>
      <c r="S56" s="9">
        <f t="shared" si="27"/>
        <v>0</v>
      </c>
      <c r="T56" s="9">
        <f t="shared" si="27"/>
        <v>0</v>
      </c>
      <c r="U56" s="9">
        <f t="shared" si="27"/>
        <v>0</v>
      </c>
      <c r="V56" s="9">
        <f t="shared" si="27"/>
        <v>0</v>
      </c>
      <c r="W56" s="9">
        <f t="shared" si="27"/>
        <v>0</v>
      </c>
      <c r="X56" s="9">
        <f t="shared" si="27"/>
        <v>0</v>
      </c>
      <c r="Y56" s="9">
        <f t="shared" si="27"/>
        <v>0</v>
      </c>
      <c r="Z56" s="9">
        <f t="shared" si="27"/>
        <v>0</v>
      </c>
      <c r="AA56" s="9">
        <f t="shared" si="27"/>
        <v>0</v>
      </c>
      <c r="AB56" s="9">
        <f t="shared" si="27"/>
        <v>0</v>
      </c>
      <c r="AC56" s="9">
        <f t="shared" si="27"/>
        <v>0</v>
      </c>
      <c r="AD56" s="9">
        <f t="shared" si="27"/>
        <v>0</v>
      </c>
      <c r="AE56" s="9">
        <f t="shared" si="27"/>
        <v>0</v>
      </c>
      <c r="AF56" s="9">
        <f t="shared" si="27"/>
        <v>0</v>
      </c>
      <c r="AG56" s="9">
        <f t="shared" si="27"/>
        <v>0</v>
      </c>
      <c r="AH56" s="9"/>
      <c r="AI56" s="9"/>
      <c r="AJ56" s="9"/>
      <c r="AK56" s="9"/>
      <c r="AM56" s="9"/>
      <c r="AN56" s="9"/>
      <c r="AO56" s="9"/>
    </row>
    <row r="57" spans="1:41">
      <c r="A57" s="9">
        <f>A18</f>
        <v>87.306494903564456</v>
      </c>
      <c r="B57" s="9">
        <f t="shared" ref="B57:AG57" si="28">B18*mult</f>
        <v>0</v>
      </c>
      <c r="C57" s="9">
        <f t="shared" si="28"/>
        <v>0</v>
      </c>
      <c r="D57" s="9">
        <f t="shared" si="28"/>
        <v>0</v>
      </c>
      <c r="E57" s="9">
        <f t="shared" si="28"/>
        <v>0</v>
      </c>
      <c r="F57" s="9">
        <f t="shared" si="28"/>
        <v>0</v>
      </c>
      <c r="G57" s="9">
        <f t="shared" si="28"/>
        <v>0</v>
      </c>
      <c r="H57" s="9">
        <f t="shared" si="28"/>
        <v>0</v>
      </c>
      <c r="I57" s="9">
        <f t="shared" si="28"/>
        <v>0</v>
      </c>
      <c r="J57" s="9">
        <f t="shared" si="28"/>
        <v>0</v>
      </c>
      <c r="K57" s="9">
        <f t="shared" si="28"/>
        <v>0</v>
      </c>
      <c r="L57" s="9">
        <f t="shared" si="28"/>
        <v>0</v>
      </c>
      <c r="M57" s="9">
        <f t="shared" si="28"/>
        <v>0</v>
      </c>
      <c r="N57" s="9">
        <f t="shared" si="28"/>
        <v>0</v>
      </c>
      <c r="O57" s="9">
        <f t="shared" si="28"/>
        <v>0</v>
      </c>
      <c r="P57" s="9">
        <f t="shared" si="28"/>
        <v>0</v>
      </c>
      <c r="Q57" s="9">
        <f t="shared" si="28"/>
        <v>0</v>
      </c>
      <c r="R57" s="9">
        <f t="shared" si="28"/>
        <v>0</v>
      </c>
      <c r="S57" s="9">
        <f t="shared" si="28"/>
        <v>0</v>
      </c>
      <c r="T57" s="9">
        <f t="shared" si="28"/>
        <v>0</v>
      </c>
      <c r="U57" s="9">
        <f t="shared" si="28"/>
        <v>0</v>
      </c>
      <c r="V57" s="9">
        <f t="shared" si="28"/>
        <v>0</v>
      </c>
      <c r="W57" s="9">
        <f t="shared" si="28"/>
        <v>0</v>
      </c>
      <c r="X57" s="9">
        <f t="shared" si="28"/>
        <v>0</v>
      </c>
      <c r="Y57" s="9">
        <f t="shared" si="28"/>
        <v>0</v>
      </c>
      <c r="Z57" s="9">
        <f t="shared" si="28"/>
        <v>0</v>
      </c>
      <c r="AA57" s="9">
        <f t="shared" si="28"/>
        <v>0</v>
      </c>
      <c r="AB57" s="9">
        <f t="shared" si="28"/>
        <v>0</v>
      </c>
      <c r="AC57" s="9">
        <f t="shared" si="28"/>
        <v>0</v>
      </c>
      <c r="AD57" s="9">
        <f t="shared" si="28"/>
        <v>0</v>
      </c>
      <c r="AE57" s="9">
        <f t="shared" si="28"/>
        <v>0</v>
      </c>
      <c r="AF57" s="9">
        <f t="shared" si="28"/>
        <v>0</v>
      </c>
      <c r="AG57" s="9">
        <f t="shared" si="28"/>
        <v>0</v>
      </c>
      <c r="AH57" s="9"/>
      <c r="AI57" s="9"/>
      <c r="AJ57" s="9"/>
      <c r="AK57" s="9"/>
      <c r="AM57" s="9"/>
      <c r="AN57" s="9"/>
      <c r="AO57" s="9"/>
    </row>
    <row r="58" spans="1:41">
      <c r="A58" s="9">
        <f>A19</f>
        <v>21.315652084350585</v>
      </c>
      <c r="B58" s="9">
        <f t="shared" ref="B58:AG58" si="29">B19*mult</f>
        <v>0</v>
      </c>
      <c r="C58" s="9">
        <f t="shared" si="29"/>
        <v>0</v>
      </c>
      <c r="D58" s="9">
        <f t="shared" si="29"/>
        <v>0</v>
      </c>
      <c r="E58" s="9">
        <f t="shared" si="29"/>
        <v>0</v>
      </c>
      <c r="F58" s="9">
        <f t="shared" si="29"/>
        <v>0</v>
      </c>
      <c r="G58" s="9">
        <f t="shared" si="29"/>
        <v>0</v>
      </c>
      <c r="H58" s="9">
        <f t="shared" si="29"/>
        <v>0</v>
      </c>
      <c r="I58" s="9">
        <f t="shared" si="29"/>
        <v>0</v>
      </c>
      <c r="J58" s="9">
        <f t="shared" si="29"/>
        <v>0</v>
      </c>
      <c r="K58" s="9">
        <f t="shared" si="29"/>
        <v>0</v>
      </c>
      <c r="L58" s="9">
        <f t="shared" si="29"/>
        <v>0</v>
      </c>
      <c r="M58" s="9">
        <f t="shared" si="29"/>
        <v>0</v>
      </c>
      <c r="N58" s="9">
        <f t="shared" si="29"/>
        <v>0</v>
      </c>
      <c r="O58" s="9">
        <f t="shared" si="29"/>
        <v>0</v>
      </c>
      <c r="P58" s="9">
        <f t="shared" si="29"/>
        <v>0</v>
      </c>
      <c r="Q58" s="9">
        <f t="shared" si="29"/>
        <v>0</v>
      </c>
      <c r="R58" s="9">
        <f t="shared" si="29"/>
        <v>0</v>
      </c>
      <c r="S58" s="9">
        <f t="shared" si="29"/>
        <v>0</v>
      </c>
      <c r="T58" s="9">
        <f t="shared" si="29"/>
        <v>0</v>
      </c>
      <c r="U58" s="9">
        <f t="shared" si="29"/>
        <v>0</v>
      </c>
      <c r="V58" s="9">
        <f t="shared" si="29"/>
        <v>0</v>
      </c>
      <c r="W58" s="9">
        <f t="shared" si="29"/>
        <v>0</v>
      </c>
      <c r="X58" s="9">
        <f t="shared" si="29"/>
        <v>0</v>
      </c>
      <c r="Y58" s="9">
        <f t="shared" si="29"/>
        <v>0</v>
      </c>
      <c r="Z58" s="9">
        <f t="shared" si="29"/>
        <v>0</v>
      </c>
      <c r="AA58" s="9">
        <f t="shared" si="29"/>
        <v>0</v>
      </c>
      <c r="AB58" s="9">
        <f t="shared" si="29"/>
        <v>0</v>
      </c>
      <c r="AC58" s="9">
        <f t="shared" si="29"/>
        <v>0</v>
      </c>
      <c r="AD58" s="9">
        <f t="shared" si="29"/>
        <v>0</v>
      </c>
      <c r="AE58" s="9">
        <f t="shared" si="29"/>
        <v>0</v>
      </c>
      <c r="AF58" s="9">
        <f t="shared" si="29"/>
        <v>0</v>
      </c>
      <c r="AG58" s="9">
        <f t="shared" si="29"/>
        <v>0</v>
      </c>
      <c r="AH58" s="9"/>
      <c r="AI58" s="9"/>
      <c r="AJ58" s="9"/>
      <c r="AK58" s="9"/>
      <c r="AM58" s="9"/>
      <c r="AN58" s="9"/>
      <c r="AO58" s="9"/>
    </row>
    <row r="59" spans="1:41">
      <c r="A59" s="9">
        <f t="shared" ref="A59:A65" si="30">A20</f>
        <v>17.340450096130372</v>
      </c>
      <c r="B59" s="9">
        <f t="shared" ref="B59:AG59" si="31">B20*mult</f>
        <v>0</v>
      </c>
      <c r="C59" s="9">
        <f t="shared" si="31"/>
        <v>0</v>
      </c>
      <c r="D59" s="9">
        <f t="shared" si="31"/>
        <v>0</v>
      </c>
      <c r="E59" s="9">
        <f t="shared" si="31"/>
        <v>0</v>
      </c>
      <c r="F59" s="9">
        <f t="shared" si="31"/>
        <v>0</v>
      </c>
      <c r="G59" s="9">
        <f t="shared" si="31"/>
        <v>0</v>
      </c>
      <c r="H59" s="9">
        <f t="shared" si="31"/>
        <v>0</v>
      </c>
      <c r="I59" s="9">
        <f t="shared" si="31"/>
        <v>0</v>
      </c>
      <c r="J59" s="9">
        <f t="shared" si="31"/>
        <v>0</v>
      </c>
      <c r="K59" s="9">
        <f t="shared" si="31"/>
        <v>0</v>
      </c>
      <c r="L59" s="9">
        <f t="shared" si="31"/>
        <v>0</v>
      </c>
      <c r="M59" s="9">
        <f t="shared" si="31"/>
        <v>0</v>
      </c>
      <c r="N59" s="9">
        <f t="shared" si="31"/>
        <v>0</v>
      </c>
      <c r="O59" s="9">
        <f t="shared" si="31"/>
        <v>0</v>
      </c>
      <c r="P59" s="9">
        <f t="shared" si="31"/>
        <v>0</v>
      </c>
      <c r="Q59" s="9">
        <f t="shared" si="31"/>
        <v>0</v>
      </c>
      <c r="R59" s="9">
        <f t="shared" si="31"/>
        <v>0</v>
      </c>
      <c r="S59" s="9">
        <f t="shared" si="31"/>
        <v>0</v>
      </c>
      <c r="T59" s="9">
        <f t="shared" si="31"/>
        <v>0</v>
      </c>
      <c r="U59" s="9">
        <f t="shared" si="31"/>
        <v>0</v>
      </c>
      <c r="V59" s="9">
        <f t="shared" si="31"/>
        <v>0</v>
      </c>
      <c r="W59" s="9">
        <f t="shared" si="31"/>
        <v>0</v>
      </c>
      <c r="X59" s="9">
        <f t="shared" si="31"/>
        <v>0</v>
      </c>
      <c r="Y59" s="9">
        <f t="shared" si="31"/>
        <v>0</v>
      </c>
      <c r="Z59" s="9">
        <f t="shared" si="31"/>
        <v>0</v>
      </c>
      <c r="AA59" s="9">
        <f t="shared" si="31"/>
        <v>0</v>
      </c>
      <c r="AB59" s="9">
        <f t="shared" si="31"/>
        <v>0</v>
      </c>
      <c r="AC59" s="9">
        <f t="shared" si="31"/>
        <v>0</v>
      </c>
      <c r="AD59" s="9">
        <f t="shared" si="31"/>
        <v>0</v>
      </c>
      <c r="AE59" s="9">
        <f t="shared" si="31"/>
        <v>0</v>
      </c>
      <c r="AF59" s="9">
        <f t="shared" si="31"/>
        <v>0</v>
      </c>
      <c r="AG59" s="9">
        <f t="shared" si="31"/>
        <v>0</v>
      </c>
      <c r="AH59" s="9"/>
      <c r="AI59" s="9"/>
      <c r="AJ59" s="9"/>
      <c r="AK59" s="9"/>
      <c r="AM59" s="9"/>
      <c r="AN59" s="9"/>
      <c r="AO59" s="9"/>
    </row>
    <row r="60" spans="1:41">
      <c r="A60" s="9">
        <f t="shared" si="30"/>
        <v>14.188851261138916</v>
      </c>
      <c r="B60" s="9">
        <f t="shared" ref="B60:AG60" si="32">B21*mult</f>
        <v>0</v>
      </c>
      <c r="C60" s="9">
        <f t="shared" si="32"/>
        <v>0</v>
      </c>
      <c r="D60" s="9">
        <f t="shared" si="32"/>
        <v>0</v>
      </c>
      <c r="E60" s="9">
        <f t="shared" si="32"/>
        <v>0</v>
      </c>
      <c r="F60" s="9">
        <f t="shared" si="32"/>
        <v>0</v>
      </c>
      <c r="G60" s="9">
        <f t="shared" si="32"/>
        <v>0</v>
      </c>
      <c r="H60" s="9">
        <f t="shared" si="32"/>
        <v>0</v>
      </c>
      <c r="I60" s="9">
        <f t="shared" si="32"/>
        <v>0</v>
      </c>
      <c r="J60" s="9">
        <f t="shared" si="32"/>
        <v>0</v>
      </c>
      <c r="K60" s="9">
        <f t="shared" si="32"/>
        <v>0</v>
      </c>
      <c r="L60" s="9">
        <f t="shared" si="32"/>
        <v>0</v>
      </c>
      <c r="M60" s="9">
        <f t="shared" si="32"/>
        <v>0</v>
      </c>
      <c r="N60" s="9">
        <f t="shared" si="32"/>
        <v>0</v>
      </c>
      <c r="O60" s="9">
        <f t="shared" si="32"/>
        <v>0</v>
      </c>
      <c r="P60" s="9">
        <f t="shared" si="32"/>
        <v>0</v>
      </c>
      <c r="Q60" s="9">
        <f t="shared" si="32"/>
        <v>0</v>
      </c>
      <c r="R60" s="9">
        <f t="shared" si="32"/>
        <v>0</v>
      </c>
      <c r="S60" s="9">
        <f t="shared" si="32"/>
        <v>0</v>
      </c>
      <c r="T60" s="9">
        <f t="shared" si="32"/>
        <v>0</v>
      </c>
      <c r="U60" s="9">
        <f t="shared" si="32"/>
        <v>0</v>
      </c>
      <c r="V60" s="9">
        <f t="shared" si="32"/>
        <v>0</v>
      </c>
      <c r="W60" s="9">
        <f t="shared" si="32"/>
        <v>0</v>
      </c>
      <c r="X60" s="9">
        <f t="shared" si="32"/>
        <v>0</v>
      </c>
      <c r="Y60" s="9">
        <f t="shared" si="32"/>
        <v>0</v>
      </c>
      <c r="Z60" s="9">
        <f t="shared" si="32"/>
        <v>0</v>
      </c>
      <c r="AA60" s="9">
        <f t="shared" si="32"/>
        <v>0</v>
      </c>
      <c r="AB60" s="9">
        <f t="shared" si="32"/>
        <v>0</v>
      </c>
      <c r="AC60" s="9">
        <f t="shared" si="32"/>
        <v>0</v>
      </c>
      <c r="AD60" s="9">
        <f t="shared" si="32"/>
        <v>0</v>
      </c>
      <c r="AE60" s="9">
        <f t="shared" si="32"/>
        <v>0</v>
      </c>
      <c r="AF60" s="9">
        <f t="shared" si="32"/>
        <v>0</v>
      </c>
      <c r="AG60" s="9">
        <f t="shared" si="32"/>
        <v>0</v>
      </c>
      <c r="AH60" s="9"/>
      <c r="AI60" s="9"/>
      <c r="AJ60" s="9"/>
      <c r="AK60" s="9"/>
      <c r="AM60" s="9"/>
      <c r="AN60" s="9"/>
      <c r="AO60" s="9"/>
    </row>
    <row r="61" spans="1:41">
      <c r="A61" s="9">
        <f t="shared" si="30"/>
        <v>11.795599174499511</v>
      </c>
      <c r="B61" s="9">
        <f t="shared" ref="B61:AG61" si="33">B22*mult</f>
        <v>0</v>
      </c>
      <c r="C61" s="9">
        <f t="shared" si="33"/>
        <v>0</v>
      </c>
      <c r="D61" s="9">
        <f t="shared" si="33"/>
        <v>0</v>
      </c>
      <c r="E61" s="9">
        <f t="shared" si="33"/>
        <v>0</v>
      </c>
      <c r="F61" s="9">
        <f t="shared" si="33"/>
        <v>0</v>
      </c>
      <c r="G61" s="9">
        <f t="shared" si="33"/>
        <v>0</v>
      </c>
      <c r="H61" s="9">
        <f t="shared" si="33"/>
        <v>0</v>
      </c>
      <c r="I61" s="9">
        <f t="shared" si="33"/>
        <v>0</v>
      </c>
      <c r="J61" s="9">
        <f t="shared" si="33"/>
        <v>0</v>
      </c>
      <c r="K61" s="9">
        <f t="shared" si="33"/>
        <v>0</v>
      </c>
      <c r="L61" s="9">
        <f t="shared" si="33"/>
        <v>0</v>
      </c>
      <c r="M61" s="9">
        <f t="shared" si="33"/>
        <v>0</v>
      </c>
      <c r="N61" s="9">
        <f t="shared" si="33"/>
        <v>0</v>
      </c>
      <c r="O61" s="9">
        <f t="shared" si="33"/>
        <v>0</v>
      </c>
      <c r="P61" s="9">
        <f t="shared" si="33"/>
        <v>0</v>
      </c>
      <c r="Q61" s="9">
        <f t="shared" si="33"/>
        <v>0</v>
      </c>
      <c r="R61" s="9">
        <f t="shared" si="33"/>
        <v>0</v>
      </c>
      <c r="S61" s="9">
        <f t="shared" si="33"/>
        <v>0</v>
      </c>
      <c r="T61" s="9">
        <f t="shared" si="33"/>
        <v>0</v>
      </c>
      <c r="U61" s="9">
        <f t="shared" si="33"/>
        <v>0</v>
      </c>
      <c r="V61" s="9">
        <f t="shared" si="33"/>
        <v>0</v>
      </c>
      <c r="W61" s="9">
        <f t="shared" si="33"/>
        <v>0</v>
      </c>
      <c r="X61" s="9">
        <f t="shared" si="33"/>
        <v>0</v>
      </c>
      <c r="Y61" s="9">
        <f t="shared" si="33"/>
        <v>0</v>
      </c>
      <c r="Z61" s="9">
        <f t="shared" si="33"/>
        <v>0</v>
      </c>
      <c r="AA61" s="9">
        <f t="shared" si="33"/>
        <v>0</v>
      </c>
      <c r="AB61" s="9">
        <f t="shared" si="33"/>
        <v>0</v>
      </c>
      <c r="AC61" s="9">
        <f t="shared" si="33"/>
        <v>0</v>
      </c>
      <c r="AD61" s="9">
        <f t="shared" si="33"/>
        <v>0</v>
      </c>
      <c r="AE61" s="9">
        <f t="shared" si="33"/>
        <v>0</v>
      </c>
      <c r="AF61" s="9">
        <f t="shared" si="33"/>
        <v>0</v>
      </c>
      <c r="AG61" s="9">
        <f t="shared" si="33"/>
        <v>0</v>
      </c>
      <c r="AH61" s="9"/>
      <c r="AI61" s="9"/>
      <c r="AJ61" s="9"/>
      <c r="AK61" s="9"/>
      <c r="AM61" s="9"/>
      <c r="AN61" s="9"/>
      <c r="AO61" s="9"/>
    </row>
    <row r="62" spans="1:41">
      <c r="A62" s="9">
        <f t="shared" si="30"/>
        <v>8.797748947143555</v>
      </c>
      <c r="B62" s="9">
        <f t="shared" ref="B62:AG62" si="34">B23*mult</f>
        <v>0</v>
      </c>
      <c r="C62" s="9">
        <f t="shared" si="34"/>
        <v>0</v>
      </c>
      <c r="D62" s="9">
        <f t="shared" si="34"/>
        <v>0</v>
      </c>
      <c r="E62" s="9">
        <f t="shared" si="34"/>
        <v>0</v>
      </c>
      <c r="F62" s="9">
        <f t="shared" si="34"/>
        <v>0</v>
      </c>
      <c r="G62" s="9">
        <f t="shared" si="34"/>
        <v>0</v>
      </c>
      <c r="H62" s="9">
        <f t="shared" si="34"/>
        <v>0</v>
      </c>
      <c r="I62" s="9">
        <f t="shared" si="34"/>
        <v>0</v>
      </c>
      <c r="J62" s="9">
        <f t="shared" si="34"/>
        <v>0</v>
      </c>
      <c r="K62" s="9">
        <f t="shared" si="34"/>
        <v>0</v>
      </c>
      <c r="L62" s="9">
        <f t="shared" si="34"/>
        <v>0</v>
      </c>
      <c r="M62" s="9">
        <f t="shared" si="34"/>
        <v>0</v>
      </c>
      <c r="N62" s="9">
        <f t="shared" si="34"/>
        <v>0</v>
      </c>
      <c r="O62" s="9">
        <f t="shared" si="34"/>
        <v>0</v>
      </c>
      <c r="P62" s="9">
        <f t="shared" si="34"/>
        <v>0</v>
      </c>
      <c r="Q62" s="9">
        <f t="shared" si="34"/>
        <v>0</v>
      </c>
      <c r="R62" s="9">
        <f t="shared" si="34"/>
        <v>0</v>
      </c>
      <c r="S62" s="9">
        <f t="shared" si="34"/>
        <v>0</v>
      </c>
      <c r="T62" s="9">
        <f t="shared" si="34"/>
        <v>0</v>
      </c>
      <c r="U62" s="9">
        <f t="shared" si="34"/>
        <v>0</v>
      </c>
      <c r="V62" s="9">
        <f t="shared" si="34"/>
        <v>0</v>
      </c>
      <c r="W62" s="9">
        <f t="shared" si="34"/>
        <v>0</v>
      </c>
      <c r="X62" s="9">
        <f t="shared" si="34"/>
        <v>0</v>
      </c>
      <c r="Y62" s="9">
        <f t="shared" si="34"/>
        <v>0</v>
      </c>
      <c r="Z62" s="9">
        <f t="shared" si="34"/>
        <v>0</v>
      </c>
      <c r="AA62" s="9">
        <f t="shared" si="34"/>
        <v>0</v>
      </c>
      <c r="AB62" s="9">
        <f t="shared" si="34"/>
        <v>0</v>
      </c>
      <c r="AC62" s="9">
        <f t="shared" si="34"/>
        <v>0</v>
      </c>
      <c r="AD62" s="9">
        <f t="shared" si="34"/>
        <v>0</v>
      </c>
      <c r="AE62" s="9">
        <f t="shared" si="34"/>
        <v>0</v>
      </c>
      <c r="AF62" s="9">
        <f t="shared" si="34"/>
        <v>0</v>
      </c>
      <c r="AG62" s="9">
        <f t="shared" si="34"/>
        <v>0</v>
      </c>
      <c r="AH62" s="9"/>
      <c r="AI62" s="9"/>
      <c r="AJ62" s="9"/>
      <c r="AK62" s="9"/>
      <c r="AM62" s="9"/>
      <c r="AN62" s="9"/>
      <c r="AO62" s="9"/>
    </row>
    <row r="63" spans="1:41">
      <c r="A63" s="9">
        <f t="shared" si="30"/>
        <v>6.5973999023437502</v>
      </c>
      <c r="B63" s="9">
        <f t="shared" ref="B63:AG63" si="35">B24*mult</f>
        <v>0</v>
      </c>
      <c r="C63" s="9">
        <f t="shared" si="35"/>
        <v>0</v>
      </c>
      <c r="D63" s="9">
        <f t="shared" si="35"/>
        <v>0</v>
      </c>
      <c r="E63" s="9">
        <f t="shared" si="35"/>
        <v>0</v>
      </c>
      <c r="F63" s="9">
        <f t="shared" si="35"/>
        <v>0</v>
      </c>
      <c r="G63" s="9">
        <f t="shared" si="35"/>
        <v>0</v>
      </c>
      <c r="H63" s="9">
        <f t="shared" si="35"/>
        <v>0</v>
      </c>
      <c r="I63" s="9">
        <f t="shared" si="35"/>
        <v>0</v>
      </c>
      <c r="J63" s="9">
        <f t="shared" si="35"/>
        <v>0</v>
      </c>
      <c r="K63" s="9">
        <f t="shared" si="35"/>
        <v>0</v>
      </c>
      <c r="L63" s="9">
        <f t="shared" si="35"/>
        <v>0</v>
      </c>
      <c r="M63" s="9">
        <f t="shared" si="35"/>
        <v>0</v>
      </c>
      <c r="N63" s="9">
        <f t="shared" si="35"/>
        <v>0</v>
      </c>
      <c r="O63" s="9">
        <f t="shared" si="35"/>
        <v>0</v>
      </c>
      <c r="P63" s="9">
        <f t="shared" si="35"/>
        <v>0</v>
      </c>
      <c r="Q63" s="9">
        <f t="shared" si="35"/>
        <v>0</v>
      </c>
      <c r="R63" s="9">
        <f t="shared" si="35"/>
        <v>0</v>
      </c>
      <c r="S63" s="9">
        <f t="shared" si="35"/>
        <v>0</v>
      </c>
      <c r="T63" s="9">
        <f t="shared" si="35"/>
        <v>0</v>
      </c>
      <c r="U63" s="9">
        <f t="shared" si="35"/>
        <v>0</v>
      </c>
      <c r="V63" s="9">
        <f t="shared" si="35"/>
        <v>0</v>
      </c>
      <c r="W63" s="9">
        <f t="shared" si="35"/>
        <v>0</v>
      </c>
      <c r="X63" s="9">
        <f t="shared" si="35"/>
        <v>0</v>
      </c>
      <c r="Y63" s="9">
        <f t="shared" si="35"/>
        <v>0</v>
      </c>
      <c r="Z63" s="9">
        <f t="shared" si="35"/>
        <v>0</v>
      </c>
      <c r="AA63" s="9">
        <f t="shared" si="35"/>
        <v>0</v>
      </c>
      <c r="AB63" s="9">
        <f t="shared" si="35"/>
        <v>0</v>
      </c>
      <c r="AC63" s="9">
        <f t="shared" si="35"/>
        <v>0</v>
      </c>
      <c r="AD63" s="9">
        <f t="shared" si="35"/>
        <v>0</v>
      </c>
      <c r="AE63" s="9">
        <f t="shared" si="35"/>
        <v>0</v>
      </c>
      <c r="AF63" s="9">
        <f t="shared" si="35"/>
        <v>0</v>
      </c>
      <c r="AG63" s="9">
        <f t="shared" si="35"/>
        <v>0</v>
      </c>
      <c r="AH63" s="9"/>
      <c r="AI63" s="9"/>
      <c r="AJ63" s="9"/>
      <c r="AK63" s="9"/>
      <c r="AM63" s="9"/>
      <c r="AN63" s="9"/>
      <c r="AO63" s="9"/>
    </row>
    <row r="64" spans="1:41">
      <c r="A64" s="9">
        <f t="shared" si="30"/>
        <v>2.3447998762130737</v>
      </c>
      <c r="B64" s="9">
        <f t="shared" ref="B64:AG64" si="36">B25*mult</f>
        <v>0</v>
      </c>
      <c r="C64" s="9">
        <f t="shared" si="36"/>
        <v>0</v>
      </c>
      <c r="D64" s="9">
        <f t="shared" si="36"/>
        <v>0</v>
      </c>
      <c r="E64" s="9">
        <f t="shared" si="36"/>
        <v>0</v>
      </c>
      <c r="F64" s="9">
        <f t="shared" si="36"/>
        <v>0</v>
      </c>
      <c r="G64" s="9">
        <f t="shared" si="36"/>
        <v>0</v>
      </c>
      <c r="H64" s="9">
        <f t="shared" si="36"/>
        <v>0</v>
      </c>
      <c r="I64" s="9">
        <f t="shared" si="36"/>
        <v>0</v>
      </c>
      <c r="J64" s="9">
        <f t="shared" si="36"/>
        <v>0</v>
      </c>
      <c r="K64" s="9">
        <f t="shared" si="36"/>
        <v>0</v>
      </c>
      <c r="L64" s="9">
        <f t="shared" si="36"/>
        <v>0</v>
      </c>
      <c r="M64" s="9">
        <f t="shared" si="36"/>
        <v>0</v>
      </c>
      <c r="N64" s="9">
        <f t="shared" si="36"/>
        <v>0</v>
      </c>
      <c r="O64" s="9">
        <f t="shared" si="36"/>
        <v>0</v>
      </c>
      <c r="P64" s="9">
        <f t="shared" si="36"/>
        <v>0</v>
      </c>
      <c r="Q64" s="9">
        <f t="shared" si="36"/>
        <v>0</v>
      </c>
      <c r="R64" s="9">
        <f t="shared" si="36"/>
        <v>0</v>
      </c>
      <c r="S64" s="9">
        <f t="shared" si="36"/>
        <v>0</v>
      </c>
      <c r="T64" s="9">
        <f t="shared" si="36"/>
        <v>0</v>
      </c>
      <c r="U64" s="9">
        <f t="shared" si="36"/>
        <v>0</v>
      </c>
      <c r="V64" s="9">
        <f t="shared" si="36"/>
        <v>0</v>
      </c>
      <c r="W64" s="9">
        <f t="shared" si="36"/>
        <v>0</v>
      </c>
      <c r="X64" s="9">
        <f t="shared" si="36"/>
        <v>0</v>
      </c>
      <c r="Y64" s="9">
        <f t="shared" si="36"/>
        <v>0</v>
      </c>
      <c r="Z64" s="9">
        <f t="shared" si="36"/>
        <v>0</v>
      </c>
      <c r="AA64" s="9">
        <f t="shared" si="36"/>
        <v>0</v>
      </c>
      <c r="AB64" s="9">
        <f t="shared" si="36"/>
        <v>0</v>
      </c>
      <c r="AC64" s="9">
        <f t="shared" si="36"/>
        <v>0</v>
      </c>
      <c r="AD64" s="9">
        <f t="shared" si="36"/>
        <v>0</v>
      </c>
      <c r="AE64" s="9">
        <f t="shared" si="36"/>
        <v>0</v>
      </c>
      <c r="AF64" s="9">
        <f t="shared" si="36"/>
        <v>0</v>
      </c>
      <c r="AG64" s="9">
        <f t="shared" si="36"/>
        <v>0</v>
      </c>
      <c r="AH64" s="9"/>
      <c r="AI64" s="9"/>
      <c r="AJ64" s="9"/>
      <c r="AK64" s="9"/>
      <c r="AM64" s="9"/>
      <c r="AN64" s="9"/>
      <c r="AO64" s="9"/>
    </row>
    <row r="65" spans="1:48">
      <c r="A65" s="9">
        <f t="shared" si="30"/>
        <v>1.9071000814437866</v>
      </c>
      <c r="B65" s="9">
        <f t="shared" ref="B65:AG65" si="37">B26*mult</f>
        <v>0</v>
      </c>
      <c r="C65" s="9">
        <f t="shared" si="37"/>
        <v>0</v>
      </c>
      <c r="D65" s="9">
        <f t="shared" si="37"/>
        <v>0</v>
      </c>
      <c r="E65" s="9">
        <f t="shared" si="37"/>
        <v>0</v>
      </c>
      <c r="F65" s="9">
        <f t="shared" si="37"/>
        <v>0</v>
      </c>
      <c r="G65" s="9">
        <f t="shared" si="37"/>
        <v>0</v>
      </c>
      <c r="H65" s="9">
        <f t="shared" si="37"/>
        <v>0</v>
      </c>
      <c r="I65" s="9">
        <f t="shared" si="37"/>
        <v>0</v>
      </c>
      <c r="J65" s="9">
        <f t="shared" si="37"/>
        <v>0</v>
      </c>
      <c r="K65" s="9">
        <f t="shared" si="37"/>
        <v>0</v>
      </c>
      <c r="L65" s="9">
        <f t="shared" si="37"/>
        <v>0</v>
      </c>
      <c r="M65" s="9">
        <f t="shared" si="37"/>
        <v>0</v>
      </c>
      <c r="N65" s="9">
        <f t="shared" si="37"/>
        <v>0</v>
      </c>
      <c r="O65" s="9">
        <f t="shared" si="37"/>
        <v>0</v>
      </c>
      <c r="P65" s="9">
        <f t="shared" si="37"/>
        <v>0</v>
      </c>
      <c r="Q65" s="9">
        <f t="shared" si="37"/>
        <v>0</v>
      </c>
      <c r="R65" s="9">
        <f t="shared" si="37"/>
        <v>0</v>
      </c>
      <c r="S65" s="9">
        <f t="shared" si="37"/>
        <v>0</v>
      </c>
      <c r="T65" s="9">
        <f t="shared" si="37"/>
        <v>0</v>
      </c>
      <c r="U65" s="9">
        <f t="shared" si="37"/>
        <v>0</v>
      </c>
      <c r="V65" s="9">
        <f t="shared" si="37"/>
        <v>0</v>
      </c>
      <c r="W65" s="9">
        <f t="shared" si="37"/>
        <v>0</v>
      </c>
      <c r="X65" s="9">
        <f t="shared" si="37"/>
        <v>0</v>
      </c>
      <c r="Y65" s="9">
        <f t="shared" si="37"/>
        <v>0</v>
      </c>
      <c r="Z65" s="9">
        <f t="shared" si="37"/>
        <v>0</v>
      </c>
      <c r="AA65" s="9">
        <f t="shared" si="37"/>
        <v>0</v>
      </c>
      <c r="AB65" s="9">
        <f t="shared" si="37"/>
        <v>0</v>
      </c>
      <c r="AC65" s="9">
        <f t="shared" si="37"/>
        <v>0</v>
      </c>
      <c r="AD65" s="9">
        <f t="shared" si="37"/>
        <v>0</v>
      </c>
      <c r="AE65" s="9">
        <f t="shared" si="37"/>
        <v>0</v>
      </c>
      <c r="AF65" s="9">
        <f t="shared" si="37"/>
        <v>0</v>
      </c>
      <c r="AG65" s="9">
        <f t="shared" si="37"/>
        <v>0</v>
      </c>
      <c r="AH65" s="9"/>
      <c r="AI65" s="9"/>
      <c r="AJ65" s="9"/>
      <c r="AK65" s="9"/>
      <c r="AM65" s="9"/>
      <c r="AN65" s="9"/>
      <c r="AO65" s="9"/>
    </row>
    <row r="66" spans="1:48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 t="str">
        <f>AH1</f>
        <v>STDEV</v>
      </c>
      <c r="AI66" s="9" t="str">
        <f t="shared" ref="AI66:AK66" si="38">AI1</f>
        <v>-1.5σ</v>
      </c>
      <c r="AJ66" s="9" t="str">
        <f t="shared" si="38"/>
        <v>MEAN</v>
      </c>
      <c r="AK66" s="9" t="str">
        <f t="shared" si="38"/>
        <v>+1.5σ</v>
      </c>
      <c r="AM66" s="9"/>
      <c r="AN66" s="9"/>
      <c r="AO66" s="9"/>
    </row>
    <row r="67" spans="1:48">
      <c r="A67" s="9">
        <f>MAX(A43:A65)-A68</f>
        <v>1994.2679243326188</v>
      </c>
      <c r="B67" s="9">
        <f t="shared" ref="B67:AG67" si="39">MAX(B43:B65)-B68</f>
        <v>0</v>
      </c>
      <c r="C67" s="9">
        <f t="shared" si="39"/>
        <v>0</v>
      </c>
      <c r="D67" s="9">
        <f t="shared" si="39"/>
        <v>0</v>
      </c>
      <c r="E67" s="9">
        <f t="shared" si="39"/>
        <v>0</v>
      </c>
      <c r="F67" s="9">
        <f t="shared" si="39"/>
        <v>0</v>
      </c>
      <c r="G67" s="9">
        <f t="shared" si="39"/>
        <v>0</v>
      </c>
      <c r="H67" s="9">
        <f t="shared" si="39"/>
        <v>0</v>
      </c>
      <c r="I67" s="9">
        <f t="shared" si="39"/>
        <v>0</v>
      </c>
      <c r="J67" s="9">
        <f t="shared" si="39"/>
        <v>0</v>
      </c>
      <c r="K67" s="9">
        <f t="shared" si="39"/>
        <v>0</v>
      </c>
      <c r="L67" s="9">
        <f t="shared" si="39"/>
        <v>0</v>
      </c>
      <c r="M67" s="9">
        <f t="shared" si="39"/>
        <v>0</v>
      </c>
      <c r="N67" s="9">
        <f t="shared" si="39"/>
        <v>0</v>
      </c>
      <c r="O67" s="9">
        <f t="shared" si="39"/>
        <v>0</v>
      </c>
      <c r="P67" s="9">
        <f t="shared" si="39"/>
        <v>0</v>
      </c>
      <c r="Q67" s="9">
        <f t="shared" si="39"/>
        <v>0</v>
      </c>
      <c r="R67" s="9">
        <f t="shared" si="39"/>
        <v>0</v>
      </c>
      <c r="S67" s="9">
        <f t="shared" si="39"/>
        <v>0</v>
      </c>
      <c r="T67" s="9">
        <f t="shared" si="39"/>
        <v>0</v>
      </c>
      <c r="U67" s="9">
        <f t="shared" si="39"/>
        <v>0</v>
      </c>
      <c r="V67" s="9">
        <f t="shared" si="39"/>
        <v>0</v>
      </c>
      <c r="W67" s="9">
        <f t="shared" si="39"/>
        <v>0</v>
      </c>
      <c r="X67" s="9">
        <f t="shared" si="39"/>
        <v>0</v>
      </c>
      <c r="Y67" s="9">
        <f t="shared" si="39"/>
        <v>0</v>
      </c>
      <c r="Z67" s="9">
        <f t="shared" si="39"/>
        <v>0</v>
      </c>
      <c r="AA67" s="9">
        <f t="shared" si="39"/>
        <v>0</v>
      </c>
      <c r="AB67" s="9">
        <f t="shared" si="39"/>
        <v>0</v>
      </c>
      <c r="AC67" s="9">
        <f t="shared" si="39"/>
        <v>0</v>
      </c>
      <c r="AD67" s="9">
        <f t="shared" si="39"/>
        <v>0</v>
      </c>
      <c r="AE67" s="9">
        <f t="shared" si="39"/>
        <v>0</v>
      </c>
      <c r="AF67" s="9">
        <f t="shared" si="39"/>
        <v>0</v>
      </c>
      <c r="AG67" s="9">
        <f t="shared" si="39"/>
        <v>0</v>
      </c>
      <c r="AH67" s="9">
        <f t="shared" ref="AH67:AH121" si="40">STDEV(B67:AG67)</f>
        <v>0</v>
      </c>
      <c r="AI67" s="9">
        <f t="shared" ref="AI67:AI122" si="41">AJ67-1.5*AH67</f>
        <v>0</v>
      </c>
      <c r="AJ67" s="10">
        <f t="shared" ref="AJ67:AJ122" si="42">AVERAGE(B67:AG67)</f>
        <v>0</v>
      </c>
      <c r="AK67" s="9">
        <f t="shared" ref="AK67:AK122" si="43">AJ67+1.5*AH67</f>
        <v>0</v>
      </c>
      <c r="AM67" s="9"/>
      <c r="AN67" s="9"/>
      <c r="AO67" s="9"/>
    </row>
    <row r="68" spans="1:48">
      <c r="A68" s="9">
        <f>MIN(A43:A65)</f>
        <v>1.9071000814437866</v>
      </c>
      <c r="B68" s="9">
        <f t="shared" ref="B68:AG68" si="44">MIN(B43:B65)</f>
        <v>0</v>
      </c>
      <c r="C68" s="9">
        <f t="shared" si="44"/>
        <v>0</v>
      </c>
      <c r="D68" s="9">
        <f t="shared" si="44"/>
        <v>0</v>
      </c>
      <c r="E68" s="9">
        <f t="shared" si="44"/>
        <v>0</v>
      </c>
      <c r="F68" s="9">
        <f t="shared" si="44"/>
        <v>0</v>
      </c>
      <c r="G68" s="9">
        <f t="shared" si="44"/>
        <v>0</v>
      </c>
      <c r="H68" s="9">
        <f t="shared" si="44"/>
        <v>0</v>
      </c>
      <c r="I68" s="9">
        <f t="shared" si="44"/>
        <v>0</v>
      </c>
      <c r="J68" s="9">
        <f t="shared" si="44"/>
        <v>0</v>
      </c>
      <c r="K68" s="9">
        <f t="shared" si="44"/>
        <v>0</v>
      </c>
      <c r="L68" s="9">
        <f t="shared" si="44"/>
        <v>0</v>
      </c>
      <c r="M68" s="9">
        <f t="shared" si="44"/>
        <v>0</v>
      </c>
      <c r="N68" s="9">
        <f t="shared" si="44"/>
        <v>0</v>
      </c>
      <c r="O68" s="9">
        <f t="shared" si="44"/>
        <v>0</v>
      </c>
      <c r="P68" s="9">
        <f t="shared" si="44"/>
        <v>0</v>
      </c>
      <c r="Q68" s="9">
        <f t="shared" si="44"/>
        <v>0</v>
      </c>
      <c r="R68" s="9">
        <f t="shared" si="44"/>
        <v>0</v>
      </c>
      <c r="S68" s="9">
        <f t="shared" si="44"/>
        <v>0</v>
      </c>
      <c r="T68" s="9">
        <f t="shared" si="44"/>
        <v>0</v>
      </c>
      <c r="U68" s="9">
        <f t="shared" si="44"/>
        <v>0</v>
      </c>
      <c r="V68" s="9">
        <f t="shared" si="44"/>
        <v>0</v>
      </c>
      <c r="W68" s="9">
        <f t="shared" si="44"/>
        <v>0</v>
      </c>
      <c r="X68" s="9">
        <f t="shared" si="44"/>
        <v>0</v>
      </c>
      <c r="Y68" s="9">
        <f t="shared" si="44"/>
        <v>0</v>
      </c>
      <c r="Z68" s="9">
        <f t="shared" si="44"/>
        <v>0</v>
      </c>
      <c r="AA68" s="9">
        <f t="shared" si="44"/>
        <v>0</v>
      </c>
      <c r="AB68" s="9">
        <f t="shared" si="44"/>
        <v>0</v>
      </c>
      <c r="AC68" s="9">
        <f t="shared" si="44"/>
        <v>0</v>
      </c>
      <c r="AD68" s="9">
        <f t="shared" si="44"/>
        <v>0</v>
      </c>
      <c r="AE68" s="9">
        <f t="shared" si="44"/>
        <v>0</v>
      </c>
      <c r="AF68" s="9">
        <f t="shared" si="44"/>
        <v>0</v>
      </c>
      <c r="AG68" s="9">
        <f t="shared" si="44"/>
        <v>0</v>
      </c>
      <c r="AH68" s="9">
        <f t="shared" si="40"/>
        <v>0</v>
      </c>
      <c r="AI68" s="9">
        <f t="shared" si="41"/>
        <v>0</v>
      </c>
      <c r="AJ68" s="10">
        <f t="shared" si="42"/>
        <v>0</v>
      </c>
      <c r="AK68" s="9">
        <f t="shared" si="43"/>
        <v>0</v>
      </c>
      <c r="AM68" s="9"/>
      <c r="AN68" s="9"/>
      <c r="AO68" s="9"/>
    </row>
    <row r="69" spans="1:48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10"/>
      <c r="AK69" s="9"/>
      <c r="AM69" s="9"/>
      <c r="AN69" s="9"/>
      <c r="AO69" s="9"/>
      <c r="AP69" s="9"/>
      <c r="AU69" s="9"/>
      <c r="AV69" s="9"/>
    </row>
    <row r="70" spans="1:48">
      <c r="A70" s="9" t="s">
        <v>0</v>
      </c>
      <c r="B70" s="9">
        <f>B67/$A67</f>
        <v>0</v>
      </c>
      <c r="C70" s="9">
        <f t="shared" ref="C70:AG70" si="45">C67/$A67</f>
        <v>0</v>
      </c>
      <c r="D70" s="9">
        <f t="shared" si="45"/>
        <v>0</v>
      </c>
      <c r="E70" s="9">
        <f t="shared" si="45"/>
        <v>0</v>
      </c>
      <c r="F70" s="9">
        <f t="shared" si="45"/>
        <v>0</v>
      </c>
      <c r="G70" s="9">
        <f t="shared" si="45"/>
        <v>0</v>
      </c>
      <c r="H70" s="9">
        <f t="shared" si="45"/>
        <v>0</v>
      </c>
      <c r="I70" s="9">
        <f t="shared" si="45"/>
        <v>0</v>
      </c>
      <c r="J70" s="9">
        <f t="shared" si="45"/>
        <v>0</v>
      </c>
      <c r="K70" s="9">
        <f t="shared" si="45"/>
        <v>0</v>
      </c>
      <c r="L70" s="9">
        <f t="shared" si="45"/>
        <v>0</v>
      </c>
      <c r="M70" s="9">
        <f t="shared" si="45"/>
        <v>0</v>
      </c>
      <c r="N70" s="9">
        <f t="shared" si="45"/>
        <v>0</v>
      </c>
      <c r="O70" s="9">
        <f t="shared" si="45"/>
        <v>0</v>
      </c>
      <c r="P70" s="9">
        <f t="shared" si="45"/>
        <v>0</v>
      </c>
      <c r="Q70" s="9">
        <f t="shared" si="45"/>
        <v>0</v>
      </c>
      <c r="R70" s="9">
        <f t="shared" si="45"/>
        <v>0</v>
      </c>
      <c r="S70" s="9">
        <f t="shared" si="45"/>
        <v>0</v>
      </c>
      <c r="T70" s="9">
        <f t="shared" si="45"/>
        <v>0</v>
      </c>
      <c r="U70" s="9">
        <f t="shared" si="45"/>
        <v>0</v>
      </c>
      <c r="V70" s="9">
        <f t="shared" si="45"/>
        <v>0</v>
      </c>
      <c r="W70" s="9">
        <f t="shared" si="45"/>
        <v>0</v>
      </c>
      <c r="X70" s="9">
        <f t="shared" si="45"/>
        <v>0</v>
      </c>
      <c r="Y70" s="9">
        <f t="shared" si="45"/>
        <v>0</v>
      </c>
      <c r="Z70" s="9">
        <f t="shared" si="45"/>
        <v>0</v>
      </c>
      <c r="AA70" s="9">
        <f t="shared" si="45"/>
        <v>0</v>
      </c>
      <c r="AB70" s="9">
        <f t="shared" si="45"/>
        <v>0</v>
      </c>
      <c r="AC70" s="9">
        <f t="shared" si="45"/>
        <v>0</v>
      </c>
      <c r="AD70" s="9">
        <f t="shared" si="45"/>
        <v>0</v>
      </c>
      <c r="AE70" s="9">
        <f t="shared" si="45"/>
        <v>0</v>
      </c>
      <c r="AF70" s="9">
        <f t="shared" si="45"/>
        <v>0</v>
      </c>
      <c r="AG70" s="9">
        <f t="shared" si="45"/>
        <v>0</v>
      </c>
      <c r="AH70" s="9">
        <f t="shared" si="40"/>
        <v>0</v>
      </c>
      <c r="AI70" s="9">
        <f t="shared" si="41"/>
        <v>0</v>
      </c>
      <c r="AJ70" s="10">
        <f t="shared" si="42"/>
        <v>0</v>
      </c>
      <c r="AK70" s="9">
        <f t="shared" si="43"/>
        <v>0</v>
      </c>
      <c r="AM70" s="9">
        <f>(AK71-AI71)/5</f>
        <v>0</v>
      </c>
      <c r="AN70" s="9"/>
      <c r="AO70" s="9"/>
      <c r="AP70" s="9"/>
      <c r="AQ70" s="9"/>
      <c r="AR70" s="9"/>
      <c r="AS70" s="9"/>
      <c r="AT70" s="9"/>
      <c r="AU70" s="9"/>
      <c r="AV70" s="9"/>
    </row>
    <row r="71" spans="1:48">
      <c r="A71" s="9" t="s">
        <v>1</v>
      </c>
      <c r="B71" s="9">
        <f>B43-B70*$A43</f>
        <v>0</v>
      </c>
      <c r="C71" s="9">
        <f t="shared" ref="C71:AG71" si="46">C43-C70*$A43</f>
        <v>0</v>
      </c>
      <c r="D71" s="9">
        <f t="shared" si="46"/>
        <v>0</v>
      </c>
      <c r="E71" s="9">
        <f t="shared" si="46"/>
        <v>0</v>
      </c>
      <c r="F71" s="9">
        <f t="shared" si="46"/>
        <v>0</v>
      </c>
      <c r="G71" s="9">
        <f t="shared" si="46"/>
        <v>0</v>
      </c>
      <c r="H71" s="9">
        <f t="shared" si="46"/>
        <v>0</v>
      </c>
      <c r="I71" s="9">
        <f t="shared" si="46"/>
        <v>0</v>
      </c>
      <c r="J71" s="9">
        <f t="shared" si="46"/>
        <v>0</v>
      </c>
      <c r="K71" s="9">
        <f t="shared" si="46"/>
        <v>0</v>
      </c>
      <c r="L71" s="9">
        <f t="shared" si="46"/>
        <v>0</v>
      </c>
      <c r="M71" s="9">
        <f t="shared" si="46"/>
        <v>0</v>
      </c>
      <c r="N71" s="9">
        <f t="shared" si="46"/>
        <v>0</v>
      </c>
      <c r="O71" s="9">
        <f t="shared" si="46"/>
        <v>0</v>
      </c>
      <c r="P71" s="9">
        <f t="shared" si="46"/>
        <v>0</v>
      </c>
      <c r="Q71" s="9">
        <f t="shared" si="46"/>
        <v>0</v>
      </c>
      <c r="R71" s="9">
        <f t="shared" si="46"/>
        <v>0</v>
      </c>
      <c r="S71" s="9">
        <f t="shared" si="46"/>
        <v>0</v>
      </c>
      <c r="T71" s="9">
        <f t="shared" si="46"/>
        <v>0</v>
      </c>
      <c r="U71" s="9">
        <f t="shared" si="46"/>
        <v>0</v>
      </c>
      <c r="V71" s="9">
        <f t="shared" si="46"/>
        <v>0</v>
      </c>
      <c r="W71" s="9">
        <f t="shared" si="46"/>
        <v>0</v>
      </c>
      <c r="X71" s="9">
        <f t="shared" si="46"/>
        <v>0</v>
      </c>
      <c r="Y71" s="9">
        <f t="shared" si="46"/>
        <v>0</v>
      </c>
      <c r="Z71" s="9">
        <f t="shared" si="46"/>
        <v>0</v>
      </c>
      <c r="AA71" s="9">
        <f t="shared" si="46"/>
        <v>0</v>
      </c>
      <c r="AB71" s="9">
        <f t="shared" si="46"/>
        <v>0</v>
      </c>
      <c r="AC71" s="9">
        <f t="shared" si="46"/>
        <v>0</v>
      </c>
      <c r="AD71" s="9">
        <f t="shared" si="46"/>
        <v>0</v>
      </c>
      <c r="AE71" s="9">
        <f t="shared" si="46"/>
        <v>0</v>
      </c>
      <c r="AF71" s="9">
        <f t="shared" si="46"/>
        <v>0</v>
      </c>
      <c r="AG71" s="9">
        <f t="shared" si="46"/>
        <v>0</v>
      </c>
      <c r="AH71" s="9">
        <f t="shared" si="40"/>
        <v>0</v>
      </c>
      <c r="AI71" s="9">
        <f t="shared" si="41"/>
        <v>0</v>
      </c>
      <c r="AJ71" s="10">
        <f t="shared" si="42"/>
        <v>0</v>
      </c>
      <c r="AK71" s="9">
        <f t="shared" si="43"/>
        <v>0</v>
      </c>
      <c r="AM71" s="11">
        <f>AI71</f>
        <v>0</v>
      </c>
      <c r="AN71" s="9" t="b">
        <f ca="1">_xll.HISTOGRAM(B$71:AG$71,AM$71:AM$76,AM71)</f>
        <v>0</v>
      </c>
      <c r="AO71" s="9"/>
      <c r="AP71" s="9"/>
      <c r="AQ71" s="9"/>
      <c r="AR71" s="9"/>
      <c r="AS71" s="9"/>
      <c r="AT71" s="9"/>
      <c r="AU71" s="9"/>
      <c r="AV71" s="9"/>
    </row>
    <row r="72" spans="1:48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10"/>
      <c r="AK72" s="9"/>
      <c r="AM72" s="11">
        <f>AM71+AM$70</f>
        <v>0</v>
      </c>
      <c r="AN72" s="9" t="b">
        <f ca="1">_xll.HISTOGRAM(B$71:AG$71,AM$71:AM$76,AM72)</f>
        <v>0</v>
      </c>
      <c r="AO72" s="9"/>
      <c r="AP72" s="9"/>
      <c r="AQ72" s="9"/>
      <c r="AR72" s="9"/>
      <c r="AS72" s="9"/>
      <c r="AT72" s="9"/>
      <c r="AU72" s="9"/>
      <c r="AV72" s="9"/>
    </row>
    <row r="73" spans="1:48">
      <c r="A73" s="9" t="s">
        <v>21</v>
      </c>
      <c r="B73" s="9">
        <f>B1</f>
        <v>0</v>
      </c>
      <c r="C73" s="9">
        <f t="shared" ref="C73:AK73" si="47">C1</f>
        <v>1</v>
      </c>
      <c r="D73" s="9">
        <f t="shared" si="47"/>
        <v>2</v>
      </c>
      <c r="E73" s="9">
        <f t="shared" si="47"/>
        <v>3</v>
      </c>
      <c r="F73" s="9">
        <f t="shared" si="47"/>
        <v>4</v>
      </c>
      <c r="G73" s="9">
        <f t="shared" si="47"/>
        <v>5</v>
      </c>
      <c r="H73" s="9">
        <f t="shared" si="47"/>
        <v>6</v>
      </c>
      <c r="I73" s="9">
        <f t="shared" si="47"/>
        <v>7</v>
      </c>
      <c r="J73" s="9">
        <f t="shared" si="47"/>
        <v>8</v>
      </c>
      <c r="K73" s="9">
        <f t="shared" si="47"/>
        <v>9</v>
      </c>
      <c r="L73" s="9">
        <f t="shared" si="47"/>
        <v>10</v>
      </c>
      <c r="M73" s="9">
        <f t="shared" si="47"/>
        <v>11</v>
      </c>
      <c r="N73" s="9">
        <f t="shared" si="47"/>
        <v>12</v>
      </c>
      <c r="O73" s="9">
        <f t="shared" si="47"/>
        <v>13</v>
      </c>
      <c r="P73" s="9">
        <f t="shared" si="47"/>
        <v>14</v>
      </c>
      <c r="Q73" s="9">
        <f t="shared" si="47"/>
        <v>15</v>
      </c>
      <c r="R73" s="9">
        <f t="shared" si="47"/>
        <v>16</v>
      </c>
      <c r="S73" s="9">
        <f t="shared" si="47"/>
        <v>17</v>
      </c>
      <c r="T73" s="9">
        <f t="shared" si="47"/>
        <v>18</v>
      </c>
      <c r="U73" s="9">
        <f t="shared" si="47"/>
        <v>19</v>
      </c>
      <c r="V73" s="9">
        <f t="shared" si="47"/>
        <v>20</v>
      </c>
      <c r="W73" s="9">
        <f t="shared" si="47"/>
        <v>21</v>
      </c>
      <c r="X73" s="9">
        <f t="shared" si="47"/>
        <v>22</v>
      </c>
      <c r="Y73" s="9">
        <f t="shared" si="47"/>
        <v>23</v>
      </c>
      <c r="Z73" s="9">
        <f t="shared" si="47"/>
        <v>24</v>
      </c>
      <c r="AA73" s="9">
        <f t="shared" si="47"/>
        <v>25</v>
      </c>
      <c r="AB73" s="9">
        <f t="shared" si="47"/>
        <v>26</v>
      </c>
      <c r="AC73" s="9">
        <f t="shared" si="47"/>
        <v>27</v>
      </c>
      <c r="AD73" s="9">
        <f t="shared" si="47"/>
        <v>28</v>
      </c>
      <c r="AE73" s="9">
        <f t="shared" si="47"/>
        <v>29</v>
      </c>
      <c r="AF73" s="9">
        <f t="shared" si="47"/>
        <v>30</v>
      </c>
      <c r="AG73" s="9">
        <f t="shared" si="47"/>
        <v>31</v>
      </c>
      <c r="AH73" s="9" t="str">
        <f t="shared" si="47"/>
        <v>STDEV</v>
      </c>
      <c r="AI73" s="9" t="str">
        <f t="shared" si="47"/>
        <v>-1.5σ</v>
      </c>
      <c r="AJ73" s="9" t="str">
        <f t="shared" si="47"/>
        <v>MEAN</v>
      </c>
      <c r="AK73" s="9" t="str">
        <f t="shared" si="47"/>
        <v>+1.5σ</v>
      </c>
      <c r="AM73" s="11">
        <f t="shared" ref="AM73" si="48">AM72+AM$70</f>
        <v>0</v>
      </c>
      <c r="AN73" s="9" t="b">
        <f ca="1">_xll.HISTOGRAM(B$71:AG$71,AM$71:AM$76,AM73)</f>
        <v>0</v>
      </c>
      <c r="AO73" s="9"/>
      <c r="AP73" s="9"/>
      <c r="AQ73" s="9"/>
      <c r="AR73" s="9"/>
      <c r="AS73" s="9"/>
      <c r="AT73" s="9"/>
      <c r="AU73" s="9"/>
      <c r="AV73" s="9"/>
    </row>
    <row r="74" spans="1:48" s="9" customFormat="1">
      <c r="A74" s="9">
        <f t="shared" ref="A74:A76" si="49">A43</f>
        <v>1996.1750244140626</v>
      </c>
      <c r="B74" s="9">
        <f t="shared" ref="B74:AG74" si="50">B$70*$A43+B$71</f>
        <v>0</v>
      </c>
      <c r="C74" s="9">
        <f t="shared" si="50"/>
        <v>0</v>
      </c>
      <c r="D74" s="9">
        <f t="shared" si="50"/>
        <v>0</v>
      </c>
      <c r="E74" s="9">
        <f t="shared" si="50"/>
        <v>0</v>
      </c>
      <c r="F74" s="9">
        <f t="shared" si="50"/>
        <v>0</v>
      </c>
      <c r="G74" s="9">
        <f t="shared" si="50"/>
        <v>0</v>
      </c>
      <c r="H74" s="9">
        <f t="shared" si="50"/>
        <v>0</v>
      </c>
      <c r="I74" s="9">
        <f t="shared" si="50"/>
        <v>0</v>
      </c>
      <c r="J74" s="9">
        <f t="shared" si="50"/>
        <v>0</v>
      </c>
      <c r="K74" s="9">
        <f t="shared" si="50"/>
        <v>0</v>
      </c>
      <c r="L74" s="9">
        <f t="shared" si="50"/>
        <v>0</v>
      </c>
      <c r="M74" s="9">
        <f t="shared" si="50"/>
        <v>0</v>
      </c>
      <c r="N74" s="9">
        <f t="shared" si="50"/>
        <v>0</v>
      </c>
      <c r="O74" s="9">
        <f t="shared" si="50"/>
        <v>0</v>
      </c>
      <c r="P74" s="9">
        <f t="shared" si="50"/>
        <v>0</v>
      </c>
      <c r="Q74" s="9">
        <f t="shared" si="50"/>
        <v>0</v>
      </c>
      <c r="R74" s="9">
        <f t="shared" si="50"/>
        <v>0</v>
      </c>
      <c r="S74" s="9">
        <f t="shared" si="50"/>
        <v>0</v>
      </c>
      <c r="T74" s="9">
        <f t="shared" si="50"/>
        <v>0</v>
      </c>
      <c r="U74" s="9">
        <f t="shared" si="50"/>
        <v>0</v>
      </c>
      <c r="V74" s="9">
        <f t="shared" si="50"/>
        <v>0</v>
      </c>
      <c r="W74" s="9">
        <f t="shared" si="50"/>
        <v>0</v>
      </c>
      <c r="X74" s="9">
        <f t="shared" si="50"/>
        <v>0</v>
      </c>
      <c r="Y74" s="9">
        <f t="shared" si="50"/>
        <v>0</v>
      </c>
      <c r="Z74" s="9">
        <f t="shared" si="50"/>
        <v>0</v>
      </c>
      <c r="AA74" s="9">
        <f t="shared" si="50"/>
        <v>0</v>
      </c>
      <c r="AB74" s="9">
        <f t="shared" si="50"/>
        <v>0</v>
      </c>
      <c r="AC74" s="9">
        <f t="shared" si="50"/>
        <v>0</v>
      </c>
      <c r="AD74" s="9">
        <f t="shared" si="50"/>
        <v>0</v>
      </c>
      <c r="AE74" s="9">
        <f t="shared" si="50"/>
        <v>0</v>
      </c>
      <c r="AF74" s="9">
        <f t="shared" si="50"/>
        <v>0</v>
      </c>
      <c r="AG74" s="9">
        <f t="shared" si="50"/>
        <v>0</v>
      </c>
      <c r="AH74" s="9">
        <f t="shared" ref="AH74:AH76" si="51">STDEV(B74:AG74)</f>
        <v>0</v>
      </c>
      <c r="AI74" s="9">
        <f t="shared" ref="AI74:AI76" si="52">AJ74-1.5*AH74</f>
        <v>0</v>
      </c>
      <c r="AJ74" s="10">
        <f t="shared" ref="AJ74:AJ76" si="53">AVERAGE(B74:AG74)</f>
        <v>0</v>
      </c>
      <c r="AK74" s="9">
        <f t="shared" ref="AK74:AK76" si="54">AJ74+1.5*AH74</f>
        <v>0</v>
      </c>
      <c r="AM74" s="11">
        <f>AM73+AM$70</f>
        <v>0</v>
      </c>
      <c r="AN74" s="9" t="b">
        <f ca="1">_xll.HISTOGRAM(B$71:AG$71,AM$71:AM$76,AM74)</f>
        <v>0</v>
      </c>
    </row>
    <row r="75" spans="1:48" s="9" customFormat="1">
      <c r="A75" s="9">
        <f t="shared" si="49"/>
        <v>1659.095166015625</v>
      </c>
      <c r="B75" s="9">
        <f t="shared" ref="B75:AG75" si="55">B$70*$A44+B$71</f>
        <v>0</v>
      </c>
      <c r="C75" s="9">
        <f t="shared" si="55"/>
        <v>0</v>
      </c>
      <c r="D75" s="9">
        <f t="shared" si="55"/>
        <v>0</v>
      </c>
      <c r="E75" s="9">
        <f t="shared" si="55"/>
        <v>0</v>
      </c>
      <c r="F75" s="9">
        <f t="shared" si="55"/>
        <v>0</v>
      </c>
      <c r="G75" s="9">
        <f t="shared" si="55"/>
        <v>0</v>
      </c>
      <c r="H75" s="9">
        <f t="shared" si="55"/>
        <v>0</v>
      </c>
      <c r="I75" s="9">
        <f t="shared" si="55"/>
        <v>0</v>
      </c>
      <c r="J75" s="9">
        <f t="shared" si="55"/>
        <v>0</v>
      </c>
      <c r="K75" s="9">
        <f t="shared" si="55"/>
        <v>0</v>
      </c>
      <c r="L75" s="9">
        <f t="shared" si="55"/>
        <v>0</v>
      </c>
      <c r="M75" s="9">
        <f t="shared" si="55"/>
        <v>0</v>
      </c>
      <c r="N75" s="9">
        <f t="shared" si="55"/>
        <v>0</v>
      </c>
      <c r="O75" s="9">
        <f t="shared" si="55"/>
        <v>0</v>
      </c>
      <c r="P75" s="9">
        <f t="shared" si="55"/>
        <v>0</v>
      </c>
      <c r="Q75" s="9">
        <f t="shared" si="55"/>
        <v>0</v>
      </c>
      <c r="R75" s="9">
        <f t="shared" si="55"/>
        <v>0</v>
      </c>
      <c r="S75" s="9">
        <f t="shared" si="55"/>
        <v>0</v>
      </c>
      <c r="T75" s="9">
        <f t="shared" si="55"/>
        <v>0</v>
      </c>
      <c r="U75" s="9">
        <f t="shared" si="55"/>
        <v>0</v>
      </c>
      <c r="V75" s="9">
        <f t="shared" si="55"/>
        <v>0</v>
      </c>
      <c r="W75" s="9">
        <f t="shared" si="55"/>
        <v>0</v>
      </c>
      <c r="X75" s="9">
        <f t="shared" si="55"/>
        <v>0</v>
      </c>
      <c r="Y75" s="9">
        <f t="shared" si="55"/>
        <v>0</v>
      </c>
      <c r="Z75" s="9">
        <f t="shared" si="55"/>
        <v>0</v>
      </c>
      <c r="AA75" s="9">
        <f t="shared" si="55"/>
        <v>0</v>
      </c>
      <c r="AB75" s="9">
        <f t="shared" si="55"/>
        <v>0</v>
      </c>
      <c r="AC75" s="9">
        <f t="shared" si="55"/>
        <v>0</v>
      </c>
      <c r="AD75" s="9">
        <f t="shared" si="55"/>
        <v>0</v>
      </c>
      <c r="AE75" s="9">
        <f t="shared" si="55"/>
        <v>0</v>
      </c>
      <c r="AF75" s="9">
        <f t="shared" si="55"/>
        <v>0</v>
      </c>
      <c r="AG75" s="9">
        <f t="shared" si="55"/>
        <v>0</v>
      </c>
      <c r="AH75" s="9">
        <f t="shared" si="51"/>
        <v>0</v>
      </c>
      <c r="AI75" s="9">
        <f t="shared" si="52"/>
        <v>0</v>
      </c>
      <c r="AJ75" s="10">
        <f t="shared" si="53"/>
        <v>0</v>
      </c>
      <c r="AK75" s="9">
        <f t="shared" si="54"/>
        <v>0</v>
      </c>
      <c r="AM75" s="11">
        <f>AM74+AM$70</f>
        <v>0</v>
      </c>
      <c r="AN75" s="9" t="b">
        <f ca="1">_xll.HISTOGRAM(B$71:AG$71,AM$71:AM$76,AM75)</f>
        <v>0</v>
      </c>
    </row>
    <row r="76" spans="1:48" s="9" customFormat="1">
      <c r="A76" s="9">
        <f t="shared" si="49"/>
        <v>1234.2751586914062</v>
      </c>
      <c r="B76" s="9">
        <f t="shared" ref="B76:AG76" si="56">B$70*$A45+B$71</f>
        <v>0</v>
      </c>
      <c r="C76" s="9">
        <f t="shared" si="56"/>
        <v>0</v>
      </c>
      <c r="D76" s="9">
        <f t="shared" si="56"/>
        <v>0</v>
      </c>
      <c r="E76" s="9">
        <f t="shared" si="56"/>
        <v>0</v>
      </c>
      <c r="F76" s="9">
        <f t="shared" si="56"/>
        <v>0</v>
      </c>
      <c r="G76" s="9">
        <f t="shared" si="56"/>
        <v>0</v>
      </c>
      <c r="H76" s="9">
        <f t="shared" si="56"/>
        <v>0</v>
      </c>
      <c r="I76" s="9">
        <f t="shared" si="56"/>
        <v>0</v>
      </c>
      <c r="J76" s="9">
        <f t="shared" si="56"/>
        <v>0</v>
      </c>
      <c r="K76" s="9">
        <f t="shared" si="56"/>
        <v>0</v>
      </c>
      <c r="L76" s="9">
        <f t="shared" si="56"/>
        <v>0</v>
      </c>
      <c r="M76" s="9">
        <f t="shared" si="56"/>
        <v>0</v>
      </c>
      <c r="N76" s="9">
        <f t="shared" si="56"/>
        <v>0</v>
      </c>
      <c r="O76" s="9">
        <f t="shared" si="56"/>
        <v>0</v>
      </c>
      <c r="P76" s="9">
        <f t="shared" si="56"/>
        <v>0</v>
      </c>
      <c r="Q76" s="9">
        <f t="shared" si="56"/>
        <v>0</v>
      </c>
      <c r="R76" s="9">
        <f t="shared" si="56"/>
        <v>0</v>
      </c>
      <c r="S76" s="9">
        <f t="shared" si="56"/>
        <v>0</v>
      </c>
      <c r="T76" s="9">
        <f t="shared" si="56"/>
        <v>0</v>
      </c>
      <c r="U76" s="9">
        <f t="shared" si="56"/>
        <v>0</v>
      </c>
      <c r="V76" s="9">
        <f t="shared" si="56"/>
        <v>0</v>
      </c>
      <c r="W76" s="9">
        <f t="shared" si="56"/>
        <v>0</v>
      </c>
      <c r="X76" s="9">
        <f t="shared" si="56"/>
        <v>0</v>
      </c>
      <c r="Y76" s="9">
        <f t="shared" si="56"/>
        <v>0</v>
      </c>
      <c r="Z76" s="9">
        <f t="shared" si="56"/>
        <v>0</v>
      </c>
      <c r="AA76" s="9">
        <f t="shared" si="56"/>
        <v>0</v>
      </c>
      <c r="AB76" s="9">
        <f t="shared" si="56"/>
        <v>0</v>
      </c>
      <c r="AC76" s="9">
        <f t="shared" si="56"/>
        <v>0</v>
      </c>
      <c r="AD76" s="9">
        <f t="shared" si="56"/>
        <v>0</v>
      </c>
      <c r="AE76" s="9">
        <f t="shared" si="56"/>
        <v>0</v>
      </c>
      <c r="AF76" s="9">
        <f t="shared" si="56"/>
        <v>0</v>
      </c>
      <c r="AG76" s="9">
        <f t="shared" si="56"/>
        <v>0</v>
      </c>
      <c r="AH76" s="9">
        <f t="shared" si="51"/>
        <v>0</v>
      </c>
      <c r="AI76" s="9">
        <f t="shared" si="52"/>
        <v>0</v>
      </c>
      <c r="AJ76" s="10">
        <f t="shared" si="53"/>
        <v>0</v>
      </c>
      <c r="AK76" s="9">
        <f t="shared" si="54"/>
        <v>0</v>
      </c>
      <c r="AM76" s="11">
        <f>AM75+AM$70</f>
        <v>0</v>
      </c>
      <c r="AN76" s="9" t="b">
        <f ca="1">_xll.HISTOGRAM(B$71:AG$71,AM$71:AM$76,AM76)</f>
        <v>0</v>
      </c>
    </row>
    <row r="77" spans="1:48" s="9" customFormat="1">
      <c r="A77" s="9">
        <f t="shared" ref="A77:A86" si="57">A46</f>
        <v>924.54020385742183</v>
      </c>
      <c r="B77" s="9">
        <f>B$70*$A46+B$71</f>
        <v>0</v>
      </c>
      <c r="C77" s="9">
        <f t="shared" ref="C77:AG77" si="58">C$70*$A46+C$71</f>
        <v>0</v>
      </c>
      <c r="D77" s="9">
        <f t="shared" si="58"/>
        <v>0</v>
      </c>
      <c r="E77" s="9">
        <f t="shared" si="58"/>
        <v>0</v>
      </c>
      <c r="F77" s="9">
        <f t="shared" si="58"/>
        <v>0</v>
      </c>
      <c r="G77" s="9">
        <f t="shared" si="58"/>
        <v>0</v>
      </c>
      <c r="H77" s="9">
        <f t="shared" si="58"/>
        <v>0</v>
      </c>
      <c r="I77" s="9">
        <f t="shared" si="58"/>
        <v>0</v>
      </c>
      <c r="J77" s="9">
        <f t="shared" si="58"/>
        <v>0</v>
      </c>
      <c r="K77" s="9">
        <f t="shared" si="58"/>
        <v>0</v>
      </c>
      <c r="L77" s="9">
        <f t="shared" si="58"/>
        <v>0</v>
      </c>
      <c r="M77" s="9">
        <f t="shared" si="58"/>
        <v>0</v>
      </c>
      <c r="N77" s="9">
        <f t="shared" si="58"/>
        <v>0</v>
      </c>
      <c r="O77" s="9">
        <f t="shared" si="58"/>
        <v>0</v>
      </c>
      <c r="P77" s="9">
        <f t="shared" si="58"/>
        <v>0</v>
      </c>
      <c r="Q77" s="9">
        <f t="shared" si="58"/>
        <v>0</v>
      </c>
      <c r="R77" s="9">
        <f t="shared" si="58"/>
        <v>0</v>
      </c>
      <c r="S77" s="9">
        <f t="shared" si="58"/>
        <v>0</v>
      </c>
      <c r="T77" s="9">
        <f t="shared" si="58"/>
        <v>0</v>
      </c>
      <c r="U77" s="9">
        <f t="shared" si="58"/>
        <v>0</v>
      </c>
      <c r="V77" s="9">
        <f t="shared" si="58"/>
        <v>0</v>
      </c>
      <c r="W77" s="9">
        <f t="shared" si="58"/>
        <v>0</v>
      </c>
      <c r="X77" s="9">
        <f t="shared" si="58"/>
        <v>0</v>
      </c>
      <c r="Y77" s="9">
        <f t="shared" si="58"/>
        <v>0</v>
      </c>
      <c r="Z77" s="9">
        <f t="shared" si="58"/>
        <v>0</v>
      </c>
      <c r="AA77" s="9">
        <f t="shared" si="58"/>
        <v>0</v>
      </c>
      <c r="AB77" s="9">
        <f t="shared" si="58"/>
        <v>0</v>
      </c>
      <c r="AC77" s="9">
        <f t="shared" si="58"/>
        <v>0</v>
      </c>
      <c r="AD77" s="9">
        <f t="shared" si="58"/>
        <v>0</v>
      </c>
      <c r="AE77" s="9">
        <f t="shared" si="58"/>
        <v>0</v>
      </c>
      <c r="AF77" s="9">
        <f t="shared" si="58"/>
        <v>0</v>
      </c>
      <c r="AG77" s="9">
        <f t="shared" si="58"/>
        <v>0</v>
      </c>
      <c r="AH77" s="9">
        <f t="shared" ref="AH77:AH86" si="59">STDEV(B77:AG77)</f>
        <v>0</v>
      </c>
      <c r="AI77" s="9">
        <f t="shared" si="41"/>
        <v>0</v>
      </c>
      <c r="AJ77" s="10">
        <f t="shared" ref="AJ77:AJ86" si="60">AVERAGE(B77:AG77)</f>
        <v>0</v>
      </c>
      <c r="AK77" s="9">
        <f t="shared" ref="AK77:AK86" si="61">AJ77+1.5*AH77</f>
        <v>0</v>
      </c>
    </row>
    <row r="78" spans="1:48" s="9" customFormat="1">
      <c r="A78" s="9">
        <f t="shared" si="57"/>
        <v>761.20014648437495</v>
      </c>
      <c r="B78" s="9">
        <f t="shared" ref="B78:AG78" si="62">B$70*$A47+B$71</f>
        <v>0</v>
      </c>
      <c r="C78" s="9">
        <f t="shared" si="62"/>
        <v>0</v>
      </c>
      <c r="D78" s="9">
        <f t="shared" si="62"/>
        <v>0</v>
      </c>
      <c r="E78" s="9">
        <f t="shared" si="62"/>
        <v>0</v>
      </c>
      <c r="F78" s="9">
        <f t="shared" si="62"/>
        <v>0</v>
      </c>
      <c r="G78" s="9">
        <f t="shared" si="62"/>
        <v>0</v>
      </c>
      <c r="H78" s="9">
        <f t="shared" si="62"/>
        <v>0</v>
      </c>
      <c r="I78" s="9">
        <f t="shared" si="62"/>
        <v>0</v>
      </c>
      <c r="J78" s="9">
        <f t="shared" si="62"/>
        <v>0</v>
      </c>
      <c r="K78" s="9">
        <f t="shared" si="62"/>
        <v>0</v>
      </c>
      <c r="L78" s="9">
        <f t="shared" si="62"/>
        <v>0</v>
      </c>
      <c r="M78" s="9">
        <f t="shared" si="62"/>
        <v>0</v>
      </c>
      <c r="N78" s="9">
        <f t="shared" si="62"/>
        <v>0</v>
      </c>
      <c r="O78" s="9">
        <f t="shared" si="62"/>
        <v>0</v>
      </c>
      <c r="P78" s="9">
        <f t="shared" si="62"/>
        <v>0</v>
      </c>
      <c r="Q78" s="9">
        <f t="shared" si="62"/>
        <v>0</v>
      </c>
      <c r="R78" s="9">
        <f t="shared" si="62"/>
        <v>0</v>
      </c>
      <c r="S78" s="9">
        <f t="shared" si="62"/>
        <v>0</v>
      </c>
      <c r="T78" s="9">
        <f t="shared" si="62"/>
        <v>0</v>
      </c>
      <c r="U78" s="9">
        <f t="shared" si="62"/>
        <v>0</v>
      </c>
      <c r="V78" s="9">
        <f t="shared" si="62"/>
        <v>0</v>
      </c>
      <c r="W78" s="9">
        <f t="shared" si="62"/>
        <v>0</v>
      </c>
      <c r="X78" s="9">
        <f t="shared" si="62"/>
        <v>0</v>
      </c>
      <c r="Y78" s="9">
        <f t="shared" si="62"/>
        <v>0</v>
      </c>
      <c r="Z78" s="9">
        <f t="shared" si="62"/>
        <v>0</v>
      </c>
      <c r="AA78" s="9">
        <f t="shared" si="62"/>
        <v>0</v>
      </c>
      <c r="AB78" s="9">
        <f t="shared" si="62"/>
        <v>0</v>
      </c>
      <c r="AC78" s="9">
        <f t="shared" si="62"/>
        <v>0</v>
      </c>
      <c r="AD78" s="9">
        <f t="shared" si="62"/>
        <v>0</v>
      </c>
      <c r="AE78" s="9">
        <f t="shared" si="62"/>
        <v>0</v>
      </c>
      <c r="AF78" s="9">
        <f t="shared" si="62"/>
        <v>0</v>
      </c>
      <c r="AG78" s="9">
        <f t="shared" si="62"/>
        <v>0</v>
      </c>
      <c r="AH78" s="9">
        <f t="shared" si="59"/>
        <v>0</v>
      </c>
      <c r="AI78" s="9">
        <f t="shared" si="41"/>
        <v>0</v>
      </c>
      <c r="AJ78" s="10">
        <f t="shared" si="60"/>
        <v>0</v>
      </c>
      <c r="AK78" s="9">
        <f t="shared" si="61"/>
        <v>0</v>
      </c>
    </row>
    <row r="79" spans="1:48" s="9" customFormat="1">
      <c r="A79" s="9">
        <f t="shared" si="57"/>
        <v>618.7050842285156</v>
      </c>
      <c r="B79" s="9">
        <f t="shared" ref="B79:AG79" si="63">B$70*$A48+B$71</f>
        <v>0</v>
      </c>
      <c r="C79" s="9">
        <f t="shared" si="63"/>
        <v>0</v>
      </c>
      <c r="D79" s="9">
        <f t="shared" si="63"/>
        <v>0</v>
      </c>
      <c r="E79" s="9">
        <f t="shared" si="63"/>
        <v>0</v>
      </c>
      <c r="F79" s="9">
        <f t="shared" si="63"/>
        <v>0</v>
      </c>
      <c r="G79" s="9">
        <f t="shared" si="63"/>
        <v>0</v>
      </c>
      <c r="H79" s="9">
        <f t="shared" si="63"/>
        <v>0</v>
      </c>
      <c r="I79" s="9">
        <f t="shared" si="63"/>
        <v>0</v>
      </c>
      <c r="J79" s="9">
        <f t="shared" si="63"/>
        <v>0</v>
      </c>
      <c r="K79" s="9">
        <f t="shared" si="63"/>
        <v>0</v>
      </c>
      <c r="L79" s="9">
        <f t="shared" si="63"/>
        <v>0</v>
      </c>
      <c r="M79" s="9">
        <f t="shared" si="63"/>
        <v>0</v>
      </c>
      <c r="N79" s="9">
        <f t="shared" si="63"/>
        <v>0</v>
      </c>
      <c r="O79" s="9">
        <f t="shared" si="63"/>
        <v>0</v>
      </c>
      <c r="P79" s="9">
        <f t="shared" si="63"/>
        <v>0</v>
      </c>
      <c r="Q79" s="9">
        <f t="shared" si="63"/>
        <v>0</v>
      </c>
      <c r="R79" s="9">
        <f t="shared" si="63"/>
        <v>0</v>
      </c>
      <c r="S79" s="9">
        <f t="shared" si="63"/>
        <v>0</v>
      </c>
      <c r="T79" s="9">
        <f t="shared" si="63"/>
        <v>0</v>
      </c>
      <c r="U79" s="9">
        <f t="shared" si="63"/>
        <v>0</v>
      </c>
      <c r="V79" s="9">
        <f t="shared" si="63"/>
        <v>0</v>
      </c>
      <c r="W79" s="9">
        <f t="shared" si="63"/>
        <v>0</v>
      </c>
      <c r="X79" s="9">
        <f t="shared" si="63"/>
        <v>0</v>
      </c>
      <c r="Y79" s="9">
        <f t="shared" si="63"/>
        <v>0</v>
      </c>
      <c r="Z79" s="9">
        <f t="shared" si="63"/>
        <v>0</v>
      </c>
      <c r="AA79" s="9">
        <f t="shared" si="63"/>
        <v>0</v>
      </c>
      <c r="AB79" s="9">
        <f t="shared" si="63"/>
        <v>0</v>
      </c>
      <c r="AC79" s="9">
        <f t="shared" si="63"/>
        <v>0</v>
      </c>
      <c r="AD79" s="9">
        <f t="shared" si="63"/>
        <v>0</v>
      </c>
      <c r="AE79" s="9">
        <f t="shared" si="63"/>
        <v>0</v>
      </c>
      <c r="AF79" s="9">
        <f t="shared" si="63"/>
        <v>0</v>
      </c>
      <c r="AG79" s="9">
        <f t="shared" si="63"/>
        <v>0</v>
      </c>
      <c r="AH79" s="9">
        <f t="shared" si="59"/>
        <v>0</v>
      </c>
      <c r="AI79" s="9">
        <f t="shared" si="41"/>
        <v>0</v>
      </c>
      <c r="AJ79" s="10">
        <f t="shared" si="60"/>
        <v>0</v>
      </c>
      <c r="AK79" s="9">
        <f t="shared" si="61"/>
        <v>0</v>
      </c>
    </row>
    <row r="80" spans="1:48" s="9" customFormat="1">
      <c r="A80" s="9">
        <f t="shared" si="57"/>
        <v>506.39999389648438</v>
      </c>
      <c r="B80" s="9">
        <f t="shared" ref="B80:AG80" si="64">B$70*$A49+B$71</f>
        <v>0</v>
      </c>
      <c r="C80" s="9">
        <f t="shared" si="64"/>
        <v>0</v>
      </c>
      <c r="D80" s="9">
        <f t="shared" si="64"/>
        <v>0</v>
      </c>
      <c r="E80" s="9">
        <f t="shared" si="64"/>
        <v>0</v>
      </c>
      <c r="F80" s="9">
        <f t="shared" si="64"/>
        <v>0</v>
      </c>
      <c r="G80" s="9">
        <f t="shared" si="64"/>
        <v>0</v>
      </c>
      <c r="H80" s="9">
        <f t="shared" si="64"/>
        <v>0</v>
      </c>
      <c r="I80" s="9">
        <f t="shared" si="64"/>
        <v>0</v>
      </c>
      <c r="J80" s="9">
        <f t="shared" si="64"/>
        <v>0</v>
      </c>
      <c r="K80" s="9">
        <f t="shared" si="64"/>
        <v>0</v>
      </c>
      <c r="L80" s="9">
        <f t="shared" si="64"/>
        <v>0</v>
      </c>
      <c r="M80" s="9">
        <f t="shared" si="64"/>
        <v>0</v>
      </c>
      <c r="N80" s="9">
        <f t="shared" si="64"/>
        <v>0</v>
      </c>
      <c r="O80" s="9">
        <f t="shared" si="64"/>
        <v>0</v>
      </c>
      <c r="P80" s="9">
        <f t="shared" si="64"/>
        <v>0</v>
      </c>
      <c r="Q80" s="9">
        <f t="shared" si="64"/>
        <v>0</v>
      </c>
      <c r="R80" s="9">
        <f t="shared" si="64"/>
        <v>0</v>
      </c>
      <c r="S80" s="9">
        <f t="shared" si="64"/>
        <v>0</v>
      </c>
      <c r="T80" s="9">
        <f t="shared" si="64"/>
        <v>0</v>
      </c>
      <c r="U80" s="9">
        <f t="shared" si="64"/>
        <v>0</v>
      </c>
      <c r="V80" s="9">
        <f t="shared" si="64"/>
        <v>0</v>
      </c>
      <c r="W80" s="9">
        <f t="shared" si="64"/>
        <v>0</v>
      </c>
      <c r="X80" s="9">
        <f t="shared" si="64"/>
        <v>0</v>
      </c>
      <c r="Y80" s="9">
        <f t="shared" si="64"/>
        <v>0</v>
      </c>
      <c r="Z80" s="9">
        <f t="shared" si="64"/>
        <v>0</v>
      </c>
      <c r="AA80" s="9">
        <f t="shared" si="64"/>
        <v>0</v>
      </c>
      <c r="AB80" s="9">
        <f t="shared" si="64"/>
        <v>0</v>
      </c>
      <c r="AC80" s="9">
        <f t="shared" si="64"/>
        <v>0</v>
      </c>
      <c r="AD80" s="9">
        <f t="shared" si="64"/>
        <v>0</v>
      </c>
      <c r="AE80" s="9">
        <f t="shared" si="64"/>
        <v>0</v>
      </c>
      <c r="AF80" s="9">
        <f t="shared" si="64"/>
        <v>0</v>
      </c>
      <c r="AG80" s="9">
        <f t="shared" si="64"/>
        <v>0</v>
      </c>
      <c r="AH80" s="9">
        <f t="shared" si="59"/>
        <v>0</v>
      </c>
      <c r="AI80" s="9">
        <f t="shared" si="41"/>
        <v>0</v>
      </c>
      <c r="AJ80" s="10">
        <f t="shared" si="60"/>
        <v>0</v>
      </c>
      <c r="AK80" s="9">
        <f t="shared" si="61"/>
        <v>0</v>
      </c>
    </row>
    <row r="81" spans="1:48" s="9" customFormat="1">
      <c r="A81" s="9">
        <f t="shared" si="57"/>
        <v>421.14996337890625</v>
      </c>
      <c r="B81" s="9">
        <f t="shared" ref="B81:AG81" si="65">B$70*$A50+B$71</f>
        <v>0</v>
      </c>
      <c r="C81" s="9">
        <f t="shared" si="65"/>
        <v>0</v>
      </c>
      <c r="D81" s="9">
        <f t="shared" si="65"/>
        <v>0</v>
      </c>
      <c r="E81" s="9">
        <f t="shared" si="65"/>
        <v>0</v>
      </c>
      <c r="F81" s="9">
        <f t="shared" si="65"/>
        <v>0</v>
      </c>
      <c r="G81" s="9">
        <f t="shared" si="65"/>
        <v>0</v>
      </c>
      <c r="H81" s="9">
        <f t="shared" si="65"/>
        <v>0</v>
      </c>
      <c r="I81" s="9">
        <f t="shared" si="65"/>
        <v>0</v>
      </c>
      <c r="J81" s="9">
        <f t="shared" si="65"/>
        <v>0</v>
      </c>
      <c r="K81" s="9">
        <f t="shared" si="65"/>
        <v>0</v>
      </c>
      <c r="L81" s="9">
        <f t="shared" si="65"/>
        <v>0</v>
      </c>
      <c r="M81" s="9">
        <f t="shared" si="65"/>
        <v>0</v>
      </c>
      <c r="N81" s="9">
        <f t="shared" si="65"/>
        <v>0</v>
      </c>
      <c r="O81" s="9">
        <f t="shared" si="65"/>
        <v>0</v>
      </c>
      <c r="P81" s="9">
        <f t="shared" si="65"/>
        <v>0</v>
      </c>
      <c r="Q81" s="9">
        <f t="shared" si="65"/>
        <v>0</v>
      </c>
      <c r="R81" s="9">
        <f t="shared" si="65"/>
        <v>0</v>
      </c>
      <c r="S81" s="9">
        <f t="shared" si="65"/>
        <v>0</v>
      </c>
      <c r="T81" s="9">
        <f t="shared" si="65"/>
        <v>0</v>
      </c>
      <c r="U81" s="9">
        <f t="shared" si="65"/>
        <v>0</v>
      </c>
      <c r="V81" s="9">
        <f t="shared" si="65"/>
        <v>0</v>
      </c>
      <c r="W81" s="9">
        <f t="shared" si="65"/>
        <v>0</v>
      </c>
      <c r="X81" s="9">
        <f t="shared" si="65"/>
        <v>0</v>
      </c>
      <c r="Y81" s="9">
        <f t="shared" si="65"/>
        <v>0</v>
      </c>
      <c r="Z81" s="9">
        <f t="shared" si="65"/>
        <v>0</v>
      </c>
      <c r="AA81" s="9">
        <f t="shared" si="65"/>
        <v>0</v>
      </c>
      <c r="AB81" s="9">
        <f t="shared" si="65"/>
        <v>0</v>
      </c>
      <c r="AC81" s="9">
        <f t="shared" si="65"/>
        <v>0</v>
      </c>
      <c r="AD81" s="9">
        <f t="shared" si="65"/>
        <v>0</v>
      </c>
      <c r="AE81" s="9">
        <f t="shared" si="65"/>
        <v>0</v>
      </c>
      <c r="AF81" s="9">
        <f t="shared" si="65"/>
        <v>0</v>
      </c>
      <c r="AG81" s="9">
        <f t="shared" si="65"/>
        <v>0</v>
      </c>
      <c r="AH81" s="9">
        <f t="shared" si="59"/>
        <v>0</v>
      </c>
      <c r="AI81" s="9">
        <f t="shared" si="41"/>
        <v>0</v>
      </c>
      <c r="AJ81" s="10">
        <f t="shared" si="60"/>
        <v>0</v>
      </c>
      <c r="AK81" s="9">
        <f t="shared" si="61"/>
        <v>0</v>
      </c>
    </row>
    <row r="82" spans="1:48" s="9" customFormat="1">
      <c r="A82" s="9">
        <f t="shared" si="57"/>
        <v>313.39996337890625</v>
      </c>
      <c r="B82" s="9">
        <f t="shared" ref="B82:AG82" si="66">B$70*$A51+B$71</f>
        <v>0</v>
      </c>
      <c r="C82" s="9">
        <f t="shared" si="66"/>
        <v>0</v>
      </c>
      <c r="D82" s="9">
        <f t="shared" si="66"/>
        <v>0</v>
      </c>
      <c r="E82" s="9">
        <f t="shared" si="66"/>
        <v>0</v>
      </c>
      <c r="F82" s="9">
        <f t="shared" si="66"/>
        <v>0</v>
      </c>
      <c r="G82" s="9">
        <f t="shared" si="66"/>
        <v>0</v>
      </c>
      <c r="H82" s="9">
        <f t="shared" si="66"/>
        <v>0</v>
      </c>
      <c r="I82" s="9">
        <f t="shared" si="66"/>
        <v>0</v>
      </c>
      <c r="J82" s="9">
        <f t="shared" si="66"/>
        <v>0</v>
      </c>
      <c r="K82" s="9">
        <f t="shared" si="66"/>
        <v>0</v>
      </c>
      <c r="L82" s="9">
        <f t="shared" si="66"/>
        <v>0</v>
      </c>
      <c r="M82" s="9">
        <f t="shared" si="66"/>
        <v>0</v>
      </c>
      <c r="N82" s="9">
        <f t="shared" si="66"/>
        <v>0</v>
      </c>
      <c r="O82" s="9">
        <f t="shared" si="66"/>
        <v>0</v>
      </c>
      <c r="P82" s="9">
        <f t="shared" si="66"/>
        <v>0</v>
      </c>
      <c r="Q82" s="9">
        <f t="shared" si="66"/>
        <v>0</v>
      </c>
      <c r="R82" s="9">
        <f t="shared" si="66"/>
        <v>0</v>
      </c>
      <c r="S82" s="9">
        <f t="shared" si="66"/>
        <v>0</v>
      </c>
      <c r="T82" s="9">
        <f t="shared" si="66"/>
        <v>0</v>
      </c>
      <c r="U82" s="9">
        <f t="shared" si="66"/>
        <v>0</v>
      </c>
      <c r="V82" s="9">
        <f t="shared" si="66"/>
        <v>0</v>
      </c>
      <c r="W82" s="9">
        <f t="shared" si="66"/>
        <v>0</v>
      </c>
      <c r="X82" s="9">
        <f t="shared" si="66"/>
        <v>0</v>
      </c>
      <c r="Y82" s="9">
        <f t="shared" si="66"/>
        <v>0</v>
      </c>
      <c r="Z82" s="9">
        <f t="shared" si="66"/>
        <v>0</v>
      </c>
      <c r="AA82" s="9">
        <f t="shared" si="66"/>
        <v>0</v>
      </c>
      <c r="AB82" s="9">
        <f t="shared" si="66"/>
        <v>0</v>
      </c>
      <c r="AC82" s="9">
        <f t="shared" si="66"/>
        <v>0</v>
      </c>
      <c r="AD82" s="9">
        <f t="shared" si="66"/>
        <v>0</v>
      </c>
      <c r="AE82" s="9">
        <f t="shared" si="66"/>
        <v>0</v>
      </c>
      <c r="AF82" s="9">
        <f t="shared" si="66"/>
        <v>0</v>
      </c>
      <c r="AG82" s="9">
        <f t="shared" si="66"/>
        <v>0</v>
      </c>
      <c r="AH82" s="9">
        <f t="shared" si="59"/>
        <v>0</v>
      </c>
      <c r="AI82" s="9">
        <f t="shared" si="41"/>
        <v>0</v>
      </c>
      <c r="AJ82" s="10">
        <f t="shared" si="60"/>
        <v>0</v>
      </c>
      <c r="AK82" s="9">
        <f t="shared" si="61"/>
        <v>0</v>
      </c>
    </row>
    <row r="83" spans="1:48" s="9" customFormat="1">
      <c r="A83" s="9">
        <f t="shared" si="57"/>
        <v>283.35547790527346</v>
      </c>
      <c r="B83" s="9">
        <f t="shared" ref="B83:AG83" si="67">B$70*$A52+B$71</f>
        <v>0</v>
      </c>
      <c r="C83" s="9">
        <f t="shared" si="67"/>
        <v>0</v>
      </c>
      <c r="D83" s="9">
        <f t="shared" si="67"/>
        <v>0</v>
      </c>
      <c r="E83" s="9">
        <f t="shared" si="67"/>
        <v>0</v>
      </c>
      <c r="F83" s="9">
        <f t="shared" si="67"/>
        <v>0</v>
      </c>
      <c r="G83" s="9">
        <f t="shared" si="67"/>
        <v>0</v>
      </c>
      <c r="H83" s="9">
        <f t="shared" si="67"/>
        <v>0</v>
      </c>
      <c r="I83" s="9">
        <f t="shared" si="67"/>
        <v>0</v>
      </c>
      <c r="J83" s="9">
        <f t="shared" si="67"/>
        <v>0</v>
      </c>
      <c r="K83" s="9">
        <f t="shared" si="67"/>
        <v>0</v>
      </c>
      <c r="L83" s="9">
        <f t="shared" si="67"/>
        <v>0</v>
      </c>
      <c r="M83" s="9">
        <f t="shared" si="67"/>
        <v>0</v>
      </c>
      <c r="N83" s="9">
        <f t="shared" si="67"/>
        <v>0</v>
      </c>
      <c r="O83" s="9">
        <f t="shared" si="67"/>
        <v>0</v>
      </c>
      <c r="P83" s="9">
        <f t="shared" si="67"/>
        <v>0</v>
      </c>
      <c r="Q83" s="9">
        <f t="shared" si="67"/>
        <v>0</v>
      </c>
      <c r="R83" s="9">
        <f t="shared" si="67"/>
        <v>0</v>
      </c>
      <c r="S83" s="9">
        <f t="shared" si="67"/>
        <v>0</v>
      </c>
      <c r="T83" s="9">
        <f t="shared" si="67"/>
        <v>0</v>
      </c>
      <c r="U83" s="9">
        <f t="shared" si="67"/>
        <v>0</v>
      </c>
      <c r="V83" s="9">
        <f t="shared" si="67"/>
        <v>0</v>
      </c>
      <c r="W83" s="9">
        <f t="shared" si="67"/>
        <v>0</v>
      </c>
      <c r="X83" s="9">
        <f t="shared" si="67"/>
        <v>0</v>
      </c>
      <c r="Y83" s="9">
        <f t="shared" si="67"/>
        <v>0</v>
      </c>
      <c r="Z83" s="9">
        <f t="shared" si="67"/>
        <v>0</v>
      </c>
      <c r="AA83" s="9">
        <f t="shared" si="67"/>
        <v>0</v>
      </c>
      <c r="AB83" s="9">
        <f t="shared" si="67"/>
        <v>0</v>
      </c>
      <c r="AC83" s="9">
        <f t="shared" si="67"/>
        <v>0</v>
      </c>
      <c r="AD83" s="9">
        <f t="shared" si="67"/>
        <v>0</v>
      </c>
      <c r="AE83" s="9">
        <f t="shared" si="67"/>
        <v>0</v>
      </c>
      <c r="AF83" s="9">
        <f t="shared" si="67"/>
        <v>0</v>
      </c>
      <c r="AG83" s="9">
        <f t="shared" si="67"/>
        <v>0</v>
      </c>
      <c r="AH83" s="9">
        <f t="shared" si="59"/>
        <v>0</v>
      </c>
      <c r="AI83" s="9">
        <f t="shared" si="41"/>
        <v>0</v>
      </c>
      <c r="AJ83" s="10">
        <f t="shared" si="60"/>
        <v>0</v>
      </c>
      <c r="AK83" s="9">
        <f t="shared" si="61"/>
        <v>0</v>
      </c>
    </row>
    <row r="84" spans="1:48" s="9" customFormat="1">
      <c r="A84" s="9">
        <f t="shared" si="57"/>
        <v>233.5469970703125</v>
      </c>
      <c r="B84" s="9">
        <f t="shared" ref="B84:AG84" si="68">B$70*$A53+B$71</f>
        <v>0</v>
      </c>
      <c r="C84" s="9">
        <f t="shared" si="68"/>
        <v>0</v>
      </c>
      <c r="D84" s="9">
        <f t="shared" si="68"/>
        <v>0</v>
      </c>
      <c r="E84" s="9">
        <f t="shared" si="68"/>
        <v>0</v>
      </c>
      <c r="F84" s="9">
        <f t="shared" si="68"/>
        <v>0</v>
      </c>
      <c r="G84" s="9">
        <f t="shared" si="68"/>
        <v>0</v>
      </c>
      <c r="H84" s="9">
        <f t="shared" si="68"/>
        <v>0</v>
      </c>
      <c r="I84" s="9">
        <f t="shared" si="68"/>
        <v>0</v>
      </c>
      <c r="J84" s="9">
        <f t="shared" si="68"/>
        <v>0</v>
      </c>
      <c r="K84" s="9">
        <f t="shared" si="68"/>
        <v>0</v>
      </c>
      <c r="L84" s="9">
        <f t="shared" si="68"/>
        <v>0</v>
      </c>
      <c r="M84" s="9">
        <f t="shared" si="68"/>
        <v>0</v>
      </c>
      <c r="N84" s="9">
        <f t="shared" si="68"/>
        <v>0</v>
      </c>
      <c r="O84" s="9">
        <f t="shared" si="68"/>
        <v>0</v>
      </c>
      <c r="P84" s="9">
        <f t="shared" si="68"/>
        <v>0</v>
      </c>
      <c r="Q84" s="9">
        <f t="shared" si="68"/>
        <v>0</v>
      </c>
      <c r="R84" s="9">
        <f t="shared" si="68"/>
        <v>0</v>
      </c>
      <c r="S84" s="9">
        <f t="shared" si="68"/>
        <v>0</v>
      </c>
      <c r="T84" s="9">
        <f t="shared" si="68"/>
        <v>0</v>
      </c>
      <c r="U84" s="9">
        <f t="shared" si="68"/>
        <v>0</v>
      </c>
      <c r="V84" s="9">
        <f t="shared" si="68"/>
        <v>0</v>
      </c>
      <c r="W84" s="9">
        <f t="shared" si="68"/>
        <v>0</v>
      </c>
      <c r="X84" s="9">
        <f t="shared" si="68"/>
        <v>0</v>
      </c>
      <c r="Y84" s="9">
        <f t="shared" si="68"/>
        <v>0</v>
      </c>
      <c r="Z84" s="9">
        <f t="shared" si="68"/>
        <v>0</v>
      </c>
      <c r="AA84" s="9">
        <f t="shared" si="68"/>
        <v>0</v>
      </c>
      <c r="AB84" s="9">
        <f t="shared" si="68"/>
        <v>0</v>
      </c>
      <c r="AC84" s="9">
        <f t="shared" si="68"/>
        <v>0</v>
      </c>
      <c r="AD84" s="9">
        <f t="shared" si="68"/>
        <v>0</v>
      </c>
      <c r="AE84" s="9">
        <f t="shared" si="68"/>
        <v>0</v>
      </c>
      <c r="AF84" s="9">
        <f t="shared" si="68"/>
        <v>0</v>
      </c>
      <c r="AG84" s="9">
        <f t="shared" si="68"/>
        <v>0</v>
      </c>
      <c r="AH84" s="9">
        <f t="shared" si="59"/>
        <v>0</v>
      </c>
      <c r="AI84" s="9">
        <f t="shared" si="41"/>
        <v>0</v>
      </c>
      <c r="AJ84" s="10">
        <f t="shared" si="60"/>
        <v>0</v>
      </c>
      <c r="AK84" s="9">
        <f t="shared" si="61"/>
        <v>0</v>
      </c>
    </row>
    <row r="85" spans="1:48" s="9" customFormat="1">
      <c r="A85" s="9">
        <f t="shared" si="57"/>
        <v>188.09650726318358</v>
      </c>
      <c r="B85" s="9">
        <f t="shared" ref="B85:AG85" si="69">B$70*$A54+B$71</f>
        <v>0</v>
      </c>
      <c r="C85" s="9">
        <f t="shared" si="69"/>
        <v>0</v>
      </c>
      <c r="D85" s="9">
        <f t="shared" si="69"/>
        <v>0</v>
      </c>
      <c r="E85" s="9">
        <f t="shared" si="69"/>
        <v>0</v>
      </c>
      <c r="F85" s="9">
        <f t="shared" si="69"/>
        <v>0</v>
      </c>
      <c r="G85" s="9">
        <f t="shared" si="69"/>
        <v>0</v>
      </c>
      <c r="H85" s="9">
        <f t="shared" si="69"/>
        <v>0</v>
      </c>
      <c r="I85" s="9">
        <f t="shared" si="69"/>
        <v>0</v>
      </c>
      <c r="J85" s="9">
        <f t="shared" si="69"/>
        <v>0</v>
      </c>
      <c r="K85" s="9">
        <f t="shared" si="69"/>
        <v>0</v>
      </c>
      <c r="L85" s="9">
        <f t="shared" si="69"/>
        <v>0</v>
      </c>
      <c r="M85" s="9">
        <f t="shared" si="69"/>
        <v>0</v>
      </c>
      <c r="N85" s="9">
        <f t="shared" si="69"/>
        <v>0</v>
      </c>
      <c r="O85" s="9">
        <f t="shared" si="69"/>
        <v>0</v>
      </c>
      <c r="P85" s="9">
        <f t="shared" si="69"/>
        <v>0</v>
      </c>
      <c r="Q85" s="9">
        <f t="shared" si="69"/>
        <v>0</v>
      </c>
      <c r="R85" s="9">
        <f t="shared" si="69"/>
        <v>0</v>
      </c>
      <c r="S85" s="9">
        <f t="shared" si="69"/>
        <v>0</v>
      </c>
      <c r="T85" s="9">
        <f t="shared" si="69"/>
        <v>0</v>
      </c>
      <c r="U85" s="9">
        <f t="shared" si="69"/>
        <v>0</v>
      </c>
      <c r="V85" s="9">
        <f t="shared" si="69"/>
        <v>0</v>
      </c>
      <c r="W85" s="9">
        <f t="shared" si="69"/>
        <v>0</v>
      </c>
      <c r="X85" s="9">
        <f t="shared" si="69"/>
        <v>0</v>
      </c>
      <c r="Y85" s="9">
        <f t="shared" si="69"/>
        <v>0</v>
      </c>
      <c r="Z85" s="9">
        <f t="shared" si="69"/>
        <v>0</v>
      </c>
      <c r="AA85" s="9">
        <f t="shared" si="69"/>
        <v>0</v>
      </c>
      <c r="AB85" s="9">
        <f t="shared" si="69"/>
        <v>0</v>
      </c>
      <c r="AC85" s="9">
        <f t="shared" si="69"/>
        <v>0</v>
      </c>
      <c r="AD85" s="9">
        <f t="shared" si="69"/>
        <v>0</v>
      </c>
      <c r="AE85" s="9">
        <f t="shared" si="69"/>
        <v>0</v>
      </c>
      <c r="AF85" s="9">
        <f t="shared" si="69"/>
        <v>0</v>
      </c>
      <c r="AG85" s="9">
        <f t="shared" si="69"/>
        <v>0</v>
      </c>
      <c r="AH85" s="9">
        <f t="shared" si="59"/>
        <v>0</v>
      </c>
      <c r="AI85" s="9">
        <f t="shared" si="41"/>
        <v>0</v>
      </c>
      <c r="AJ85" s="10">
        <f t="shared" si="60"/>
        <v>0</v>
      </c>
      <c r="AK85" s="9">
        <f t="shared" si="61"/>
        <v>0</v>
      </c>
    </row>
    <row r="86" spans="1:48" s="9" customFormat="1">
      <c r="A86" s="9">
        <f t="shared" si="57"/>
        <v>156.44500579833985</v>
      </c>
      <c r="B86" s="9">
        <f t="shared" ref="B86:AG86" si="70">B$70*$A55+B$71</f>
        <v>0</v>
      </c>
      <c r="C86" s="9">
        <f t="shared" si="70"/>
        <v>0</v>
      </c>
      <c r="D86" s="9">
        <f t="shared" si="70"/>
        <v>0</v>
      </c>
      <c r="E86" s="9">
        <f t="shared" si="70"/>
        <v>0</v>
      </c>
      <c r="F86" s="9">
        <f t="shared" si="70"/>
        <v>0</v>
      </c>
      <c r="G86" s="9">
        <f t="shared" si="70"/>
        <v>0</v>
      </c>
      <c r="H86" s="9">
        <f t="shared" si="70"/>
        <v>0</v>
      </c>
      <c r="I86" s="9">
        <f t="shared" si="70"/>
        <v>0</v>
      </c>
      <c r="J86" s="9">
        <f t="shared" si="70"/>
        <v>0</v>
      </c>
      <c r="K86" s="9">
        <f t="shared" si="70"/>
        <v>0</v>
      </c>
      <c r="L86" s="9">
        <f t="shared" si="70"/>
        <v>0</v>
      </c>
      <c r="M86" s="9">
        <f t="shared" si="70"/>
        <v>0</v>
      </c>
      <c r="N86" s="9">
        <f t="shared" si="70"/>
        <v>0</v>
      </c>
      <c r="O86" s="9">
        <f t="shared" si="70"/>
        <v>0</v>
      </c>
      <c r="P86" s="9">
        <f t="shared" si="70"/>
        <v>0</v>
      </c>
      <c r="Q86" s="9">
        <f t="shared" si="70"/>
        <v>0</v>
      </c>
      <c r="R86" s="9">
        <f t="shared" si="70"/>
        <v>0</v>
      </c>
      <c r="S86" s="9">
        <f t="shared" si="70"/>
        <v>0</v>
      </c>
      <c r="T86" s="9">
        <f t="shared" si="70"/>
        <v>0</v>
      </c>
      <c r="U86" s="9">
        <f t="shared" si="70"/>
        <v>0</v>
      </c>
      <c r="V86" s="9">
        <f t="shared" si="70"/>
        <v>0</v>
      </c>
      <c r="W86" s="9">
        <f t="shared" si="70"/>
        <v>0</v>
      </c>
      <c r="X86" s="9">
        <f t="shared" si="70"/>
        <v>0</v>
      </c>
      <c r="Y86" s="9">
        <f t="shared" si="70"/>
        <v>0</v>
      </c>
      <c r="Z86" s="9">
        <f t="shared" si="70"/>
        <v>0</v>
      </c>
      <c r="AA86" s="9">
        <f t="shared" si="70"/>
        <v>0</v>
      </c>
      <c r="AB86" s="9">
        <f t="shared" si="70"/>
        <v>0</v>
      </c>
      <c r="AC86" s="9">
        <f t="shared" si="70"/>
        <v>0</v>
      </c>
      <c r="AD86" s="9">
        <f t="shared" si="70"/>
        <v>0</v>
      </c>
      <c r="AE86" s="9">
        <f t="shared" si="70"/>
        <v>0</v>
      </c>
      <c r="AF86" s="9">
        <f t="shared" si="70"/>
        <v>0</v>
      </c>
      <c r="AG86" s="9">
        <f t="shared" si="70"/>
        <v>0</v>
      </c>
      <c r="AH86" s="9">
        <f t="shared" si="59"/>
        <v>0</v>
      </c>
      <c r="AI86" s="9">
        <f t="shared" si="41"/>
        <v>0</v>
      </c>
      <c r="AJ86" s="10">
        <f t="shared" si="60"/>
        <v>0</v>
      </c>
      <c r="AK86" s="9">
        <f t="shared" si="61"/>
        <v>0</v>
      </c>
    </row>
    <row r="87" spans="1:48">
      <c r="A87" s="9">
        <f t="shared" ref="A87:A88" si="71">A56</f>
        <v>116.47100143432617</v>
      </c>
      <c r="B87" s="9">
        <f>B$70*$A56+B$71</f>
        <v>0</v>
      </c>
      <c r="C87" s="9">
        <f t="shared" ref="C87:AG87" si="72">C$70*$A56+C$71</f>
        <v>0</v>
      </c>
      <c r="D87" s="9">
        <f t="shared" si="72"/>
        <v>0</v>
      </c>
      <c r="E87" s="9">
        <f t="shared" si="72"/>
        <v>0</v>
      </c>
      <c r="F87" s="9">
        <f t="shared" si="72"/>
        <v>0</v>
      </c>
      <c r="G87" s="9">
        <f t="shared" si="72"/>
        <v>0</v>
      </c>
      <c r="H87" s="9">
        <f t="shared" si="72"/>
        <v>0</v>
      </c>
      <c r="I87" s="9">
        <f t="shared" si="72"/>
        <v>0</v>
      </c>
      <c r="J87" s="9">
        <f t="shared" si="72"/>
        <v>0</v>
      </c>
      <c r="K87" s="9">
        <f t="shared" si="72"/>
        <v>0</v>
      </c>
      <c r="L87" s="9">
        <f t="shared" si="72"/>
        <v>0</v>
      </c>
      <c r="M87" s="9">
        <f t="shared" si="72"/>
        <v>0</v>
      </c>
      <c r="N87" s="9">
        <f t="shared" si="72"/>
        <v>0</v>
      </c>
      <c r="O87" s="9">
        <f t="shared" si="72"/>
        <v>0</v>
      </c>
      <c r="P87" s="9">
        <f t="shared" si="72"/>
        <v>0</v>
      </c>
      <c r="Q87" s="9">
        <f t="shared" si="72"/>
        <v>0</v>
      </c>
      <c r="R87" s="9">
        <f t="shared" si="72"/>
        <v>0</v>
      </c>
      <c r="S87" s="9">
        <f t="shared" si="72"/>
        <v>0</v>
      </c>
      <c r="T87" s="9">
        <f t="shared" si="72"/>
        <v>0</v>
      </c>
      <c r="U87" s="9">
        <f t="shared" si="72"/>
        <v>0</v>
      </c>
      <c r="V87" s="9">
        <f t="shared" si="72"/>
        <v>0</v>
      </c>
      <c r="W87" s="9">
        <f t="shared" si="72"/>
        <v>0</v>
      </c>
      <c r="X87" s="9">
        <f t="shared" si="72"/>
        <v>0</v>
      </c>
      <c r="Y87" s="9">
        <f t="shared" si="72"/>
        <v>0</v>
      </c>
      <c r="Z87" s="9">
        <f t="shared" si="72"/>
        <v>0</v>
      </c>
      <c r="AA87" s="9">
        <f t="shared" si="72"/>
        <v>0</v>
      </c>
      <c r="AB87" s="9">
        <f t="shared" si="72"/>
        <v>0</v>
      </c>
      <c r="AC87" s="9">
        <f t="shared" si="72"/>
        <v>0</v>
      </c>
      <c r="AD87" s="9">
        <f t="shared" si="72"/>
        <v>0</v>
      </c>
      <c r="AE87" s="9">
        <f t="shared" si="72"/>
        <v>0</v>
      </c>
      <c r="AF87" s="9">
        <f t="shared" si="72"/>
        <v>0</v>
      </c>
      <c r="AG87" s="9">
        <f t="shared" si="72"/>
        <v>0</v>
      </c>
      <c r="AH87" s="9">
        <f t="shared" ref="AH87:AH88" si="73">STDEV(B87:AG87)</f>
        <v>0</v>
      </c>
      <c r="AI87" s="9">
        <f t="shared" si="41"/>
        <v>0</v>
      </c>
      <c r="AJ87" s="10">
        <f t="shared" ref="AJ87:AJ88" si="74">AVERAGE(B87:AG87)</f>
        <v>0</v>
      </c>
      <c r="AK87" s="9">
        <f t="shared" ref="AK87:AK88" si="75">AJ87+1.5*AH87</f>
        <v>0</v>
      </c>
      <c r="AM87" s="9"/>
      <c r="AN87" s="9"/>
      <c r="AO87" s="9"/>
      <c r="AP87" s="9"/>
      <c r="AQ87" s="9"/>
      <c r="AR87" s="9"/>
      <c r="AS87" s="9"/>
      <c r="AT87" s="9"/>
      <c r="AU87" s="9"/>
      <c r="AV87" s="9"/>
    </row>
    <row r="88" spans="1:48">
      <c r="A88" s="9">
        <f t="shared" si="71"/>
        <v>87.306494903564456</v>
      </c>
      <c r="B88" s="9">
        <f t="shared" ref="B88:AG96" si="76">B$70*$A57+B$71</f>
        <v>0</v>
      </c>
      <c r="C88" s="9">
        <f t="shared" si="76"/>
        <v>0</v>
      </c>
      <c r="D88" s="9">
        <f t="shared" si="76"/>
        <v>0</v>
      </c>
      <c r="E88" s="9">
        <f t="shared" si="76"/>
        <v>0</v>
      </c>
      <c r="F88" s="9">
        <f t="shared" si="76"/>
        <v>0</v>
      </c>
      <c r="G88" s="9">
        <f t="shared" si="76"/>
        <v>0</v>
      </c>
      <c r="H88" s="9">
        <f t="shared" si="76"/>
        <v>0</v>
      </c>
      <c r="I88" s="9">
        <f t="shared" si="76"/>
        <v>0</v>
      </c>
      <c r="J88" s="9">
        <f t="shared" si="76"/>
        <v>0</v>
      </c>
      <c r="K88" s="9">
        <f t="shared" si="76"/>
        <v>0</v>
      </c>
      <c r="L88" s="9">
        <f t="shared" si="76"/>
        <v>0</v>
      </c>
      <c r="M88" s="9">
        <f t="shared" si="76"/>
        <v>0</v>
      </c>
      <c r="N88" s="9">
        <f t="shared" si="76"/>
        <v>0</v>
      </c>
      <c r="O88" s="9">
        <f t="shared" si="76"/>
        <v>0</v>
      </c>
      <c r="P88" s="9">
        <f t="shared" si="76"/>
        <v>0</v>
      </c>
      <c r="Q88" s="9">
        <f t="shared" si="76"/>
        <v>0</v>
      </c>
      <c r="R88" s="9">
        <f t="shared" si="76"/>
        <v>0</v>
      </c>
      <c r="S88" s="9">
        <f t="shared" si="76"/>
        <v>0</v>
      </c>
      <c r="T88" s="9">
        <f t="shared" si="76"/>
        <v>0</v>
      </c>
      <c r="U88" s="9">
        <f t="shared" si="76"/>
        <v>0</v>
      </c>
      <c r="V88" s="9">
        <f t="shared" si="76"/>
        <v>0</v>
      </c>
      <c r="W88" s="9">
        <f t="shared" si="76"/>
        <v>0</v>
      </c>
      <c r="X88" s="9">
        <f t="shared" si="76"/>
        <v>0</v>
      </c>
      <c r="Y88" s="9">
        <f t="shared" si="76"/>
        <v>0</v>
      </c>
      <c r="Z88" s="9">
        <f t="shared" si="76"/>
        <v>0</v>
      </c>
      <c r="AA88" s="9">
        <f t="shared" si="76"/>
        <v>0</v>
      </c>
      <c r="AB88" s="9">
        <f t="shared" si="76"/>
        <v>0</v>
      </c>
      <c r="AC88" s="9">
        <f t="shared" si="76"/>
        <v>0</v>
      </c>
      <c r="AD88" s="9">
        <f t="shared" si="76"/>
        <v>0</v>
      </c>
      <c r="AE88" s="9">
        <f t="shared" si="76"/>
        <v>0</v>
      </c>
      <c r="AF88" s="9">
        <f t="shared" si="76"/>
        <v>0</v>
      </c>
      <c r="AG88" s="9">
        <f t="shared" si="76"/>
        <v>0</v>
      </c>
      <c r="AH88" s="9">
        <f t="shared" si="73"/>
        <v>0</v>
      </c>
      <c r="AI88" s="9">
        <f t="shared" si="41"/>
        <v>0</v>
      </c>
      <c r="AJ88" s="10">
        <f t="shared" si="74"/>
        <v>0</v>
      </c>
      <c r="AK88" s="9">
        <f t="shared" si="75"/>
        <v>0</v>
      </c>
      <c r="AM88" s="9"/>
      <c r="AN88" s="9"/>
      <c r="AO88" s="9"/>
      <c r="AP88" s="9"/>
      <c r="AQ88" s="9"/>
      <c r="AR88" s="9"/>
      <c r="AS88" s="9"/>
      <c r="AT88" s="9"/>
      <c r="AU88" s="9"/>
      <c r="AV88" s="9"/>
    </row>
    <row r="89" spans="1:48">
      <c r="A89" s="9">
        <f>A58</f>
        <v>21.315652084350585</v>
      </c>
      <c r="B89" s="9">
        <f t="shared" ref="B89:B96" si="77">B$70*$A58+B$71</f>
        <v>0</v>
      </c>
      <c r="C89" s="9">
        <f t="shared" si="76"/>
        <v>0</v>
      </c>
      <c r="D89" s="9">
        <f t="shared" si="76"/>
        <v>0</v>
      </c>
      <c r="E89" s="9">
        <f t="shared" si="76"/>
        <v>0</v>
      </c>
      <c r="F89" s="9">
        <f t="shared" si="76"/>
        <v>0</v>
      </c>
      <c r="G89" s="9">
        <f t="shared" si="76"/>
        <v>0</v>
      </c>
      <c r="H89" s="9">
        <f t="shared" si="76"/>
        <v>0</v>
      </c>
      <c r="I89" s="9">
        <f t="shared" si="76"/>
        <v>0</v>
      </c>
      <c r="J89" s="9">
        <f t="shared" si="76"/>
        <v>0</v>
      </c>
      <c r="K89" s="9">
        <f t="shared" si="76"/>
        <v>0</v>
      </c>
      <c r="L89" s="9">
        <f t="shared" si="76"/>
        <v>0</v>
      </c>
      <c r="M89" s="9">
        <f t="shared" si="76"/>
        <v>0</v>
      </c>
      <c r="N89" s="9">
        <f t="shared" si="76"/>
        <v>0</v>
      </c>
      <c r="O89" s="9">
        <f t="shared" si="76"/>
        <v>0</v>
      </c>
      <c r="P89" s="9">
        <f t="shared" si="76"/>
        <v>0</v>
      </c>
      <c r="Q89" s="9">
        <f t="shared" si="76"/>
        <v>0</v>
      </c>
      <c r="R89" s="9">
        <f t="shared" si="76"/>
        <v>0</v>
      </c>
      <c r="S89" s="9">
        <f t="shared" si="76"/>
        <v>0</v>
      </c>
      <c r="T89" s="9">
        <f t="shared" si="76"/>
        <v>0</v>
      </c>
      <c r="U89" s="9">
        <f t="shared" si="76"/>
        <v>0</v>
      </c>
      <c r="V89" s="9">
        <f t="shared" si="76"/>
        <v>0</v>
      </c>
      <c r="W89" s="9">
        <f t="shared" si="76"/>
        <v>0</v>
      </c>
      <c r="X89" s="9">
        <f t="shared" si="76"/>
        <v>0</v>
      </c>
      <c r="Y89" s="9">
        <f t="shared" si="76"/>
        <v>0</v>
      </c>
      <c r="Z89" s="9">
        <f t="shared" si="76"/>
        <v>0</v>
      </c>
      <c r="AA89" s="9">
        <f t="shared" si="76"/>
        <v>0</v>
      </c>
      <c r="AB89" s="9">
        <f t="shared" si="76"/>
        <v>0</v>
      </c>
      <c r="AC89" s="9">
        <f t="shared" si="76"/>
        <v>0</v>
      </c>
      <c r="AD89" s="9">
        <f t="shared" si="76"/>
        <v>0</v>
      </c>
      <c r="AE89" s="9">
        <f t="shared" si="76"/>
        <v>0</v>
      </c>
      <c r="AF89" s="9">
        <f t="shared" si="76"/>
        <v>0</v>
      </c>
      <c r="AG89" s="9">
        <f t="shared" si="76"/>
        <v>0</v>
      </c>
      <c r="AH89" s="9">
        <f t="shared" si="40"/>
        <v>0</v>
      </c>
      <c r="AI89" s="9">
        <f t="shared" si="41"/>
        <v>0</v>
      </c>
      <c r="AJ89" s="10">
        <f t="shared" si="42"/>
        <v>0</v>
      </c>
      <c r="AK89" s="9">
        <f t="shared" si="43"/>
        <v>0</v>
      </c>
      <c r="AM89" s="9"/>
      <c r="AN89" s="9"/>
      <c r="AO89" s="9"/>
    </row>
    <row r="90" spans="1:48">
      <c r="A90" s="9">
        <f t="shared" ref="A90:A95" si="78">A59</f>
        <v>17.340450096130372</v>
      </c>
      <c r="B90" s="9">
        <f t="shared" si="77"/>
        <v>0</v>
      </c>
      <c r="C90" s="9">
        <f t="shared" si="76"/>
        <v>0</v>
      </c>
      <c r="D90" s="9">
        <f t="shared" si="76"/>
        <v>0</v>
      </c>
      <c r="E90" s="9">
        <f t="shared" si="76"/>
        <v>0</v>
      </c>
      <c r="F90" s="9">
        <f t="shared" si="76"/>
        <v>0</v>
      </c>
      <c r="G90" s="9">
        <f t="shared" si="76"/>
        <v>0</v>
      </c>
      <c r="H90" s="9">
        <f t="shared" si="76"/>
        <v>0</v>
      </c>
      <c r="I90" s="9">
        <f t="shared" si="76"/>
        <v>0</v>
      </c>
      <c r="J90" s="9">
        <f t="shared" si="76"/>
        <v>0</v>
      </c>
      <c r="K90" s="9">
        <f t="shared" si="76"/>
        <v>0</v>
      </c>
      <c r="L90" s="9">
        <f t="shared" si="76"/>
        <v>0</v>
      </c>
      <c r="M90" s="9">
        <f t="shared" si="76"/>
        <v>0</v>
      </c>
      <c r="N90" s="9">
        <f t="shared" si="76"/>
        <v>0</v>
      </c>
      <c r="O90" s="9">
        <f t="shared" si="76"/>
        <v>0</v>
      </c>
      <c r="P90" s="9">
        <f t="shared" si="76"/>
        <v>0</v>
      </c>
      <c r="Q90" s="9">
        <f t="shared" si="76"/>
        <v>0</v>
      </c>
      <c r="R90" s="9">
        <f t="shared" si="76"/>
        <v>0</v>
      </c>
      <c r="S90" s="9">
        <f t="shared" si="76"/>
        <v>0</v>
      </c>
      <c r="T90" s="9">
        <f t="shared" si="76"/>
        <v>0</v>
      </c>
      <c r="U90" s="9">
        <f t="shared" si="76"/>
        <v>0</v>
      </c>
      <c r="V90" s="9">
        <f t="shared" si="76"/>
        <v>0</v>
      </c>
      <c r="W90" s="9">
        <f t="shared" si="76"/>
        <v>0</v>
      </c>
      <c r="X90" s="9">
        <f t="shared" si="76"/>
        <v>0</v>
      </c>
      <c r="Y90" s="9">
        <f t="shared" si="76"/>
        <v>0</v>
      </c>
      <c r="Z90" s="9">
        <f t="shared" si="76"/>
        <v>0</v>
      </c>
      <c r="AA90" s="9">
        <f t="shared" si="76"/>
        <v>0</v>
      </c>
      <c r="AB90" s="9">
        <f t="shared" si="76"/>
        <v>0</v>
      </c>
      <c r="AC90" s="9">
        <f t="shared" si="76"/>
        <v>0</v>
      </c>
      <c r="AD90" s="9">
        <f t="shared" si="76"/>
        <v>0</v>
      </c>
      <c r="AE90" s="9">
        <f t="shared" si="76"/>
        <v>0</v>
      </c>
      <c r="AF90" s="9">
        <f t="shared" si="76"/>
        <v>0</v>
      </c>
      <c r="AG90" s="9">
        <f t="shared" si="76"/>
        <v>0</v>
      </c>
      <c r="AH90" s="9">
        <f t="shared" si="40"/>
        <v>0</v>
      </c>
      <c r="AI90" s="9">
        <f t="shared" si="41"/>
        <v>0</v>
      </c>
      <c r="AJ90" s="10">
        <f t="shared" si="42"/>
        <v>0</v>
      </c>
      <c r="AK90" s="9">
        <f t="shared" si="43"/>
        <v>0</v>
      </c>
      <c r="AM90" s="9"/>
      <c r="AN90" s="9"/>
      <c r="AO90" s="9"/>
    </row>
    <row r="91" spans="1:48">
      <c r="A91" s="9">
        <f t="shared" si="78"/>
        <v>14.188851261138916</v>
      </c>
      <c r="B91" s="9">
        <f t="shared" si="77"/>
        <v>0</v>
      </c>
      <c r="C91" s="9">
        <f t="shared" si="76"/>
        <v>0</v>
      </c>
      <c r="D91" s="9">
        <f t="shared" si="76"/>
        <v>0</v>
      </c>
      <c r="E91" s="9">
        <f t="shared" si="76"/>
        <v>0</v>
      </c>
      <c r="F91" s="9">
        <f t="shared" si="76"/>
        <v>0</v>
      </c>
      <c r="G91" s="9">
        <f t="shared" si="76"/>
        <v>0</v>
      </c>
      <c r="H91" s="9">
        <f t="shared" si="76"/>
        <v>0</v>
      </c>
      <c r="I91" s="9">
        <f t="shared" si="76"/>
        <v>0</v>
      </c>
      <c r="J91" s="9">
        <f t="shared" si="76"/>
        <v>0</v>
      </c>
      <c r="K91" s="9">
        <f t="shared" si="76"/>
        <v>0</v>
      </c>
      <c r="L91" s="9">
        <f t="shared" si="76"/>
        <v>0</v>
      </c>
      <c r="M91" s="9">
        <f t="shared" si="76"/>
        <v>0</v>
      </c>
      <c r="N91" s="9">
        <f t="shared" si="76"/>
        <v>0</v>
      </c>
      <c r="O91" s="9">
        <f t="shared" si="76"/>
        <v>0</v>
      </c>
      <c r="P91" s="9">
        <f t="shared" si="76"/>
        <v>0</v>
      </c>
      <c r="Q91" s="9">
        <f t="shared" si="76"/>
        <v>0</v>
      </c>
      <c r="R91" s="9">
        <f t="shared" si="76"/>
        <v>0</v>
      </c>
      <c r="S91" s="9">
        <f t="shared" si="76"/>
        <v>0</v>
      </c>
      <c r="T91" s="9">
        <f t="shared" si="76"/>
        <v>0</v>
      </c>
      <c r="U91" s="9">
        <f t="shared" si="76"/>
        <v>0</v>
      </c>
      <c r="V91" s="9">
        <f t="shared" si="76"/>
        <v>0</v>
      </c>
      <c r="W91" s="9">
        <f t="shared" si="76"/>
        <v>0</v>
      </c>
      <c r="X91" s="9">
        <f t="shared" si="76"/>
        <v>0</v>
      </c>
      <c r="Y91" s="9">
        <f t="shared" si="76"/>
        <v>0</v>
      </c>
      <c r="Z91" s="9">
        <f t="shared" si="76"/>
        <v>0</v>
      </c>
      <c r="AA91" s="9">
        <f t="shared" si="76"/>
        <v>0</v>
      </c>
      <c r="AB91" s="9">
        <f t="shared" si="76"/>
        <v>0</v>
      </c>
      <c r="AC91" s="9">
        <f t="shared" si="76"/>
        <v>0</v>
      </c>
      <c r="AD91" s="9">
        <f t="shared" si="76"/>
        <v>0</v>
      </c>
      <c r="AE91" s="9">
        <f t="shared" si="76"/>
        <v>0</v>
      </c>
      <c r="AF91" s="9">
        <f t="shared" si="76"/>
        <v>0</v>
      </c>
      <c r="AG91" s="9">
        <f t="shared" si="76"/>
        <v>0</v>
      </c>
      <c r="AH91" s="9">
        <f t="shared" si="40"/>
        <v>0</v>
      </c>
      <c r="AI91" s="9">
        <f t="shared" si="41"/>
        <v>0</v>
      </c>
      <c r="AJ91" s="10">
        <f t="shared" si="42"/>
        <v>0</v>
      </c>
      <c r="AK91" s="9">
        <f t="shared" si="43"/>
        <v>0</v>
      </c>
      <c r="AM91" s="9"/>
      <c r="AN91" s="9"/>
      <c r="AO91" s="9"/>
    </row>
    <row r="92" spans="1:48">
      <c r="A92" s="9">
        <f t="shared" si="78"/>
        <v>11.795599174499511</v>
      </c>
      <c r="B92" s="9">
        <f t="shared" si="77"/>
        <v>0</v>
      </c>
      <c r="C92" s="9">
        <f t="shared" si="76"/>
        <v>0</v>
      </c>
      <c r="D92" s="9">
        <f t="shared" si="76"/>
        <v>0</v>
      </c>
      <c r="E92" s="9">
        <f t="shared" si="76"/>
        <v>0</v>
      </c>
      <c r="F92" s="9">
        <f t="shared" si="76"/>
        <v>0</v>
      </c>
      <c r="G92" s="9">
        <f t="shared" si="76"/>
        <v>0</v>
      </c>
      <c r="H92" s="9">
        <f t="shared" si="76"/>
        <v>0</v>
      </c>
      <c r="I92" s="9">
        <f t="shared" si="76"/>
        <v>0</v>
      </c>
      <c r="J92" s="9">
        <f t="shared" si="76"/>
        <v>0</v>
      </c>
      <c r="K92" s="9">
        <f t="shared" si="76"/>
        <v>0</v>
      </c>
      <c r="L92" s="9">
        <f t="shared" si="76"/>
        <v>0</v>
      </c>
      <c r="M92" s="9">
        <f t="shared" si="76"/>
        <v>0</v>
      </c>
      <c r="N92" s="9">
        <f t="shared" si="76"/>
        <v>0</v>
      </c>
      <c r="O92" s="9">
        <f t="shared" si="76"/>
        <v>0</v>
      </c>
      <c r="P92" s="9">
        <f t="shared" si="76"/>
        <v>0</v>
      </c>
      <c r="Q92" s="9">
        <f t="shared" si="76"/>
        <v>0</v>
      </c>
      <c r="R92" s="9">
        <f t="shared" si="76"/>
        <v>0</v>
      </c>
      <c r="S92" s="9">
        <f t="shared" si="76"/>
        <v>0</v>
      </c>
      <c r="T92" s="9">
        <f t="shared" si="76"/>
        <v>0</v>
      </c>
      <c r="U92" s="9">
        <f t="shared" si="76"/>
        <v>0</v>
      </c>
      <c r="V92" s="9">
        <f t="shared" si="76"/>
        <v>0</v>
      </c>
      <c r="W92" s="9">
        <f t="shared" si="76"/>
        <v>0</v>
      </c>
      <c r="X92" s="9">
        <f t="shared" si="76"/>
        <v>0</v>
      </c>
      <c r="Y92" s="9">
        <f t="shared" si="76"/>
        <v>0</v>
      </c>
      <c r="Z92" s="9">
        <f t="shared" si="76"/>
        <v>0</v>
      </c>
      <c r="AA92" s="9">
        <f t="shared" si="76"/>
        <v>0</v>
      </c>
      <c r="AB92" s="9">
        <f t="shared" si="76"/>
        <v>0</v>
      </c>
      <c r="AC92" s="9">
        <f t="shared" si="76"/>
        <v>0</v>
      </c>
      <c r="AD92" s="9">
        <f t="shared" si="76"/>
        <v>0</v>
      </c>
      <c r="AE92" s="9">
        <f t="shared" si="76"/>
        <v>0</v>
      </c>
      <c r="AF92" s="9">
        <f t="shared" si="76"/>
        <v>0</v>
      </c>
      <c r="AG92" s="9">
        <f t="shared" si="76"/>
        <v>0</v>
      </c>
      <c r="AH92" s="9">
        <f t="shared" si="40"/>
        <v>0</v>
      </c>
      <c r="AI92" s="9">
        <f t="shared" si="41"/>
        <v>0</v>
      </c>
      <c r="AJ92" s="10">
        <f t="shared" si="42"/>
        <v>0</v>
      </c>
      <c r="AK92" s="9">
        <f t="shared" si="43"/>
        <v>0</v>
      </c>
      <c r="AM92" s="9"/>
      <c r="AN92" s="9"/>
      <c r="AO92" s="9"/>
    </row>
    <row r="93" spans="1:48">
      <c r="A93" s="9">
        <f t="shared" si="78"/>
        <v>8.797748947143555</v>
      </c>
      <c r="B93" s="9">
        <f t="shared" si="77"/>
        <v>0</v>
      </c>
      <c r="C93" s="9">
        <f t="shared" si="76"/>
        <v>0</v>
      </c>
      <c r="D93" s="9">
        <f t="shared" si="76"/>
        <v>0</v>
      </c>
      <c r="E93" s="9">
        <f t="shared" si="76"/>
        <v>0</v>
      </c>
      <c r="F93" s="9">
        <f t="shared" si="76"/>
        <v>0</v>
      </c>
      <c r="G93" s="9">
        <f t="shared" si="76"/>
        <v>0</v>
      </c>
      <c r="H93" s="9">
        <f t="shared" si="76"/>
        <v>0</v>
      </c>
      <c r="I93" s="9">
        <f t="shared" si="76"/>
        <v>0</v>
      </c>
      <c r="J93" s="9">
        <f t="shared" si="76"/>
        <v>0</v>
      </c>
      <c r="K93" s="9">
        <f t="shared" si="76"/>
        <v>0</v>
      </c>
      <c r="L93" s="9">
        <f t="shared" si="76"/>
        <v>0</v>
      </c>
      <c r="M93" s="9">
        <f t="shared" si="76"/>
        <v>0</v>
      </c>
      <c r="N93" s="9">
        <f t="shared" si="76"/>
        <v>0</v>
      </c>
      <c r="O93" s="9">
        <f t="shared" si="76"/>
        <v>0</v>
      </c>
      <c r="P93" s="9">
        <f t="shared" si="76"/>
        <v>0</v>
      </c>
      <c r="Q93" s="9">
        <f t="shared" si="76"/>
        <v>0</v>
      </c>
      <c r="R93" s="9">
        <f t="shared" si="76"/>
        <v>0</v>
      </c>
      <c r="S93" s="9">
        <f t="shared" si="76"/>
        <v>0</v>
      </c>
      <c r="T93" s="9">
        <f t="shared" si="76"/>
        <v>0</v>
      </c>
      <c r="U93" s="9">
        <f t="shared" si="76"/>
        <v>0</v>
      </c>
      <c r="V93" s="9">
        <f t="shared" si="76"/>
        <v>0</v>
      </c>
      <c r="W93" s="9">
        <f t="shared" si="76"/>
        <v>0</v>
      </c>
      <c r="X93" s="9">
        <f t="shared" si="76"/>
        <v>0</v>
      </c>
      <c r="Y93" s="9">
        <f t="shared" si="76"/>
        <v>0</v>
      </c>
      <c r="Z93" s="9">
        <f t="shared" si="76"/>
        <v>0</v>
      </c>
      <c r="AA93" s="9">
        <f t="shared" si="76"/>
        <v>0</v>
      </c>
      <c r="AB93" s="9">
        <f t="shared" si="76"/>
        <v>0</v>
      </c>
      <c r="AC93" s="9">
        <f t="shared" si="76"/>
        <v>0</v>
      </c>
      <c r="AD93" s="9">
        <f t="shared" si="76"/>
        <v>0</v>
      </c>
      <c r="AE93" s="9">
        <f t="shared" si="76"/>
        <v>0</v>
      </c>
      <c r="AF93" s="9">
        <f t="shared" si="76"/>
        <v>0</v>
      </c>
      <c r="AG93" s="9">
        <f t="shared" si="76"/>
        <v>0</v>
      </c>
      <c r="AH93" s="9">
        <f t="shared" si="40"/>
        <v>0</v>
      </c>
      <c r="AI93" s="9">
        <f t="shared" si="41"/>
        <v>0</v>
      </c>
      <c r="AJ93" s="10">
        <f t="shared" si="42"/>
        <v>0</v>
      </c>
      <c r="AK93" s="9">
        <f t="shared" si="43"/>
        <v>0</v>
      </c>
      <c r="AM93" s="9"/>
      <c r="AN93" s="9"/>
      <c r="AO93" s="9"/>
    </row>
    <row r="94" spans="1:48">
      <c r="A94" s="9">
        <f t="shared" si="78"/>
        <v>6.5973999023437502</v>
      </c>
      <c r="B94" s="9">
        <f t="shared" si="77"/>
        <v>0</v>
      </c>
      <c r="C94" s="9">
        <f t="shared" si="76"/>
        <v>0</v>
      </c>
      <c r="D94" s="9">
        <f t="shared" si="76"/>
        <v>0</v>
      </c>
      <c r="E94" s="9">
        <f t="shared" si="76"/>
        <v>0</v>
      </c>
      <c r="F94" s="9">
        <f t="shared" si="76"/>
        <v>0</v>
      </c>
      <c r="G94" s="9">
        <f t="shared" si="76"/>
        <v>0</v>
      </c>
      <c r="H94" s="9">
        <f t="shared" si="76"/>
        <v>0</v>
      </c>
      <c r="I94" s="9">
        <f t="shared" si="76"/>
        <v>0</v>
      </c>
      <c r="J94" s="9">
        <f t="shared" si="76"/>
        <v>0</v>
      </c>
      <c r="K94" s="9">
        <f t="shared" si="76"/>
        <v>0</v>
      </c>
      <c r="L94" s="9">
        <f t="shared" si="76"/>
        <v>0</v>
      </c>
      <c r="M94" s="9">
        <f t="shared" si="76"/>
        <v>0</v>
      </c>
      <c r="N94" s="9">
        <f t="shared" si="76"/>
        <v>0</v>
      </c>
      <c r="O94" s="9">
        <f t="shared" si="76"/>
        <v>0</v>
      </c>
      <c r="P94" s="9">
        <f t="shared" si="76"/>
        <v>0</v>
      </c>
      <c r="Q94" s="9">
        <f t="shared" si="76"/>
        <v>0</v>
      </c>
      <c r="R94" s="9">
        <f t="shared" si="76"/>
        <v>0</v>
      </c>
      <c r="S94" s="9">
        <f t="shared" si="76"/>
        <v>0</v>
      </c>
      <c r="T94" s="9">
        <f t="shared" si="76"/>
        <v>0</v>
      </c>
      <c r="U94" s="9">
        <f t="shared" si="76"/>
        <v>0</v>
      </c>
      <c r="V94" s="9">
        <f t="shared" si="76"/>
        <v>0</v>
      </c>
      <c r="W94" s="9">
        <f t="shared" si="76"/>
        <v>0</v>
      </c>
      <c r="X94" s="9">
        <f t="shared" si="76"/>
        <v>0</v>
      </c>
      <c r="Y94" s="9">
        <f t="shared" si="76"/>
        <v>0</v>
      </c>
      <c r="Z94" s="9">
        <f t="shared" si="76"/>
        <v>0</v>
      </c>
      <c r="AA94" s="9">
        <f t="shared" si="76"/>
        <v>0</v>
      </c>
      <c r="AB94" s="9">
        <f t="shared" si="76"/>
        <v>0</v>
      </c>
      <c r="AC94" s="9">
        <f t="shared" si="76"/>
        <v>0</v>
      </c>
      <c r="AD94" s="9">
        <f t="shared" si="76"/>
        <v>0</v>
      </c>
      <c r="AE94" s="9">
        <f t="shared" si="76"/>
        <v>0</v>
      </c>
      <c r="AF94" s="9">
        <f t="shared" si="76"/>
        <v>0</v>
      </c>
      <c r="AG94" s="9">
        <f t="shared" si="76"/>
        <v>0</v>
      </c>
      <c r="AH94" s="9">
        <f t="shared" si="40"/>
        <v>0</v>
      </c>
      <c r="AI94" s="9">
        <f t="shared" si="41"/>
        <v>0</v>
      </c>
      <c r="AJ94" s="10">
        <f t="shared" si="42"/>
        <v>0</v>
      </c>
      <c r="AK94" s="9">
        <f t="shared" si="43"/>
        <v>0</v>
      </c>
      <c r="AM94" s="9"/>
      <c r="AN94" s="9"/>
      <c r="AO94" s="9"/>
    </row>
    <row r="95" spans="1:48">
      <c r="A95" s="9">
        <f t="shared" si="78"/>
        <v>2.3447998762130737</v>
      </c>
      <c r="B95" s="9">
        <f t="shared" si="77"/>
        <v>0</v>
      </c>
      <c r="C95" s="9">
        <f t="shared" si="76"/>
        <v>0</v>
      </c>
      <c r="D95" s="9">
        <f t="shared" si="76"/>
        <v>0</v>
      </c>
      <c r="E95" s="9">
        <f t="shared" si="76"/>
        <v>0</v>
      </c>
      <c r="F95" s="9">
        <f t="shared" si="76"/>
        <v>0</v>
      </c>
      <c r="G95" s="9">
        <f t="shared" si="76"/>
        <v>0</v>
      </c>
      <c r="H95" s="9">
        <f t="shared" si="76"/>
        <v>0</v>
      </c>
      <c r="I95" s="9">
        <f t="shared" si="76"/>
        <v>0</v>
      </c>
      <c r="J95" s="9">
        <f t="shared" si="76"/>
        <v>0</v>
      </c>
      <c r="K95" s="9">
        <f t="shared" si="76"/>
        <v>0</v>
      </c>
      <c r="L95" s="9">
        <f t="shared" si="76"/>
        <v>0</v>
      </c>
      <c r="M95" s="9">
        <f t="shared" si="76"/>
        <v>0</v>
      </c>
      <c r="N95" s="9">
        <f t="shared" si="76"/>
        <v>0</v>
      </c>
      <c r="O95" s="9">
        <f t="shared" si="76"/>
        <v>0</v>
      </c>
      <c r="P95" s="9">
        <f t="shared" si="76"/>
        <v>0</v>
      </c>
      <c r="Q95" s="9">
        <f t="shared" si="76"/>
        <v>0</v>
      </c>
      <c r="R95" s="9">
        <f t="shared" si="76"/>
        <v>0</v>
      </c>
      <c r="S95" s="9">
        <f t="shared" si="76"/>
        <v>0</v>
      </c>
      <c r="T95" s="9">
        <f t="shared" si="76"/>
        <v>0</v>
      </c>
      <c r="U95" s="9">
        <f t="shared" si="76"/>
        <v>0</v>
      </c>
      <c r="V95" s="9">
        <f t="shared" si="76"/>
        <v>0</v>
      </c>
      <c r="W95" s="9">
        <f t="shared" si="76"/>
        <v>0</v>
      </c>
      <c r="X95" s="9">
        <f t="shared" si="76"/>
        <v>0</v>
      </c>
      <c r="Y95" s="9">
        <f t="shared" si="76"/>
        <v>0</v>
      </c>
      <c r="Z95" s="9">
        <f t="shared" si="76"/>
        <v>0</v>
      </c>
      <c r="AA95" s="9">
        <f t="shared" si="76"/>
        <v>0</v>
      </c>
      <c r="AB95" s="9">
        <f t="shared" si="76"/>
        <v>0</v>
      </c>
      <c r="AC95" s="9">
        <f t="shared" si="76"/>
        <v>0</v>
      </c>
      <c r="AD95" s="9">
        <f t="shared" si="76"/>
        <v>0</v>
      </c>
      <c r="AE95" s="9">
        <f t="shared" si="76"/>
        <v>0</v>
      </c>
      <c r="AF95" s="9">
        <f t="shared" si="76"/>
        <v>0</v>
      </c>
      <c r="AG95" s="9">
        <f t="shared" si="76"/>
        <v>0</v>
      </c>
      <c r="AH95" s="9">
        <f t="shared" si="40"/>
        <v>0</v>
      </c>
      <c r="AI95" s="9">
        <f t="shared" si="41"/>
        <v>0</v>
      </c>
      <c r="AJ95" s="10">
        <f t="shared" si="42"/>
        <v>0</v>
      </c>
      <c r="AK95" s="9">
        <f t="shared" si="43"/>
        <v>0</v>
      </c>
      <c r="AM95" s="9"/>
      <c r="AN95" s="9"/>
      <c r="AO95" s="9"/>
    </row>
    <row r="96" spans="1:48">
      <c r="A96" s="9">
        <f>A65</f>
        <v>1.9071000814437866</v>
      </c>
      <c r="B96" s="9">
        <f t="shared" si="77"/>
        <v>0</v>
      </c>
      <c r="C96" s="9">
        <f t="shared" si="76"/>
        <v>0</v>
      </c>
      <c r="D96" s="9">
        <f t="shared" si="76"/>
        <v>0</v>
      </c>
      <c r="E96" s="9">
        <f t="shared" si="76"/>
        <v>0</v>
      </c>
      <c r="F96" s="9">
        <f t="shared" si="76"/>
        <v>0</v>
      </c>
      <c r="G96" s="9">
        <f t="shared" si="76"/>
        <v>0</v>
      </c>
      <c r="H96" s="9">
        <f t="shared" si="76"/>
        <v>0</v>
      </c>
      <c r="I96" s="9">
        <f t="shared" ref="I96:AG96" si="79">I$70*$A65+I$71</f>
        <v>0</v>
      </c>
      <c r="J96" s="9">
        <f t="shared" si="79"/>
        <v>0</v>
      </c>
      <c r="K96" s="9">
        <f t="shared" si="79"/>
        <v>0</v>
      </c>
      <c r="L96" s="9">
        <f t="shared" si="79"/>
        <v>0</v>
      </c>
      <c r="M96" s="9">
        <f t="shared" si="79"/>
        <v>0</v>
      </c>
      <c r="N96" s="9">
        <f t="shared" si="79"/>
        <v>0</v>
      </c>
      <c r="O96" s="9">
        <f t="shared" si="79"/>
        <v>0</v>
      </c>
      <c r="P96" s="9">
        <f t="shared" si="79"/>
        <v>0</v>
      </c>
      <c r="Q96" s="9">
        <f t="shared" si="79"/>
        <v>0</v>
      </c>
      <c r="R96" s="9">
        <f t="shared" si="79"/>
        <v>0</v>
      </c>
      <c r="S96" s="9">
        <f t="shared" si="79"/>
        <v>0</v>
      </c>
      <c r="T96" s="9">
        <f t="shared" si="79"/>
        <v>0</v>
      </c>
      <c r="U96" s="9">
        <f t="shared" si="79"/>
        <v>0</v>
      </c>
      <c r="V96" s="9">
        <f t="shared" si="79"/>
        <v>0</v>
      </c>
      <c r="W96" s="9">
        <f t="shared" si="79"/>
        <v>0</v>
      </c>
      <c r="X96" s="9">
        <f t="shared" si="79"/>
        <v>0</v>
      </c>
      <c r="Y96" s="9">
        <f t="shared" si="79"/>
        <v>0</v>
      </c>
      <c r="Z96" s="9">
        <f t="shared" si="79"/>
        <v>0</v>
      </c>
      <c r="AA96" s="9">
        <f t="shared" si="79"/>
        <v>0</v>
      </c>
      <c r="AB96" s="9">
        <f t="shared" si="79"/>
        <v>0</v>
      </c>
      <c r="AC96" s="9">
        <f t="shared" si="79"/>
        <v>0</v>
      </c>
      <c r="AD96" s="9">
        <f t="shared" si="79"/>
        <v>0</v>
      </c>
      <c r="AE96" s="9">
        <f t="shared" si="79"/>
        <v>0</v>
      </c>
      <c r="AF96" s="9">
        <f t="shared" si="79"/>
        <v>0</v>
      </c>
      <c r="AG96" s="9">
        <f t="shared" si="79"/>
        <v>0</v>
      </c>
      <c r="AH96" s="9">
        <f t="shared" si="40"/>
        <v>0</v>
      </c>
      <c r="AI96" s="9">
        <f t="shared" si="41"/>
        <v>0</v>
      </c>
      <c r="AJ96" s="10">
        <f t="shared" si="42"/>
        <v>0</v>
      </c>
      <c r="AK96" s="9">
        <f t="shared" si="43"/>
        <v>0</v>
      </c>
      <c r="AM96" s="9"/>
      <c r="AN96" s="9"/>
      <c r="AO96" s="9"/>
    </row>
    <row r="97" spans="1:41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10"/>
      <c r="AK97" s="9"/>
      <c r="AM97" s="9"/>
      <c r="AN97" s="9"/>
      <c r="AO97" s="9"/>
    </row>
    <row r="98" spans="1:41"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10"/>
      <c r="AK98" s="9"/>
      <c r="AM98" s="9"/>
      <c r="AN98" s="9"/>
      <c r="AO98" s="9"/>
    </row>
    <row r="99" spans="1:41">
      <c r="A99" s="9"/>
      <c r="B99" s="9">
        <f>B73</f>
        <v>0</v>
      </c>
      <c r="C99" s="9">
        <f t="shared" ref="C99:AK99" si="80">C73</f>
        <v>1</v>
      </c>
      <c r="D99" s="9">
        <f t="shared" si="80"/>
        <v>2</v>
      </c>
      <c r="E99" s="9">
        <f t="shared" si="80"/>
        <v>3</v>
      </c>
      <c r="F99" s="9">
        <f t="shared" si="80"/>
        <v>4</v>
      </c>
      <c r="G99" s="9">
        <f t="shared" si="80"/>
        <v>5</v>
      </c>
      <c r="H99" s="9">
        <f t="shared" si="80"/>
        <v>6</v>
      </c>
      <c r="I99" s="9">
        <f t="shared" si="80"/>
        <v>7</v>
      </c>
      <c r="J99" s="9">
        <f t="shared" si="80"/>
        <v>8</v>
      </c>
      <c r="K99" s="9">
        <f t="shared" si="80"/>
        <v>9</v>
      </c>
      <c r="L99" s="9">
        <f t="shared" si="80"/>
        <v>10</v>
      </c>
      <c r="M99" s="9">
        <f t="shared" si="80"/>
        <v>11</v>
      </c>
      <c r="N99" s="9">
        <f t="shared" si="80"/>
        <v>12</v>
      </c>
      <c r="O99" s="9">
        <f t="shared" si="80"/>
        <v>13</v>
      </c>
      <c r="P99" s="9">
        <f t="shared" si="80"/>
        <v>14</v>
      </c>
      <c r="Q99" s="9">
        <f t="shared" si="80"/>
        <v>15</v>
      </c>
      <c r="R99" s="9">
        <f t="shared" si="80"/>
        <v>16</v>
      </c>
      <c r="S99" s="9">
        <f t="shared" si="80"/>
        <v>17</v>
      </c>
      <c r="T99" s="9">
        <f t="shared" si="80"/>
        <v>18</v>
      </c>
      <c r="U99" s="9">
        <f t="shared" si="80"/>
        <v>19</v>
      </c>
      <c r="V99" s="9">
        <f t="shared" si="80"/>
        <v>20</v>
      </c>
      <c r="W99" s="9">
        <f t="shared" si="80"/>
        <v>21</v>
      </c>
      <c r="X99" s="9">
        <f t="shared" si="80"/>
        <v>22</v>
      </c>
      <c r="Y99" s="9">
        <f t="shared" si="80"/>
        <v>23</v>
      </c>
      <c r="Z99" s="9">
        <f t="shared" si="80"/>
        <v>24</v>
      </c>
      <c r="AA99" s="9">
        <f t="shared" si="80"/>
        <v>25</v>
      </c>
      <c r="AB99" s="9">
        <f t="shared" si="80"/>
        <v>26</v>
      </c>
      <c r="AC99" s="9">
        <f t="shared" si="80"/>
        <v>27</v>
      </c>
      <c r="AD99" s="9">
        <f t="shared" si="80"/>
        <v>28</v>
      </c>
      <c r="AE99" s="9">
        <f t="shared" si="80"/>
        <v>29</v>
      </c>
      <c r="AF99" s="9">
        <f t="shared" si="80"/>
        <v>30</v>
      </c>
      <c r="AG99" s="9">
        <f t="shared" si="80"/>
        <v>31</v>
      </c>
      <c r="AH99" s="9" t="str">
        <f t="shared" si="80"/>
        <v>STDEV</v>
      </c>
      <c r="AI99" s="9" t="str">
        <f t="shared" si="80"/>
        <v>-1.5σ</v>
      </c>
      <c r="AJ99" s="9" t="str">
        <f t="shared" si="80"/>
        <v>MEAN</v>
      </c>
      <c r="AK99" s="9" t="str">
        <f t="shared" si="80"/>
        <v>+1.5σ</v>
      </c>
      <c r="AL99" s="9" t="s">
        <v>29</v>
      </c>
      <c r="AM99" s="9"/>
      <c r="AN99" s="9"/>
      <c r="AO99" s="9"/>
    </row>
    <row r="100" spans="1:41" s="9" customFormat="1">
      <c r="A100" s="9">
        <f t="shared" ref="A100:A103" si="81">A74</f>
        <v>1996.1750244140626</v>
      </c>
      <c r="B100" s="9">
        <f t="shared" ref="B100:AG100" si="82">B43-B74</f>
        <v>0</v>
      </c>
      <c r="C100" s="9">
        <f t="shared" si="82"/>
        <v>0</v>
      </c>
      <c r="D100" s="9">
        <f t="shared" si="82"/>
        <v>0</v>
      </c>
      <c r="E100" s="9">
        <f t="shared" si="82"/>
        <v>0</v>
      </c>
      <c r="F100" s="9">
        <f t="shared" si="82"/>
        <v>0</v>
      </c>
      <c r="G100" s="9">
        <f t="shared" si="82"/>
        <v>0</v>
      </c>
      <c r="H100" s="9">
        <f t="shared" si="82"/>
        <v>0</v>
      </c>
      <c r="I100" s="9">
        <f t="shared" si="82"/>
        <v>0</v>
      </c>
      <c r="J100" s="9">
        <f t="shared" si="82"/>
        <v>0</v>
      </c>
      <c r="K100" s="9">
        <f t="shared" si="82"/>
        <v>0</v>
      </c>
      <c r="L100" s="9">
        <f t="shared" si="82"/>
        <v>0</v>
      </c>
      <c r="M100" s="9">
        <f t="shared" si="82"/>
        <v>0</v>
      </c>
      <c r="N100" s="9">
        <f t="shared" si="82"/>
        <v>0</v>
      </c>
      <c r="O100" s="9">
        <f t="shared" si="82"/>
        <v>0</v>
      </c>
      <c r="P100" s="9">
        <f t="shared" si="82"/>
        <v>0</v>
      </c>
      <c r="Q100" s="9">
        <f t="shared" si="82"/>
        <v>0</v>
      </c>
      <c r="R100" s="9">
        <f t="shared" si="82"/>
        <v>0</v>
      </c>
      <c r="S100" s="9">
        <f t="shared" si="82"/>
        <v>0</v>
      </c>
      <c r="T100" s="9">
        <f t="shared" si="82"/>
        <v>0</v>
      </c>
      <c r="U100" s="9">
        <f t="shared" si="82"/>
        <v>0</v>
      </c>
      <c r="V100" s="9">
        <f t="shared" si="82"/>
        <v>0</v>
      </c>
      <c r="W100" s="9">
        <f t="shared" si="82"/>
        <v>0</v>
      </c>
      <c r="X100" s="9">
        <f t="shared" si="82"/>
        <v>0</v>
      </c>
      <c r="Y100" s="9">
        <f t="shared" si="82"/>
        <v>0</v>
      </c>
      <c r="Z100" s="9">
        <f t="shared" si="82"/>
        <v>0</v>
      </c>
      <c r="AA100" s="9">
        <f t="shared" si="82"/>
        <v>0</v>
      </c>
      <c r="AB100" s="9">
        <f t="shared" si="82"/>
        <v>0</v>
      </c>
      <c r="AC100" s="9">
        <f t="shared" si="82"/>
        <v>0</v>
      </c>
      <c r="AD100" s="9">
        <f t="shared" si="82"/>
        <v>0</v>
      </c>
      <c r="AE100" s="9">
        <f t="shared" si="82"/>
        <v>0</v>
      </c>
      <c r="AF100" s="9">
        <f t="shared" si="82"/>
        <v>0</v>
      </c>
      <c r="AG100" s="9">
        <f t="shared" si="82"/>
        <v>0</v>
      </c>
      <c r="AH100" s="9">
        <f t="shared" ref="AH100:AH103" si="83">STDEV(B100:AG100)</f>
        <v>0</v>
      </c>
      <c r="AI100" s="9">
        <f t="shared" ref="AI100:AI103" si="84">AJ100-1.5*AH100</f>
        <v>0</v>
      </c>
      <c r="AJ100" s="10">
        <f t="shared" ref="AJ100:AJ103" si="85">AVERAGE(B100:AG100)</f>
        <v>0</v>
      </c>
      <c r="AK100" s="9">
        <f t="shared" ref="AK100:AK103" si="86">AJ100+1.5*AH100</f>
        <v>0</v>
      </c>
      <c r="AL100" s="9">
        <f t="shared" ref="AL100:AL103" si="87">ABS(AJ100)</f>
        <v>0</v>
      </c>
    </row>
    <row r="101" spans="1:41" s="9" customFormat="1">
      <c r="A101" s="9">
        <f t="shared" si="81"/>
        <v>1659.095166015625</v>
      </c>
      <c r="B101" s="9">
        <f t="shared" ref="B101:AG101" si="88">B44-B75</f>
        <v>0</v>
      </c>
      <c r="C101" s="9">
        <f t="shared" si="88"/>
        <v>0</v>
      </c>
      <c r="D101" s="9">
        <f t="shared" si="88"/>
        <v>0</v>
      </c>
      <c r="E101" s="9">
        <f t="shared" si="88"/>
        <v>0</v>
      </c>
      <c r="F101" s="9">
        <f t="shared" si="88"/>
        <v>0</v>
      </c>
      <c r="G101" s="9">
        <f t="shared" si="88"/>
        <v>0</v>
      </c>
      <c r="H101" s="9">
        <f t="shared" si="88"/>
        <v>0</v>
      </c>
      <c r="I101" s="9">
        <f t="shared" si="88"/>
        <v>0</v>
      </c>
      <c r="J101" s="9">
        <f t="shared" si="88"/>
        <v>0</v>
      </c>
      <c r="K101" s="9">
        <f t="shared" si="88"/>
        <v>0</v>
      </c>
      <c r="L101" s="9">
        <f t="shared" si="88"/>
        <v>0</v>
      </c>
      <c r="M101" s="9">
        <f t="shared" si="88"/>
        <v>0</v>
      </c>
      <c r="N101" s="9">
        <f t="shared" si="88"/>
        <v>0</v>
      </c>
      <c r="O101" s="9">
        <f t="shared" si="88"/>
        <v>0</v>
      </c>
      <c r="P101" s="9">
        <f t="shared" si="88"/>
        <v>0</v>
      </c>
      <c r="Q101" s="9">
        <f t="shared" si="88"/>
        <v>0</v>
      </c>
      <c r="R101" s="9">
        <f t="shared" si="88"/>
        <v>0</v>
      </c>
      <c r="S101" s="9">
        <f t="shared" si="88"/>
        <v>0</v>
      </c>
      <c r="T101" s="9">
        <f t="shared" si="88"/>
        <v>0</v>
      </c>
      <c r="U101" s="9">
        <f t="shared" si="88"/>
        <v>0</v>
      </c>
      <c r="V101" s="9">
        <f t="shared" si="88"/>
        <v>0</v>
      </c>
      <c r="W101" s="9">
        <f t="shared" si="88"/>
        <v>0</v>
      </c>
      <c r="X101" s="9">
        <f t="shared" si="88"/>
        <v>0</v>
      </c>
      <c r="Y101" s="9">
        <f t="shared" si="88"/>
        <v>0</v>
      </c>
      <c r="Z101" s="9">
        <f t="shared" si="88"/>
        <v>0</v>
      </c>
      <c r="AA101" s="9">
        <f t="shared" si="88"/>
        <v>0</v>
      </c>
      <c r="AB101" s="9">
        <f t="shared" si="88"/>
        <v>0</v>
      </c>
      <c r="AC101" s="9">
        <f t="shared" si="88"/>
        <v>0</v>
      </c>
      <c r="AD101" s="9">
        <f t="shared" si="88"/>
        <v>0</v>
      </c>
      <c r="AE101" s="9">
        <f t="shared" si="88"/>
        <v>0</v>
      </c>
      <c r="AF101" s="9">
        <f t="shared" si="88"/>
        <v>0</v>
      </c>
      <c r="AG101" s="9">
        <f t="shared" si="88"/>
        <v>0</v>
      </c>
      <c r="AH101" s="9">
        <f t="shared" si="83"/>
        <v>0</v>
      </c>
      <c r="AI101" s="9">
        <f t="shared" si="84"/>
        <v>0</v>
      </c>
      <c r="AJ101" s="10">
        <f t="shared" si="85"/>
        <v>0</v>
      </c>
      <c r="AK101" s="9">
        <f t="shared" si="86"/>
        <v>0</v>
      </c>
      <c r="AL101" s="9">
        <f t="shared" si="87"/>
        <v>0</v>
      </c>
    </row>
    <row r="102" spans="1:41" s="9" customFormat="1">
      <c r="A102" s="9">
        <f t="shared" si="81"/>
        <v>1234.2751586914062</v>
      </c>
      <c r="B102" s="9">
        <f t="shared" ref="B102:AG102" si="89">B45-B76</f>
        <v>0</v>
      </c>
      <c r="C102" s="9">
        <f t="shared" si="89"/>
        <v>0</v>
      </c>
      <c r="D102" s="9">
        <f t="shared" si="89"/>
        <v>0</v>
      </c>
      <c r="E102" s="9">
        <f t="shared" si="89"/>
        <v>0</v>
      </c>
      <c r="F102" s="9">
        <f t="shared" si="89"/>
        <v>0</v>
      </c>
      <c r="G102" s="9">
        <f t="shared" si="89"/>
        <v>0</v>
      </c>
      <c r="H102" s="9">
        <f t="shared" si="89"/>
        <v>0</v>
      </c>
      <c r="I102" s="9">
        <f t="shared" si="89"/>
        <v>0</v>
      </c>
      <c r="J102" s="9">
        <f t="shared" si="89"/>
        <v>0</v>
      </c>
      <c r="K102" s="9">
        <f t="shared" si="89"/>
        <v>0</v>
      </c>
      <c r="L102" s="9">
        <f t="shared" si="89"/>
        <v>0</v>
      </c>
      <c r="M102" s="9">
        <f t="shared" si="89"/>
        <v>0</v>
      </c>
      <c r="N102" s="9">
        <f t="shared" si="89"/>
        <v>0</v>
      </c>
      <c r="O102" s="9">
        <f t="shared" si="89"/>
        <v>0</v>
      </c>
      <c r="P102" s="9">
        <f t="shared" si="89"/>
        <v>0</v>
      </c>
      <c r="Q102" s="9">
        <f t="shared" si="89"/>
        <v>0</v>
      </c>
      <c r="R102" s="9">
        <f t="shared" si="89"/>
        <v>0</v>
      </c>
      <c r="S102" s="9">
        <f t="shared" si="89"/>
        <v>0</v>
      </c>
      <c r="T102" s="9">
        <f t="shared" si="89"/>
        <v>0</v>
      </c>
      <c r="U102" s="9">
        <f t="shared" si="89"/>
        <v>0</v>
      </c>
      <c r="V102" s="9">
        <f t="shared" si="89"/>
        <v>0</v>
      </c>
      <c r="W102" s="9">
        <f t="shared" si="89"/>
        <v>0</v>
      </c>
      <c r="X102" s="9">
        <f t="shared" si="89"/>
        <v>0</v>
      </c>
      <c r="Y102" s="9">
        <f t="shared" si="89"/>
        <v>0</v>
      </c>
      <c r="Z102" s="9">
        <f t="shared" si="89"/>
        <v>0</v>
      </c>
      <c r="AA102" s="9">
        <f t="shared" si="89"/>
        <v>0</v>
      </c>
      <c r="AB102" s="9">
        <f t="shared" si="89"/>
        <v>0</v>
      </c>
      <c r="AC102" s="9">
        <f t="shared" si="89"/>
        <v>0</v>
      </c>
      <c r="AD102" s="9">
        <f t="shared" si="89"/>
        <v>0</v>
      </c>
      <c r="AE102" s="9">
        <f t="shared" si="89"/>
        <v>0</v>
      </c>
      <c r="AF102" s="9">
        <f t="shared" si="89"/>
        <v>0</v>
      </c>
      <c r="AG102" s="9">
        <f t="shared" si="89"/>
        <v>0</v>
      </c>
      <c r="AH102" s="9">
        <f t="shared" si="83"/>
        <v>0</v>
      </c>
      <c r="AI102" s="9">
        <f t="shared" si="84"/>
        <v>0</v>
      </c>
      <c r="AJ102" s="10">
        <f t="shared" si="85"/>
        <v>0</v>
      </c>
      <c r="AK102" s="9">
        <f t="shared" si="86"/>
        <v>0</v>
      </c>
      <c r="AL102" s="9">
        <f t="shared" si="87"/>
        <v>0</v>
      </c>
    </row>
    <row r="103" spans="1:41" s="9" customFormat="1">
      <c r="A103" s="9">
        <f t="shared" si="81"/>
        <v>924.54020385742183</v>
      </c>
      <c r="B103" s="9">
        <f t="shared" ref="B103:AG103" si="90">B46-B77</f>
        <v>0</v>
      </c>
      <c r="C103" s="9">
        <f t="shared" si="90"/>
        <v>0</v>
      </c>
      <c r="D103" s="9">
        <f t="shared" si="90"/>
        <v>0</v>
      </c>
      <c r="E103" s="9">
        <f t="shared" si="90"/>
        <v>0</v>
      </c>
      <c r="F103" s="9">
        <f t="shared" si="90"/>
        <v>0</v>
      </c>
      <c r="G103" s="9">
        <f t="shared" si="90"/>
        <v>0</v>
      </c>
      <c r="H103" s="9">
        <f t="shared" si="90"/>
        <v>0</v>
      </c>
      <c r="I103" s="9">
        <f t="shared" si="90"/>
        <v>0</v>
      </c>
      <c r="J103" s="9">
        <f t="shared" si="90"/>
        <v>0</v>
      </c>
      <c r="K103" s="9">
        <f t="shared" si="90"/>
        <v>0</v>
      </c>
      <c r="L103" s="9">
        <f t="shared" si="90"/>
        <v>0</v>
      </c>
      <c r="M103" s="9">
        <f t="shared" si="90"/>
        <v>0</v>
      </c>
      <c r="N103" s="9">
        <f t="shared" si="90"/>
        <v>0</v>
      </c>
      <c r="O103" s="9">
        <f t="shared" si="90"/>
        <v>0</v>
      </c>
      <c r="P103" s="9">
        <f t="shared" si="90"/>
        <v>0</v>
      </c>
      <c r="Q103" s="9">
        <f t="shared" si="90"/>
        <v>0</v>
      </c>
      <c r="R103" s="9">
        <f t="shared" si="90"/>
        <v>0</v>
      </c>
      <c r="S103" s="9">
        <f t="shared" si="90"/>
        <v>0</v>
      </c>
      <c r="T103" s="9">
        <f t="shared" si="90"/>
        <v>0</v>
      </c>
      <c r="U103" s="9">
        <f t="shared" si="90"/>
        <v>0</v>
      </c>
      <c r="V103" s="9">
        <f t="shared" si="90"/>
        <v>0</v>
      </c>
      <c r="W103" s="9">
        <f t="shared" si="90"/>
        <v>0</v>
      </c>
      <c r="X103" s="9">
        <f t="shared" si="90"/>
        <v>0</v>
      </c>
      <c r="Y103" s="9">
        <f t="shared" si="90"/>
        <v>0</v>
      </c>
      <c r="Z103" s="9">
        <f t="shared" si="90"/>
        <v>0</v>
      </c>
      <c r="AA103" s="9">
        <f t="shared" si="90"/>
        <v>0</v>
      </c>
      <c r="AB103" s="9">
        <f t="shared" si="90"/>
        <v>0</v>
      </c>
      <c r="AC103" s="9">
        <f t="shared" si="90"/>
        <v>0</v>
      </c>
      <c r="AD103" s="9">
        <f t="shared" si="90"/>
        <v>0</v>
      </c>
      <c r="AE103" s="9">
        <f t="shared" si="90"/>
        <v>0</v>
      </c>
      <c r="AF103" s="9">
        <f t="shared" si="90"/>
        <v>0</v>
      </c>
      <c r="AG103" s="9">
        <f t="shared" si="90"/>
        <v>0</v>
      </c>
      <c r="AH103" s="9">
        <f t="shared" si="83"/>
        <v>0</v>
      </c>
      <c r="AI103" s="9">
        <f t="shared" si="84"/>
        <v>0</v>
      </c>
      <c r="AJ103" s="10">
        <f t="shared" si="85"/>
        <v>0</v>
      </c>
      <c r="AK103" s="9">
        <f t="shared" si="86"/>
        <v>0</v>
      </c>
      <c r="AL103" s="9">
        <f t="shared" si="87"/>
        <v>0</v>
      </c>
    </row>
    <row r="104" spans="1:41" s="9" customFormat="1">
      <c r="A104" s="9">
        <f t="shared" ref="A104:A112" si="91">A78</f>
        <v>761.20014648437495</v>
      </c>
      <c r="B104" s="9">
        <f>B47-B78</f>
        <v>0</v>
      </c>
      <c r="C104" s="9">
        <f t="shared" ref="C104:AG104" si="92">C47-C78</f>
        <v>0</v>
      </c>
      <c r="D104" s="9">
        <f t="shared" si="92"/>
        <v>0</v>
      </c>
      <c r="E104" s="9">
        <f t="shared" si="92"/>
        <v>0</v>
      </c>
      <c r="F104" s="9">
        <f t="shared" si="92"/>
        <v>0</v>
      </c>
      <c r="G104" s="9">
        <f t="shared" si="92"/>
        <v>0</v>
      </c>
      <c r="H104" s="9">
        <f t="shared" si="92"/>
        <v>0</v>
      </c>
      <c r="I104" s="9">
        <f t="shared" si="92"/>
        <v>0</v>
      </c>
      <c r="J104" s="9">
        <f t="shared" si="92"/>
        <v>0</v>
      </c>
      <c r="K104" s="9">
        <f t="shared" si="92"/>
        <v>0</v>
      </c>
      <c r="L104" s="9">
        <f t="shared" si="92"/>
        <v>0</v>
      </c>
      <c r="M104" s="9">
        <f t="shared" si="92"/>
        <v>0</v>
      </c>
      <c r="N104" s="9">
        <f t="shared" si="92"/>
        <v>0</v>
      </c>
      <c r="O104" s="9">
        <f t="shared" si="92"/>
        <v>0</v>
      </c>
      <c r="P104" s="9">
        <f t="shared" si="92"/>
        <v>0</v>
      </c>
      <c r="Q104" s="9">
        <f t="shared" si="92"/>
        <v>0</v>
      </c>
      <c r="R104" s="9">
        <f t="shared" si="92"/>
        <v>0</v>
      </c>
      <c r="S104" s="9">
        <f t="shared" si="92"/>
        <v>0</v>
      </c>
      <c r="T104" s="9">
        <f t="shared" si="92"/>
        <v>0</v>
      </c>
      <c r="U104" s="9">
        <f t="shared" si="92"/>
        <v>0</v>
      </c>
      <c r="V104" s="9">
        <f t="shared" si="92"/>
        <v>0</v>
      </c>
      <c r="W104" s="9">
        <f t="shared" si="92"/>
        <v>0</v>
      </c>
      <c r="X104" s="9">
        <f t="shared" si="92"/>
        <v>0</v>
      </c>
      <c r="Y104" s="9">
        <f t="shared" si="92"/>
        <v>0</v>
      </c>
      <c r="Z104" s="9">
        <f t="shared" si="92"/>
        <v>0</v>
      </c>
      <c r="AA104" s="9">
        <f t="shared" si="92"/>
        <v>0</v>
      </c>
      <c r="AB104" s="9">
        <f t="shared" si="92"/>
        <v>0</v>
      </c>
      <c r="AC104" s="9">
        <f t="shared" si="92"/>
        <v>0</v>
      </c>
      <c r="AD104" s="9">
        <f t="shared" si="92"/>
        <v>0</v>
      </c>
      <c r="AE104" s="9">
        <f t="shared" si="92"/>
        <v>0</v>
      </c>
      <c r="AF104" s="9">
        <f t="shared" si="92"/>
        <v>0</v>
      </c>
      <c r="AG104" s="9">
        <f t="shared" si="92"/>
        <v>0</v>
      </c>
      <c r="AH104" s="9">
        <f t="shared" ref="AH104:AH112" si="93">STDEV(B104:AG104)</f>
        <v>0</v>
      </c>
      <c r="AI104" s="9">
        <f t="shared" si="41"/>
        <v>0</v>
      </c>
      <c r="AJ104" s="10">
        <f t="shared" ref="AJ104:AJ112" si="94">AVERAGE(B104:AG104)</f>
        <v>0</v>
      </c>
      <c r="AK104" s="9">
        <f t="shared" ref="AK104:AK112" si="95">AJ104+1.5*AH104</f>
        <v>0</v>
      </c>
      <c r="AL104" s="9">
        <f t="shared" ref="AL104:AL121" si="96">ABS(AJ104)</f>
        <v>0</v>
      </c>
    </row>
    <row r="105" spans="1:41" s="9" customFormat="1">
      <c r="A105" s="9">
        <f t="shared" si="91"/>
        <v>618.7050842285156</v>
      </c>
      <c r="B105" s="9">
        <f t="shared" ref="B105:AG105" si="97">B48-B79</f>
        <v>0</v>
      </c>
      <c r="C105" s="9">
        <f t="shared" si="97"/>
        <v>0</v>
      </c>
      <c r="D105" s="9">
        <f t="shared" si="97"/>
        <v>0</v>
      </c>
      <c r="E105" s="9">
        <f t="shared" si="97"/>
        <v>0</v>
      </c>
      <c r="F105" s="9">
        <f t="shared" si="97"/>
        <v>0</v>
      </c>
      <c r="G105" s="9">
        <f t="shared" si="97"/>
        <v>0</v>
      </c>
      <c r="H105" s="9">
        <f t="shared" si="97"/>
        <v>0</v>
      </c>
      <c r="I105" s="9">
        <f t="shared" si="97"/>
        <v>0</v>
      </c>
      <c r="J105" s="9">
        <f t="shared" si="97"/>
        <v>0</v>
      </c>
      <c r="K105" s="9">
        <f t="shared" si="97"/>
        <v>0</v>
      </c>
      <c r="L105" s="9">
        <f t="shared" si="97"/>
        <v>0</v>
      </c>
      <c r="M105" s="9">
        <f t="shared" si="97"/>
        <v>0</v>
      </c>
      <c r="N105" s="9">
        <f t="shared" si="97"/>
        <v>0</v>
      </c>
      <c r="O105" s="9">
        <f t="shared" si="97"/>
        <v>0</v>
      </c>
      <c r="P105" s="9">
        <f t="shared" si="97"/>
        <v>0</v>
      </c>
      <c r="Q105" s="9">
        <f t="shared" si="97"/>
        <v>0</v>
      </c>
      <c r="R105" s="9">
        <f t="shared" si="97"/>
        <v>0</v>
      </c>
      <c r="S105" s="9">
        <f t="shared" si="97"/>
        <v>0</v>
      </c>
      <c r="T105" s="9">
        <f t="shared" si="97"/>
        <v>0</v>
      </c>
      <c r="U105" s="9">
        <f t="shared" si="97"/>
        <v>0</v>
      </c>
      <c r="V105" s="9">
        <f t="shared" si="97"/>
        <v>0</v>
      </c>
      <c r="W105" s="9">
        <f t="shared" si="97"/>
        <v>0</v>
      </c>
      <c r="X105" s="9">
        <f t="shared" si="97"/>
        <v>0</v>
      </c>
      <c r="Y105" s="9">
        <f t="shared" si="97"/>
        <v>0</v>
      </c>
      <c r="Z105" s="9">
        <f t="shared" si="97"/>
        <v>0</v>
      </c>
      <c r="AA105" s="9">
        <f t="shared" si="97"/>
        <v>0</v>
      </c>
      <c r="AB105" s="9">
        <f t="shared" si="97"/>
        <v>0</v>
      </c>
      <c r="AC105" s="9">
        <f t="shared" si="97"/>
        <v>0</v>
      </c>
      <c r="AD105" s="9">
        <f t="shared" si="97"/>
        <v>0</v>
      </c>
      <c r="AE105" s="9">
        <f t="shared" si="97"/>
        <v>0</v>
      </c>
      <c r="AF105" s="9">
        <f t="shared" si="97"/>
        <v>0</v>
      </c>
      <c r="AG105" s="9">
        <f t="shared" si="97"/>
        <v>0</v>
      </c>
      <c r="AH105" s="9">
        <f t="shared" si="93"/>
        <v>0</v>
      </c>
      <c r="AI105" s="9">
        <f t="shared" si="41"/>
        <v>0</v>
      </c>
      <c r="AJ105" s="10">
        <f t="shared" si="94"/>
        <v>0</v>
      </c>
      <c r="AK105" s="9">
        <f t="shared" si="95"/>
        <v>0</v>
      </c>
      <c r="AL105" s="9">
        <f t="shared" si="96"/>
        <v>0</v>
      </c>
    </row>
    <row r="106" spans="1:41" s="9" customFormat="1">
      <c r="A106" s="9">
        <f t="shared" si="91"/>
        <v>506.39999389648438</v>
      </c>
      <c r="B106" s="9">
        <f t="shared" ref="B106:AG106" si="98">B49-B80</f>
        <v>0</v>
      </c>
      <c r="C106" s="9">
        <f t="shared" si="98"/>
        <v>0</v>
      </c>
      <c r="D106" s="9">
        <f t="shared" si="98"/>
        <v>0</v>
      </c>
      <c r="E106" s="9">
        <f t="shared" si="98"/>
        <v>0</v>
      </c>
      <c r="F106" s="9">
        <f t="shared" si="98"/>
        <v>0</v>
      </c>
      <c r="G106" s="9">
        <f t="shared" si="98"/>
        <v>0</v>
      </c>
      <c r="H106" s="9">
        <f t="shared" si="98"/>
        <v>0</v>
      </c>
      <c r="I106" s="9">
        <f t="shared" si="98"/>
        <v>0</v>
      </c>
      <c r="J106" s="9">
        <f t="shared" si="98"/>
        <v>0</v>
      </c>
      <c r="K106" s="9">
        <f t="shared" si="98"/>
        <v>0</v>
      </c>
      <c r="L106" s="9">
        <f t="shared" si="98"/>
        <v>0</v>
      </c>
      <c r="M106" s="9">
        <f t="shared" si="98"/>
        <v>0</v>
      </c>
      <c r="N106" s="9">
        <f t="shared" si="98"/>
        <v>0</v>
      </c>
      <c r="O106" s="9">
        <f t="shared" si="98"/>
        <v>0</v>
      </c>
      <c r="P106" s="9">
        <f t="shared" si="98"/>
        <v>0</v>
      </c>
      <c r="Q106" s="9">
        <f t="shared" si="98"/>
        <v>0</v>
      </c>
      <c r="R106" s="9">
        <f t="shared" si="98"/>
        <v>0</v>
      </c>
      <c r="S106" s="9">
        <f t="shared" si="98"/>
        <v>0</v>
      </c>
      <c r="T106" s="9">
        <f t="shared" si="98"/>
        <v>0</v>
      </c>
      <c r="U106" s="9">
        <f t="shared" si="98"/>
        <v>0</v>
      </c>
      <c r="V106" s="9">
        <f t="shared" si="98"/>
        <v>0</v>
      </c>
      <c r="W106" s="9">
        <f t="shared" si="98"/>
        <v>0</v>
      </c>
      <c r="X106" s="9">
        <f t="shared" si="98"/>
        <v>0</v>
      </c>
      <c r="Y106" s="9">
        <f t="shared" si="98"/>
        <v>0</v>
      </c>
      <c r="Z106" s="9">
        <f t="shared" si="98"/>
        <v>0</v>
      </c>
      <c r="AA106" s="9">
        <f t="shared" si="98"/>
        <v>0</v>
      </c>
      <c r="AB106" s="9">
        <f t="shared" si="98"/>
        <v>0</v>
      </c>
      <c r="AC106" s="9">
        <f t="shared" si="98"/>
        <v>0</v>
      </c>
      <c r="AD106" s="9">
        <f t="shared" si="98"/>
        <v>0</v>
      </c>
      <c r="AE106" s="9">
        <f t="shared" si="98"/>
        <v>0</v>
      </c>
      <c r="AF106" s="9">
        <f t="shared" si="98"/>
        <v>0</v>
      </c>
      <c r="AG106" s="9">
        <f t="shared" si="98"/>
        <v>0</v>
      </c>
      <c r="AH106" s="9">
        <f t="shared" si="93"/>
        <v>0</v>
      </c>
      <c r="AI106" s="9">
        <f t="shared" si="41"/>
        <v>0</v>
      </c>
      <c r="AJ106" s="10">
        <f t="shared" si="94"/>
        <v>0</v>
      </c>
      <c r="AK106" s="9">
        <f t="shared" si="95"/>
        <v>0</v>
      </c>
      <c r="AL106" s="9">
        <f t="shared" si="96"/>
        <v>0</v>
      </c>
    </row>
    <row r="107" spans="1:41" s="9" customFormat="1">
      <c r="A107" s="9">
        <f t="shared" si="91"/>
        <v>421.14996337890625</v>
      </c>
      <c r="B107" s="9">
        <f t="shared" ref="B107:AG107" si="99">B50-B81</f>
        <v>0</v>
      </c>
      <c r="C107" s="9">
        <f t="shared" si="99"/>
        <v>0</v>
      </c>
      <c r="D107" s="9">
        <f t="shared" si="99"/>
        <v>0</v>
      </c>
      <c r="E107" s="9">
        <f t="shared" si="99"/>
        <v>0</v>
      </c>
      <c r="F107" s="9">
        <f t="shared" si="99"/>
        <v>0</v>
      </c>
      <c r="G107" s="9">
        <f t="shared" si="99"/>
        <v>0</v>
      </c>
      <c r="H107" s="9">
        <f t="shared" si="99"/>
        <v>0</v>
      </c>
      <c r="I107" s="9">
        <f t="shared" si="99"/>
        <v>0</v>
      </c>
      <c r="J107" s="9">
        <f t="shared" si="99"/>
        <v>0</v>
      </c>
      <c r="K107" s="9">
        <f t="shared" si="99"/>
        <v>0</v>
      </c>
      <c r="L107" s="9">
        <f t="shared" si="99"/>
        <v>0</v>
      </c>
      <c r="M107" s="9">
        <f t="shared" si="99"/>
        <v>0</v>
      </c>
      <c r="N107" s="9">
        <f t="shared" si="99"/>
        <v>0</v>
      </c>
      <c r="O107" s="9">
        <f t="shared" si="99"/>
        <v>0</v>
      </c>
      <c r="P107" s="9">
        <f t="shared" si="99"/>
        <v>0</v>
      </c>
      <c r="Q107" s="9">
        <f t="shared" si="99"/>
        <v>0</v>
      </c>
      <c r="R107" s="9">
        <f t="shared" si="99"/>
        <v>0</v>
      </c>
      <c r="S107" s="9">
        <f t="shared" si="99"/>
        <v>0</v>
      </c>
      <c r="T107" s="9">
        <f t="shared" si="99"/>
        <v>0</v>
      </c>
      <c r="U107" s="9">
        <f t="shared" si="99"/>
        <v>0</v>
      </c>
      <c r="V107" s="9">
        <f t="shared" si="99"/>
        <v>0</v>
      </c>
      <c r="W107" s="9">
        <f t="shared" si="99"/>
        <v>0</v>
      </c>
      <c r="X107" s="9">
        <f t="shared" si="99"/>
        <v>0</v>
      </c>
      <c r="Y107" s="9">
        <f t="shared" si="99"/>
        <v>0</v>
      </c>
      <c r="Z107" s="9">
        <f t="shared" si="99"/>
        <v>0</v>
      </c>
      <c r="AA107" s="9">
        <f t="shared" si="99"/>
        <v>0</v>
      </c>
      <c r="AB107" s="9">
        <f t="shared" si="99"/>
        <v>0</v>
      </c>
      <c r="AC107" s="9">
        <f t="shared" si="99"/>
        <v>0</v>
      </c>
      <c r="AD107" s="9">
        <f t="shared" si="99"/>
        <v>0</v>
      </c>
      <c r="AE107" s="9">
        <f t="shared" si="99"/>
        <v>0</v>
      </c>
      <c r="AF107" s="9">
        <f t="shared" si="99"/>
        <v>0</v>
      </c>
      <c r="AG107" s="9">
        <f t="shared" si="99"/>
        <v>0</v>
      </c>
      <c r="AH107" s="9">
        <f t="shared" si="93"/>
        <v>0</v>
      </c>
      <c r="AI107" s="9">
        <f t="shared" si="41"/>
        <v>0</v>
      </c>
      <c r="AJ107" s="10">
        <f t="shared" si="94"/>
        <v>0</v>
      </c>
      <c r="AK107" s="9">
        <f t="shared" si="95"/>
        <v>0</v>
      </c>
      <c r="AL107" s="9">
        <f t="shared" si="96"/>
        <v>0</v>
      </c>
    </row>
    <row r="108" spans="1:41" s="9" customFormat="1">
      <c r="A108" s="9">
        <f t="shared" si="91"/>
        <v>313.39996337890625</v>
      </c>
      <c r="B108" s="9">
        <f t="shared" ref="B108:AG108" si="100">B51-B82</f>
        <v>0</v>
      </c>
      <c r="C108" s="9">
        <f t="shared" si="100"/>
        <v>0</v>
      </c>
      <c r="D108" s="9">
        <f t="shared" si="100"/>
        <v>0</v>
      </c>
      <c r="E108" s="9">
        <f t="shared" si="100"/>
        <v>0</v>
      </c>
      <c r="F108" s="9">
        <f t="shared" si="100"/>
        <v>0</v>
      </c>
      <c r="G108" s="9">
        <f t="shared" si="100"/>
        <v>0</v>
      </c>
      <c r="H108" s="9">
        <f t="shared" si="100"/>
        <v>0</v>
      </c>
      <c r="I108" s="9">
        <f t="shared" si="100"/>
        <v>0</v>
      </c>
      <c r="J108" s="9">
        <f t="shared" si="100"/>
        <v>0</v>
      </c>
      <c r="K108" s="9">
        <f t="shared" si="100"/>
        <v>0</v>
      </c>
      <c r="L108" s="9">
        <f t="shared" si="100"/>
        <v>0</v>
      </c>
      <c r="M108" s="9">
        <f t="shared" si="100"/>
        <v>0</v>
      </c>
      <c r="N108" s="9">
        <f t="shared" si="100"/>
        <v>0</v>
      </c>
      <c r="O108" s="9">
        <f t="shared" si="100"/>
        <v>0</v>
      </c>
      <c r="P108" s="9">
        <f t="shared" si="100"/>
        <v>0</v>
      </c>
      <c r="Q108" s="9">
        <f t="shared" si="100"/>
        <v>0</v>
      </c>
      <c r="R108" s="9">
        <f t="shared" si="100"/>
        <v>0</v>
      </c>
      <c r="S108" s="9">
        <f t="shared" si="100"/>
        <v>0</v>
      </c>
      <c r="T108" s="9">
        <f t="shared" si="100"/>
        <v>0</v>
      </c>
      <c r="U108" s="9">
        <f t="shared" si="100"/>
        <v>0</v>
      </c>
      <c r="V108" s="9">
        <f t="shared" si="100"/>
        <v>0</v>
      </c>
      <c r="W108" s="9">
        <f t="shared" si="100"/>
        <v>0</v>
      </c>
      <c r="X108" s="9">
        <f t="shared" si="100"/>
        <v>0</v>
      </c>
      <c r="Y108" s="9">
        <f t="shared" si="100"/>
        <v>0</v>
      </c>
      <c r="Z108" s="9">
        <f t="shared" si="100"/>
        <v>0</v>
      </c>
      <c r="AA108" s="9">
        <f t="shared" si="100"/>
        <v>0</v>
      </c>
      <c r="AB108" s="9">
        <f t="shared" si="100"/>
        <v>0</v>
      </c>
      <c r="AC108" s="9">
        <f t="shared" si="100"/>
        <v>0</v>
      </c>
      <c r="AD108" s="9">
        <f t="shared" si="100"/>
        <v>0</v>
      </c>
      <c r="AE108" s="9">
        <f t="shared" si="100"/>
        <v>0</v>
      </c>
      <c r="AF108" s="9">
        <f t="shared" si="100"/>
        <v>0</v>
      </c>
      <c r="AG108" s="9">
        <f t="shared" si="100"/>
        <v>0</v>
      </c>
      <c r="AH108" s="9">
        <f t="shared" si="93"/>
        <v>0</v>
      </c>
      <c r="AI108" s="9">
        <f t="shared" si="41"/>
        <v>0</v>
      </c>
      <c r="AJ108" s="10">
        <f t="shared" si="94"/>
        <v>0</v>
      </c>
      <c r="AK108" s="9">
        <f t="shared" si="95"/>
        <v>0</v>
      </c>
      <c r="AL108" s="9">
        <f t="shared" si="96"/>
        <v>0</v>
      </c>
    </row>
    <row r="109" spans="1:41" s="9" customFormat="1">
      <c r="A109" s="9">
        <f t="shared" si="91"/>
        <v>283.35547790527346</v>
      </c>
      <c r="B109" s="9">
        <f t="shared" ref="B109:AG109" si="101">B52-B83</f>
        <v>0</v>
      </c>
      <c r="C109" s="9">
        <f t="shared" si="101"/>
        <v>0</v>
      </c>
      <c r="D109" s="9">
        <f t="shared" si="101"/>
        <v>0</v>
      </c>
      <c r="E109" s="9">
        <f t="shared" si="101"/>
        <v>0</v>
      </c>
      <c r="F109" s="9">
        <f t="shared" si="101"/>
        <v>0</v>
      </c>
      <c r="G109" s="9">
        <f t="shared" si="101"/>
        <v>0</v>
      </c>
      <c r="H109" s="9">
        <f t="shared" si="101"/>
        <v>0</v>
      </c>
      <c r="I109" s="9">
        <f t="shared" si="101"/>
        <v>0</v>
      </c>
      <c r="J109" s="9">
        <f t="shared" si="101"/>
        <v>0</v>
      </c>
      <c r="K109" s="9">
        <f t="shared" si="101"/>
        <v>0</v>
      </c>
      <c r="L109" s="9">
        <f t="shared" si="101"/>
        <v>0</v>
      </c>
      <c r="M109" s="9">
        <f t="shared" si="101"/>
        <v>0</v>
      </c>
      <c r="N109" s="9">
        <f t="shared" si="101"/>
        <v>0</v>
      </c>
      <c r="O109" s="9">
        <f t="shared" si="101"/>
        <v>0</v>
      </c>
      <c r="P109" s="9">
        <f t="shared" si="101"/>
        <v>0</v>
      </c>
      <c r="Q109" s="9">
        <f t="shared" si="101"/>
        <v>0</v>
      </c>
      <c r="R109" s="9">
        <f t="shared" si="101"/>
        <v>0</v>
      </c>
      <c r="S109" s="9">
        <f t="shared" si="101"/>
        <v>0</v>
      </c>
      <c r="T109" s="9">
        <f t="shared" si="101"/>
        <v>0</v>
      </c>
      <c r="U109" s="9">
        <f t="shared" si="101"/>
        <v>0</v>
      </c>
      <c r="V109" s="9">
        <f t="shared" si="101"/>
        <v>0</v>
      </c>
      <c r="W109" s="9">
        <f t="shared" si="101"/>
        <v>0</v>
      </c>
      <c r="X109" s="9">
        <f t="shared" si="101"/>
        <v>0</v>
      </c>
      <c r="Y109" s="9">
        <f t="shared" si="101"/>
        <v>0</v>
      </c>
      <c r="Z109" s="9">
        <f t="shared" si="101"/>
        <v>0</v>
      </c>
      <c r="AA109" s="9">
        <f t="shared" si="101"/>
        <v>0</v>
      </c>
      <c r="AB109" s="9">
        <f t="shared" si="101"/>
        <v>0</v>
      </c>
      <c r="AC109" s="9">
        <f t="shared" si="101"/>
        <v>0</v>
      </c>
      <c r="AD109" s="9">
        <f t="shared" si="101"/>
        <v>0</v>
      </c>
      <c r="AE109" s="9">
        <f t="shared" si="101"/>
        <v>0</v>
      </c>
      <c r="AF109" s="9">
        <f t="shared" si="101"/>
        <v>0</v>
      </c>
      <c r="AG109" s="9">
        <f t="shared" si="101"/>
        <v>0</v>
      </c>
      <c r="AH109" s="9">
        <f t="shared" si="93"/>
        <v>0</v>
      </c>
      <c r="AI109" s="9">
        <f t="shared" si="41"/>
        <v>0</v>
      </c>
      <c r="AJ109" s="10">
        <f t="shared" si="94"/>
        <v>0</v>
      </c>
      <c r="AK109" s="9">
        <f t="shared" si="95"/>
        <v>0</v>
      </c>
      <c r="AL109" s="9">
        <f t="shared" si="96"/>
        <v>0</v>
      </c>
    </row>
    <row r="110" spans="1:41" s="9" customFormat="1">
      <c r="A110" s="9">
        <f t="shared" si="91"/>
        <v>233.5469970703125</v>
      </c>
      <c r="B110" s="9">
        <f t="shared" ref="B110:AG110" si="102">B53-B84</f>
        <v>0</v>
      </c>
      <c r="C110" s="9">
        <f t="shared" si="102"/>
        <v>0</v>
      </c>
      <c r="D110" s="9">
        <f t="shared" si="102"/>
        <v>0</v>
      </c>
      <c r="E110" s="9">
        <f t="shared" si="102"/>
        <v>0</v>
      </c>
      <c r="F110" s="9">
        <f t="shared" si="102"/>
        <v>0</v>
      </c>
      <c r="G110" s="9">
        <f t="shared" si="102"/>
        <v>0</v>
      </c>
      <c r="H110" s="9">
        <f t="shared" si="102"/>
        <v>0</v>
      </c>
      <c r="I110" s="9">
        <f t="shared" si="102"/>
        <v>0</v>
      </c>
      <c r="J110" s="9">
        <f t="shared" si="102"/>
        <v>0</v>
      </c>
      <c r="K110" s="9">
        <f t="shared" si="102"/>
        <v>0</v>
      </c>
      <c r="L110" s="9">
        <f t="shared" si="102"/>
        <v>0</v>
      </c>
      <c r="M110" s="9">
        <f t="shared" si="102"/>
        <v>0</v>
      </c>
      <c r="N110" s="9">
        <f t="shared" si="102"/>
        <v>0</v>
      </c>
      <c r="O110" s="9">
        <f t="shared" si="102"/>
        <v>0</v>
      </c>
      <c r="P110" s="9">
        <f t="shared" si="102"/>
        <v>0</v>
      </c>
      <c r="Q110" s="9">
        <f t="shared" si="102"/>
        <v>0</v>
      </c>
      <c r="R110" s="9">
        <f t="shared" si="102"/>
        <v>0</v>
      </c>
      <c r="S110" s="9">
        <f t="shared" si="102"/>
        <v>0</v>
      </c>
      <c r="T110" s="9">
        <f t="shared" si="102"/>
        <v>0</v>
      </c>
      <c r="U110" s="9">
        <f t="shared" si="102"/>
        <v>0</v>
      </c>
      <c r="V110" s="9">
        <f t="shared" si="102"/>
        <v>0</v>
      </c>
      <c r="W110" s="9">
        <f t="shared" si="102"/>
        <v>0</v>
      </c>
      <c r="X110" s="9">
        <f t="shared" si="102"/>
        <v>0</v>
      </c>
      <c r="Y110" s="9">
        <f t="shared" si="102"/>
        <v>0</v>
      </c>
      <c r="Z110" s="9">
        <f t="shared" si="102"/>
        <v>0</v>
      </c>
      <c r="AA110" s="9">
        <f t="shared" si="102"/>
        <v>0</v>
      </c>
      <c r="AB110" s="9">
        <f t="shared" si="102"/>
        <v>0</v>
      </c>
      <c r="AC110" s="9">
        <f t="shared" si="102"/>
        <v>0</v>
      </c>
      <c r="AD110" s="9">
        <f t="shared" si="102"/>
        <v>0</v>
      </c>
      <c r="AE110" s="9">
        <f t="shared" si="102"/>
        <v>0</v>
      </c>
      <c r="AF110" s="9">
        <f t="shared" si="102"/>
        <v>0</v>
      </c>
      <c r="AG110" s="9">
        <f t="shared" si="102"/>
        <v>0</v>
      </c>
      <c r="AH110" s="9">
        <f t="shared" si="93"/>
        <v>0</v>
      </c>
      <c r="AI110" s="9">
        <f t="shared" si="41"/>
        <v>0</v>
      </c>
      <c r="AJ110" s="10">
        <f t="shared" si="94"/>
        <v>0</v>
      </c>
      <c r="AK110" s="9">
        <f t="shared" si="95"/>
        <v>0</v>
      </c>
      <c r="AL110" s="9">
        <f t="shared" si="96"/>
        <v>0</v>
      </c>
    </row>
    <row r="111" spans="1:41" s="9" customFormat="1">
      <c r="A111" s="9">
        <f t="shared" si="91"/>
        <v>188.09650726318358</v>
      </c>
      <c r="B111" s="9">
        <f t="shared" ref="B111:AG111" si="103">B54-B85</f>
        <v>0</v>
      </c>
      <c r="C111" s="9">
        <f t="shared" si="103"/>
        <v>0</v>
      </c>
      <c r="D111" s="9">
        <f t="shared" si="103"/>
        <v>0</v>
      </c>
      <c r="E111" s="9">
        <f t="shared" si="103"/>
        <v>0</v>
      </c>
      <c r="F111" s="9">
        <f t="shared" si="103"/>
        <v>0</v>
      </c>
      <c r="G111" s="9">
        <f t="shared" si="103"/>
        <v>0</v>
      </c>
      <c r="H111" s="9">
        <f t="shared" si="103"/>
        <v>0</v>
      </c>
      <c r="I111" s="9">
        <f t="shared" si="103"/>
        <v>0</v>
      </c>
      <c r="J111" s="9">
        <f t="shared" si="103"/>
        <v>0</v>
      </c>
      <c r="K111" s="9">
        <f t="shared" si="103"/>
        <v>0</v>
      </c>
      <c r="L111" s="9">
        <f t="shared" si="103"/>
        <v>0</v>
      </c>
      <c r="M111" s="9">
        <f t="shared" si="103"/>
        <v>0</v>
      </c>
      <c r="N111" s="9">
        <f t="shared" si="103"/>
        <v>0</v>
      </c>
      <c r="O111" s="9">
        <f t="shared" si="103"/>
        <v>0</v>
      </c>
      <c r="P111" s="9">
        <f t="shared" si="103"/>
        <v>0</v>
      </c>
      <c r="Q111" s="9">
        <f t="shared" si="103"/>
        <v>0</v>
      </c>
      <c r="R111" s="9">
        <f t="shared" si="103"/>
        <v>0</v>
      </c>
      <c r="S111" s="9">
        <f t="shared" si="103"/>
        <v>0</v>
      </c>
      <c r="T111" s="9">
        <f t="shared" si="103"/>
        <v>0</v>
      </c>
      <c r="U111" s="9">
        <f t="shared" si="103"/>
        <v>0</v>
      </c>
      <c r="V111" s="9">
        <f t="shared" si="103"/>
        <v>0</v>
      </c>
      <c r="W111" s="9">
        <f t="shared" si="103"/>
        <v>0</v>
      </c>
      <c r="X111" s="9">
        <f t="shared" si="103"/>
        <v>0</v>
      </c>
      <c r="Y111" s="9">
        <f t="shared" si="103"/>
        <v>0</v>
      </c>
      <c r="Z111" s="9">
        <f t="shared" si="103"/>
        <v>0</v>
      </c>
      <c r="AA111" s="9">
        <f t="shared" si="103"/>
        <v>0</v>
      </c>
      <c r="AB111" s="9">
        <f t="shared" si="103"/>
        <v>0</v>
      </c>
      <c r="AC111" s="9">
        <f t="shared" si="103"/>
        <v>0</v>
      </c>
      <c r="AD111" s="9">
        <f t="shared" si="103"/>
        <v>0</v>
      </c>
      <c r="AE111" s="9">
        <f t="shared" si="103"/>
        <v>0</v>
      </c>
      <c r="AF111" s="9">
        <f t="shared" si="103"/>
        <v>0</v>
      </c>
      <c r="AG111" s="9">
        <f t="shared" si="103"/>
        <v>0</v>
      </c>
      <c r="AH111" s="9">
        <f t="shared" si="93"/>
        <v>0</v>
      </c>
      <c r="AI111" s="9">
        <f t="shared" si="41"/>
        <v>0</v>
      </c>
      <c r="AJ111" s="10">
        <f t="shared" si="94"/>
        <v>0</v>
      </c>
      <c r="AK111" s="9">
        <f t="shared" si="95"/>
        <v>0</v>
      </c>
      <c r="AL111" s="9">
        <f t="shared" si="96"/>
        <v>0</v>
      </c>
    </row>
    <row r="112" spans="1:41" s="9" customFormat="1">
      <c r="A112" s="9">
        <f t="shared" si="91"/>
        <v>156.44500579833985</v>
      </c>
      <c r="B112" s="9">
        <f t="shared" ref="B112:AG112" si="104">B55-B86</f>
        <v>0</v>
      </c>
      <c r="C112" s="9">
        <f t="shared" si="104"/>
        <v>0</v>
      </c>
      <c r="D112" s="9">
        <f t="shared" si="104"/>
        <v>0</v>
      </c>
      <c r="E112" s="9">
        <f t="shared" si="104"/>
        <v>0</v>
      </c>
      <c r="F112" s="9">
        <f t="shared" si="104"/>
        <v>0</v>
      </c>
      <c r="G112" s="9">
        <f t="shared" si="104"/>
        <v>0</v>
      </c>
      <c r="H112" s="9">
        <f t="shared" si="104"/>
        <v>0</v>
      </c>
      <c r="I112" s="9">
        <f t="shared" si="104"/>
        <v>0</v>
      </c>
      <c r="J112" s="9">
        <f t="shared" si="104"/>
        <v>0</v>
      </c>
      <c r="K112" s="9">
        <f t="shared" si="104"/>
        <v>0</v>
      </c>
      <c r="L112" s="9">
        <f t="shared" si="104"/>
        <v>0</v>
      </c>
      <c r="M112" s="9">
        <f t="shared" si="104"/>
        <v>0</v>
      </c>
      <c r="N112" s="9">
        <f t="shared" si="104"/>
        <v>0</v>
      </c>
      <c r="O112" s="9">
        <f t="shared" si="104"/>
        <v>0</v>
      </c>
      <c r="P112" s="9">
        <f t="shared" si="104"/>
        <v>0</v>
      </c>
      <c r="Q112" s="9">
        <f t="shared" si="104"/>
        <v>0</v>
      </c>
      <c r="R112" s="9">
        <f t="shared" si="104"/>
        <v>0</v>
      </c>
      <c r="S112" s="9">
        <f t="shared" si="104"/>
        <v>0</v>
      </c>
      <c r="T112" s="9">
        <f t="shared" si="104"/>
        <v>0</v>
      </c>
      <c r="U112" s="9">
        <f t="shared" si="104"/>
        <v>0</v>
      </c>
      <c r="V112" s="9">
        <f t="shared" si="104"/>
        <v>0</v>
      </c>
      <c r="W112" s="9">
        <f t="shared" si="104"/>
        <v>0</v>
      </c>
      <c r="X112" s="9">
        <f t="shared" si="104"/>
        <v>0</v>
      </c>
      <c r="Y112" s="9">
        <f t="shared" si="104"/>
        <v>0</v>
      </c>
      <c r="Z112" s="9">
        <f t="shared" si="104"/>
        <v>0</v>
      </c>
      <c r="AA112" s="9">
        <f t="shared" si="104"/>
        <v>0</v>
      </c>
      <c r="AB112" s="9">
        <f t="shared" si="104"/>
        <v>0</v>
      </c>
      <c r="AC112" s="9">
        <f t="shared" si="104"/>
        <v>0</v>
      </c>
      <c r="AD112" s="9">
        <f t="shared" si="104"/>
        <v>0</v>
      </c>
      <c r="AE112" s="9">
        <f t="shared" si="104"/>
        <v>0</v>
      </c>
      <c r="AF112" s="9">
        <f t="shared" si="104"/>
        <v>0</v>
      </c>
      <c r="AG112" s="9">
        <f t="shared" si="104"/>
        <v>0</v>
      </c>
      <c r="AH112" s="9">
        <f t="shared" si="93"/>
        <v>0</v>
      </c>
      <c r="AI112" s="9">
        <f t="shared" si="41"/>
        <v>0</v>
      </c>
      <c r="AJ112" s="10">
        <f t="shared" si="94"/>
        <v>0</v>
      </c>
      <c r="AK112" s="9">
        <f t="shared" si="95"/>
        <v>0</v>
      </c>
      <c r="AL112" s="9">
        <f t="shared" si="96"/>
        <v>0</v>
      </c>
    </row>
    <row r="113" spans="1:41">
      <c r="A113" s="9">
        <f t="shared" ref="A113:A114" si="105">A87</f>
        <v>116.47100143432617</v>
      </c>
      <c r="B113" s="9">
        <f t="shared" ref="B113:AG113" si="106">B56-B87</f>
        <v>0</v>
      </c>
      <c r="C113" s="9">
        <f t="shared" si="106"/>
        <v>0</v>
      </c>
      <c r="D113" s="9">
        <f t="shared" si="106"/>
        <v>0</v>
      </c>
      <c r="E113" s="9">
        <f t="shared" si="106"/>
        <v>0</v>
      </c>
      <c r="F113" s="9">
        <f t="shared" si="106"/>
        <v>0</v>
      </c>
      <c r="G113" s="9">
        <f t="shared" si="106"/>
        <v>0</v>
      </c>
      <c r="H113" s="9">
        <f t="shared" si="106"/>
        <v>0</v>
      </c>
      <c r="I113" s="9">
        <f t="shared" si="106"/>
        <v>0</v>
      </c>
      <c r="J113" s="9">
        <f t="shared" si="106"/>
        <v>0</v>
      </c>
      <c r="K113" s="9">
        <f t="shared" si="106"/>
        <v>0</v>
      </c>
      <c r="L113" s="9">
        <f t="shared" si="106"/>
        <v>0</v>
      </c>
      <c r="M113" s="9">
        <f t="shared" si="106"/>
        <v>0</v>
      </c>
      <c r="N113" s="9">
        <f t="shared" si="106"/>
        <v>0</v>
      </c>
      <c r="O113" s="9">
        <f t="shared" si="106"/>
        <v>0</v>
      </c>
      <c r="P113" s="9">
        <f t="shared" si="106"/>
        <v>0</v>
      </c>
      <c r="Q113" s="9">
        <f t="shared" si="106"/>
        <v>0</v>
      </c>
      <c r="R113" s="9">
        <f t="shared" si="106"/>
        <v>0</v>
      </c>
      <c r="S113" s="9">
        <f t="shared" si="106"/>
        <v>0</v>
      </c>
      <c r="T113" s="9">
        <f t="shared" si="106"/>
        <v>0</v>
      </c>
      <c r="U113" s="9">
        <f t="shared" si="106"/>
        <v>0</v>
      </c>
      <c r="V113" s="9">
        <f t="shared" si="106"/>
        <v>0</v>
      </c>
      <c r="W113" s="9">
        <f t="shared" si="106"/>
        <v>0</v>
      </c>
      <c r="X113" s="9">
        <f t="shared" si="106"/>
        <v>0</v>
      </c>
      <c r="Y113" s="9">
        <f t="shared" si="106"/>
        <v>0</v>
      </c>
      <c r="Z113" s="9">
        <f t="shared" si="106"/>
        <v>0</v>
      </c>
      <c r="AA113" s="9">
        <f t="shared" si="106"/>
        <v>0</v>
      </c>
      <c r="AB113" s="9">
        <f t="shared" si="106"/>
        <v>0</v>
      </c>
      <c r="AC113" s="9">
        <f t="shared" si="106"/>
        <v>0</v>
      </c>
      <c r="AD113" s="9">
        <f t="shared" si="106"/>
        <v>0</v>
      </c>
      <c r="AE113" s="9">
        <f t="shared" si="106"/>
        <v>0</v>
      </c>
      <c r="AF113" s="9">
        <f t="shared" si="106"/>
        <v>0</v>
      </c>
      <c r="AG113" s="9">
        <f t="shared" si="106"/>
        <v>0</v>
      </c>
      <c r="AH113" s="9">
        <f t="shared" ref="AH113:AH114" si="107">STDEV(B113:AG113)</f>
        <v>0</v>
      </c>
      <c r="AI113" s="9">
        <f t="shared" si="41"/>
        <v>0</v>
      </c>
      <c r="AJ113" s="10">
        <f t="shared" ref="AJ113:AJ114" si="108">AVERAGE(B113:AG113)</f>
        <v>0</v>
      </c>
      <c r="AK113" s="9">
        <f t="shared" ref="AK113:AK114" si="109">AJ113+1.5*AH113</f>
        <v>0</v>
      </c>
      <c r="AL113" s="9">
        <f t="shared" si="96"/>
        <v>0</v>
      </c>
      <c r="AM113" s="9"/>
      <c r="AN113" s="9"/>
      <c r="AO113" s="9"/>
    </row>
    <row r="114" spans="1:41">
      <c r="A114" s="9">
        <f t="shared" si="105"/>
        <v>87.306494903564456</v>
      </c>
      <c r="B114" s="9">
        <f t="shared" ref="B114:AG114" si="110">B57-B88</f>
        <v>0</v>
      </c>
      <c r="C114" s="9">
        <f t="shared" si="110"/>
        <v>0</v>
      </c>
      <c r="D114" s="9">
        <f t="shared" si="110"/>
        <v>0</v>
      </c>
      <c r="E114" s="9">
        <f t="shared" si="110"/>
        <v>0</v>
      </c>
      <c r="F114" s="9">
        <f t="shared" si="110"/>
        <v>0</v>
      </c>
      <c r="G114" s="9">
        <f t="shared" si="110"/>
        <v>0</v>
      </c>
      <c r="H114" s="9">
        <f t="shared" si="110"/>
        <v>0</v>
      </c>
      <c r="I114" s="9">
        <f t="shared" si="110"/>
        <v>0</v>
      </c>
      <c r="J114" s="9">
        <f t="shared" si="110"/>
        <v>0</v>
      </c>
      <c r="K114" s="9">
        <f t="shared" si="110"/>
        <v>0</v>
      </c>
      <c r="L114" s="9">
        <f t="shared" si="110"/>
        <v>0</v>
      </c>
      <c r="M114" s="9">
        <f t="shared" si="110"/>
        <v>0</v>
      </c>
      <c r="N114" s="9">
        <f t="shared" si="110"/>
        <v>0</v>
      </c>
      <c r="O114" s="9">
        <f t="shared" si="110"/>
        <v>0</v>
      </c>
      <c r="P114" s="9">
        <f t="shared" si="110"/>
        <v>0</v>
      </c>
      <c r="Q114" s="9">
        <f t="shared" si="110"/>
        <v>0</v>
      </c>
      <c r="R114" s="9">
        <f t="shared" si="110"/>
        <v>0</v>
      </c>
      <c r="S114" s="9">
        <f t="shared" si="110"/>
        <v>0</v>
      </c>
      <c r="T114" s="9">
        <f t="shared" si="110"/>
        <v>0</v>
      </c>
      <c r="U114" s="9">
        <f t="shared" si="110"/>
        <v>0</v>
      </c>
      <c r="V114" s="9">
        <f t="shared" si="110"/>
        <v>0</v>
      </c>
      <c r="W114" s="9">
        <f t="shared" si="110"/>
        <v>0</v>
      </c>
      <c r="X114" s="9">
        <f t="shared" si="110"/>
        <v>0</v>
      </c>
      <c r="Y114" s="9">
        <f t="shared" si="110"/>
        <v>0</v>
      </c>
      <c r="Z114" s="9">
        <f t="shared" si="110"/>
        <v>0</v>
      </c>
      <c r="AA114" s="9">
        <f t="shared" si="110"/>
        <v>0</v>
      </c>
      <c r="AB114" s="9">
        <f t="shared" si="110"/>
        <v>0</v>
      </c>
      <c r="AC114" s="9">
        <f t="shared" si="110"/>
        <v>0</v>
      </c>
      <c r="AD114" s="9">
        <f t="shared" si="110"/>
        <v>0</v>
      </c>
      <c r="AE114" s="9">
        <f t="shared" si="110"/>
        <v>0</v>
      </c>
      <c r="AF114" s="9">
        <f t="shared" si="110"/>
        <v>0</v>
      </c>
      <c r="AG114" s="9">
        <f t="shared" si="110"/>
        <v>0</v>
      </c>
      <c r="AH114" s="9">
        <f t="shared" si="107"/>
        <v>0</v>
      </c>
      <c r="AI114" s="9">
        <f t="shared" si="41"/>
        <v>0</v>
      </c>
      <c r="AJ114" s="10">
        <f t="shared" si="108"/>
        <v>0</v>
      </c>
      <c r="AK114" s="9">
        <f t="shared" si="109"/>
        <v>0</v>
      </c>
      <c r="AL114" s="9">
        <f t="shared" si="96"/>
        <v>0</v>
      </c>
      <c r="AM114" s="9"/>
      <c r="AN114" s="9"/>
      <c r="AO114" s="9"/>
    </row>
    <row r="115" spans="1:41">
      <c r="A115" s="9">
        <f t="shared" ref="A115:A121" si="111">A89</f>
        <v>21.315652084350585</v>
      </c>
      <c r="B115" s="9">
        <f t="shared" ref="B115:AG115" si="112">B58-B89</f>
        <v>0</v>
      </c>
      <c r="C115" s="9">
        <f t="shared" si="112"/>
        <v>0</v>
      </c>
      <c r="D115" s="9">
        <f t="shared" si="112"/>
        <v>0</v>
      </c>
      <c r="E115" s="9">
        <f t="shared" si="112"/>
        <v>0</v>
      </c>
      <c r="F115" s="9">
        <f t="shared" si="112"/>
        <v>0</v>
      </c>
      <c r="G115" s="9">
        <f t="shared" si="112"/>
        <v>0</v>
      </c>
      <c r="H115" s="9">
        <f t="shared" si="112"/>
        <v>0</v>
      </c>
      <c r="I115" s="9">
        <f t="shared" si="112"/>
        <v>0</v>
      </c>
      <c r="J115" s="9">
        <f t="shared" si="112"/>
        <v>0</v>
      </c>
      <c r="K115" s="9">
        <f t="shared" si="112"/>
        <v>0</v>
      </c>
      <c r="L115" s="9">
        <f t="shared" si="112"/>
        <v>0</v>
      </c>
      <c r="M115" s="9">
        <f t="shared" si="112"/>
        <v>0</v>
      </c>
      <c r="N115" s="9">
        <f t="shared" si="112"/>
        <v>0</v>
      </c>
      <c r="O115" s="9">
        <f t="shared" si="112"/>
        <v>0</v>
      </c>
      <c r="P115" s="9">
        <f t="shared" si="112"/>
        <v>0</v>
      </c>
      <c r="Q115" s="9">
        <f t="shared" si="112"/>
        <v>0</v>
      </c>
      <c r="R115" s="9">
        <f t="shared" si="112"/>
        <v>0</v>
      </c>
      <c r="S115" s="9">
        <f t="shared" si="112"/>
        <v>0</v>
      </c>
      <c r="T115" s="9">
        <f t="shared" si="112"/>
        <v>0</v>
      </c>
      <c r="U115" s="9">
        <f t="shared" si="112"/>
        <v>0</v>
      </c>
      <c r="V115" s="9">
        <f t="shared" si="112"/>
        <v>0</v>
      </c>
      <c r="W115" s="9">
        <f t="shared" si="112"/>
        <v>0</v>
      </c>
      <c r="X115" s="9">
        <f t="shared" si="112"/>
        <v>0</v>
      </c>
      <c r="Y115" s="9">
        <f t="shared" si="112"/>
        <v>0</v>
      </c>
      <c r="Z115" s="9">
        <f t="shared" si="112"/>
        <v>0</v>
      </c>
      <c r="AA115" s="9">
        <f t="shared" si="112"/>
        <v>0</v>
      </c>
      <c r="AB115" s="9">
        <f t="shared" si="112"/>
        <v>0</v>
      </c>
      <c r="AC115" s="9">
        <f t="shared" si="112"/>
        <v>0</v>
      </c>
      <c r="AD115" s="9">
        <f t="shared" si="112"/>
        <v>0</v>
      </c>
      <c r="AE115" s="9">
        <f t="shared" si="112"/>
        <v>0</v>
      </c>
      <c r="AF115" s="9">
        <f t="shared" si="112"/>
        <v>0</v>
      </c>
      <c r="AG115" s="9">
        <f t="shared" si="112"/>
        <v>0</v>
      </c>
      <c r="AH115" s="9">
        <f t="shared" si="40"/>
        <v>0</v>
      </c>
      <c r="AI115" s="9">
        <f t="shared" si="41"/>
        <v>0</v>
      </c>
      <c r="AJ115" s="10">
        <f t="shared" si="42"/>
        <v>0</v>
      </c>
      <c r="AK115" s="9">
        <f t="shared" si="43"/>
        <v>0</v>
      </c>
      <c r="AL115" s="9">
        <f t="shared" si="96"/>
        <v>0</v>
      </c>
      <c r="AM115" s="9"/>
      <c r="AN115" s="9"/>
      <c r="AO115" s="9"/>
    </row>
    <row r="116" spans="1:41">
      <c r="A116" s="9">
        <f t="shared" si="111"/>
        <v>17.340450096130372</v>
      </c>
      <c r="B116" s="9">
        <f t="shared" ref="B116:AG116" si="113">B59-B90</f>
        <v>0</v>
      </c>
      <c r="C116" s="9">
        <f t="shared" si="113"/>
        <v>0</v>
      </c>
      <c r="D116" s="9">
        <f t="shared" si="113"/>
        <v>0</v>
      </c>
      <c r="E116" s="9">
        <f t="shared" si="113"/>
        <v>0</v>
      </c>
      <c r="F116" s="9">
        <f t="shared" si="113"/>
        <v>0</v>
      </c>
      <c r="G116" s="9">
        <f t="shared" si="113"/>
        <v>0</v>
      </c>
      <c r="H116" s="9">
        <f t="shared" si="113"/>
        <v>0</v>
      </c>
      <c r="I116" s="9">
        <f t="shared" si="113"/>
        <v>0</v>
      </c>
      <c r="J116" s="9">
        <f t="shared" si="113"/>
        <v>0</v>
      </c>
      <c r="K116" s="9">
        <f t="shared" si="113"/>
        <v>0</v>
      </c>
      <c r="L116" s="9">
        <f t="shared" si="113"/>
        <v>0</v>
      </c>
      <c r="M116" s="9">
        <f t="shared" si="113"/>
        <v>0</v>
      </c>
      <c r="N116" s="9">
        <f t="shared" si="113"/>
        <v>0</v>
      </c>
      <c r="O116" s="9">
        <f t="shared" si="113"/>
        <v>0</v>
      </c>
      <c r="P116" s="9">
        <f t="shared" si="113"/>
        <v>0</v>
      </c>
      <c r="Q116" s="9">
        <f t="shared" si="113"/>
        <v>0</v>
      </c>
      <c r="R116" s="9">
        <f t="shared" si="113"/>
        <v>0</v>
      </c>
      <c r="S116" s="9">
        <f t="shared" si="113"/>
        <v>0</v>
      </c>
      <c r="T116" s="9">
        <f t="shared" si="113"/>
        <v>0</v>
      </c>
      <c r="U116" s="9">
        <f t="shared" si="113"/>
        <v>0</v>
      </c>
      <c r="V116" s="9">
        <f t="shared" si="113"/>
        <v>0</v>
      </c>
      <c r="W116" s="9">
        <f t="shared" si="113"/>
        <v>0</v>
      </c>
      <c r="X116" s="9">
        <f t="shared" si="113"/>
        <v>0</v>
      </c>
      <c r="Y116" s="9">
        <f t="shared" si="113"/>
        <v>0</v>
      </c>
      <c r="Z116" s="9">
        <f t="shared" si="113"/>
        <v>0</v>
      </c>
      <c r="AA116" s="9">
        <f t="shared" si="113"/>
        <v>0</v>
      </c>
      <c r="AB116" s="9">
        <f t="shared" si="113"/>
        <v>0</v>
      </c>
      <c r="AC116" s="9">
        <f t="shared" si="113"/>
        <v>0</v>
      </c>
      <c r="AD116" s="9">
        <f t="shared" si="113"/>
        <v>0</v>
      </c>
      <c r="AE116" s="9">
        <f t="shared" si="113"/>
        <v>0</v>
      </c>
      <c r="AF116" s="9">
        <f t="shared" si="113"/>
        <v>0</v>
      </c>
      <c r="AG116" s="9">
        <f t="shared" si="113"/>
        <v>0</v>
      </c>
      <c r="AH116" s="9">
        <f t="shared" si="40"/>
        <v>0</v>
      </c>
      <c r="AI116" s="9">
        <f t="shared" si="41"/>
        <v>0</v>
      </c>
      <c r="AJ116" s="10">
        <f t="shared" si="42"/>
        <v>0</v>
      </c>
      <c r="AK116" s="9">
        <f t="shared" si="43"/>
        <v>0</v>
      </c>
      <c r="AL116" s="9">
        <f t="shared" si="96"/>
        <v>0</v>
      </c>
      <c r="AM116" s="9"/>
      <c r="AN116" s="9"/>
      <c r="AO116" s="9"/>
    </row>
    <row r="117" spans="1:41">
      <c r="A117" s="9">
        <f t="shared" si="111"/>
        <v>14.188851261138916</v>
      </c>
      <c r="B117" s="9">
        <f t="shared" ref="B117:AG117" si="114">B60-B91</f>
        <v>0</v>
      </c>
      <c r="C117" s="9">
        <f t="shared" si="114"/>
        <v>0</v>
      </c>
      <c r="D117" s="9">
        <f t="shared" si="114"/>
        <v>0</v>
      </c>
      <c r="E117" s="9">
        <f t="shared" si="114"/>
        <v>0</v>
      </c>
      <c r="F117" s="9">
        <f t="shared" si="114"/>
        <v>0</v>
      </c>
      <c r="G117" s="9">
        <f t="shared" si="114"/>
        <v>0</v>
      </c>
      <c r="H117" s="9">
        <f t="shared" si="114"/>
        <v>0</v>
      </c>
      <c r="I117" s="9">
        <f t="shared" si="114"/>
        <v>0</v>
      </c>
      <c r="J117" s="9">
        <f t="shared" si="114"/>
        <v>0</v>
      </c>
      <c r="K117" s="9">
        <f t="shared" si="114"/>
        <v>0</v>
      </c>
      <c r="L117" s="9">
        <f t="shared" si="114"/>
        <v>0</v>
      </c>
      <c r="M117" s="9">
        <f t="shared" si="114"/>
        <v>0</v>
      </c>
      <c r="N117" s="9">
        <f t="shared" si="114"/>
        <v>0</v>
      </c>
      <c r="O117" s="9">
        <f t="shared" si="114"/>
        <v>0</v>
      </c>
      <c r="P117" s="9">
        <f t="shared" si="114"/>
        <v>0</v>
      </c>
      <c r="Q117" s="9">
        <f t="shared" si="114"/>
        <v>0</v>
      </c>
      <c r="R117" s="9">
        <f t="shared" si="114"/>
        <v>0</v>
      </c>
      <c r="S117" s="9">
        <f t="shared" si="114"/>
        <v>0</v>
      </c>
      <c r="T117" s="9">
        <f t="shared" si="114"/>
        <v>0</v>
      </c>
      <c r="U117" s="9">
        <f t="shared" si="114"/>
        <v>0</v>
      </c>
      <c r="V117" s="9">
        <f t="shared" si="114"/>
        <v>0</v>
      </c>
      <c r="W117" s="9">
        <f t="shared" si="114"/>
        <v>0</v>
      </c>
      <c r="X117" s="9">
        <f t="shared" si="114"/>
        <v>0</v>
      </c>
      <c r="Y117" s="9">
        <f t="shared" si="114"/>
        <v>0</v>
      </c>
      <c r="Z117" s="9">
        <f t="shared" si="114"/>
        <v>0</v>
      </c>
      <c r="AA117" s="9">
        <f t="shared" si="114"/>
        <v>0</v>
      </c>
      <c r="AB117" s="9">
        <f t="shared" si="114"/>
        <v>0</v>
      </c>
      <c r="AC117" s="9">
        <f t="shared" si="114"/>
        <v>0</v>
      </c>
      <c r="AD117" s="9">
        <f t="shared" si="114"/>
        <v>0</v>
      </c>
      <c r="AE117" s="9">
        <f t="shared" si="114"/>
        <v>0</v>
      </c>
      <c r="AF117" s="9">
        <f t="shared" si="114"/>
        <v>0</v>
      </c>
      <c r="AG117" s="9">
        <f t="shared" si="114"/>
        <v>0</v>
      </c>
      <c r="AH117" s="9">
        <f t="shared" si="40"/>
        <v>0</v>
      </c>
      <c r="AI117" s="9">
        <f t="shared" si="41"/>
        <v>0</v>
      </c>
      <c r="AJ117" s="10">
        <f t="shared" si="42"/>
        <v>0</v>
      </c>
      <c r="AK117" s="9">
        <f t="shared" si="43"/>
        <v>0</v>
      </c>
      <c r="AL117" s="9">
        <f t="shared" si="96"/>
        <v>0</v>
      </c>
      <c r="AM117" s="9"/>
      <c r="AN117" s="9"/>
      <c r="AO117" s="9"/>
    </row>
    <row r="118" spans="1:41">
      <c r="A118" s="9">
        <f t="shared" si="111"/>
        <v>11.795599174499511</v>
      </c>
      <c r="B118" s="9">
        <f t="shared" ref="B118:AG118" si="115">B61-B92</f>
        <v>0</v>
      </c>
      <c r="C118" s="9">
        <f t="shared" si="115"/>
        <v>0</v>
      </c>
      <c r="D118" s="9">
        <f t="shared" si="115"/>
        <v>0</v>
      </c>
      <c r="E118" s="9">
        <f t="shared" si="115"/>
        <v>0</v>
      </c>
      <c r="F118" s="9">
        <f t="shared" si="115"/>
        <v>0</v>
      </c>
      <c r="G118" s="9">
        <f t="shared" si="115"/>
        <v>0</v>
      </c>
      <c r="H118" s="9">
        <f t="shared" si="115"/>
        <v>0</v>
      </c>
      <c r="I118" s="9">
        <f t="shared" si="115"/>
        <v>0</v>
      </c>
      <c r="J118" s="9">
        <f t="shared" si="115"/>
        <v>0</v>
      </c>
      <c r="K118" s="9">
        <f t="shared" si="115"/>
        <v>0</v>
      </c>
      <c r="L118" s="9">
        <f t="shared" si="115"/>
        <v>0</v>
      </c>
      <c r="M118" s="9">
        <f t="shared" si="115"/>
        <v>0</v>
      </c>
      <c r="N118" s="9">
        <f t="shared" si="115"/>
        <v>0</v>
      </c>
      <c r="O118" s="9">
        <f t="shared" si="115"/>
        <v>0</v>
      </c>
      <c r="P118" s="9">
        <f t="shared" si="115"/>
        <v>0</v>
      </c>
      <c r="Q118" s="9">
        <f t="shared" si="115"/>
        <v>0</v>
      </c>
      <c r="R118" s="9">
        <f t="shared" si="115"/>
        <v>0</v>
      </c>
      <c r="S118" s="9">
        <f t="shared" si="115"/>
        <v>0</v>
      </c>
      <c r="T118" s="9">
        <f t="shared" si="115"/>
        <v>0</v>
      </c>
      <c r="U118" s="9">
        <f t="shared" si="115"/>
        <v>0</v>
      </c>
      <c r="V118" s="9">
        <f t="shared" si="115"/>
        <v>0</v>
      </c>
      <c r="W118" s="9">
        <f t="shared" si="115"/>
        <v>0</v>
      </c>
      <c r="X118" s="9">
        <f t="shared" si="115"/>
        <v>0</v>
      </c>
      <c r="Y118" s="9">
        <f t="shared" si="115"/>
        <v>0</v>
      </c>
      <c r="Z118" s="9">
        <f t="shared" si="115"/>
        <v>0</v>
      </c>
      <c r="AA118" s="9">
        <f t="shared" si="115"/>
        <v>0</v>
      </c>
      <c r="AB118" s="9">
        <f t="shared" si="115"/>
        <v>0</v>
      </c>
      <c r="AC118" s="9">
        <f t="shared" si="115"/>
        <v>0</v>
      </c>
      <c r="AD118" s="9">
        <f t="shared" si="115"/>
        <v>0</v>
      </c>
      <c r="AE118" s="9">
        <f t="shared" si="115"/>
        <v>0</v>
      </c>
      <c r="AF118" s="9">
        <f t="shared" si="115"/>
        <v>0</v>
      </c>
      <c r="AG118" s="9">
        <f t="shared" si="115"/>
        <v>0</v>
      </c>
      <c r="AH118" s="9">
        <f t="shared" si="40"/>
        <v>0</v>
      </c>
      <c r="AI118" s="9">
        <f t="shared" si="41"/>
        <v>0</v>
      </c>
      <c r="AJ118" s="10">
        <f t="shared" si="42"/>
        <v>0</v>
      </c>
      <c r="AK118" s="9">
        <f t="shared" si="43"/>
        <v>0</v>
      </c>
      <c r="AL118" s="9">
        <f t="shared" si="96"/>
        <v>0</v>
      </c>
      <c r="AM118" s="9"/>
      <c r="AN118" s="9"/>
      <c r="AO118" s="9"/>
    </row>
    <row r="119" spans="1:41">
      <c r="A119" s="9">
        <f t="shared" si="111"/>
        <v>8.797748947143555</v>
      </c>
      <c r="B119" s="9">
        <f t="shared" ref="B119:AG119" si="116">B62-B93</f>
        <v>0</v>
      </c>
      <c r="C119" s="9">
        <f t="shared" si="116"/>
        <v>0</v>
      </c>
      <c r="D119" s="9">
        <f t="shared" si="116"/>
        <v>0</v>
      </c>
      <c r="E119" s="9">
        <f t="shared" si="116"/>
        <v>0</v>
      </c>
      <c r="F119" s="9">
        <f t="shared" si="116"/>
        <v>0</v>
      </c>
      <c r="G119" s="9">
        <f t="shared" si="116"/>
        <v>0</v>
      </c>
      <c r="H119" s="9">
        <f t="shared" si="116"/>
        <v>0</v>
      </c>
      <c r="I119" s="9">
        <f t="shared" si="116"/>
        <v>0</v>
      </c>
      <c r="J119" s="9">
        <f t="shared" si="116"/>
        <v>0</v>
      </c>
      <c r="K119" s="9">
        <f t="shared" si="116"/>
        <v>0</v>
      </c>
      <c r="L119" s="9">
        <f t="shared" si="116"/>
        <v>0</v>
      </c>
      <c r="M119" s="9">
        <f t="shared" si="116"/>
        <v>0</v>
      </c>
      <c r="N119" s="9">
        <f t="shared" si="116"/>
        <v>0</v>
      </c>
      <c r="O119" s="9">
        <f t="shared" si="116"/>
        <v>0</v>
      </c>
      <c r="P119" s="9">
        <f t="shared" si="116"/>
        <v>0</v>
      </c>
      <c r="Q119" s="9">
        <f t="shared" si="116"/>
        <v>0</v>
      </c>
      <c r="R119" s="9">
        <f t="shared" si="116"/>
        <v>0</v>
      </c>
      <c r="S119" s="9">
        <f t="shared" si="116"/>
        <v>0</v>
      </c>
      <c r="T119" s="9">
        <f t="shared" si="116"/>
        <v>0</v>
      </c>
      <c r="U119" s="9">
        <f t="shared" si="116"/>
        <v>0</v>
      </c>
      <c r="V119" s="9">
        <f t="shared" si="116"/>
        <v>0</v>
      </c>
      <c r="W119" s="9">
        <f t="shared" si="116"/>
        <v>0</v>
      </c>
      <c r="X119" s="9">
        <f t="shared" si="116"/>
        <v>0</v>
      </c>
      <c r="Y119" s="9">
        <f t="shared" si="116"/>
        <v>0</v>
      </c>
      <c r="Z119" s="9">
        <f t="shared" si="116"/>
        <v>0</v>
      </c>
      <c r="AA119" s="9">
        <f t="shared" si="116"/>
        <v>0</v>
      </c>
      <c r="AB119" s="9">
        <f t="shared" si="116"/>
        <v>0</v>
      </c>
      <c r="AC119" s="9">
        <f t="shared" si="116"/>
        <v>0</v>
      </c>
      <c r="AD119" s="9">
        <f t="shared" si="116"/>
        <v>0</v>
      </c>
      <c r="AE119" s="9">
        <f t="shared" si="116"/>
        <v>0</v>
      </c>
      <c r="AF119" s="9">
        <f t="shared" si="116"/>
        <v>0</v>
      </c>
      <c r="AG119" s="9">
        <f t="shared" si="116"/>
        <v>0</v>
      </c>
      <c r="AH119" s="9">
        <f t="shared" si="40"/>
        <v>0</v>
      </c>
      <c r="AI119" s="9">
        <f t="shared" si="41"/>
        <v>0</v>
      </c>
      <c r="AJ119" s="10">
        <f t="shared" si="42"/>
        <v>0</v>
      </c>
      <c r="AK119" s="9">
        <f t="shared" si="43"/>
        <v>0</v>
      </c>
      <c r="AL119" s="9">
        <f t="shared" si="96"/>
        <v>0</v>
      </c>
      <c r="AM119" s="9"/>
      <c r="AN119" s="9"/>
      <c r="AO119" s="9"/>
    </row>
    <row r="120" spans="1:41">
      <c r="A120" s="9">
        <f t="shared" si="111"/>
        <v>6.5973999023437502</v>
      </c>
      <c r="B120" s="9">
        <f t="shared" ref="B120:AG120" si="117">B63-B94</f>
        <v>0</v>
      </c>
      <c r="C120" s="9">
        <f t="shared" si="117"/>
        <v>0</v>
      </c>
      <c r="D120" s="9">
        <f t="shared" si="117"/>
        <v>0</v>
      </c>
      <c r="E120" s="9">
        <f t="shared" si="117"/>
        <v>0</v>
      </c>
      <c r="F120" s="9">
        <f t="shared" si="117"/>
        <v>0</v>
      </c>
      <c r="G120" s="9">
        <f t="shared" si="117"/>
        <v>0</v>
      </c>
      <c r="H120" s="9">
        <f t="shared" si="117"/>
        <v>0</v>
      </c>
      <c r="I120" s="9">
        <f t="shared" si="117"/>
        <v>0</v>
      </c>
      <c r="J120" s="9">
        <f t="shared" si="117"/>
        <v>0</v>
      </c>
      <c r="K120" s="9">
        <f t="shared" si="117"/>
        <v>0</v>
      </c>
      <c r="L120" s="9">
        <f t="shared" si="117"/>
        <v>0</v>
      </c>
      <c r="M120" s="9">
        <f t="shared" si="117"/>
        <v>0</v>
      </c>
      <c r="N120" s="9">
        <f t="shared" si="117"/>
        <v>0</v>
      </c>
      <c r="O120" s="9">
        <f t="shared" si="117"/>
        <v>0</v>
      </c>
      <c r="P120" s="9">
        <f t="shared" si="117"/>
        <v>0</v>
      </c>
      <c r="Q120" s="9">
        <f t="shared" si="117"/>
        <v>0</v>
      </c>
      <c r="R120" s="9">
        <f t="shared" si="117"/>
        <v>0</v>
      </c>
      <c r="S120" s="9">
        <f t="shared" si="117"/>
        <v>0</v>
      </c>
      <c r="T120" s="9">
        <f t="shared" si="117"/>
        <v>0</v>
      </c>
      <c r="U120" s="9">
        <f t="shared" si="117"/>
        <v>0</v>
      </c>
      <c r="V120" s="9">
        <f t="shared" si="117"/>
        <v>0</v>
      </c>
      <c r="W120" s="9">
        <f t="shared" si="117"/>
        <v>0</v>
      </c>
      <c r="X120" s="9">
        <f t="shared" si="117"/>
        <v>0</v>
      </c>
      <c r="Y120" s="9">
        <f t="shared" si="117"/>
        <v>0</v>
      </c>
      <c r="Z120" s="9">
        <f t="shared" si="117"/>
        <v>0</v>
      </c>
      <c r="AA120" s="9">
        <f t="shared" si="117"/>
        <v>0</v>
      </c>
      <c r="AB120" s="9">
        <f t="shared" si="117"/>
        <v>0</v>
      </c>
      <c r="AC120" s="9">
        <f t="shared" si="117"/>
        <v>0</v>
      </c>
      <c r="AD120" s="9">
        <f t="shared" si="117"/>
        <v>0</v>
      </c>
      <c r="AE120" s="9">
        <f t="shared" si="117"/>
        <v>0</v>
      </c>
      <c r="AF120" s="9">
        <f t="shared" si="117"/>
        <v>0</v>
      </c>
      <c r="AG120" s="9">
        <f t="shared" si="117"/>
        <v>0</v>
      </c>
      <c r="AH120" s="9">
        <f t="shared" si="40"/>
        <v>0</v>
      </c>
      <c r="AI120" s="9">
        <f t="shared" si="41"/>
        <v>0</v>
      </c>
      <c r="AJ120" s="10">
        <f t="shared" si="42"/>
        <v>0</v>
      </c>
      <c r="AK120" s="9">
        <f t="shared" si="43"/>
        <v>0</v>
      </c>
      <c r="AL120" s="9">
        <f t="shared" si="96"/>
        <v>0</v>
      </c>
      <c r="AM120" s="9"/>
      <c r="AN120" s="9"/>
      <c r="AO120" s="9"/>
    </row>
    <row r="121" spans="1:41">
      <c r="A121" s="9">
        <f t="shared" si="111"/>
        <v>2.3447998762130737</v>
      </c>
      <c r="B121" s="9">
        <f t="shared" ref="B121:AG121" si="118">B64-B95</f>
        <v>0</v>
      </c>
      <c r="C121" s="9">
        <f t="shared" si="118"/>
        <v>0</v>
      </c>
      <c r="D121" s="9">
        <f t="shared" si="118"/>
        <v>0</v>
      </c>
      <c r="E121" s="9">
        <f t="shared" si="118"/>
        <v>0</v>
      </c>
      <c r="F121" s="9">
        <f t="shared" si="118"/>
        <v>0</v>
      </c>
      <c r="G121" s="9">
        <f t="shared" si="118"/>
        <v>0</v>
      </c>
      <c r="H121" s="9">
        <f t="shared" si="118"/>
        <v>0</v>
      </c>
      <c r="I121" s="9">
        <f t="shared" si="118"/>
        <v>0</v>
      </c>
      <c r="J121" s="9">
        <f t="shared" si="118"/>
        <v>0</v>
      </c>
      <c r="K121" s="9">
        <f t="shared" si="118"/>
        <v>0</v>
      </c>
      <c r="L121" s="9">
        <f t="shared" si="118"/>
        <v>0</v>
      </c>
      <c r="M121" s="9">
        <f t="shared" si="118"/>
        <v>0</v>
      </c>
      <c r="N121" s="9">
        <f t="shared" si="118"/>
        <v>0</v>
      </c>
      <c r="O121" s="9">
        <f t="shared" si="118"/>
        <v>0</v>
      </c>
      <c r="P121" s="9">
        <f t="shared" si="118"/>
        <v>0</v>
      </c>
      <c r="Q121" s="9">
        <f t="shared" si="118"/>
        <v>0</v>
      </c>
      <c r="R121" s="9">
        <f t="shared" si="118"/>
        <v>0</v>
      </c>
      <c r="S121" s="9">
        <f t="shared" si="118"/>
        <v>0</v>
      </c>
      <c r="T121" s="9">
        <f t="shared" si="118"/>
        <v>0</v>
      </c>
      <c r="U121" s="9">
        <f t="shared" si="118"/>
        <v>0</v>
      </c>
      <c r="V121" s="9">
        <f t="shared" si="118"/>
        <v>0</v>
      </c>
      <c r="W121" s="9">
        <f t="shared" si="118"/>
        <v>0</v>
      </c>
      <c r="X121" s="9">
        <f t="shared" si="118"/>
        <v>0</v>
      </c>
      <c r="Y121" s="9">
        <f t="shared" si="118"/>
        <v>0</v>
      </c>
      <c r="Z121" s="9">
        <f t="shared" si="118"/>
        <v>0</v>
      </c>
      <c r="AA121" s="9">
        <f t="shared" si="118"/>
        <v>0</v>
      </c>
      <c r="AB121" s="9">
        <f t="shared" si="118"/>
        <v>0</v>
      </c>
      <c r="AC121" s="9">
        <f t="shared" si="118"/>
        <v>0</v>
      </c>
      <c r="AD121" s="9">
        <f t="shared" si="118"/>
        <v>0</v>
      </c>
      <c r="AE121" s="9">
        <f t="shared" si="118"/>
        <v>0</v>
      </c>
      <c r="AF121" s="9">
        <f t="shared" si="118"/>
        <v>0</v>
      </c>
      <c r="AG121" s="9">
        <f t="shared" si="118"/>
        <v>0</v>
      </c>
      <c r="AH121" s="9">
        <f t="shared" si="40"/>
        <v>0</v>
      </c>
      <c r="AI121" s="9">
        <f t="shared" si="41"/>
        <v>0</v>
      </c>
      <c r="AJ121" s="10">
        <f t="shared" si="42"/>
        <v>0</v>
      </c>
      <c r="AK121" s="9">
        <f t="shared" si="43"/>
        <v>0</v>
      </c>
      <c r="AL121" s="9">
        <f t="shared" si="96"/>
        <v>0</v>
      </c>
      <c r="AM121" s="9"/>
      <c r="AN121" s="9"/>
      <c r="AO121" s="9"/>
    </row>
    <row r="122" spans="1:41">
      <c r="A122" s="9">
        <f t="shared" ref="A122" si="119">A96</f>
        <v>1.9071000814437866</v>
      </c>
      <c r="B122" s="9">
        <f t="shared" ref="B122:AG122" si="120">B65-B96</f>
        <v>0</v>
      </c>
      <c r="C122" s="9">
        <f t="shared" si="120"/>
        <v>0</v>
      </c>
      <c r="D122" s="9">
        <f t="shared" si="120"/>
        <v>0</v>
      </c>
      <c r="E122" s="9">
        <f t="shared" si="120"/>
        <v>0</v>
      </c>
      <c r="F122" s="9">
        <f t="shared" si="120"/>
        <v>0</v>
      </c>
      <c r="G122" s="9">
        <f t="shared" si="120"/>
        <v>0</v>
      </c>
      <c r="H122" s="9">
        <f t="shared" si="120"/>
        <v>0</v>
      </c>
      <c r="I122" s="9">
        <f t="shared" si="120"/>
        <v>0</v>
      </c>
      <c r="J122" s="9">
        <f t="shared" si="120"/>
        <v>0</v>
      </c>
      <c r="K122" s="9">
        <f t="shared" si="120"/>
        <v>0</v>
      </c>
      <c r="L122" s="9">
        <f t="shared" si="120"/>
        <v>0</v>
      </c>
      <c r="M122" s="9">
        <f t="shared" si="120"/>
        <v>0</v>
      </c>
      <c r="N122" s="9">
        <f t="shared" si="120"/>
        <v>0</v>
      </c>
      <c r="O122" s="9">
        <f t="shared" si="120"/>
        <v>0</v>
      </c>
      <c r="P122" s="9">
        <f t="shared" si="120"/>
        <v>0</v>
      </c>
      <c r="Q122" s="9">
        <f t="shared" si="120"/>
        <v>0</v>
      </c>
      <c r="R122" s="9">
        <f t="shared" si="120"/>
        <v>0</v>
      </c>
      <c r="S122" s="9">
        <f t="shared" si="120"/>
        <v>0</v>
      </c>
      <c r="T122" s="9">
        <f t="shared" si="120"/>
        <v>0</v>
      </c>
      <c r="U122" s="9">
        <f t="shared" si="120"/>
        <v>0</v>
      </c>
      <c r="V122" s="9">
        <f t="shared" si="120"/>
        <v>0</v>
      </c>
      <c r="W122" s="9">
        <f t="shared" si="120"/>
        <v>0</v>
      </c>
      <c r="X122" s="9">
        <f t="shared" si="120"/>
        <v>0</v>
      </c>
      <c r="Y122" s="9">
        <f t="shared" si="120"/>
        <v>0</v>
      </c>
      <c r="Z122" s="9">
        <f t="shared" si="120"/>
        <v>0</v>
      </c>
      <c r="AA122" s="9">
        <f t="shared" si="120"/>
        <v>0</v>
      </c>
      <c r="AB122" s="9">
        <f t="shared" si="120"/>
        <v>0</v>
      </c>
      <c r="AC122" s="9">
        <f t="shared" si="120"/>
        <v>0</v>
      </c>
      <c r="AD122" s="9">
        <f t="shared" si="120"/>
        <v>0</v>
      </c>
      <c r="AE122" s="9">
        <f t="shared" si="120"/>
        <v>0</v>
      </c>
      <c r="AF122" s="9">
        <f t="shared" si="120"/>
        <v>0</v>
      </c>
      <c r="AG122" s="9">
        <f t="shared" si="120"/>
        <v>0</v>
      </c>
      <c r="AH122" s="9"/>
      <c r="AI122" s="9">
        <f t="shared" si="41"/>
        <v>0</v>
      </c>
      <c r="AJ122" s="10">
        <f t="shared" si="42"/>
        <v>0</v>
      </c>
      <c r="AK122" s="9">
        <f t="shared" si="43"/>
        <v>0</v>
      </c>
      <c r="AM122" s="9"/>
      <c r="AN122" s="9"/>
      <c r="AO122" s="9"/>
    </row>
    <row r="123" spans="1:4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M123" s="9"/>
      <c r="AN123" s="9"/>
      <c r="AO123" s="9"/>
    </row>
    <row r="124" spans="1:4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M124" s="9"/>
      <c r="AN124" s="9"/>
      <c r="AO124" s="9"/>
    </row>
    <row r="125" spans="1:4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M125" s="9"/>
      <c r="AN125" s="9"/>
      <c r="AO125" s="9"/>
    </row>
    <row r="126" spans="1:4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M126" s="9"/>
      <c r="AN126" s="9"/>
      <c r="AO126" s="9"/>
    </row>
    <row r="127" spans="1:4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M127" s="9"/>
      <c r="AN127" s="9"/>
      <c r="AO127" s="9"/>
    </row>
    <row r="128" spans="1:4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M128" s="9"/>
      <c r="AN128" s="9"/>
      <c r="AO128" s="9"/>
    </row>
    <row r="129" spans="1:4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M129" s="9"/>
      <c r="AN129" s="9"/>
      <c r="AO129" s="9"/>
    </row>
    <row r="130" spans="1:4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M130" s="9"/>
      <c r="AN130" s="9"/>
      <c r="AO130" s="9"/>
    </row>
    <row r="131" spans="1:4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M131" s="9"/>
      <c r="AN131" s="9"/>
      <c r="AO131" s="9"/>
    </row>
    <row r="132" spans="1:4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M132" s="9"/>
      <c r="AN132" s="9"/>
      <c r="AO132" s="9"/>
    </row>
    <row r="133" spans="1:4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M133" s="9"/>
      <c r="AN133" s="9"/>
      <c r="AO133" s="9"/>
    </row>
    <row r="134" spans="1:4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M134" s="9"/>
      <c r="AN134" s="9"/>
      <c r="AO134" s="9"/>
    </row>
    <row r="135" spans="1:4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M135" s="9"/>
      <c r="AN135" s="9"/>
      <c r="AO135" s="9"/>
    </row>
  </sheetData>
  <mergeCells count="3">
    <mergeCell ref="AL30:AP30"/>
    <mergeCell ref="AL31:AP31"/>
    <mergeCell ref="AL29:AP2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AV141"/>
  <sheetViews>
    <sheetView zoomScale="70" zoomScaleNormal="70" workbookViewId="0">
      <selection activeCell="B2" sqref="B2:AG26"/>
    </sheetView>
  </sheetViews>
  <sheetFormatPr defaultRowHeight="15"/>
  <cols>
    <col min="2" max="33" width="6.5703125" customWidth="1"/>
    <col min="38" max="38" width="9.140625" style="9"/>
  </cols>
  <sheetData>
    <row r="1" spans="1:42">
      <c r="B1" s="3">
        <f>data0!B1</f>
        <v>0</v>
      </c>
      <c r="C1" s="3">
        <f>data0!C1</f>
        <v>1</v>
      </c>
      <c r="D1" s="3">
        <f>data0!D1</f>
        <v>2</v>
      </c>
      <c r="E1" s="3">
        <f>data0!E1</f>
        <v>3</v>
      </c>
      <c r="F1" s="3">
        <f>data0!F1</f>
        <v>4</v>
      </c>
      <c r="G1" s="3">
        <f>data0!G1</f>
        <v>5</v>
      </c>
      <c r="H1" s="3">
        <f>data0!H1</f>
        <v>6</v>
      </c>
      <c r="I1" s="3">
        <f>data0!I1</f>
        <v>7</v>
      </c>
      <c r="J1" s="3">
        <f>data0!J1</f>
        <v>8</v>
      </c>
      <c r="K1" s="3">
        <f>data0!K1</f>
        <v>9</v>
      </c>
      <c r="L1" s="3">
        <f>data0!L1</f>
        <v>10</v>
      </c>
      <c r="M1" s="3">
        <f>data0!M1</f>
        <v>11</v>
      </c>
      <c r="N1" s="3">
        <f>data0!N1</f>
        <v>12</v>
      </c>
      <c r="O1" s="3">
        <f>data0!O1</f>
        <v>13</v>
      </c>
      <c r="P1" s="3">
        <f>data0!P1</f>
        <v>14</v>
      </c>
      <c r="Q1" s="3">
        <f>data0!Q1</f>
        <v>15</v>
      </c>
      <c r="R1" s="3">
        <f>data0!R1</f>
        <v>16</v>
      </c>
      <c r="S1" s="3">
        <f>data0!S1</f>
        <v>17</v>
      </c>
      <c r="T1" s="3">
        <f>data0!T1</f>
        <v>18</v>
      </c>
      <c r="U1" s="3">
        <f>data0!U1</f>
        <v>19</v>
      </c>
      <c r="V1" s="3">
        <f>data0!V1</f>
        <v>20</v>
      </c>
      <c r="W1" s="3">
        <f>data0!W1</f>
        <v>21</v>
      </c>
      <c r="X1" s="3">
        <f>data0!X1</f>
        <v>22</v>
      </c>
      <c r="Y1" s="3">
        <f>data0!Y1</f>
        <v>23</v>
      </c>
      <c r="Z1" s="3">
        <f>data0!Z1</f>
        <v>24</v>
      </c>
      <c r="AA1" s="3">
        <f>data0!AA1</f>
        <v>25</v>
      </c>
      <c r="AB1" s="3">
        <f>data0!AB1</f>
        <v>26</v>
      </c>
      <c r="AC1" s="3">
        <f>data0!AC1</f>
        <v>27</v>
      </c>
      <c r="AD1" s="3">
        <f>data0!AD1</f>
        <v>28</v>
      </c>
      <c r="AE1" s="3">
        <f>data0!AE1</f>
        <v>29</v>
      </c>
      <c r="AF1" s="3">
        <f>data0!AF1</f>
        <v>30</v>
      </c>
      <c r="AG1" s="3">
        <f>data0!AG1</f>
        <v>31</v>
      </c>
      <c r="AH1" s="8" t="s">
        <v>13</v>
      </c>
      <c r="AI1" s="15" t="s">
        <v>30</v>
      </c>
      <c r="AJ1" s="8" t="s">
        <v>14</v>
      </c>
      <c r="AK1" s="15" t="s">
        <v>31</v>
      </c>
      <c r="AL1" s="18" t="s">
        <v>19</v>
      </c>
      <c r="AM1" s="17" t="str">
        <f>AI1</f>
        <v>-3σ</v>
      </c>
      <c r="AN1" s="17" t="str">
        <f t="shared" ref="AN1:AO1" si="0">AJ1</f>
        <v>MEAN</v>
      </c>
      <c r="AO1" s="17" t="str">
        <f t="shared" si="0"/>
        <v>+3σ</v>
      </c>
    </row>
    <row r="2" spans="1:42">
      <c r="A2" s="3">
        <f>data0!A2</f>
        <v>3007.1739501953125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7" t="e">
        <f>STDEV(B2:AG2)</f>
        <v>#DIV/0!</v>
      </c>
      <c r="AI2" s="7" t="e">
        <f>AJ2-1.5*AH2</f>
        <v>#DIV/0!</v>
      </c>
      <c r="AJ2" s="7" t="e">
        <f>AVERAGE(B2:AG2)</f>
        <v>#DIV/0!</v>
      </c>
      <c r="AK2" s="7" t="e">
        <f>AJ2+1.5*AH2</f>
        <v>#DIV/0!</v>
      </c>
      <c r="AL2" s="11">
        <f>MAX(B2:AG2)</f>
        <v>0</v>
      </c>
      <c r="AM2" s="9" t="e">
        <f t="shared" ref="AM2:AM26" si="1">AI2*mult</f>
        <v>#DIV/0!</v>
      </c>
      <c r="AN2" s="9" t="e">
        <f t="shared" ref="AN2:AN26" si="2">AJ2*mult</f>
        <v>#DIV/0!</v>
      </c>
      <c r="AO2" s="9" t="e">
        <f t="shared" ref="AO2:AO26" si="3">AK2*mult</f>
        <v>#DIV/0!</v>
      </c>
    </row>
    <row r="3" spans="1:42">
      <c r="A3" s="3">
        <f>data0!A3</f>
        <v>2440.1146484374999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7" t="e">
        <f t="shared" ref="AH3:AH26" si="4">STDEV(B3:AG3)</f>
        <v>#DIV/0!</v>
      </c>
      <c r="AI3" s="7" t="e">
        <f t="shared" ref="AI3:AI26" si="5">AJ3-1.5*AH3</f>
        <v>#DIV/0!</v>
      </c>
      <c r="AJ3" s="7" t="e">
        <f t="shared" ref="AJ3:AJ26" si="6">AVERAGE(B3:AG3)</f>
        <v>#DIV/0!</v>
      </c>
      <c r="AK3" s="7" t="e">
        <f t="shared" ref="AK3:AK26" si="7">AJ3+1.5*AH3</f>
        <v>#DIV/0!</v>
      </c>
      <c r="AL3" s="11">
        <f t="shared" ref="AL3:AL26" si="8">MAX(B3:AG3)</f>
        <v>0</v>
      </c>
      <c r="AM3" s="9" t="e">
        <f t="shared" si="1"/>
        <v>#DIV/0!</v>
      </c>
      <c r="AN3" s="9" t="e">
        <f t="shared" si="2"/>
        <v>#DIV/0!</v>
      </c>
      <c r="AO3" s="9" t="e">
        <f t="shared" si="3"/>
        <v>#DIV/0!</v>
      </c>
      <c r="AP3" s="18"/>
    </row>
    <row r="4" spans="1:42">
      <c r="A4" s="3">
        <f>data0!A4</f>
        <v>1996.1750244140626</v>
      </c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7" t="e">
        <f t="shared" si="4"/>
        <v>#DIV/0!</v>
      </c>
      <c r="AI4" s="7" t="e">
        <f t="shared" si="5"/>
        <v>#DIV/0!</v>
      </c>
      <c r="AJ4" s="7" t="e">
        <f t="shared" si="6"/>
        <v>#DIV/0!</v>
      </c>
      <c r="AK4" s="7" t="e">
        <f t="shared" si="7"/>
        <v>#DIV/0!</v>
      </c>
      <c r="AL4" s="11">
        <f t="shared" si="8"/>
        <v>0</v>
      </c>
      <c r="AM4" s="9" t="e">
        <f t="shared" si="1"/>
        <v>#DIV/0!</v>
      </c>
      <c r="AN4" s="9" t="e">
        <f t="shared" si="2"/>
        <v>#DIV/0!</v>
      </c>
      <c r="AO4" s="9" t="e">
        <f t="shared" si="3"/>
        <v>#DIV/0!</v>
      </c>
      <c r="AP4" s="18"/>
    </row>
    <row r="5" spans="1:42">
      <c r="A5" s="3">
        <f>data0!A5</f>
        <v>1659.095166015625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7" t="e">
        <f t="shared" si="4"/>
        <v>#DIV/0!</v>
      </c>
      <c r="AI5" s="7" t="e">
        <f t="shared" si="5"/>
        <v>#DIV/0!</v>
      </c>
      <c r="AJ5" s="7" t="e">
        <f t="shared" si="6"/>
        <v>#DIV/0!</v>
      </c>
      <c r="AK5" s="7" t="e">
        <f t="shared" si="7"/>
        <v>#DIV/0!</v>
      </c>
      <c r="AL5" s="11">
        <f t="shared" si="8"/>
        <v>0</v>
      </c>
      <c r="AM5" s="9" t="e">
        <f t="shared" si="1"/>
        <v>#DIV/0!</v>
      </c>
      <c r="AN5" s="9" t="e">
        <f t="shared" si="2"/>
        <v>#DIV/0!</v>
      </c>
      <c r="AO5" s="9" t="e">
        <f t="shared" si="3"/>
        <v>#DIV/0!</v>
      </c>
    </row>
    <row r="6" spans="1:42">
      <c r="A6" s="3">
        <f>data0!A6</f>
        <v>1234.2751586914062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7" t="e">
        <f t="shared" si="4"/>
        <v>#DIV/0!</v>
      </c>
      <c r="AI6" s="7" t="e">
        <f t="shared" si="5"/>
        <v>#DIV/0!</v>
      </c>
      <c r="AJ6" s="7" t="e">
        <f t="shared" si="6"/>
        <v>#DIV/0!</v>
      </c>
      <c r="AK6" s="7" t="e">
        <f t="shared" si="7"/>
        <v>#DIV/0!</v>
      </c>
      <c r="AL6" s="11">
        <f t="shared" si="8"/>
        <v>0</v>
      </c>
      <c r="AM6" s="9" t="e">
        <f t="shared" si="1"/>
        <v>#DIV/0!</v>
      </c>
      <c r="AN6" s="9" t="e">
        <f t="shared" si="2"/>
        <v>#DIV/0!</v>
      </c>
      <c r="AO6" s="9" t="e">
        <f t="shared" si="3"/>
        <v>#DIV/0!</v>
      </c>
    </row>
    <row r="7" spans="1:42">
      <c r="A7" s="3">
        <f>data0!A7</f>
        <v>924.54020385742183</v>
      </c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7" t="e">
        <f t="shared" si="4"/>
        <v>#DIV/0!</v>
      </c>
      <c r="AI7" s="7" t="e">
        <f t="shared" si="5"/>
        <v>#DIV/0!</v>
      </c>
      <c r="AJ7" s="7" t="e">
        <f t="shared" si="6"/>
        <v>#DIV/0!</v>
      </c>
      <c r="AK7" s="7" t="e">
        <f t="shared" si="7"/>
        <v>#DIV/0!</v>
      </c>
      <c r="AL7" s="11">
        <f t="shared" si="8"/>
        <v>0</v>
      </c>
      <c r="AM7" s="9" t="e">
        <f t="shared" si="1"/>
        <v>#DIV/0!</v>
      </c>
      <c r="AN7" s="9" t="e">
        <f t="shared" si="2"/>
        <v>#DIV/0!</v>
      </c>
      <c r="AO7" s="9" t="e">
        <f t="shared" si="3"/>
        <v>#DIV/0!</v>
      </c>
    </row>
    <row r="8" spans="1:42">
      <c r="A8" s="3">
        <f>data0!A8</f>
        <v>761.20014648437495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7" t="e">
        <f t="shared" si="4"/>
        <v>#DIV/0!</v>
      </c>
      <c r="AI8" s="7" t="e">
        <f t="shared" si="5"/>
        <v>#DIV/0!</v>
      </c>
      <c r="AJ8" s="7" t="e">
        <f t="shared" si="6"/>
        <v>#DIV/0!</v>
      </c>
      <c r="AK8" s="7" t="e">
        <f t="shared" si="7"/>
        <v>#DIV/0!</v>
      </c>
      <c r="AL8" s="11">
        <f t="shared" si="8"/>
        <v>0</v>
      </c>
      <c r="AM8" s="9" t="e">
        <f t="shared" si="1"/>
        <v>#DIV/0!</v>
      </c>
      <c r="AN8" s="9" t="e">
        <f t="shared" si="2"/>
        <v>#DIV/0!</v>
      </c>
      <c r="AO8" s="9" t="e">
        <f t="shared" si="3"/>
        <v>#DIV/0!</v>
      </c>
    </row>
    <row r="9" spans="1:42">
      <c r="A9" s="3">
        <f>data0!A9</f>
        <v>618.7050842285156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7" t="e">
        <f t="shared" si="4"/>
        <v>#DIV/0!</v>
      </c>
      <c r="AI9" s="7" t="e">
        <f t="shared" si="5"/>
        <v>#DIV/0!</v>
      </c>
      <c r="AJ9" s="7" t="e">
        <f t="shared" si="6"/>
        <v>#DIV/0!</v>
      </c>
      <c r="AK9" s="7" t="e">
        <f t="shared" si="7"/>
        <v>#DIV/0!</v>
      </c>
      <c r="AL9" s="11">
        <f t="shared" si="8"/>
        <v>0</v>
      </c>
      <c r="AM9" s="9" t="e">
        <f t="shared" si="1"/>
        <v>#DIV/0!</v>
      </c>
      <c r="AN9" s="9" t="e">
        <f t="shared" si="2"/>
        <v>#DIV/0!</v>
      </c>
      <c r="AO9" s="9" t="e">
        <f t="shared" si="3"/>
        <v>#DIV/0!</v>
      </c>
    </row>
    <row r="10" spans="1:42">
      <c r="A10" s="3">
        <f>data0!A10</f>
        <v>506.39999389648438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7" t="e">
        <f t="shared" si="4"/>
        <v>#DIV/0!</v>
      </c>
      <c r="AI10" s="7" t="e">
        <f t="shared" si="5"/>
        <v>#DIV/0!</v>
      </c>
      <c r="AJ10" s="7" t="e">
        <f t="shared" si="6"/>
        <v>#DIV/0!</v>
      </c>
      <c r="AK10" s="7" t="e">
        <f t="shared" si="7"/>
        <v>#DIV/0!</v>
      </c>
      <c r="AL10" s="11">
        <f t="shared" si="8"/>
        <v>0</v>
      </c>
      <c r="AM10" s="9" t="e">
        <f t="shared" si="1"/>
        <v>#DIV/0!</v>
      </c>
      <c r="AN10" s="9" t="e">
        <f t="shared" si="2"/>
        <v>#DIV/0!</v>
      </c>
      <c r="AO10" s="9" t="e">
        <f t="shared" si="3"/>
        <v>#DIV/0!</v>
      </c>
    </row>
    <row r="11" spans="1:42">
      <c r="A11" s="3">
        <f>data0!A11</f>
        <v>421.14996337890625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7" t="e">
        <f t="shared" si="4"/>
        <v>#DIV/0!</v>
      </c>
      <c r="AI11" s="7" t="e">
        <f t="shared" si="5"/>
        <v>#DIV/0!</v>
      </c>
      <c r="AJ11" s="7" t="e">
        <f t="shared" si="6"/>
        <v>#DIV/0!</v>
      </c>
      <c r="AK11" s="7" t="e">
        <f t="shared" si="7"/>
        <v>#DIV/0!</v>
      </c>
      <c r="AL11" s="11">
        <f t="shared" si="8"/>
        <v>0</v>
      </c>
      <c r="AM11" s="9" t="e">
        <f t="shared" si="1"/>
        <v>#DIV/0!</v>
      </c>
      <c r="AN11" s="9" t="e">
        <f t="shared" si="2"/>
        <v>#DIV/0!</v>
      </c>
      <c r="AO11" s="9" t="e">
        <f t="shared" si="3"/>
        <v>#DIV/0!</v>
      </c>
    </row>
    <row r="12" spans="1:42">
      <c r="A12" s="3">
        <f>data0!A12</f>
        <v>313.39996337890625</v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7" t="e">
        <f t="shared" si="4"/>
        <v>#DIV/0!</v>
      </c>
      <c r="AI12" s="7" t="e">
        <f t="shared" si="5"/>
        <v>#DIV/0!</v>
      </c>
      <c r="AJ12" s="7" t="e">
        <f t="shared" si="6"/>
        <v>#DIV/0!</v>
      </c>
      <c r="AK12" s="7" t="e">
        <f t="shared" si="7"/>
        <v>#DIV/0!</v>
      </c>
      <c r="AL12" s="11">
        <f t="shared" si="8"/>
        <v>0</v>
      </c>
      <c r="AM12" s="9" t="e">
        <f t="shared" si="1"/>
        <v>#DIV/0!</v>
      </c>
      <c r="AN12" s="9" t="e">
        <f t="shared" si="2"/>
        <v>#DIV/0!</v>
      </c>
      <c r="AO12" s="9" t="e">
        <f t="shared" si="3"/>
        <v>#DIV/0!</v>
      </c>
    </row>
    <row r="13" spans="1:42">
      <c r="A13" s="3">
        <f>data0!A13</f>
        <v>283.35547790527346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7" t="e">
        <f t="shared" si="4"/>
        <v>#DIV/0!</v>
      </c>
      <c r="AI13" s="7" t="e">
        <f t="shared" si="5"/>
        <v>#DIV/0!</v>
      </c>
      <c r="AJ13" s="7" t="e">
        <f t="shared" si="6"/>
        <v>#DIV/0!</v>
      </c>
      <c r="AK13" s="7" t="e">
        <f t="shared" si="7"/>
        <v>#DIV/0!</v>
      </c>
      <c r="AL13" s="11">
        <f t="shared" si="8"/>
        <v>0</v>
      </c>
      <c r="AM13" s="9" t="e">
        <f t="shared" si="1"/>
        <v>#DIV/0!</v>
      </c>
      <c r="AN13" s="9" t="e">
        <f t="shared" si="2"/>
        <v>#DIV/0!</v>
      </c>
      <c r="AO13" s="9" t="e">
        <f t="shared" si="3"/>
        <v>#DIV/0!</v>
      </c>
    </row>
    <row r="14" spans="1:42">
      <c r="A14" s="3">
        <f>data0!A14</f>
        <v>233.5469970703125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7" t="e">
        <f t="shared" si="4"/>
        <v>#DIV/0!</v>
      </c>
      <c r="AI14" s="7" t="e">
        <f t="shared" si="5"/>
        <v>#DIV/0!</v>
      </c>
      <c r="AJ14" s="7" t="e">
        <f t="shared" si="6"/>
        <v>#DIV/0!</v>
      </c>
      <c r="AK14" s="7" t="e">
        <f t="shared" si="7"/>
        <v>#DIV/0!</v>
      </c>
      <c r="AL14" s="11">
        <f t="shared" si="8"/>
        <v>0</v>
      </c>
      <c r="AM14" s="9" t="e">
        <f t="shared" si="1"/>
        <v>#DIV/0!</v>
      </c>
      <c r="AN14" s="9" t="e">
        <f t="shared" si="2"/>
        <v>#DIV/0!</v>
      </c>
      <c r="AO14" s="9" t="e">
        <f t="shared" si="3"/>
        <v>#DIV/0!</v>
      </c>
    </row>
    <row r="15" spans="1:42">
      <c r="A15" s="3">
        <f>data0!A15</f>
        <v>188.09650726318358</v>
      </c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7" t="e">
        <f t="shared" si="4"/>
        <v>#DIV/0!</v>
      </c>
      <c r="AI15" s="7" t="e">
        <f t="shared" si="5"/>
        <v>#DIV/0!</v>
      </c>
      <c r="AJ15" s="7" t="e">
        <f t="shared" si="6"/>
        <v>#DIV/0!</v>
      </c>
      <c r="AK15" s="7" t="e">
        <f t="shared" si="7"/>
        <v>#DIV/0!</v>
      </c>
      <c r="AL15" s="11">
        <f t="shared" si="8"/>
        <v>0</v>
      </c>
      <c r="AM15" s="9" t="e">
        <f t="shared" si="1"/>
        <v>#DIV/0!</v>
      </c>
      <c r="AN15" s="9" t="e">
        <f t="shared" si="2"/>
        <v>#DIV/0!</v>
      </c>
      <c r="AO15" s="9" t="e">
        <f t="shared" si="3"/>
        <v>#DIV/0!</v>
      </c>
    </row>
    <row r="16" spans="1:42">
      <c r="A16" s="3">
        <f>data0!A16</f>
        <v>156.44500579833985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7" t="e">
        <f t="shared" si="4"/>
        <v>#DIV/0!</v>
      </c>
      <c r="AI16" s="7" t="e">
        <f t="shared" si="5"/>
        <v>#DIV/0!</v>
      </c>
      <c r="AJ16" s="7" t="e">
        <f t="shared" si="6"/>
        <v>#DIV/0!</v>
      </c>
      <c r="AK16" s="7" t="e">
        <f t="shared" si="7"/>
        <v>#DIV/0!</v>
      </c>
      <c r="AL16" s="11">
        <f t="shared" si="8"/>
        <v>0</v>
      </c>
      <c r="AM16" s="9" t="e">
        <f t="shared" si="1"/>
        <v>#DIV/0!</v>
      </c>
      <c r="AN16" s="9" t="e">
        <f t="shared" si="2"/>
        <v>#DIV/0!</v>
      </c>
      <c r="AO16" s="9" t="e">
        <f t="shared" si="3"/>
        <v>#DIV/0!</v>
      </c>
    </row>
    <row r="17" spans="1:43">
      <c r="A17" s="3">
        <f>data0!A17</f>
        <v>116.47100143432617</v>
      </c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7" t="e">
        <f t="shared" si="4"/>
        <v>#DIV/0!</v>
      </c>
      <c r="AI17" s="7" t="e">
        <f t="shared" si="5"/>
        <v>#DIV/0!</v>
      </c>
      <c r="AJ17" s="7" t="e">
        <f t="shared" si="6"/>
        <v>#DIV/0!</v>
      </c>
      <c r="AK17" s="7" t="e">
        <f t="shared" si="7"/>
        <v>#DIV/0!</v>
      </c>
      <c r="AL17" s="11">
        <f t="shared" si="8"/>
        <v>0</v>
      </c>
      <c r="AM17" s="9" t="e">
        <f t="shared" si="1"/>
        <v>#DIV/0!</v>
      </c>
      <c r="AN17" s="9" t="e">
        <f t="shared" si="2"/>
        <v>#DIV/0!</v>
      </c>
      <c r="AO17" s="9" t="e">
        <f t="shared" si="3"/>
        <v>#DIV/0!</v>
      </c>
    </row>
    <row r="18" spans="1:43">
      <c r="A18" s="3">
        <f>data0!A18</f>
        <v>87.306494903564456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7" t="e">
        <f t="shared" si="4"/>
        <v>#DIV/0!</v>
      </c>
      <c r="AI18" s="7" t="e">
        <f t="shared" si="5"/>
        <v>#DIV/0!</v>
      </c>
      <c r="AJ18" s="7" t="e">
        <f t="shared" si="6"/>
        <v>#DIV/0!</v>
      </c>
      <c r="AK18" s="7" t="e">
        <f t="shared" si="7"/>
        <v>#DIV/0!</v>
      </c>
      <c r="AL18" s="11">
        <f t="shared" si="8"/>
        <v>0</v>
      </c>
      <c r="AM18" s="9" t="e">
        <f t="shared" si="1"/>
        <v>#DIV/0!</v>
      </c>
      <c r="AN18" s="9" t="e">
        <f t="shared" si="2"/>
        <v>#DIV/0!</v>
      </c>
      <c r="AO18" s="9" t="e">
        <f t="shared" si="3"/>
        <v>#DIV/0!</v>
      </c>
    </row>
    <row r="19" spans="1:43">
      <c r="A19" s="3">
        <f>data0!A19</f>
        <v>21.315652084350585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7" t="e">
        <f t="shared" si="4"/>
        <v>#DIV/0!</v>
      </c>
      <c r="AI19" s="7" t="e">
        <f t="shared" si="5"/>
        <v>#DIV/0!</v>
      </c>
      <c r="AJ19" s="7" t="e">
        <f t="shared" si="6"/>
        <v>#DIV/0!</v>
      </c>
      <c r="AK19" s="7" t="e">
        <f t="shared" si="7"/>
        <v>#DIV/0!</v>
      </c>
      <c r="AL19" s="11">
        <f t="shared" si="8"/>
        <v>0</v>
      </c>
      <c r="AM19" s="9" t="e">
        <f t="shared" si="1"/>
        <v>#DIV/0!</v>
      </c>
      <c r="AN19" s="9" t="e">
        <f t="shared" si="2"/>
        <v>#DIV/0!</v>
      </c>
      <c r="AO19" s="9" t="e">
        <f t="shared" si="3"/>
        <v>#DIV/0!</v>
      </c>
    </row>
    <row r="20" spans="1:43">
      <c r="A20" s="3">
        <f>data0!A20</f>
        <v>17.340450096130372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7" t="e">
        <f t="shared" si="4"/>
        <v>#DIV/0!</v>
      </c>
      <c r="AI20" s="7" t="e">
        <f t="shared" si="5"/>
        <v>#DIV/0!</v>
      </c>
      <c r="AJ20" s="7" t="e">
        <f t="shared" si="6"/>
        <v>#DIV/0!</v>
      </c>
      <c r="AK20" s="7" t="e">
        <f t="shared" si="7"/>
        <v>#DIV/0!</v>
      </c>
      <c r="AL20" s="11">
        <f t="shared" si="8"/>
        <v>0</v>
      </c>
      <c r="AM20" s="9" t="e">
        <f t="shared" si="1"/>
        <v>#DIV/0!</v>
      </c>
      <c r="AN20" s="9" t="e">
        <f t="shared" si="2"/>
        <v>#DIV/0!</v>
      </c>
      <c r="AO20" s="9" t="e">
        <f t="shared" si="3"/>
        <v>#DIV/0!</v>
      </c>
    </row>
    <row r="21" spans="1:43">
      <c r="A21" s="3">
        <f>data0!A21</f>
        <v>14.188851261138916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7" t="e">
        <f t="shared" si="4"/>
        <v>#DIV/0!</v>
      </c>
      <c r="AI21" s="7" t="e">
        <f t="shared" si="5"/>
        <v>#DIV/0!</v>
      </c>
      <c r="AJ21" s="7" t="e">
        <f t="shared" si="6"/>
        <v>#DIV/0!</v>
      </c>
      <c r="AK21" s="7" t="e">
        <f t="shared" si="7"/>
        <v>#DIV/0!</v>
      </c>
      <c r="AL21" s="11">
        <f t="shared" si="8"/>
        <v>0</v>
      </c>
      <c r="AM21" s="9" t="e">
        <f t="shared" si="1"/>
        <v>#DIV/0!</v>
      </c>
      <c r="AN21" s="9" t="e">
        <f t="shared" si="2"/>
        <v>#DIV/0!</v>
      </c>
      <c r="AO21" s="9" t="e">
        <f t="shared" si="3"/>
        <v>#DIV/0!</v>
      </c>
    </row>
    <row r="22" spans="1:43">
      <c r="A22" s="3">
        <f>data0!A22</f>
        <v>11.795599174499511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7" t="e">
        <f t="shared" si="4"/>
        <v>#DIV/0!</v>
      </c>
      <c r="AI22" s="7" t="e">
        <f t="shared" si="5"/>
        <v>#DIV/0!</v>
      </c>
      <c r="AJ22" s="7" t="e">
        <f t="shared" si="6"/>
        <v>#DIV/0!</v>
      </c>
      <c r="AK22" s="7" t="e">
        <f t="shared" si="7"/>
        <v>#DIV/0!</v>
      </c>
      <c r="AL22" s="11">
        <f t="shared" si="8"/>
        <v>0</v>
      </c>
      <c r="AM22" s="9" t="e">
        <f t="shared" si="1"/>
        <v>#DIV/0!</v>
      </c>
      <c r="AN22" s="9" t="e">
        <f t="shared" si="2"/>
        <v>#DIV/0!</v>
      </c>
      <c r="AO22" s="9" t="e">
        <f t="shared" si="3"/>
        <v>#DIV/0!</v>
      </c>
    </row>
    <row r="23" spans="1:43">
      <c r="A23" s="3">
        <f>data0!A23</f>
        <v>8.797748947143555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7" t="e">
        <f t="shared" si="4"/>
        <v>#DIV/0!</v>
      </c>
      <c r="AI23" s="7" t="e">
        <f t="shared" si="5"/>
        <v>#DIV/0!</v>
      </c>
      <c r="AJ23" s="7" t="e">
        <f t="shared" si="6"/>
        <v>#DIV/0!</v>
      </c>
      <c r="AK23" s="7" t="e">
        <f t="shared" si="7"/>
        <v>#DIV/0!</v>
      </c>
      <c r="AL23" s="11">
        <f t="shared" si="8"/>
        <v>0</v>
      </c>
      <c r="AM23" s="9" t="e">
        <f t="shared" si="1"/>
        <v>#DIV/0!</v>
      </c>
      <c r="AN23" s="9" t="e">
        <f t="shared" si="2"/>
        <v>#DIV/0!</v>
      </c>
      <c r="AO23" s="9" t="e">
        <f t="shared" si="3"/>
        <v>#DIV/0!</v>
      </c>
    </row>
    <row r="24" spans="1:43">
      <c r="A24" s="3">
        <f>data0!A24</f>
        <v>6.5973999023437502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7" t="e">
        <f t="shared" si="4"/>
        <v>#DIV/0!</v>
      </c>
      <c r="AI24" s="7" t="e">
        <f t="shared" si="5"/>
        <v>#DIV/0!</v>
      </c>
      <c r="AJ24" s="7" t="e">
        <f t="shared" si="6"/>
        <v>#DIV/0!</v>
      </c>
      <c r="AK24" s="7" t="e">
        <f t="shared" si="7"/>
        <v>#DIV/0!</v>
      </c>
      <c r="AL24" s="11">
        <f t="shared" si="8"/>
        <v>0</v>
      </c>
      <c r="AM24" s="9" t="e">
        <f t="shared" si="1"/>
        <v>#DIV/0!</v>
      </c>
      <c r="AN24" s="9" t="e">
        <f t="shared" si="2"/>
        <v>#DIV/0!</v>
      </c>
      <c r="AO24" s="9" t="e">
        <f t="shared" si="3"/>
        <v>#DIV/0!</v>
      </c>
    </row>
    <row r="25" spans="1:43">
      <c r="A25" s="3">
        <f>data0!A25</f>
        <v>2.3447998762130737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7" t="e">
        <f t="shared" si="4"/>
        <v>#DIV/0!</v>
      </c>
      <c r="AI25" s="7" t="e">
        <f t="shared" si="5"/>
        <v>#DIV/0!</v>
      </c>
      <c r="AJ25" s="7" t="e">
        <f t="shared" si="6"/>
        <v>#DIV/0!</v>
      </c>
      <c r="AK25" s="7" t="e">
        <f t="shared" si="7"/>
        <v>#DIV/0!</v>
      </c>
      <c r="AL25" s="11">
        <f t="shared" si="8"/>
        <v>0</v>
      </c>
      <c r="AM25" s="9" t="e">
        <f t="shared" si="1"/>
        <v>#DIV/0!</v>
      </c>
      <c r="AN25" s="9" t="e">
        <f t="shared" si="2"/>
        <v>#DIV/0!</v>
      </c>
      <c r="AO25" s="9" t="e">
        <f t="shared" si="3"/>
        <v>#DIV/0!</v>
      </c>
    </row>
    <row r="26" spans="1:43">
      <c r="A26" s="3">
        <f>data0!A26</f>
        <v>1.9071000814437866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7" t="e">
        <f t="shared" si="4"/>
        <v>#DIV/0!</v>
      </c>
      <c r="AI26" s="7" t="e">
        <f t="shared" si="5"/>
        <v>#DIV/0!</v>
      </c>
      <c r="AJ26" s="7" t="e">
        <f t="shared" si="6"/>
        <v>#DIV/0!</v>
      </c>
      <c r="AK26" s="7" t="e">
        <f t="shared" si="7"/>
        <v>#DIV/0!</v>
      </c>
      <c r="AL26" s="11">
        <f t="shared" si="8"/>
        <v>0</v>
      </c>
      <c r="AM26" s="9" t="e">
        <f t="shared" si="1"/>
        <v>#DIV/0!</v>
      </c>
      <c r="AN26" s="9" t="e">
        <f t="shared" si="2"/>
        <v>#DIV/0!</v>
      </c>
      <c r="AO26" s="9" t="e">
        <f t="shared" si="3"/>
        <v>#DIV/0!</v>
      </c>
    </row>
    <row r="27" spans="1:43">
      <c r="B27" s="3"/>
      <c r="C27" s="3"/>
      <c r="D27" s="3"/>
      <c r="E27" s="3"/>
      <c r="F27" s="3"/>
      <c r="G27" s="3"/>
      <c r="H27" s="3"/>
    </row>
    <row r="28" spans="1:43">
      <c r="B28" s="3"/>
      <c r="C28" s="3"/>
      <c r="D28" s="3"/>
      <c r="E28" s="3"/>
      <c r="F28" s="3"/>
      <c r="G28" s="3"/>
      <c r="H28" s="3"/>
      <c r="AJ28" s="9" t="s">
        <v>5</v>
      </c>
      <c r="AK28" s="34" t="s">
        <v>24</v>
      </c>
      <c r="AL28" s="36" t="str">
        <f>data0!AP1</f>
        <v>Mult</v>
      </c>
      <c r="AM28" s="21">
        <f>mult</f>
        <v>0.5</v>
      </c>
      <c r="AN28" s="36" t="str">
        <f>data0!AP2</f>
        <v>Range</v>
      </c>
      <c r="AO28" s="21">
        <v>4</v>
      </c>
      <c r="AP28" s="20">
        <v>2000</v>
      </c>
    </row>
    <row r="29" spans="1:43">
      <c r="B29" s="3"/>
      <c r="C29" s="3"/>
      <c r="D29" s="3"/>
      <c r="E29" s="3"/>
      <c r="F29" s="3"/>
      <c r="G29" s="3"/>
      <c r="H29" s="3"/>
      <c r="AI29" s="9" t="s">
        <v>33</v>
      </c>
      <c r="AJ29" s="35" t="e">
        <f>AN2/A2-1</f>
        <v>#DIV/0!</v>
      </c>
      <c r="AK29" s="35" t="e">
        <f>1.5*AH4/A4</f>
        <v>#DIV/0!</v>
      </c>
      <c r="AL29" s="48" t="e">
        <f>"Range " &amp; AO28 &amp;" Gain Error=" &amp;INT(AJ29*1000)/10 &amp; "% +/- " &amp;INT(AK29*1000)/10 &amp; "%"</f>
        <v>#DIV/0!</v>
      </c>
      <c r="AM29" s="48"/>
      <c r="AN29" s="48"/>
      <c r="AO29" s="48"/>
      <c r="AP29" s="48"/>
      <c r="AQ29" s="39"/>
    </row>
    <row r="30" spans="1:43">
      <c r="B30" s="3"/>
      <c r="C30" s="3"/>
      <c r="D30" s="3"/>
      <c r="E30" s="3"/>
      <c r="F30" s="3"/>
      <c r="G30" s="3"/>
      <c r="H30" s="3"/>
      <c r="AI30" s="9" t="s">
        <v>34</v>
      </c>
      <c r="AJ30" s="37">
        <f>AJ73</f>
        <v>0</v>
      </c>
      <c r="AK30" s="37">
        <f>AH73</f>
        <v>0</v>
      </c>
      <c r="AL30" s="49" t="str">
        <f>"Range" &amp;AO28 &amp; " Offset Histogram: " &amp; INT(AJ73*100)/100 &amp; " +/- " &amp; INT(AH73*100)/100 &amp; " Lux"</f>
        <v>Range4 Offset Histogram: 0 +/- 0 Lux</v>
      </c>
      <c r="AM30" s="49"/>
      <c r="AN30" s="49"/>
      <c r="AO30" s="49"/>
      <c r="AP30" s="49"/>
    </row>
    <row r="31" spans="1:43">
      <c r="B31" s="3"/>
      <c r="C31" s="3"/>
      <c r="D31" s="3"/>
      <c r="E31" s="3"/>
      <c r="F31" s="3"/>
      <c r="G31" s="3"/>
      <c r="H31" s="3"/>
      <c r="AI31" s="9" t="s">
        <v>35</v>
      </c>
      <c r="AJ31" s="38">
        <f>MAX(AL105:AL127)/AP28</f>
        <v>0</v>
      </c>
      <c r="AK31" s="38">
        <f>MAX(AH105:AH127)/AP28</f>
        <v>0</v>
      </c>
      <c r="AL31" s="49" t="str">
        <f>"Range "&amp; AO28 &amp; " `Linearity` Error: " &amp;INT(AJ31*10000)/100 &amp; " +/-"&amp;INT(AK31*10000)/100 &amp; "%"</f>
        <v>Range 4 `Linearity` Error: 0 +/-0%</v>
      </c>
      <c r="AM31" s="49"/>
      <c r="AN31" s="49"/>
      <c r="AO31" s="49"/>
      <c r="AP31" s="49"/>
    </row>
    <row r="32" spans="1:43">
      <c r="B32" s="3"/>
      <c r="C32" s="3"/>
      <c r="D32" s="3"/>
      <c r="E32" s="3"/>
      <c r="F32" s="3"/>
      <c r="G32" s="3"/>
      <c r="H32" s="3"/>
    </row>
    <row r="33" spans="1:41">
      <c r="B33" s="3"/>
      <c r="C33" s="3"/>
      <c r="D33" s="3"/>
      <c r="E33" s="3"/>
      <c r="F33" s="3"/>
      <c r="G33" s="3"/>
      <c r="H33" s="3"/>
      <c r="AI33" s="2"/>
      <c r="AJ33" s="2"/>
    </row>
    <row r="34" spans="1:41">
      <c r="B34" s="3"/>
      <c r="C34" s="3"/>
      <c r="D34" s="3"/>
      <c r="E34" s="3"/>
      <c r="F34" s="3"/>
      <c r="G34" s="3"/>
      <c r="H34" s="3"/>
    </row>
    <row r="35" spans="1:41">
      <c r="B35" s="3"/>
      <c r="C35" s="3"/>
      <c r="D35" s="3"/>
      <c r="E35" s="3"/>
      <c r="F35" s="3"/>
      <c r="G35" s="3"/>
      <c r="H35" s="3"/>
      <c r="AI35" s="2"/>
    </row>
    <row r="36" spans="1:41">
      <c r="B36" s="3"/>
      <c r="C36" s="3"/>
      <c r="D36" s="3"/>
      <c r="E36" s="3"/>
      <c r="F36" s="3"/>
      <c r="G36" s="3"/>
      <c r="H36" s="3"/>
    </row>
    <row r="37" spans="1:41">
      <c r="B37" s="3"/>
      <c r="C37" s="3"/>
      <c r="D37" s="3"/>
      <c r="E37" s="3"/>
      <c r="F37" s="3"/>
      <c r="G37" s="3"/>
      <c r="H37" s="3"/>
    </row>
    <row r="38" spans="1:41">
      <c r="B38" s="3"/>
      <c r="C38" s="3"/>
      <c r="D38" s="3"/>
      <c r="E38" s="3"/>
      <c r="F38" s="3"/>
      <c r="G38" s="3"/>
      <c r="H38" s="3"/>
    </row>
    <row r="39" spans="1:41">
      <c r="B39" s="3"/>
      <c r="C39" s="3"/>
      <c r="D39" s="3"/>
      <c r="E39" s="3"/>
      <c r="F39" s="3"/>
      <c r="G39" s="3"/>
      <c r="H39" s="3"/>
    </row>
    <row r="40" spans="1:41">
      <c r="B40" s="3"/>
      <c r="C40" s="3"/>
      <c r="D40" s="3"/>
      <c r="E40" s="3"/>
      <c r="F40" s="3"/>
      <c r="G40" s="3"/>
      <c r="H40" s="3"/>
    </row>
    <row r="41" spans="1:41">
      <c r="B41" s="3"/>
      <c r="C41" s="3"/>
      <c r="D41" s="3"/>
      <c r="E41" s="3"/>
      <c r="F41" s="3"/>
      <c r="G41" s="3"/>
      <c r="H41" s="3"/>
    </row>
    <row r="42" spans="1:41">
      <c r="B42" s="3"/>
      <c r="C42" s="3"/>
      <c r="D42" s="3"/>
      <c r="E42" s="3"/>
      <c r="F42" s="3"/>
      <c r="G42" s="3"/>
      <c r="H42" s="3"/>
    </row>
    <row r="43" spans="1:41" s="9" customFormat="1">
      <c r="A43" s="9">
        <f>A2</f>
        <v>3007.1739501953125</v>
      </c>
      <c r="B43" s="9">
        <f>B2*mult</f>
        <v>0</v>
      </c>
      <c r="C43" s="9">
        <f t="shared" ref="C43:AG43" si="9">C2*mult</f>
        <v>0</v>
      </c>
      <c r="D43" s="9">
        <f t="shared" si="9"/>
        <v>0</v>
      </c>
      <c r="E43" s="9">
        <f t="shared" si="9"/>
        <v>0</v>
      </c>
      <c r="F43" s="9">
        <f t="shared" si="9"/>
        <v>0</v>
      </c>
      <c r="G43" s="9">
        <f t="shared" si="9"/>
        <v>0</v>
      </c>
      <c r="H43" s="9">
        <f t="shared" si="9"/>
        <v>0</v>
      </c>
      <c r="I43" s="9">
        <f t="shared" si="9"/>
        <v>0</v>
      </c>
      <c r="J43" s="9">
        <f t="shared" si="9"/>
        <v>0</v>
      </c>
      <c r="K43" s="9">
        <f t="shared" si="9"/>
        <v>0</v>
      </c>
      <c r="L43" s="9">
        <f t="shared" si="9"/>
        <v>0</v>
      </c>
      <c r="M43" s="9">
        <f t="shared" si="9"/>
        <v>0</v>
      </c>
      <c r="N43" s="9">
        <f t="shared" si="9"/>
        <v>0</v>
      </c>
      <c r="O43" s="9">
        <f t="shared" si="9"/>
        <v>0</v>
      </c>
      <c r="P43" s="9">
        <f t="shared" si="9"/>
        <v>0</v>
      </c>
      <c r="Q43" s="9">
        <f t="shared" si="9"/>
        <v>0</v>
      </c>
      <c r="R43" s="9">
        <f t="shared" si="9"/>
        <v>0</v>
      </c>
      <c r="S43" s="9">
        <f t="shared" si="9"/>
        <v>0</v>
      </c>
      <c r="T43" s="9">
        <f t="shared" si="9"/>
        <v>0</v>
      </c>
      <c r="U43" s="9">
        <f t="shared" si="9"/>
        <v>0</v>
      </c>
      <c r="V43" s="9">
        <f t="shared" si="9"/>
        <v>0</v>
      </c>
      <c r="W43" s="9">
        <f t="shared" si="9"/>
        <v>0</v>
      </c>
      <c r="X43" s="9">
        <f t="shared" si="9"/>
        <v>0</v>
      </c>
      <c r="Y43" s="9">
        <f t="shared" si="9"/>
        <v>0</v>
      </c>
      <c r="Z43" s="9">
        <f t="shared" si="9"/>
        <v>0</v>
      </c>
      <c r="AA43" s="9">
        <f t="shared" si="9"/>
        <v>0</v>
      </c>
      <c r="AB43" s="9">
        <f t="shared" si="9"/>
        <v>0</v>
      </c>
      <c r="AC43" s="9">
        <f t="shared" si="9"/>
        <v>0</v>
      </c>
      <c r="AD43" s="9">
        <f t="shared" si="9"/>
        <v>0</v>
      </c>
      <c r="AE43" s="9">
        <f t="shared" si="9"/>
        <v>0</v>
      </c>
      <c r="AF43" s="9">
        <f t="shared" si="9"/>
        <v>0</v>
      </c>
      <c r="AG43" s="9">
        <f t="shared" si="9"/>
        <v>0</v>
      </c>
    </row>
    <row r="44" spans="1:41" s="9" customFormat="1">
      <c r="A44" s="9">
        <f t="shared" ref="A44:A47" si="10">A3</f>
        <v>2440.1146484374999</v>
      </c>
      <c r="B44" s="9">
        <f t="shared" ref="B44:AG44" si="11">B3*mult</f>
        <v>0</v>
      </c>
      <c r="C44" s="9">
        <f t="shared" si="11"/>
        <v>0</v>
      </c>
      <c r="D44" s="9">
        <f t="shared" si="11"/>
        <v>0</v>
      </c>
      <c r="E44" s="9">
        <f t="shared" si="11"/>
        <v>0</v>
      </c>
      <c r="F44" s="9">
        <f t="shared" si="11"/>
        <v>0</v>
      </c>
      <c r="G44" s="9">
        <f t="shared" si="11"/>
        <v>0</v>
      </c>
      <c r="H44" s="9">
        <f t="shared" si="11"/>
        <v>0</v>
      </c>
      <c r="I44" s="9">
        <f t="shared" si="11"/>
        <v>0</v>
      </c>
      <c r="J44" s="9">
        <f t="shared" si="11"/>
        <v>0</v>
      </c>
      <c r="K44" s="9">
        <f t="shared" si="11"/>
        <v>0</v>
      </c>
      <c r="L44" s="9">
        <f t="shared" si="11"/>
        <v>0</v>
      </c>
      <c r="M44" s="9">
        <f t="shared" si="11"/>
        <v>0</v>
      </c>
      <c r="N44" s="9">
        <f t="shared" si="11"/>
        <v>0</v>
      </c>
      <c r="O44" s="9">
        <f t="shared" si="11"/>
        <v>0</v>
      </c>
      <c r="P44" s="9">
        <f t="shared" si="11"/>
        <v>0</v>
      </c>
      <c r="Q44" s="9">
        <f t="shared" si="11"/>
        <v>0</v>
      </c>
      <c r="R44" s="9">
        <f t="shared" si="11"/>
        <v>0</v>
      </c>
      <c r="S44" s="9">
        <f t="shared" si="11"/>
        <v>0</v>
      </c>
      <c r="T44" s="9">
        <f t="shared" si="11"/>
        <v>0</v>
      </c>
      <c r="U44" s="9">
        <f t="shared" si="11"/>
        <v>0</v>
      </c>
      <c r="V44" s="9">
        <f t="shared" si="11"/>
        <v>0</v>
      </c>
      <c r="W44" s="9">
        <f t="shared" si="11"/>
        <v>0</v>
      </c>
      <c r="X44" s="9">
        <f t="shared" si="11"/>
        <v>0</v>
      </c>
      <c r="Y44" s="9">
        <f t="shared" si="11"/>
        <v>0</v>
      </c>
      <c r="Z44" s="9">
        <f t="shared" si="11"/>
        <v>0</v>
      </c>
      <c r="AA44" s="9">
        <f t="shared" si="11"/>
        <v>0</v>
      </c>
      <c r="AB44" s="9">
        <f t="shared" si="11"/>
        <v>0</v>
      </c>
      <c r="AC44" s="9">
        <f t="shared" si="11"/>
        <v>0</v>
      </c>
      <c r="AD44" s="9">
        <f t="shared" si="11"/>
        <v>0</v>
      </c>
      <c r="AE44" s="9">
        <f t="shared" si="11"/>
        <v>0</v>
      </c>
      <c r="AF44" s="9">
        <f t="shared" si="11"/>
        <v>0</v>
      </c>
      <c r="AG44" s="9">
        <f t="shared" si="11"/>
        <v>0</v>
      </c>
    </row>
    <row r="45" spans="1:41" s="9" customFormat="1">
      <c r="A45" s="9">
        <f t="shared" si="10"/>
        <v>1996.1750244140626</v>
      </c>
      <c r="B45" s="9">
        <f t="shared" ref="B45:AG45" si="12">B4*mult</f>
        <v>0</v>
      </c>
      <c r="C45" s="9">
        <f t="shared" si="12"/>
        <v>0</v>
      </c>
      <c r="D45" s="9">
        <f t="shared" si="12"/>
        <v>0</v>
      </c>
      <c r="E45" s="9">
        <f t="shared" si="12"/>
        <v>0</v>
      </c>
      <c r="F45" s="9">
        <f t="shared" si="12"/>
        <v>0</v>
      </c>
      <c r="G45" s="9">
        <f t="shared" si="12"/>
        <v>0</v>
      </c>
      <c r="H45" s="9">
        <f t="shared" si="12"/>
        <v>0</v>
      </c>
      <c r="I45" s="9">
        <f t="shared" si="12"/>
        <v>0</v>
      </c>
      <c r="J45" s="9">
        <f t="shared" si="12"/>
        <v>0</v>
      </c>
      <c r="K45" s="9">
        <f t="shared" si="12"/>
        <v>0</v>
      </c>
      <c r="L45" s="9">
        <f t="shared" si="12"/>
        <v>0</v>
      </c>
      <c r="M45" s="9">
        <f t="shared" si="12"/>
        <v>0</v>
      </c>
      <c r="N45" s="9">
        <f t="shared" si="12"/>
        <v>0</v>
      </c>
      <c r="O45" s="9">
        <f t="shared" si="12"/>
        <v>0</v>
      </c>
      <c r="P45" s="9">
        <f t="shared" si="12"/>
        <v>0</v>
      </c>
      <c r="Q45" s="9">
        <f t="shared" si="12"/>
        <v>0</v>
      </c>
      <c r="R45" s="9">
        <f t="shared" si="12"/>
        <v>0</v>
      </c>
      <c r="S45" s="9">
        <f t="shared" si="12"/>
        <v>0</v>
      </c>
      <c r="T45" s="9">
        <f t="shared" si="12"/>
        <v>0</v>
      </c>
      <c r="U45" s="9">
        <f t="shared" si="12"/>
        <v>0</v>
      </c>
      <c r="V45" s="9">
        <f t="shared" si="12"/>
        <v>0</v>
      </c>
      <c r="W45" s="9">
        <f t="shared" si="12"/>
        <v>0</v>
      </c>
      <c r="X45" s="9">
        <f t="shared" si="12"/>
        <v>0</v>
      </c>
      <c r="Y45" s="9">
        <f t="shared" si="12"/>
        <v>0</v>
      </c>
      <c r="Z45" s="9">
        <f t="shared" si="12"/>
        <v>0</v>
      </c>
      <c r="AA45" s="9">
        <f t="shared" si="12"/>
        <v>0</v>
      </c>
      <c r="AB45" s="9">
        <f t="shared" si="12"/>
        <v>0</v>
      </c>
      <c r="AC45" s="9">
        <f t="shared" si="12"/>
        <v>0</v>
      </c>
      <c r="AD45" s="9">
        <f t="shared" si="12"/>
        <v>0</v>
      </c>
      <c r="AE45" s="9">
        <f t="shared" si="12"/>
        <v>0</v>
      </c>
      <c r="AF45" s="9">
        <f t="shared" si="12"/>
        <v>0</v>
      </c>
      <c r="AG45" s="9">
        <f t="shared" si="12"/>
        <v>0</v>
      </c>
    </row>
    <row r="46" spans="1:41" s="9" customFormat="1">
      <c r="A46" s="9">
        <f t="shared" si="10"/>
        <v>1659.095166015625</v>
      </c>
      <c r="B46" s="9">
        <f t="shared" ref="B46:AG46" si="13">B5*mult</f>
        <v>0</v>
      </c>
      <c r="C46" s="9">
        <f t="shared" si="13"/>
        <v>0</v>
      </c>
      <c r="D46" s="9">
        <f t="shared" si="13"/>
        <v>0</v>
      </c>
      <c r="E46" s="9">
        <f t="shared" si="13"/>
        <v>0</v>
      </c>
      <c r="F46" s="9">
        <f t="shared" si="13"/>
        <v>0</v>
      </c>
      <c r="G46" s="9">
        <f t="shared" si="13"/>
        <v>0</v>
      </c>
      <c r="H46" s="9">
        <f t="shared" si="13"/>
        <v>0</v>
      </c>
      <c r="I46" s="9">
        <f t="shared" si="13"/>
        <v>0</v>
      </c>
      <c r="J46" s="9">
        <f t="shared" si="13"/>
        <v>0</v>
      </c>
      <c r="K46" s="9">
        <f t="shared" si="13"/>
        <v>0</v>
      </c>
      <c r="L46" s="9">
        <f t="shared" si="13"/>
        <v>0</v>
      </c>
      <c r="M46" s="9">
        <f t="shared" si="13"/>
        <v>0</v>
      </c>
      <c r="N46" s="9">
        <f t="shared" si="13"/>
        <v>0</v>
      </c>
      <c r="O46" s="9">
        <f t="shared" si="13"/>
        <v>0</v>
      </c>
      <c r="P46" s="9">
        <f t="shared" si="13"/>
        <v>0</v>
      </c>
      <c r="Q46" s="9">
        <f t="shared" si="13"/>
        <v>0</v>
      </c>
      <c r="R46" s="9">
        <f t="shared" si="13"/>
        <v>0</v>
      </c>
      <c r="S46" s="9">
        <f t="shared" si="13"/>
        <v>0</v>
      </c>
      <c r="T46" s="9">
        <f t="shared" si="13"/>
        <v>0</v>
      </c>
      <c r="U46" s="9">
        <f t="shared" si="13"/>
        <v>0</v>
      </c>
      <c r="V46" s="9">
        <f t="shared" si="13"/>
        <v>0</v>
      </c>
      <c r="W46" s="9">
        <f t="shared" si="13"/>
        <v>0</v>
      </c>
      <c r="X46" s="9">
        <f t="shared" si="13"/>
        <v>0</v>
      </c>
      <c r="Y46" s="9">
        <f t="shared" si="13"/>
        <v>0</v>
      </c>
      <c r="Z46" s="9">
        <f t="shared" si="13"/>
        <v>0</v>
      </c>
      <c r="AA46" s="9">
        <f t="shared" si="13"/>
        <v>0</v>
      </c>
      <c r="AB46" s="9">
        <f t="shared" si="13"/>
        <v>0</v>
      </c>
      <c r="AC46" s="9">
        <f t="shared" si="13"/>
        <v>0</v>
      </c>
      <c r="AD46" s="9">
        <f t="shared" si="13"/>
        <v>0</v>
      </c>
      <c r="AE46" s="9">
        <f t="shared" si="13"/>
        <v>0</v>
      </c>
      <c r="AF46" s="9">
        <f t="shared" si="13"/>
        <v>0</v>
      </c>
      <c r="AG46" s="9">
        <f t="shared" si="13"/>
        <v>0</v>
      </c>
    </row>
    <row r="47" spans="1:41" s="9" customFormat="1">
      <c r="A47" s="9">
        <f t="shared" si="10"/>
        <v>1234.2751586914062</v>
      </c>
      <c r="B47" s="9">
        <f t="shared" ref="B47:AG47" si="14">B6*mult</f>
        <v>0</v>
      </c>
      <c r="C47" s="9">
        <f t="shared" si="14"/>
        <v>0</v>
      </c>
      <c r="D47" s="9">
        <f t="shared" si="14"/>
        <v>0</v>
      </c>
      <c r="E47" s="9">
        <f t="shared" si="14"/>
        <v>0</v>
      </c>
      <c r="F47" s="9">
        <f t="shared" si="14"/>
        <v>0</v>
      </c>
      <c r="G47" s="9">
        <f t="shared" si="14"/>
        <v>0</v>
      </c>
      <c r="H47" s="9">
        <f t="shared" si="14"/>
        <v>0</v>
      </c>
      <c r="I47" s="9">
        <f t="shared" si="14"/>
        <v>0</v>
      </c>
      <c r="J47" s="9">
        <f t="shared" si="14"/>
        <v>0</v>
      </c>
      <c r="K47" s="9">
        <f t="shared" si="14"/>
        <v>0</v>
      </c>
      <c r="L47" s="9">
        <f t="shared" si="14"/>
        <v>0</v>
      </c>
      <c r="M47" s="9">
        <f t="shared" si="14"/>
        <v>0</v>
      </c>
      <c r="N47" s="9">
        <f t="shared" si="14"/>
        <v>0</v>
      </c>
      <c r="O47" s="9">
        <f t="shared" si="14"/>
        <v>0</v>
      </c>
      <c r="P47" s="9">
        <f t="shared" si="14"/>
        <v>0</v>
      </c>
      <c r="Q47" s="9">
        <f t="shared" si="14"/>
        <v>0</v>
      </c>
      <c r="R47" s="9">
        <f t="shared" si="14"/>
        <v>0</v>
      </c>
      <c r="S47" s="9">
        <f t="shared" si="14"/>
        <v>0</v>
      </c>
      <c r="T47" s="9">
        <f t="shared" si="14"/>
        <v>0</v>
      </c>
      <c r="U47" s="9">
        <f t="shared" si="14"/>
        <v>0</v>
      </c>
      <c r="V47" s="9">
        <f t="shared" si="14"/>
        <v>0</v>
      </c>
      <c r="W47" s="9">
        <f t="shared" si="14"/>
        <v>0</v>
      </c>
      <c r="X47" s="9">
        <f t="shared" si="14"/>
        <v>0</v>
      </c>
      <c r="Y47" s="9">
        <f t="shared" si="14"/>
        <v>0</v>
      </c>
      <c r="Z47" s="9">
        <f t="shared" si="14"/>
        <v>0</v>
      </c>
      <c r="AA47" s="9">
        <f t="shared" si="14"/>
        <v>0</v>
      </c>
      <c r="AB47" s="9">
        <f t="shared" si="14"/>
        <v>0</v>
      </c>
      <c r="AC47" s="9">
        <f t="shared" si="14"/>
        <v>0</v>
      </c>
      <c r="AD47" s="9">
        <f t="shared" si="14"/>
        <v>0</v>
      </c>
      <c r="AE47" s="9">
        <f t="shared" si="14"/>
        <v>0</v>
      </c>
      <c r="AF47" s="9">
        <f t="shared" si="14"/>
        <v>0</v>
      </c>
      <c r="AG47" s="9">
        <f t="shared" si="14"/>
        <v>0</v>
      </c>
    </row>
    <row r="48" spans="1:41">
      <c r="A48" s="9">
        <f t="shared" ref="A48:A57" si="15">A7</f>
        <v>924.54020385742183</v>
      </c>
      <c r="B48" s="9">
        <f t="shared" ref="B48:AG48" si="16">B7*mult</f>
        <v>0</v>
      </c>
      <c r="C48" s="9">
        <f t="shared" si="16"/>
        <v>0</v>
      </c>
      <c r="D48" s="9">
        <f t="shared" si="16"/>
        <v>0</v>
      </c>
      <c r="E48" s="9">
        <f t="shared" si="16"/>
        <v>0</v>
      </c>
      <c r="F48" s="9">
        <f t="shared" si="16"/>
        <v>0</v>
      </c>
      <c r="G48" s="9">
        <f t="shared" si="16"/>
        <v>0</v>
      </c>
      <c r="H48" s="9">
        <f t="shared" si="16"/>
        <v>0</v>
      </c>
      <c r="I48" s="9">
        <f t="shared" si="16"/>
        <v>0</v>
      </c>
      <c r="J48" s="9">
        <f t="shared" si="16"/>
        <v>0</v>
      </c>
      <c r="K48" s="9">
        <f t="shared" si="16"/>
        <v>0</v>
      </c>
      <c r="L48" s="9">
        <f t="shared" si="16"/>
        <v>0</v>
      </c>
      <c r="M48" s="9">
        <f t="shared" si="16"/>
        <v>0</v>
      </c>
      <c r="N48" s="9">
        <f t="shared" si="16"/>
        <v>0</v>
      </c>
      <c r="O48" s="9">
        <f t="shared" si="16"/>
        <v>0</v>
      </c>
      <c r="P48" s="9">
        <f t="shared" si="16"/>
        <v>0</v>
      </c>
      <c r="Q48" s="9">
        <f t="shared" si="16"/>
        <v>0</v>
      </c>
      <c r="R48" s="9">
        <f t="shared" si="16"/>
        <v>0</v>
      </c>
      <c r="S48" s="9">
        <f t="shared" si="16"/>
        <v>0</v>
      </c>
      <c r="T48" s="9">
        <f t="shared" si="16"/>
        <v>0</v>
      </c>
      <c r="U48" s="9">
        <f t="shared" si="16"/>
        <v>0</v>
      </c>
      <c r="V48" s="9">
        <f t="shared" si="16"/>
        <v>0</v>
      </c>
      <c r="W48" s="9">
        <f t="shared" si="16"/>
        <v>0</v>
      </c>
      <c r="X48" s="9">
        <f t="shared" si="16"/>
        <v>0</v>
      </c>
      <c r="Y48" s="9">
        <f t="shared" si="16"/>
        <v>0</v>
      </c>
      <c r="Z48" s="9">
        <f t="shared" si="16"/>
        <v>0</v>
      </c>
      <c r="AA48" s="9">
        <f t="shared" si="16"/>
        <v>0</v>
      </c>
      <c r="AB48" s="9">
        <f t="shared" si="16"/>
        <v>0</v>
      </c>
      <c r="AC48" s="9">
        <f t="shared" si="16"/>
        <v>0</v>
      </c>
      <c r="AD48" s="9">
        <f t="shared" si="16"/>
        <v>0</v>
      </c>
      <c r="AE48" s="9">
        <f t="shared" si="16"/>
        <v>0</v>
      </c>
      <c r="AF48" s="9">
        <f t="shared" si="16"/>
        <v>0</v>
      </c>
      <c r="AG48" s="9">
        <f t="shared" si="16"/>
        <v>0</v>
      </c>
      <c r="AH48" s="9"/>
      <c r="AI48" s="9"/>
      <c r="AJ48" s="9"/>
      <c r="AK48" s="9"/>
      <c r="AM48" s="9"/>
      <c r="AN48" s="9"/>
      <c r="AO48" s="9"/>
    </row>
    <row r="49" spans="1:41">
      <c r="A49" s="9">
        <f t="shared" si="15"/>
        <v>761.20014648437495</v>
      </c>
      <c r="B49" s="9">
        <f t="shared" ref="B49:AG49" si="17">B8*mult</f>
        <v>0</v>
      </c>
      <c r="C49" s="9">
        <f t="shared" si="17"/>
        <v>0</v>
      </c>
      <c r="D49" s="9">
        <f t="shared" si="17"/>
        <v>0</v>
      </c>
      <c r="E49" s="9">
        <f t="shared" si="17"/>
        <v>0</v>
      </c>
      <c r="F49" s="9">
        <f t="shared" si="17"/>
        <v>0</v>
      </c>
      <c r="G49" s="9">
        <f t="shared" si="17"/>
        <v>0</v>
      </c>
      <c r="H49" s="9">
        <f t="shared" si="17"/>
        <v>0</v>
      </c>
      <c r="I49" s="9">
        <f t="shared" si="17"/>
        <v>0</v>
      </c>
      <c r="J49" s="9">
        <f t="shared" si="17"/>
        <v>0</v>
      </c>
      <c r="K49" s="9">
        <f t="shared" si="17"/>
        <v>0</v>
      </c>
      <c r="L49" s="9">
        <f t="shared" si="17"/>
        <v>0</v>
      </c>
      <c r="M49" s="9">
        <f t="shared" si="17"/>
        <v>0</v>
      </c>
      <c r="N49" s="9">
        <f t="shared" si="17"/>
        <v>0</v>
      </c>
      <c r="O49" s="9">
        <f t="shared" si="17"/>
        <v>0</v>
      </c>
      <c r="P49" s="9">
        <f t="shared" si="17"/>
        <v>0</v>
      </c>
      <c r="Q49" s="9">
        <f t="shared" si="17"/>
        <v>0</v>
      </c>
      <c r="R49" s="9">
        <f t="shared" si="17"/>
        <v>0</v>
      </c>
      <c r="S49" s="9">
        <f t="shared" si="17"/>
        <v>0</v>
      </c>
      <c r="T49" s="9">
        <f t="shared" si="17"/>
        <v>0</v>
      </c>
      <c r="U49" s="9">
        <f t="shared" si="17"/>
        <v>0</v>
      </c>
      <c r="V49" s="9">
        <f t="shared" si="17"/>
        <v>0</v>
      </c>
      <c r="W49" s="9">
        <f t="shared" si="17"/>
        <v>0</v>
      </c>
      <c r="X49" s="9">
        <f t="shared" si="17"/>
        <v>0</v>
      </c>
      <c r="Y49" s="9">
        <f t="shared" si="17"/>
        <v>0</v>
      </c>
      <c r="Z49" s="9">
        <f t="shared" si="17"/>
        <v>0</v>
      </c>
      <c r="AA49" s="9">
        <f t="shared" si="17"/>
        <v>0</v>
      </c>
      <c r="AB49" s="9">
        <f t="shared" si="17"/>
        <v>0</v>
      </c>
      <c r="AC49" s="9">
        <f t="shared" si="17"/>
        <v>0</v>
      </c>
      <c r="AD49" s="9">
        <f t="shared" si="17"/>
        <v>0</v>
      </c>
      <c r="AE49" s="9">
        <f t="shared" si="17"/>
        <v>0</v>
      </c>
      <c r="AF49" s="9">
        <f t="shared" si="17"/>
        <v>0</v>
      </c>
      <c r="AG49" s="9">
        <f t="shared" si="17"/>
        <v>0</v>
      </c>
      <c r="AH49" s="9"/>
      <c r="AI49" s="9"/>
      <c r="AJ49" s="9"/>
      <c r="AK49" s="9"/>
      <c r="AM49" s="9"/>
      <c r="AN49" s="9"/>
      <c r="AO49" s="9"/>
    </row>
    <row r="50" spans="1:41">
      <c r="A50" s="9">
        <f t="shared" si="15"/>
        <v>618.7050842285156</v>
      </c>
      <c r="B50" s="9">
        <f t="shared" ref="B50:AG50" si="18">B9*mult</f>
        <v>0</v>
      </c>
      <c r="C50" s="9">
        <f t="shared" si="18"/>
        <v>0</v>
      </c>
      <c r="D50" s="9">
        <f t="shared" si="18"/>
        <v>0</v>
      </c>
      <c r="E50" s="9">
        <f t="shared" si="18"/>
        <v>0</v>
      </c>
      <c r="F50" s="9">
        <f t="shared" si="18"/>
        <v>0</v>
      </c>
      <c r="G50" s="9">
        <f t="shared" si="18"/>
        <v>0</v>
      </c>
      <c r="H50" s="9">
        <f t="shared" si="18"/>
        <v>0</v>
      </c>
      <c r="I50" s="9">
        <f t="shared" si="18"/>
        <v>0</v>
      </c>
      <c r="J50" s="9">
        <f t="shared" si="18"/>
        <v>0</v>
      </c>
      <c r="K50" s="9">
        <f t="shared" si="18"/>
        <v>0</v>
      </c>
      <c r="L50" s="9">
        <f t="shared" si="18"/>
        <v>0</v>
      </c>
      <c r="M50" s="9">
        <f t="shared" si="18"/>
        <v>0</v>
      </c>
      <c r="N50" s="9">
        <f t="shared" si="18"/>
        <v>0</v>
      </c>
      <c r="O50" s="9">
        <f t="shared" si="18"/>
        <v>0</v>
      </c>
      <c r="P50" s="9">
        <f t="shared" si="18"/>
        <v>0</v>
      </c>
      <c r="Q50" s="9">
        <f t="shared" si="18"/>
        <v>0</v>
      </c>
      <c r="R50" s="9">
        <f t="shared" si="18"/>
        <v>0</v>
      </c>
      <c r="S50" s="9">
        <f t="shared" si="18"/>
        <v>0</v>
      </c>
      <c r="T50" s="9">
        <f t="shared" si="18"/>
        <v>0</v>
      </c>
      <c r="U50" s="9">
        <f t="shared" si="18"/>
        <v>0</v>
      </c>
      <c r="V50" s="9">
        <f t="shared" si="18"/>
        <v>0</v>
      </c>
      <c r="W50" s="9">
        <f t="shared" si="18"/>
        <v>0</v>
      </c>
      <c r="X50" s="9">
        <f t="shared" si="18"/>
        <v>0</v>
      </c>
      <c r="Y50" s="9">
        <f t="shared" si="18"/>
        <v>0</v>
      </c>
      <c r="Z50" s="9">
        <f t="shared" si="18"/>
        <v>0</v>
      </c>
      <c r="AA50" s="9">
        <f t="shared" si="18"/>
        <v>0</v>
      </c>
      <c r="AB50" s="9">
        <f t="shared" si="18"/>
        <v>0</v>
      </c>
      <c r="AC50" s="9">
        <f t="shared" si="18"/>
        <v>0</v>
      </c>
      <c r="AD50" s="9">
        <f t="shared" si="18"/>
        <v>0</v>
      </c>
      <c r="AE50" s="9">
        <f t="shared" si="18"/>
        <v>0</v>
      </c>
      <c r="AF50" s="9">
        <f t="shared" si="18"/>
        <v>0</v>
      </c>
      <c r="AG50" s="9">
        <f t="shared" si="18"/>
        <v>0</v>
      </c>
      <c r="AH50" s="9"/>
      <c r="AI50" s="9"/>
      <c r="AJ50" s="9"/>
      <c r="AK50" s="9"/>
      <c r="AM50" s="9"/>
      <c r="AN50" s="9"/>
      <c r="AO50" s="9"/>
    </row>
    <row r="51" spans="1:41">
      <c r="A51" s="9">
        <f t="shared" si="15"/>
        <v>506.39999389648438</v>
      </c>
      <c r="B51" s="9">
        <f t="shared" ref="B51:AG51" si="19">B10*mult</f>
        <v>0</v>
      </c>
      <c r="C51" s="9">
        <f t="shared" si="19"/>
        <v>0</v>
      </c>
      <c r="D51" s="9">
        <f t="shared" si="19"/>
        <v>0</v>
      </c>
      <c r="E51" s="9">
        <f t="shared" si="19"/>
        <v>0</v>
      </c>
      <c r="F51" s="9">
        <f t="shared" si="19"/>
        <v>0</v>
      </c>
      <c r="G51" s="9">
        <f t="shared" si="19"/>
        <v>0</v>
      </c>
      <c r="H51" s="9">
        <f t="shared" si="19"/>
        <v>0</v>
      </c>
      <c r="I51" s="9">
        <f t="shared" si="19"/>
        <v>0</v>
      </c>
      <c r="J51" s="9">
        <f t="shared" si="19"/>
        <v>0</v>
      </c>
      <c r="K51" s="9">
        <f t="shared" si="19"/>
        <v>0</v>
      </c>
      <c r="L51" s="9">
        <f t="shared" si="19"/>
        <v>0</v>
      </c>
      <c r="M51" s="9">
        <f t="shared" si="19"/>
        <v>0</v>
      </c>
      <c r="N51" s="9">
        <f t="shared" si="19"/>
        <v>0</v>
      </c>
      <c r="O51" s="9">
        <f t="shared" si="19"/>
        <v>0</v>
      </c>
      <c r="P51" s="9">
        <f t="shared" si="19"/>
        <v>0</v>
      </c>
      <c r="Q51" s="9">
        <f t="shared" si="19"/>
        <v>0</v>
      </c>
      <c r="R51" s="9">
        <f t="shared" si="19"/>
        <v>0</v>
      </c>
      <c r="S51" s="9">
        <f t="shared" si="19"/>
        <v>0</v>
      </c>
      <c r="T51" s="9">
        <f t="shared" si="19"/>
        <v>0</v>
      </c>
      <c r="U51" s="9">
        <f t="shared" si="19"/>
        <v>0</v>
      </c>
      <c r="V51" s="9">
        <f t="shared" si="19"/>
        <v>0</v>
      </c>
      <c r="W51" s="9">
        <f t="shared" si="19"/>
        <v>0</v>
      </c>
      <c r="X51" s="9">
        <f t="shared" si="19"/>
        <v>0</v>
      </c>
      <c r="Y51" s="9">
        <f t="shared" si="19"/>
        <v>0</v>
      </c>
      <c r="Z51" s="9">
        <f t="shared" si="19"/>
        <v>0</v>
      </c>
      <c r="AA51" s="9">
        <f t="shared" si="19"/>
        <v>0</v>
      </c>
      <c r="AB51" s="9">
        <f t="shared" si="19"/>
        <v>0</v>
      </c>
      <c r="AC51" s="9">
        <f t="shared" si="19"/>
        <v>0</v>
      </c>
      <c r="AD51" s="9">
        <f t="shared" si="19"/>
        <v>0</v>
      </c>
      <c r="AE51" s="9">
        <f t="shared" si="19"/>
        <v>0</v>
      </c>
      <c r="AF51" s="9">
        <f t="shared" si="19"/>
        <v>0</v>
      </c>
      <c r="AG51" s="9">
        <f t="shared" si="19"/>
        <v>0</v>
      </c>
      <c r="AH51" s="9"/>
      <c r="AI51" s="9"/>
      <c r="AJ51" s="9"/>
      <c r="AK51" s="9"/>
      <c r="AM51" s="9"/>
      <c r="AN51" s="9"/>
      <c r="AO51" s="9"/>
    </row>
    <row r="52" spans="1:41">
      <c r="A52" s="9">
        <f t="shared" si="15"/>
        <v>421.14996337890625</v>
      </c>
      <c r="B52" s="9">
        <f t="shared" ref="B52:AG52" si="20">B11*mult</f>
        <v>0</v>
      </c>
      <c r="C52" s="9">
        <f t="shared" si="20"/>
        <v>0</v>
      </c>
      <c r="D52" s="9">
        <f t="shared" si="20"/>
        <v>0</v>
      </c>
      <c r="E52" s="9">
        <f t="shared" si="20"/>
        <v>0</v>
      </c>
      <c r="F52" s="9">
        <f t="shared" si="20"/>
        <v>0</v>
      </c>
      <c r="G52" s="9">
        <f t="shared" si="20"/>
        <v>0</v>
      </c>
      <c r="H52" s="9">
        <f t="shared" si="20"/>
        <v>0</v>
      </c>
      <c r="I52" s="9">
        <f t="shared" si="20"/>
        <v>0</v>
      </c>
      <c r="J52" s="9">
        <f t="shared" si="20"/>
        <v>0</v>
      </c>
      <c r="K52" s="9">
        <f t="shared" si="20"/>
        <v>0</v>
      </c>
      <c r="L52" s="9">
        <f t="shared" si="20"/>
        <v>0</v>
      </c>
      <c r="M52" s="9">
        <f t="shared" si="20"/>
        <v>0</v>
      </c>
      <c r="N52" s="9">
        <f t="shared" si="20"/>
        <v>0</v>
      </c>
      <c r="O52" s="9">
        <f t="shared" si="20"/>
        <v>0</v>
      </c>
      <c r="P52" s="9">
        <f t="shared" si="20"/>
        <v>0</v>
      </c>
      <c r="Q52" s="9">
        <f t="shared" si="20"/>
        <v>0</v>
      </c>
      <c r="R52" s="9">
        <f t="shared" si="20"/>
        <v>0</v>
      </c>
      <c r="S52" s="9">
        <f t="shared" si="20"/>
        <v>0</v>
      </c>
      <c r="T52" s="9">
        <f t="shared" si="20"/>
        <v>0</v>
      </c>
      <c r="U52" s="9">
        <f t="shared" si="20"/>
        <v>0</v>
      </c>
      <c r="V52" s="9">
        <f t="shared" si="20"/>
        <v>0</v>
      </c>
      <c r="W52" s="9">
        <f t="shared" si="20"/>
        <v>0</v>
      </c>
      <c r="X52" s="9">
        <f t="shared" si="20"/>
        <v>0</v>
      </c>
      <c r="Y52" s="9">
        <f t="shared" si="20"/>
        <v>0</v>
      </c>
      <c r="Z52" s="9">
        <f t="shared" si="20"/>
        <v>0</v>
      </c>
      <c r="AA52" s="9">
        <f t="shared" si="20"/>
        <v>0</v>
      </c>
      <c r="AB52" s="9">
        <f t="shared" si="20"/>
        <v>0</v>
      </c>
      <c r="AC52" s="9">
        <f t="shared" si="20"/>
        <v>0</v>
      </c>
      <c r="AD52" s="9">
        <f t="shared" si="20"/>
        <v>0</v>
      </c>
      <c r="AE52" s="9">
        <f t="shared" si="20"/>
        <v>0</v>
      </c>
      <c r="AF52" s="9">
        <f t="shared" si="20"/>
        <v>0</v>
      </c>
      <c r="AG52" s="9">
        <f t="shared" si="20"/>
        <v>0</v>
      </c>
      <c r="AH52" s="9"/>
      <c r="AI52" s="9"/>
      <c r="AJ52" s="9"/>
      <c r="AK52" s="9"/>
      <c r="AM52" s="9"/>
      <c r="AN52" s="9"/>
      <c r="AO52" s="9"/>
    </row>
    <row r="53" spans="1:41">
      <c r="A53" s="9">
        <f t="shared" si="15"/>
        <v>313.39996337890625</v>
      </c>
      <c r="B53" s="9">
        <f t="shared" ref="B53:AG53" si="21">B12*mult</f>
        <v>0</v>
      </c>
      <c r="C53" s="9">
        <f t="shared" si="21"/>
        <v>0</v>
      </c>
      <c r="D53" s="9">
        <f t="shared" si="21"/>
        <v>0</v>
      </c>
      <c r="E53" s="9">
        <f t="shared" si="21"/>
        <v>0</v>
      </c>
      <c r="F53" s="9">
        <f t="shared" si="21"/>
        <v>0</v>
      </c>
      <c r="G53" s="9">
        <f t="shared" si="21"/>
        <v>0</v>
      </c>
      <c r="H53" s="9">
        <f t="shared" si="21"/>
        <v>0</v>
      </c>
      <c r="I53" s="9">
        <f t="shared" si="21"/>
        <v>0</v>
      </c>
      <c r="J53" s="9">
        <f t="shared" si="21"/>
        <v>0</v>
      </c>
      <c r="K53" s="9">
        <f t="shared" si="21"/>
        <v>0</v>
      </c>
      <c r="L53" s="9">
        <f t="shared" si="21"/>
        <v>0</v>
      </c>
      <c r="M53" s="9">
        <f t="shared" si="21"/>
        <v>0</v>
      </c>
      <c r="N53" s="9">
        <f t="shared" si="21"/>
        <v>0</v>
      </c>
      <c r="O53" s="9">
        <f t="shared" si="21"/>
        <v>0</v>
      </c>
      <c r="P53" s="9">
        <f t="shared" si="21"/>
        <v>0</v>
      </c>
      <c r="Q53" s="9">
        <f t="shared" si="21"/>
        <v>0</v>
      </c>
      <c r="R53" s="9">
        <f t="shared" si="21"/>
        <v>0</v>
      </c>
      <c r="S53" s="9">
        <f t="shared" si="21"/>
        <v>0</v>
      </c>
      <c r="T53" s="9">
        <f t="shared" si="21"/>
        <v>0</v>
      </c>
      <c r="U53" s="9">
        <f t="shared" si="21"/>
        <v>0</v>
      </c>
      <c r="V53" s="9">
        <f t="shared" si="21"/>
        <v>0</v>
      </c>
      <c r="W53" s="9">
        <f t="shared" si="21"/>
        <v>0</v>
      </c>
      <c r="X53" s="9">
        <f t="shared" si="21"/>
        <v>0</v>
      </c>
      <c r="Y53" s="9">
        <f t="shared" si="21"/>
        <v>0</v>
      </c>
      <c r="Z53" s="9">
        <f t="shared" si="21"/>
        <v>0</v>
      </c>
      <c r="AA53" s="9">
        <f t="shared" si="21"/>
        <v>0</v>
      </c>
      <c r="AB53" s="9">
        <f t="shared" si="21"/>
        <v>0</v>
      </c>
      <c r="AC53" s="9">
        <f t="shared" si="21"/>
        <v>0</v>
      </c>
      <c r="AD53" s="9">
        <f t="shared" si="21"/>
        <v>0</v>
      </c>
      <c r="AE53" s="9">
        <f t="shared" si="21"/>
        <v>0</v>
      </c>
      <c r="AF53" s="9">
        <f t="shared" si="21"/>
        <v>0</v>
      </c>
      <c r="AG53" s="9">
        <f t="shared" si="21"/>
        <v>0</v>
      </c>
      <c r="AH53" s="9"/>
      <c r="AI53" s="9"/>
      <c r="AJ53" s="9"/>
      <c r="AK53" s="9"/>
      <c r="AM53" s="9"/>
      <c r="AN53" s="9"/>
      <c r="AO53" s="9"/>
    </row>
    <row r="54" spans="1:41">
      <c r="A54" s="9">
        <f t="shared" si="15"/>
        <v>283.35547790527346</v>
      </c>
      <c r="B54" s="9">
        <f t="shared" ref="B54:AG54" si="22">B13*mult</f>
        <v>0</v>
      </c>
      <c r="C54" s="9">
        <f t="shared" si="22"/>
        <v>0</v>
      </c>
      <c r="D54" s="9">
        <f t="shared" si="22"/>
        <v>0</v>
      </c>
      <c r="E54" s="9">
        <f t="shared" si="22"/>
        <v>0</v>
      </c>
      <c r="F54" s="9">
        <f t="shared" si="22"/>
        <v>0</v>
      </c>
      <c r="G54" s="9">
        <f t="shared" si="22"/>
        <v>0</v>
      </c>
      <c r="H54" s="9">
        <f t="shared" si="22"/>
        <v>0</v>
      </c>
      <c r="I54" s="9">
        <f t="shared" si="22"/>
        <v>0</v>
      </c>
      <c r="J54" s="9">
        <f t="shared" si="22"/>
        <v>0</v>
      </c>
      <c r="K54" s="9">
        <f t="shared" si="22"/>
        <v>0</v>
      </c>
      <c r="L54" s="9">
        <f t="shared" si="22"/>
        <v>0</v>
      </c>
      <c r="M54" s="9">
        <f t="shared" si="22"/>
        <v>0</v>
      </c>
      <c r="N54" s="9">
        <f t="shared" si="22"/>
        <v>0</v>
      </c>
      <c r="O54" s="9">
        <f t="shared" si="22"/>
        <v>0</v>
      </c>
      <c r="P54" s="9">
        <f t="shared" si="22"/>
        <v>0</v>
      </c>
      <c r="Q54" s="9">
        <f t="shared" si="22"/>
        <v>0</v>
      </c>
      <c r="R54" s="9">
        <f t="shared" si="22"/>
        <v>0</v>
      </c>
      <c r="S54" s="9">
        <f t="shared" si="22"/>
        <v>0</v>
      </c>
      <c r="T54" s="9">
        <f t="shared" si="22"/>
        <v>0</v>
      </c>
      <c r="U54" s="9">
        <f t="shared" si="22"/>
        <v>0</v>
      </c>
      <c r="V54" s="9">
        <f t="shared" si="22"/>
        <v>0</v>
      </c>
      <c r="W54" s="9">
        <f t="shared" si="22"/>
        <v>0</v>
      </c>
      <c r="X54" s="9">
        <f t="shared" si="22"/>
        <v>0</v>
      </c>
      <c r="Y54" s="9">
        <f t="shared" si="22"/>
        <v>0</v>
      </c>
      <c r="Z54" s="9">
        <f t="shared" si="22"/>
        <v>0</v>
      </c>
      <c r="AA54" s="9">
        <f t="shared" si="22"/>
        <v>0</v>
      </c>
      <c r="AB54" s="9">
        <f t="shared" si="22"/>
        <v>0</v>
      </c>
      <c r="AC54" s="9">
        <f t="shared" si="22"/>
        <v>0</v>
      </c>
      <c r="AD54" s="9">
        <f t="shared" si="22"/>
        <v>0</v>
      </c>
      <c r="AE54" s="9">
        <f t="shared" si="22"/>
        <v>0</v>
      </c>
      <c r="AF54" s="9">
        <f t="shared" si="22"/>
        <v>0</v>
      </c>
      <c r="AG54" s="9">
        <f t="shared" si="22"/>
        <v>0</v>
      </c>
      <c r="AH54" s="9"/>
      <c r="AI54" s="9"/>
      <c r="AJ54" s="9"/>
      <c r="AK54" s="9"/>
      <c r="AM54" s="9"/>
      <c r="AN54" s="9"/>
      <c r="AO54" s="9"/>
    </row>
    <row r="55" spans="1:41">
      <c r="A55" s="9">
        <f t="shared" si="15"/>
        <v>233.5469970703125</v>
      </c>
      <c r="B55" s="9">
        <f t="shared" ref="B55:AG55" si="23">B14*mult</f>
        <v>0</v>
      </c>
      <c r="C55" s="9">
        <f t="shared" si="23"/>
        <v>0</v>
      </c>
      <c r="D55" s="9">
        <f t="shared" si="23"/>
        <v>0</v>
      </c>
      <c r="E55" s="9">
        <f t="shared" si="23"/>
        <v>0</v>
      </c>
      <c r="F55" s="9">
        <f t="shared" si="23"/>
        <v>0</v>
      </c>
      <c r="G55" s="9">
        <f t="shared" si="23"/>
        <v>0</v>
      </c>
      <c r="H55" s="9">
        <f t="shared" si="23"/>
        <v>0</v>
      </c>
      <c r="I55" s="9">
        <f t="shared" si="23"/>
        <v>0</v>
      </c>
      <c r="J55" s="9">
        <f t="shared" si="23"/>
        <v>0</v>
      </c>
      <c r="K55" s="9">
        <f t="shared" si="23"/>
        <v>0</v>
      </c>
      <c r="L55" s="9">
        <f t="shared" si="23"/>
        <v>0</v>
      </c>
      <c r="M55" s="9">
        <f t="shared" si="23"/>
        <v>0</v>
      </c>
      <c r="N55" s="9">
        <f t="shared" si="23"/>
        <v>0</v>
      </c>
      <c r="O55" s="9">
        <f t="shared" si="23"/>
        <v>0</v>
      </c>
      <c r="P55" s="9">
        <f t="shared" si="23"/>
        <v>0</v>
      </c>
      <c r="Q55" s="9">
        <f t="shared" si="23"/>
        <v>0</v>
      </c>
      <c r="R55" s="9">
        <f t="shared" si="23"/>
        <v>0</v>
      </c>
      <c r="S55" s="9">
        <f t="shared" si="23"/>
        <v>0</v>
      </c>
      <c r="T55" s="9">
        <f t="shared" si="23"/>
        <v>0</v>
      </c>
      <c r="U55" s="9">
        <f t="shared" si="23"/>
        <v>0</v>
      </c>
      <c r="V55" s="9">
        <f t="shared" si="23"/>
        <v>0</v>
      </c>
      <c r="W55" s="9">
        <f t="shared" si="23"/>
        <v>0</v>
      </c>
      <c r="X55" s="9">
        <f t="shared" si="23"/>
        <v>0</v>
      </c>
      <c r="Y55" s="9">
        <f t="shared" si="23"/>
        <v>0</v>
      </c>
      <c r="Z55" s="9">
        <f t="shared" si="23"/>
        <v>0</v>
      </c>
      <c r="AA55" s="9">
        <f t="shared" si="23"/>
        <v>0</v>
      </c>
      <c r="AB55" s="9">
        <f t="shared" si="23"/>
        <v>0</v>
      </c>
      <c r="AC55" s="9">
        <f t="shared" si="23"/>
        <v>0</v>
      </c>
      <c r="AD55" s="9">
        <f t="shared" si="23"/>
        <v>0</v>
      </c>
      <c r="AE55" s="9">
        <f t="shared" si="23"/>
        <v>0</v>
      </c>
      <c r="AF55" s="9">
        <f t="shared" si="23"/>
        <v>0</v>
      </c>
      <c r="AG55" s="9">
        <f t="shared" si="23"/>
        <v>0</v>
      </c>
      <c r="AH55" s="9"/>
      <c r="AI55" s="9"/>
      <c r="AJ55" s="9"/>
      <c r="AK55" s="9"/>
      <c r="AM55" s="9"/>
      <c r="AN55" s="9"/>
      <c r="AO55" s="9"/>
    </row>
    <row r="56" spans="1:41">
      <c r="A56" s="9">
        <f t="shared" si="15"/>
        <v>188.09650726318358</v>
      </c>
      <c r="B56" s="9">
        <f t="shared" ref="B56:AG56" si="24">B15*mult</f>
        <v>0</v>
      </c>
      <c r="C56" s="9">
        <f t="shared" si="24"/>
        <v>0</v>
      </c>
      <c r="D56" s="9">
        <f t="shared" si="24"/>
        <v>0</v>
      </c>
      <c r="E56" s="9">
        <f t="shared" si="24"/>
        <v>0</v>
      </c>
      <c r="F56" s="9">
        <f t="shared" si="24"/>
        <v>0</v>
      </c>
      <c r="G56" s="9">
        <f t="shared" si="24"/>
        <v>0</v>
      </c>
      <c r="H56" s="9">
        <f t="shared" si="24"/>
        <v>0</v>
      </c>
      <c r="I56" s="9">
        <f t="shared" si="24"/>
        <v>0</v>
      </c>
      <c r="J56" s="9">
        <f t="shared" si="24"/>
        <v>0</v>
      </c>
      <c r="K56" s="9">
        <f t="shared" si="24"/>
        <v>0</v>
      </c>
      <c r="L56" s="9">
        <f t="shared" si="24"/>
        <v>0</v>
      </c>
      <c r="M56" s="9">
        <f t="shared" si="24"/>
        <v>0</v>
      </c>
      <c r="N56" s="9">
        <f t="shared" si="24"/>
        <v>0</v>
      </c>
      <c r="O56" s="9">
        <f t="shared" si="24"/>
        <v>0</v>
      </c>
      <c r="P56" s="9">
        <f t="shared" si="24"/>
        <v>0</v>
      </c>
      <c r="Q56" s="9">
        <f t="shared" si="24"/>
        <v>0</v>
      </c>
      <c r="R56" s="9">
        <f t="shared" si="24"/>
        <v>0</v>
      </c>
      <c r="S56" s="9">
        <f t="shared" si="24"/>
        <v>0</v>
      </c>
      <c r="T56" s="9">
        <f t="shared" si="24"/>
        <v>0</v>
      </c>
      <c r="U56" s="9">
        <f t="shared" si="24"/>
        <v>0</v>
      </c>
      <c r="V56" s="9">
        <f t="shared" si="24"/>
        <v>0</v>
      </c>
      <c r="W56" s="9">
        <f t="shared" si="24"/>
        <v>0</v>
      </c>
      <c r="X56" s="9">
        <f t="shared" si="24"/>
        <v>0</v>
      </c>
      <c r="Y56" s="9">
        <f t="shared" si="24"/>
        <v>0</v>
      </c>
      <c r="Z56" s="9">
        <f t="shared" si="24"/>
        <v>0</v>
      </c>
      <c r="AA56" s="9">
        <f t="shared" si="24"/>
        <v>0</v>
      </c>
      <c r="AB56" s="9">
        <f t="shared" si="24"/>
        <v>0</v>
      </c>
      <c r="AC56" s="9">
        <f t="shared" si="24"/>
        <v>0</v>
      </c>
      <c r="AD56" s="9">
        <f t="shared" si="24"/>
        <v>0</v>
      </c>
      <c r="AE56" s="9">
        <f t="shared" si="24"/>
        <v>0</v>
      </c>
      <c r="AF56" s="9">
        <f t="shared" si="24"/>
        <v>0</v>
      </c>
      <c r="AG56" s="9">
        <f t="shared" si="24"/>
        <v>0</v>
      </c>
      <c r="AH56" s="9"/>
      <c r="AI56" s="9"/>
      <c r="AJ56" s="9"/>
      <c r="AK56" s="9"/>
      <c r="AM56" s="9"/>
      <c r="AN56" s="9"/>
      <c r="AO56" s="9"/>
    </row>
    <row r="57" spans="1:41">
      <c r="A57" s="9">
        <f t="shared" si="15"/>
        <v>156.44500579833985</v>
      </c>
      <c r="B57" s="9">
        <f t="shared" ref="B57:AG57" si="25">B16*mult</f>
        <v>0</v>
      </c>
      <c r="C57" s="9">
        <f t="shared" si="25"/>
        <v>0</v>
      </c>
      <c r="D57" s="9">
        <f t="shared" si="25"/>
        <v>0</v>
      </c>
      <c r="E57" s="9">
        <f t="shared" si="25"/>
        <v>0</v>
      </c>
      <c r="F57" s="9">
        <f t="shared" si="25"/>
        <v>0</v>
      </c>
      <c r="G57" s="9">
        <f t="shared" si="25"/>
        <v>0</v>
      </c>
      <c r="H57" s="9">
        <f t="shared" si="25"/>
        <v>0</v>
      </c>
      <c r="I57" s="9">
        <f t="shared" si="25"/>
        <v>0</v>
      </c>
      <c r="J57" s="9">
        <f t="shared" si="25"/>
        <v>0</v>
      </c>
      <c r="K57" s="9">
        <f t="shared" si="25"/>
        <v>0</v>
      </c>
      <c r="L57" s="9">
        <f t="shared" si="25"/>
        <v>0</v>
      </c>
      <c r="M57" s="9">
        <f t="shared" si="25"/>
        <v>0</v>
      </c>
      <c r="N57" s="9">
        <f t="shared" si="25"/>
        <v>0</v>
      </c>
      <c r="O57" s="9">
        <f t="shared" si="25"/>
        <v>0</v>
      </c>
      <c r="P57" s="9">
        <f t="shared" si="25"/>
        <v>0</v>
      </c>
      <c r="Q57" s="9">
        <f t="shared" si="25"/>
        <v>0</v>
      </c>
      <c r="R57" s="9">
        <f t="shared" si="25"/>
        <v>0</v>
      </c>
      <c r="S57" s="9">
        <f t="shared" si="25"/>
        <v>0</v>
      </c>
      <c r="T57" s="9">
        <f t="shared" si="25"/>
        <v>0</v>
      </c>
      <c r="U57" s="9">
        <f t="shared" si="25"/>
        <v>0</v>
      </c>
      <c r="V57" s="9">
        <f t="shared" si="25"/>
        <v>0</v>
      </c>
      <c r="W57" s="9">
        <f t="shared" si="25"/>
        <v>0</v>
      </c>
      <c r="X57" s="9">
        <f t="shared" si="25"/>
        <v>0</v>
      </c>
      <c r="Y57" s="9">
        <f t="shared" si="25"/>
        <v>0</v>
      </c>
      <c r="Z57" s="9">
        <f t="shared" si="25"/>
        <v>0</v>
      </c>
      <c r="AA57" s="9">
        <f t="shared" si="25"/>
        <v>0</v>
      </c>
      <c r="AB57" s="9">
        <f t="shared" si="25"/>
        <v>0</v>
      </c>
      <c r="AC57" s="9">
        <f t="shared" si="25"/>
        <v>0</v>
      </c>
      <c r="AD57" s="9">
        <f t="shared" si="25"/>
        <v>0</v>
      </c>
      <c r="AE57" s="9">
        <f t="shared" si="25"/>
        <v>0</v>
      </c>
      <c r="AF57" s="9">
        <f t="shared" si="25"/>
        <v>0</v>
      </c>
      <c r="AG57" s="9">
        <f t="shared" si="25"/>
        <v>0</v>
      </c>
      <c r="AH57" s="9"/>
      <c r="AI57" s="9"/>
      <c r="AJ57" s="9"/>
      <c r="AK57" s="9"/>
      <c r="AM57" s="9"/>
      <c r="AN57" s="9"/>
      <c r="AO57" s="9"/>
    </row>
    <row r="58" spans="1:41">
      <c r="A58" s="9">
        <f>A17</f>
        <v>116.47100143432617</v>
      </c>
      <c r="B58" s="9">
        <f t="shared" ref="B58:AG58" si="26">B17*mult</f>
        <v>0</v>
      </c>
      <c r="C58" s="9">
        <f t="shared" si="26"/>
        <v>0</v>
      </c>
      <c r="D58" s="9">
        <f t="shared" si="26"/>
        <v>0</v>
      </c>
      <c r="E58" s="9">
        <f t="shared" si="26"/>
        <v>0</v>
      </c>
      <c r="F58" s="9">
        <f t="shared" si="26"/>
        <v>0</v>
      </c>
      <c r="G58" s="9">
        <f t="shared" si="26"/>
        <v>0</v>
      </c>
      <c r="H58" s="9">
        <f t="shared" si="26"/>
        <v>0</v>
      </c>
      <c r="I58" s="9">
        <f t="shared" si="26"/>
        <v>0</v>
      </c>
      <c r="J58" s="9">
        <f t="shared" si="26"/>
        <v>0</v>
      </c>
      <c r="K58" s="9">
        <f t="shared" si="26"/>
        <v>0</v>
      </c>
      <c r="L58" s="9">
        <f t="shared" si="26"/>
        <v>0</v>
      </c>
      <c r="M58" s="9">
        <f t="shared" si="26"/>
        <v>0</v>
      </c>
      <c r="N58" s="9">
        <f t="shared" si="26"/>
        <v>0</v>
      </c>
      <c r="O58" s="9">
        <f t="shared" si="26"/>
        <v>0</v>
      </c>
      <c r="P58" s="9">
        <f t="shared" si="26"/>
        <v>0</v>
      </c>
      <c r="Q58" s="9">
        <f t="shared" si="26"/>
        <v>0</v>
      </c>
      <c r="R58" s="9">
        <f t="shared" si="26"/>
        <v>0</v>
      </c>
      <c r="S58" s="9">
        <f t="shared" si="26"/>
        <v>0</v>
      </c>
      <c r="T58" s="9">
        <f t="shared" si="26"/>
        <v>0</v>
      </c>
      <c r="U58" s="9">
        <f t="shared" si="26"/>
        <v>0</v>
      </c>
      <c r="V58" s="9">
        <f t="shared" si="26"/>
        <v>0</v>
      </c>
      <c r="W58" s="9">
        <f t="shared" si="26"/>
        <v>0</v>
      </c>
      <c r="X58" s="9">
        <f t="shared" si="26"/>
        <v>0</v>
      </c>
      <c r="Y58" s="9">
        <f t="shared" si="26"/>
        <v>0</v>
      </c>
      <c r="Z58" s="9">
        <f t="shared" si="26"/>
        <v>0</v>
      </c>
      <c r="AA58" s="9">
        <f t="shared" si="26"/>
        <v>0</v>
      </c>
      <c r="AB58" s="9">
        <f t="shared" si="26"/>
        <v>0</v>
      </c>
      <c r="AC58" s="9">
        <f t="shared" si="26"/>
        <v>0</v>
      </c>
      <c r="AD58" s="9">
        <f t="shared" si="26"/>
        <v>0</v>
      </c>
      <c r="AE58" s="9">
        <f t="shared" si="26"/>
        <v>0</v>
      </c>
      <c r="AF58" s="9">
        <f t="shared" si="26"/>
        <v>0</v>
      </c>
      <c r="AG58" s="9">
        <f t="shared" si="26"/>
        <v>0</v>
      </c>
      <c r="AH58" s="9"/>
      <c r="AI58" s="9"/>
      <c r="AJ58" s="9"/>
      <c r="AK58" s="9"/>
      <c r="AM58" s="9"/>
      <c r="AN58" s="9"/>
      <c r="AO58" s="9"/>
    </row>
    <row r="59" spans="1:41">
      <c r="A59" s="9">
        <f>A18</f>
        <v>87.306494903564456</v>
      </c>
      <c r="B59" s="9">
        <f t="shared" ref="B59:AG59" si="27">B18*mult</f>
        <v>0</v>
      </c>
      <c r="C59" s="9">
        <f t="shared" si="27"/>
        <v>0</v>
      </c>
      <c r="D59" s="9">
        <f t="shared" si="27"/>
        <v>0</v>
      </c>
      <c r="E59" s="9">
        <f t="shared" si="27"/>
        <v>0</v>
      </c>
      <c r="F59" s="9">
        <f t="shared" si="27"/>
        <v>0</v>
      </c>
      <c r="G59" s="9">
        <f t="shared" si="27"/>
        <v>0</v>
      </c>
      <c r="H59" s="9">
        <f t="shared" si="27"/>
        <v>0</v>
      </c>
      <c r="I59" s="9">
        <f t="shared" si="27"/>
        <v>0</v>
      </c>
      <c r="J59" s="9">
        <f t="shared" si="27"/>
        <v>0</v>
      </c>
      <c r="K59" s="9">
        <f t="shared" si="27"/>
        <v>0</v>
      </c>
      <c r="L59" s="9">
        <f t="shared" si="27"/>
        <v>0</v>
      </c>
      <c r="M59" s="9">
        <f t="shared" si="27"/>
        <v>0</v>
      </c>
      <c r="N59" s="9">
        <f t="shared" si="27"/>
        <v>0</v>
      </c>
      <c r="O59" s="9">
        <f t="shared" si="27"/>
        <v>0</v>
      </c>
      <c r="P59" s="9">
        <f t="shared" si="27"/>
        <v>0</v>
      </c>
      <c r="Q59" s="9">
        <f t="shared" si="27"/>
        <v>0</v>
      </c>
      <c r="R59" s="9">
        <f t="shared" si="27"/>
        <v>0</v>
      </c>
      <c r="S59" s="9">
        <f t="shared" si="27"/>
        <v>0</v>
      </c>
      <c r="T59" s="9">
        <f t="shared" si="27"/>
        <v>0</v>
      </c>
      <c r="U59" s="9">
        <f t="shared" si="27"/>
        <v>0</v>
      </c>
      <c r="V59" s="9">
        <f t="shared" si="27"/>
        <v>0</v>
      </c>
      <c r="W59" s="9">
        <f t="shared" si="27"/>
        <v>0</v>
      </c>
      <c r="X59" s="9">
        <f t="shared" si="27"/>
        <v>0</v>
      </c>
      <c r="Y59" s="9">
        <f t="shared" si="27"/>
        <v>0</v>
      </c>
      <c r="Z59" s="9">
        <f t="shared" si="27"/>
        <v>0</v>
      </c>
      <c r="AA59" s="9">
        <f t="shared" si="27"/>
        <v>0</v>
      </c>
      <c r="AB59" s="9">
        <f t="shared" si="27"/>
        <v>0</v>
      </c>
      <c r="AC59" s="9">
        <f t="shared" si="27"/>
        <v>0</v>
      </c>
      <c r="AD59" s="9">
        <f t="shared" si="27"/>
        <v>0</v>
      </c>
      <c r="AE59" s="9">
        <f t="shared" si="27"/>
        <v>0</v>
      </c>
      <c r="AF59" s="9">
        <f t="shared" si="27"/>
        <v>0</v>
      </c>
      <c r="AG59" s="9">
        <f t="shared" si="27"/>
        <v>0</v>
      </c>
      <c r="AH59" s="9"/>
      <c r="AI59" s="9"/>
      <c r="AJ59" s="9"/>
      <c r="AK59" s="9"/>
      <c r="AM59" s="9"/>
      <c r="AN59" s="9"/>
      <c r="AO59" s="9"/>
    </row>
    <row r="60" spans="1:41">
      <c r="A60" s="9">
        <f>A19</f>
        <v>21.315652084350585</v>
      </c>
      <c r="B60" s="9">
        <f t="shared" ref="B60:AG60" si="28">B19*mult</f>
        <v>0</v>
      </c>
      <c r="C60" s="9">
        <f t="shared" si="28"/>
        <v>0</v>
      </c>
      <c r="D60" s="9">
        <f t="shared" si="28"/>
        <v>0</v>
      </c>
      <c r="E60" s="9">
        <f t="shared" si="28"/>
        <v>0</v>
      </c>
      <c r="F60" s="9">
        <f t="shared" si="28"/>
        <v>0</v>
      </c>
      <c r="G60" s="9">
        <f t="shared" si="28"/>
        <v>0</v>
      </c>
      <c r="H60" s="9">
        <f t="shared" si="28"/>
        <v>0</v>
      </c>
      <c r="I60" s="9">
        <f t="shared" si="28"/>
        <v>0</v>
      </c>
      <c r="J60" s="9">
        <f t="shared" si="28"/>
        <v>0</v>
      </c>
      <c r="K60" s="9">
        <f t="shared" si="28"/>
        <v>0</v>
      </c>
      <c r="L60" s="9">
        <f t="shared" si="28"/>
        <v>0</v>
      </c>
      <c r="M60" s="9">
        <f t="shared" si="28"/>
        <v>0</v>
      </c>
      <c r="N60" s="9">
        <f t="shared" si="28"/>
        <v>0</v>
      </c>
      <c r="O60" s="9">
        <f t="shared" si="28"/>
        <v>0</v>
      </c>
      <c r="P60" s="9">
        <f t="shared" si="28"/>
        <v>0</v>
      </c>
      <c r="Q60" s="9">
        <f t="shared" si="28"/>
        <v>0</v>
      </c>
      <c r="R60" s="9">
        <f t="shared" si="28"/>
        <v>0</v>
      </c>
      <c r="S60" s="9">
        <f t="shared" si="28"/>
        <v>0</v>
      </c>
      <c r="T60" s="9">
        <f t="shared" si="28"/>
        <v>0</v>
      </c>
      <c r="U60" s="9">
        <f t="shared" si="28"/>
        <v>0</v>
      </c>
      <c r="V60" s="9">
        <f t="shared" si="28"/>
        <v>0</v>
      </c>
      <c r="W60" s="9">
        <f t="shared" si="28"/>
        <v>0</v>
      </c>
      <c r="X60" s="9">
        <f t="shared" si="28"/>
        <v>0</v>
      </c>
      <c r="Y60" s="9">
        <f t="shared" si="28"/>
        <v>0</v>
      </c>
      <c r="Z60" s="9">
        <f t="shared" si="28"/>
        <v>0</v>
      </c>
      <c r="AA60" s="9">
        <f t="shared" si="28"/>
        <v>0</v>
      </c>
      <c r="AB60" s="9">
        <f t="shared" si="28"/>
        <v>0</v>
      </c>
      <c r="AC60" s="9">
        <f t="shared" si="28"/>
        <v>0</v>
      </c>
      <c r="AD60" s="9">
        <f t="shared" si="28"/>
        <v>0</v>
      </c>
      <c r="AE60" s="9">
        <f t="shared" si="28"/>
        <v>0</v>
      </c>
      <c r="AF60" s="9">
        <f t="shared" si="28"/>
        <v>0</v>
      </c>
      <c r="AG60" s="9">
        <f t="shared" si="28"/>
        <v>0</v>
      </c>
      <c r="AH60" s="9"/>
      <c r="AI60" s="9"/>
      <c r="AJ60" s="9"/>
      <c r="AK60" s="9"/>
      <c r="AM60" s="9"/>
      <c r="AN60" s="9"/>
      <c r="AO60" s="9"/>
    </row>
    <row r="61" spans="1:41">
      <c r="A61" s="9">
        <f t="shared" ref="A61:A67" si="29">A20</f>
        <v>17.340450096130372</v>
      </c>
      <c r="B61" s="9">
        <f t="shared" ref="B61:AG61" si="30">B20*mult</f>
        <v>0</v>
      </c>
      <c r="C61" s="9">
        <f t="shared" si="30"/>
        <v>0</v>
      </c>
      <c r="D61" s="9">
        <f t="shared" si="30"/>
        <v>0</v>
      </c>
      <c r="E61" s="9">
        <f t="shared" si="30"/>
        <v>0</v>
      </c>
      <c r="F61" s="9">
        <f t="shared" si="30"/>
        <v>0</v>
      </c>
      <c r="G61" s="9">
        <f t="shared" si="30"/>
        <v>0</v>
      </c>
      <c r="H61" s="9">
        <f t="shared" si="30"/>
        <v>0</v>
      </c>
      <c r="I61" s="9">
        <f t="shared" si="30"/>
        <v>0</v>
      </c>
      <c r="J61" s="9">
        <f t="shared" si="30"/>
        <v>0</v>
      </c>
      <c r="K61" s="9">
        <f t="shared" si="30"/>
        <v>0</v>
      </c>
      <c r="L61" s="9">
        <f t="shared" si="30"/>
        <v>0</v>
      </c>
      <c r="M61" s="9">
        <f t="shared" si="30"/>
        <v>0</v>
      </c>
      <c r="N61" s="9">
        <f t="shared" si="30"/>
        <v>0</v>
      </c>
      <c r="O61" s="9">
        <f t="shared" si="30"/>
        <v>0</v>
      </c>
      <c r="P61" s="9">
        <f t="shared" si="30"/>
        <v>0</v>
      </c>
      <c r="Q61" s="9">
        <f t="shared" si="30"/>
        <v>0</v>
      </c>
      <c r="R61" s="9">
        <f t="shared" si="30"/>
        <v>0</v>
      </c>
      <c r="S61" s="9">
        <f t="shared" si="30"/>
        <v>0</v>
      </c>
      <c r="T61" s="9">
        <f t="shared" si="30"/>
        <v>0</v>
      </c>
      <c r="U61" s="9">
        <f t="shared" si="30"/>
        <v>0</v>
      </c>
      <c r="V61" s="9">
        <f t="shared" si="30"/>
        <v>0</v>
      </c>
      <c r="W61" s="9">
        <f t="shared" si="30"/>
        <v>0</v>
      </c>
      <c r="X61" s="9">
        <f t="shared" si="30"/>
        <v>0</v>
      </c>
      <c r="Y61" s="9">
        <f t="shared" si="30"/>
        <v>0</v>
      </c>
      <c r="Z61" s="9">
        <f t="shared" si="30"/>
        <v>0</v>
      </c>
      <c r="AA61" s="9">
        <f t="shared" si="30"/>
        <v>0</v>
      </c>
      <c r="AB61" s="9">
        <f t="shared" si="30"/>
        <v>0</v>
      </c>
      <c r="AC61" s="9">
        <f t="shared" si="30"/>
        <v>0</v>
      </c>
      <c r="AD61" s="9">
        <f t="shared" si="30"/>
        <v>0</v>
      </c>
      <c r="AE61" s="9">
        <f t="shared" si="30"/>
        <v>0</v>
      </c>
      <c r="AF61" s="9">
        <f t="shared" si="30"/>
        <v>0</v>
      </c>
      <c r="AG61" s="9">
        <f t="shared" si="30"/>
        <v>0</v>
      </c>
      <c r="AH61" s="9"/>
      <c r="AI61" s="9"/>
      <c r="AJ61" s="9"/>
      <c r="AK61" s="9"/>
      <c r="AM61" s="9"/>
      <c r="AN61" s="9"/>
      <c r="AO61" s="9"/>
    </row>
    <row r="62" spans="1:41">
      <c r="A62" s="9">
        <f t="shared" si="29"/>
        <v>14.188851261138916</v>
      </c>
      <c r="B62" s="9">
        <f t="shared" ref="B62:AG62" si="31">B21*mult</f>
        <v>0</v>
      </c>
      <c r="C62" s="9">
        <f t="shared" si="31"/>
        <v>0</v>
      </c>
      <c r="D62" s="9">
        <f t="shared" si="31"/>
        <v>0</v>
      </c>
      <c r="E62" s="9">
        <f t="shared" si="31"/>
        <v>0</v>
      </c>
      <c r="F62" s="9">
        <f t="shared" si="31"/>
        <v>0</v>
      </c>
      <c r="G62" s="9">
        <f t="shared" si="31"/>
        <v>0</v>
      </c>
      <c r="H62" s="9">
        <f t="shared" si="31"/>
        <v>0</v>
      </c>
      <c r="I62" s="9">
        <f t="shared" si="31"/>
        <v>0</v>
      </c>
      <c r="J62" s="9">
        <f t="shared" si="31"/>
        <v>0</v>
      </c>
      <c r="K62" s="9">
        <f t="shared" si="31"/>
        <v>0</v>
      </c>
      <c r="L62" s="9">
        <f t="shared" si="31"/>
        <v>0</v>
      </c>
      <c r="M62" s="9">
        <f t="shared" si="31"/>
        <v>0</v>
      </c>
      <c r="N62" s="9">
        <f t="shared" si="31"/>
        <v>0</v>
      </c>
      <c r="O62" s="9">
        <f t="shared" si="31"/>
        <v>0</v>
      </c>
      <c r="P62" s="9">
        <f t="shared" si="31"/>
        <v>0</v>
      </c>
      <c r="Q62" s="9">
        <f t="shared" si="31"/>
        <v>0</v>
      </c>
      <c r="R62" s="9">
        <f t="shared" si="31"/>
        <v>0</v>
      </c>
      <c r="S62" s="9">
        <f t="shared" si="31"/>
        <v>0</v>
      </c>
      <c r="T62" s="9">
        <f t="shared" si="31"/>
        <v>0</v>
      </c>
      <c r="U62" s="9">
        <f t="shared" si="31"/>
        <v>0</v>
      </c>
      <c r="V62" s="9">
        <f t="shared" si="31"/>
        <v>0</v>
      </c>
      <c r="W62" s="9">
        <f t="shared" si="31"/>
        <v>0</v>
      </c>
      <c r="X62" s="9">
        <f t="shared" si="31"/>
        <v>0</v>
      </c>
      <c r="Y62" s="9">
        <f t="shared" si="31"/>
        <v>0</v>
      </c>
      <c r="Z62" s="9">
        <f t="shared" si="31"/>
        <v>0</v>
      </c>
      <c r="AA62" s="9">
        <f t="shared" si="31"/>
        <v>0</v>
      </c>
      <c r="AB62" s="9">
        <f t="shared" si="31"/>
        <v>0</v>
      </c>
      <c r="AC62" s="9">
        <f t="shared" si="31"/>
        <v>0</v>
      </c>
      <c r="AD62" s="9">
        <f t="shared" si="31"/>
        <v>0</v>
      </c>
      <c r="AE62" s="9">
        <f t="shared" si="31"/>
        <v>0</v>
      </c>
      <c r="AF62" s="9">
        <f t="shared" si="31"/>
        <v>0</v>
      </c>
      <c r="AG62" s="9">
        <f t="shared" si="31"/>
        <v>0</v>
      </c>
      <c r="AH62" s="9"/>
      <c r="AI62" s="9"/>
      <c r="AJ62" s="9"/>
      <c r="AK62" s="9"/>
      <c r="AM62" s="9"/>
      <c r="AN62" s="9"/>
      <c r="AO62" s="9"/>
    </row>
    <row r="63" spans="1:41">
      <c r="A63" s="9">
        <f t="shared" si="29"/>
        <v>11.795599174499511</v>
      </c>
      <c r="B63" s="9">
        <f t="shared" ref="B63:AG63" si="32">B22*mult</f>
        <v>0</v>
      </c>
      <c r="C63" s="9">
        <f t="shared" si="32"/>
        <v>0</v>
      </c>
      <c r="D63" s="9">
        <f t="shared" si="32"/>
        <v>0</v>
      </c>
      <c r="E63" s="9">
        <f t="shared" si="32"/>
        <v>0</v>
      </c>
      <c r="F63" s="9">
        <f t="shared" si="32"/>
        <v>0</v>
      </c>
      <c r="G63" s="9">
        <f t="shared" si="32"/>
        <v>0</v>
      </c>
      <c r="H63" s="9">
        <f t="shared" si="32"/>
        <v>0</v>
      </c>
      <c r="I63" s="9">
        <f t="shared" si="32"/>
        <v>0</v>
      </c>
      <c r="J63" s="9">
        <f t="shared" si="32"/>
        <v>0</v>
      </c>
      <c r="K63" s="9">
        <f t="shared" si="32"/>
        <v>0</v>
      </c>
      <c r="L63" s="9">
        <f t="shared" si="32"/>
        <v>0</v>
      </c>
      <c r="M63" s="9">
        <f t="shared" si="32"/>
        <v>0</v>
      </c>
      <c r="N63" s="9">
        <f t="shared" si="32"/>
        <v>0</v>
      </c>
      <c r="O63" s="9">
        <f t="shared" si="32"/>
        <v>0</v>
      </c>
      <c r="P63" s="9">
        <f t="shared" si="32"/>
        <v>0</v>
      </c>
      <c r="Q63" s="9">
        <f t="shared" si="32"/>
        <v>0</v>
      </c>
      <c r="R63" s="9">
        <f t="shared" si="32"/>
        <v>0</v>
      </c>
      <c r="S63" s="9">
        <f t="shared" si="32"/>
        <v>0</v>
      </c>
      <c r="T63" s="9">
        <f t="shared" si="32"/>
        <v>0</v>
      </c>
      <c r="U63" s="9">
        <f t="shared" si="32"/>
        <v>0</v>
      </c>
      <c r="V63" s="9">
        <f t="shared" si="32"/>
        <v>0</v>
      </c>
      <c r="W63" s="9">
        <f t="shared" si="32"/>
        <v>0</v>
      </c>
      <c r="X63" s="9">
        <f t="shared" si="32"/>
        <v>0</v>
      </c>
      <c r="Y63" s="9">
        <f t="shared" si="32"/>
        <v>0</v>
      </c>
      <c r="Z63" s="9">
        <f t="shared" si="32"/>
        <v>0</v>
      </c>
      <c r="AA63" s="9">
        <f t="shared" si="32"/>
        <v>0</v>
      </c>
      <c r="AB63" s="9">
        <f t="shared" si="32"/>
        <v>0</v>
      </c>
      <c r="AC63" s="9">
        <f t="shared" si="32"/>
        <v>0</v>
      </c>
      <c r="AD63" s="9">
        <f t="shared" si="32"/>
        <v>0</v>
      </c>
      <c r="AE63" s="9">
        <f t="shared" si="32"/>
        <v>0</v>
      </c>
      <c r="AF63" s="9">
        <f t="shared" si="32"/>
        <v>0</v>
      </c>
      <c r="AG63" s="9">
        <f t="shared" si="32"/>
        <v>0</v>
      </c>
      <c r="AH63" s="9"/>
      <c r="AI63" s="9"/>
      <c r="AJ63" s="9"/>
      <c r="AK63" s="9"/>
      <c r="AM63" s="9"/>
      <c r="AN63" s="9"/>
      <c r="AO63" s="9"/>
    </row>
    <row r="64" spans="1:41">
      <c r="A64" s="9">
        <f t="shared" si="29"/>
        <v>8.797748947143555</v>
      </c>
      <c r="B64" s="9">
        <f t="shared" ref="B64:AG64" si="33">B23*mult</f>
        <v>0</v>
      </c>
      <c r="C64" s="9">
        <f t="shared" si="33"/>
        <v>0</v>
      </c>
      <c r="D64" s="9">
        <f t="shared" si="33"/>
        <v>0</v>
      </c>
      <c r="E64" s="9">
        <f t="shared" si="33"/>
        <v>0</v>
      </c>
      <c r="F64" s="9">
        <f t="shared" si="33"/>
        <v>0</v>
      </c>
      <c r="G64" s="9">
        <f t="shared" si="33"/>
        <v>0</v>
      </c>
      <c r="H64" s="9">
        <f t="shared" si="33"/>
        <v>0</v>
      </c>
      <c r="I64" s="9">
        <f t="shared" si="33"/>
        <v>0</v>
      </c>
      <c r="J64" s="9">
        <f t="shared" si="33"/>
        <v>0</v>
      </c>
      <c r="K64" s="9">
        <f t="shared" si="33"/>
        <v>0</v>
      </c>
      <c r="L64" s="9">
        <f t="shared" si="33"/>
        <v>0</v>
      </c>
      <c r="M64" s="9">
        <f t="shared" si="33"/>
        <v>0</v>
      </c>
      <c r="N64" s="9">
        <f t="shared" si="33"/>
        <v>0</v>
      </c>
      <c r="O64" s="9">
        <f t="shared" si="33"/>
        <v>0</v>
      </c>
      <c r="P64" s="9">
        <f t="shared" si="33"/>
        <v>0</v>
      </c>
      <c r="Q64" s="9">
        <f t="shared" si="33"/>
        <v>0</v>
      </c>
      <c r="R64" s="9">
        <f t="shared" si="33"/>
        <v>0</v>
      </c>
      <c r="S64" s="9">
        <f t="shared" si="33"/>
        <v>0</v>
      </c>
      <c r="T64" s="9">
        <f t="shared" si="33"/>
        <v>0</v>
      </c>
      <c r="U64" s="9">
        <f t="shared" si="33"/>
        <v>0</v>
      </c>
      <c r="V64" s="9">
        <f t="shared" si="33"/>
        <v>0</v>
      </c>
      <c r="W64" s="9">
        <f t="shared" si="33"/>
        <v>0</v>
      </c>
      <c r="X64" s="9">
        <f t="shared" si="33"/>
        <v>0</v>
      </c>
      <c r="Y64" s="9">
        <f t="shared" si="33"/>
        <v>0</v>
      </c>
      <c r="Z64" s="9">
        <f t="shared" si="33"/>
        <v>0</v>
      </c>
      <c r="AA64" s="9">
        <f t="shared" si="33"/>
        <v>0</v>
      </c>
      <c r="AB64" s="9">
        <f t="shared" si="33"/>
        <v>0</v>
      </c>
      <c r="AC64" s="9">
        <f t="shared" si="33"/>
        <v>0</v>
      </c>
      <c r="AD64" s="9">
        <f t="shared" si="33"/>
        <v>0</v>
      </c>
      <c r="AE64" s="9">
        <f t="shared" si="33"/>
        <v>0</v>
      </c>
      <c r="AF64" s="9">
        <f t="shared" si="33"/>
        <v>0</v>
      </c>
      <c r="AG64" s="9">
        <f t="shared" si="33"/>
        <v>0</v>
      </c>
      <c r="AH64" s="9"/>
      <c r="AM64" s="9"/>
      <c r="AN64" s="9"/>
      <c r="AO64" s="9"/>
    </row>
    <row r="65" spans="1:48">
      <c r="A65" s="9">
        <f t="shared" si="29"/>
        <v>6.5973999023437502</v>
      </c>
      <c r="B65" s="9">
        <f t="shared" ref="B65:AG65" si="34">B24*mult</f>
        <v>0</v>
      </c>
      <c r="C65" s="9">
        <f t="shared" si="34"/>
        <v>0</v>
      </c>
      <c r="D65" s="9">
        <f t="shared" si="34"/>
        <v>0</v>
      </c>
      <c r="E65" s="9">
        <f t="shared" si="34"/>
        <v>0</v>
      </c>
      <c r="F65" s="9">
        <f t="shared" si="34"/>
        <v>0</v>
      </c>
      <c r="G65" s="9">
        <f t="shared" si="34"/>
        <v>0</v>
      </c>
      <c r="H65" s="9">
        <f t="shared" si="34"/>
        <v>0</v>
      </c>
      <c r="I65" s="9">
        <f t="shared" si="34"/>
        <v>0</v>
      </c>
      <c r="J65" s="9">
        <f t="shared" si="34"/>
        <v>0</v>
      </c>
      <c r="K65" s="9">
        <f t="shared" si="34"/>
        <v>0</v>
      </c>
      <c r="L65" s="9">
        <f t="shared" si="34"/>
        <v>0</v>
      </c>
      <c r="M65" s="9">
        <f t="shared" si="34"/>
        <v>0</v>
      </c>
      <c r="N65" s="9">
        <f t="shared" si="34"/>
        <v>0</v>
      </c>
      <c r="O65" s="9">
        <f t="shared" si="34"/>
        <v>0</v>
      </c>
      <c r="P65" s="9">
        <f t="shared" si="34"/>
        <v>0</v>
      </c>
      <c r="Q65" s="9">
        <f t="shared" si="34"/>
        <v>0</v>
      </c>
      <c r="R65" s="9">
        <f t="shared" si="34"/>
        <v>0</v>
      </c>
      <c r="S65" s="9">
        <f t="shared" si="34"/>
        <v>0</v>
      </c>
      <c r="T65" s="9">
        <f t="shared" si="34"/>
        <v>0</v>
      </c>
      <c r="U65" s="9">
        <f t="shared" si="34"/>
        <v>0</v>
      </c>
      <c r="V65" s="9">
        <f t="shared" si="34"/>
        <v>0</v>
      </c>
      <c r="W65" s="9">
        <f t="shared" si="34"/>
        <v>0</v>
      </c>
      <c r="X65" s="9">
        <f t="shared" si="34"/>
        <v>0</v>
      </c>
      <c r="Y65" s="9">
        <f t="shared" si="34"/>
        <v>0</v>
      </c>
      <c r="Z65" s="9">
        <f t="shared" si="34"/>
        <v>0</v>
      </c>
      <c r="AA65" s="9">
        <f t="shared" si="34"/>
        <v>0</v>
      </c>
      <c r="AB65" s="9">
        <f t="shared" si="34"/>
        <v>0</v>
      </c>
      <c r="AC65" s="9">
        <f t="shared" si="34"/>
        <v>0</v>
      </c>
      <c r="AD65" s="9">
        <f t="shared" si="34"/>
        <v>0</v>
      </c>
      <c r="AE65" s="9">
        <f t="shared" si="34"/>
        <v>0</v>
      </c>
      <c r="AF65" s="9">
        <f t="shared" si="34"/>
        <v>0</v>
      </c>
      <c r="AG65" s="9">
        <f t="shared" si="34"/>
        <v>0</v>
      </c>
      <c r="AH65" s="9"/>
      <c r="AI65" s="9"/>
      <c r="AJ65" s="9"/>
      <c r="AK65" s="9"/>
      <c r="AM65" s="9"/>
      <c r="AN65" s="9"/>
      <c r="AO65" s="9"/>
    </row>
    <row r="66" spans="1:48">
      <c r="A66" s="9">
        <f t="shared" si="29"/>
        <v>2.3447998762130737</v>
      </c>
      <c r="B66" s="9">
        <f t="shared" ref="B66:AG66" si="35">B25*mult</f>
        <v>0</v>
      </c>
      <c r="C66" s="9">
        <f t="shared" si="35"/>
        <v>0</v>
      </c>
      <c r="D66" s="9">
        <f t="shared" si="35"/>
        <v>0</v>
      </c>
      <c r="E66" s="9">
        <f t="shared" si="35"/>
        <v>0</v>
      </c>
      <c r="F66" s="9">
        <f t="shared" si="35"/>
        <v>0</v>
      </c>
      <c r="G66" s="9">
        <f t="shared" si="35"/>
        <v>0</v>
      </c>
      <c r="H66" s="9">
        <f t="shared" si="35"/>
        <v>0</v>
      </c>
      <c r="I66" s="9">
        <f t="shared" si="35"/>
        <v>0</v>
      </c>
      <c r="J66" s="9">
        <f t="shared" si="35"/>
        <v>0</v>
      </c>
      <c r="K66" s="9">
        <f t="shared" si="35"/>
        <v>0</v>
      </c>
      <c r="L66" s="9">
        <f t="shared" si="35"/>
        <v>0</v>
      </c>
      <c r="M66" s="9">
        <f t="shared" si="35"/>
        <v>0</v>
      </c>
      <c r="N66" s="9">
        <f t="shared" si="35"/>
        <v>0</v>
      </c>
      <c r="O66" s="9">
        <f t="shared" si="35"/>
        <v>0</v>
      </c>
      <c r="P66" s="9">
        <f t="shared" si="35"/>
        <v>0</v>
      </c>
      <c r="Q66" s="9">
        <f t="shared" si="35"/>
        <v>0</v>
      </c>
      <c r="R66" s="9">
        <f t="shared" si="35"/>
        <v>0</v>
      </c>
      <c r="S66" s="9">
        <f t="shared" si="35"/>
        <v>0</v>
      </c>
      <c r="T66" s="9">
        <f t="shared" si="35"/>
        <v>0</v>
      </c>
      <c r="U66" s="9">
        <f t="shared" si="35"/>
        <v>0</v>
      </c>
      <c r="V66" s="9">
        <f t="shared" si="35"/>
        <v>0</v>
      </c>
      <c r="W66" s="9">
        <f t="shared" si="35"/>
        <v>0</v>
      </c>
      <c r="X66" s="9">
        <f t="shared" si="35"/>
        <v>0</v>
      </c>
      <c r="Y66" s="9">
        <f t="shared" si="35"/>
        <v>0</v>
      </c>
      <c r="Z66" s="9">
        <f t="shared" si="35"/>
        <v>0</v>
      </c>
      <c r="AA66" s="9">
        <f t="shared" si="35"/>
        <v>0</v>
      </c>
      <c r="AB66" s="9">
        <f t="shared" si="35"/>
        <v>0</v>
      </c>
      <c r="AC66" s="9">
        <f t="shared" si="35"/>
        <v>0</v>
      </c>
      <c r="AD66" s="9">
        <f t="shared" si="35"/>
        <v>0</v>
      </c>
      <c r="AE66" s="9">
        <f t="shared" si="35"/>
        <v>0</v>
      </c>
      <c r="AF66" s="9">
        <f t="shared" si="35"/>
        <v>0</v>
      </c>
      <c r="AG66" s="9">
        <f t="shared" si="35"/>
        <v>0</v>
      </c>
      <c r="AH66" s="9"/>
      <c r="AI66" s="9"/>
      <c r="AJ66" s="9"/>
      <c r="AK66" s="9"/>
      <c r="AM66" s="9"/>
      <c r="AN66" s="9"/>
      <c r="AO66" s="9"/>
    </row>
    <row r="67" spans="1:48">
      <c r="A67" s="9">
        <f t="shared" si="29"/>
        <v>1.9071000814437866</v>
      </c>
      <c r="B67" s="9">
        <f t="shared" ref="B67:AG67" si="36">B26*mult</f>
        <v>0</v>
      </c>
      <c r="C67" s="9">
        <f t="shared" si="36"/>
        <v>0</v>
      </c>
      <c r="D67" s="9">
        <f t="shared" si="36"/>
        <v>0</v>
      </c>
      <c r="E67" s="9">
        <f t="shared" si="36"/>
        <v>0</v>
      </c>
      <c r="F67" s="9">
        <f t="shared" si="36"/>
        <v>0</v>
      </c>
      <c r="G67" s="9">
        <f t="shared" si="36"/>
        <v>0</v>
      </c>
      <c r="H67" s="9">
        <f t="shared" si="36"/>
        <v>0</v>
      </c>
      <c r="I67" s="9">
        <f t="shared" si="36"/>
        <v>0</v>
      </c>
      <c r="J67" s="9">
        <f t="shared" si="36"/>
        <v>0</v>
      </c>
      <c r="K67" s="9">
        <f t="shared" si="36"/>
        <v>0</v>
      </c>
      <c r="L67" s="9">
        <f t="shared" si="36"/>
        <v>0</v>
      </c>
      <c r="M67" s="9">
        <f t="shared" si="36"/>
        <v>0</v>
      </c>
      <c r="N67" s="9">
        <f t="shared" si="36"/>
        <v>0</v>
      </c>
      <c r="O67" s="9">
        <f t="shared" si="36"/>
        <v>0</v>
      </c>
      <c r="P67" s="9">
        <f t="shared" si="36"/>
        <v>0</v>
      </c>
      <c r="Q67" s="9">
        <f t="shared" si="36"/>
        <v>0</v>
      </c>
      <c r="R67" s="9">
        <f t="shared" si="36"/>
        <v>0</v>
      </c>
      <c r="S67" s="9">
        <f t="shared" si="36"/>
        <v>0</v>
      </c>
      <c r="T67" s="9">
        <f t="shared" si="36"/>
        <v>0</v>
      </c>
      <c r="U67" s="9">
        <f t="shared" si="36"/>
        <v>0</v>
      </c>
      <c r="V67" s="9">
        <f t="shared" si="36"/>
        <v>0</v>
      </c>
      <c r="W67" s="9">
        <f t="shared" si="36"/>
        <v>0</v>
      </c>
      <c r="X67" s="9">
        <f t="shared" si="36"/>
        <v>0</v>
      </c>
      <c r="Y67" s="9">
        <f t="shared" si="36"/>
        <v>0</v>
      </c>
      <c r="Z67" s="9">
        <f t="shared" si="36"/>
        <v>0</v>
      </c>
      <c r="AA67" s="9">
        <f t="shared" si="36"/>
        <v>0</v>
      </c>
      <c r="AB67" s="9">
        <f t="shared" si="36"/>
        <v>0</v>
      </c>
      <c r="AC67" s="9">
        <f t="shared" si="36"/>
        <v>0</v>
      </c>
      <c r="AD67" s="9">
        <f t="shared" si="36"/>
        <v>0</v>
      </c>
      <c r="AE67" s="9">
        <f t="shared" si="36"/>
        <v>0</v>
      </c>
      <c r="AF67" s="9">
        <f t="shared" si="36"/>
        <v>0</v>
      </c>
      <c r="AG67" s="9">
        <f t="shared" si="36"/>
        <v>0</v>
      </c>
      <c r="AH67" s="9"/>
      <c r="AI67" s="9"/>
      <c r="AJ67" s="9"/>
      <c r="AK67" s="9"/>
      <c r="AM67" s="9"/>
      <c r="AN67" s="9"/>
      <c r="AO67" s="9"/>
    </row>
    <row r="68" spans="1:48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 t="str">
        <f>AH1</f>
        <v>STDEV</v>
      </c>
      <c r="AI68" s="9" t="str">
        <f t="shared" ref="AI68:AK68" si="37">AI1</f>
        <v>-3σ</v>
      </c>
      <c r="AJ68" s="9" t="str">
        <f t="shared" si="37"/>
        <v>MEAN</v>
      </c>
      <c r="AK68" s="9" t="str">
        <f t="shared" si="37"/>
        <v>+3σ</v>
      </c>
      <c r="AM68" s="9"/>
      <c r="AN68" s="9"/>
      <c r="AO68" s="9"/>
    </row>
    <row r="69" spans="1:48">
      <c r="A69" s="9">
        <f>MAX(A43:A67)-A70</f>
        <v>3005.2668501138687</v>
      </c>
      <c r="B69" s="9">
        <f>MAX(B43:B67)-B70</f>
        <v>0</v>
      </c>
      <c r="C69" s="9">
        <f t="shared" ref="C69:AG69" si="38">MAX(C43:C67)-C70</f>
        <v>0</v>
      </c>
      <c r="D69" s="9">
        <f t="shared" si="38"/>
        <v>0</v>
      </c>
      <c r="E69" s="9">
        <f t="shared" si="38"/>
        <v>0</v>
      </c>
      <c r="F69" s="9">
        <f t="shared" si="38"/>
        <v>0</v>
      </c>
      <c r="G69" s="9">
        <f t="shared" si="38"/>
        <v>0</v>
      </c>
      <c r="H69" s="9">
        <f t="shared" si="38"/>
        <v>0</v>
      </c>
      <c r="I69" s="9">
        <f t="shared" si="38"/>
        <v>0</v>
      </c>
      <c r="J69" s="9">
        <f t="shared" si="38"/>
        <v>0</v>
      </c>
      <c r="K69" s="9">
        <f t="shared" si="38"/>
        <v>0</v>
      </c>
      <c r="L69" s="9">
        <f t="shared" si="38"/>
        <v>0</v>
      </c>
      <c r="M69" s="9">
        <f t="shared" si="38"/>
        <v>0</v>
      </c>
      <c r="N69" s="9">
        <f t="shared" si="38"/>
        <v>0</v>
      </c>
      <c r="O69" s="9">
        <f t="shared" si="38"/>
        <v>0</v>
      </c>
      <c r="P69" s="9">
        <f t="shared" si="38"/>
        <v>0</v>
      </c>
      <c r="Q69" s="9">
        <f t="shared" si="38"/>
        <v>0</v>
      </c>
      <c r="R69" s="9">
        <f t="shared" si="38"/>
        <v>0</v>
      </c>
      <c r="S69" s="9">
        <f t="shared" si="38"/>
        <v>0</v>
      </c>
      <c r="T69" s="9">
        <f t="shared" si="38"/>
        <v>0</v>
      </c>
      <c r="U69" s="9">
        <f t="shared" si="38"/>
        <v>0</v>
      </c>
      <c r="V69" s="9">
        <f t="shared" si="38"/>
        <v>0</v>
      </c>
      <c r="W69" s="9">
        <f t="shared" si="38"/>
        <v>0</v>
      </c>
      <c r="X69" s="9">
        <f t="shared" si="38"/>
        <v>0</v>
      </c>
      <c r="Y69" s="9">
        <f t="shared" si="38"/>
        <v>0</v>
      </c>
      <c r="Z69" s="9">
        <f t="shared" si="38"/>
        <v>0</v>
      </c>
      <c r="AA69" s="9">
        <f t="shared" si="38"/>
        <v>0</v>
      </c>
      <c r="AB69" s="9">
        <f t="shared" si="38"/>
        <v>0</v>
      </c>
      <c r="AC69" s="9">
        <f t="shared" si="38"/>
        <v>0</v>
      </c>
      <c r="AD69" s="9">
        <f t="shared" si="38"/>
        <v>0</v>
      </c>
      <c r="AE69" s="9">
        <f t="shared" si="38"/>
        <v>0</v>
      </c>
      <c r="AF69" s="9">
        <f t="shared" si="38"/>
        <v>0</v>
      </c>
      <c r="AG69" s="9">
        <f t="shared" si="38"/>
        <v>0</v>
      </c>
      <c r="AH69" s="9">
        <f t="shared" ref="AH69:AH128" si="39">STDEV(B69:AG69)</f>
        <v>0</v>
      </c>
      <c r="AI69" s="9">
        <f t="shared" ref="AI69:AI128" si="40">AJ69-1.5*AH69</f>
        <v>0</v>
      </c>
      <c r="AJ69" s="10">
        <f t="shared" ref="AJ69:AJ128" si="41">AVERAGE(B69:AG69)</f>
        <v>0</v>
      </c>
      <c r="AK69" s="9">
        <f t="shared" ref="AK69:AK128" si="42">AJ69+1.5*AH69</f>
        <v>0</v>
      </c>
      <c r="AM69" s="9"/>
      <c r="AN69" s="9"/>
      <c r="AO69" s="9"/>
    </row>
    <row r="70" spans="1:48">
      <c r="A70" s="9">
        <f>MIN(A43:A67)</f>
        <v>1.9071000814437866</v>
      </c>
      <c r="B70" s="9">
        <f>MIN(B43:B67)</f>
        <v>0</v>
      </c>
      <c r="C70" s="9">
        <f t="shared" ref="C70:AG70" si="43">MIN(C43:C67)</f>
        <v>0</v>
      </c>
      <c r="D70" s="9">
        <f t="shared" si="43"/>
        <v>0</v>
      </c>
      <c r="E70" s="9">
        <f t="shared" si="43"/>
        <v>0</v>
      </c>
      <c r="F70" s="9">
        <f t="shared" si="43"/>
        <v>0</v>
      </c>
      <c r="G70" s="9">
        <f t="shared" si="43"/>
        <v>0</v>
      </c>
      <c r="H70" s="9">
        <f t="shared" si="43"/>
        <v>0</v>
      </c>
      <c r="I70" s="9">
        <f t="shared" si="43"/>
        <v>0</v>
      </c>
      <c r="J70" s="9">
        <f t="shared" si="43"/>
        <v>0</v>
      </c>
      <c r="K70" s="9">
        <f t="shared" si="43"/>
        <v>0</v>
      </c>
      <c r="L70" s="9">
        <f t="shared" si="43"/>
        <v>0</v>
      </c>
      <c r="M70" s="9">
        <f t="shared" si="43"/>
        <v>0</v>
      </c>
      <c r="N70" s="9">
        <f t="shared" si="43"/>
        <v>0</v>
      </c>
      <c r="O70" s="9">
        <f t="shared" si="43"/>
        <v>0</v>
      </c>
      <c r="P70" s="9">
        <f t="shared" si="43"/>
        <v>0</v>
      </c>
      <c r="Q70" s="9">
        <f t="shared" si="43"/>
        <v>0</v>
      </c>
      <c r="R70" s="9">
        <f t="shared" si="43"/>
        <v>0</v>
      </c>
      <c r="S70" s="9">
        <f t="shared" si="43"/>
        <v>0</v>
      </c>
      <c r="T70" s="9">
        <f t="shared" si="43"/>
        <v>0</v>
      </c>
      <c r="U70" s="9">
        <f t="shared" si="43"/>
        <v>0</v>
      </c>
      <c r="V70" s="9">
        <f t="shared" si="43"/>
        <v>0</v>
      </c>
      <c r="W70" s="9">
        <f t="shared" si="43"/>
        <v>0</v>
      </c>
      <c r="X70" s="9">
        <f t="shared" si="43"/>
        <v>0</v>
      </c>
      <c r="Y70" s="9">
        <f t="shared" si="43"/>
        <v>0</v>
      </c>
      <c r="Z70" s="9">
        <f t="shared" si="43"/>
        <v>0</v>
      </c>
      <c r="AA70" s="9">
        <f t="shared" si="43"/>
        <v>0</v>
      </c>
      <c r="AB70" s="9">
        <f t="shared" si="43"/>
        <v>0</v>
      </c>
      <c r="AC70" s="9">
        <f t="shared" si="43"/>
        <v>0</v>
      </c>
      <c r="AD70" s="9">
        <f t="shared" si="43"/>
        <v>0</v>
      </c>
      <c r="AE70" s="9">
        <f t="shared" si="43"/>
        <v>0</v>
      </c>
      <c r="AF70" s="9">
        <f t="shared" si="43"/>
        <v>0</v>
      </c>
      <c r="AG70" s="9">
        <f t="shared" si="43"/>
        <v>0</v>
      </c>
      <c r="AH70" s="9">
        <f t="shared" si="39"/>
        <v>0</v>
      </c>
      <c r="AI70" s="9">
        <f t="shared" si="40"/>
        <v>0</v>
      </c>
      <c r="AJ70" s="10">
        <f t="shared" si="41"/>
        <v>0</v>
      </c>
      <c r="AK70" s="9">
        <f t="shared" si="42"/>
        <v>0</v>
      </c>
      <c r="AM70" s="9"/>
      <c r="AN70" s="9"/>
      <c r="AO70" s="9"/>
    </row>
    <row r="71" spans="1:48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10"/>
      <c r="AK71" s="9"/>
      <c r="AM71" s="9"/>
      <c r="AN71" s="9"/>
      <c r="AO71" s="9"/>
      <c r="AP71" s="9"/>
      <c r="AU71" s="9"/>
      <c r="AV71" s="9"/>
    </row>
    <row r="72" spans="1:48">
      <c r="A72" s="9" t="s">
        <v>0</v>
      </c>
      <c r="B72" s="9">
        <f>B69/$A69</f>
        <v>0</v>
      </c>
      <c r="C72" s="9">
        <f t="shared" ref="C72:AG72" si="44">C69/$A69</f>
        <v>0</v>
      </c>
      <c r="D72" s="9">
        <f t="shared" si="44"/>
        <v>0</v>
      </c>
      <c r="E72" s="9">
        <f t="shared" si="44"/>
        <v>0</v>
      </c>
      <c r="F72" s="9">
        <f t="shared" si="44"/>
        <v>0</v>
      </c>
      <c r="G72" s="9">
        <f t="shared" si="44"/>
        <v>0</v>
      </c>
      <c r="H72" s="9">
        <f t="shared" si="44"/>
        <v>0</v>
      </c>
      <c r="I72" s="9">
        <f t="shared" si="44"/>
        <v>0</v>
      </c>
      <c r="J72" s="9">
        <f t="shared" si="44"/>
        <v>0</v>
      </c>
      <c r="K72" s="9">
        <f t="shared" si="44"/>
        <v>0</v>
      </c>
      <c r="L72" s="9">
        <f t="shared" si="44"/>
        <v>0</v>
      </c>
      <c r="M72" s="9">
        <f t="shared" si="44"/>
        <v>0</v>
      </c>
      <c r="N72" s="9">
        <f t="shared" si="44"/>
        <v>0</v>
      </c>
      <c r="O72" s="9">
        <f t="shared" si="44"/>
        <v>0</v>
      </c>
      <c r="P72" s="9">
        <f t="shared" si="44"/>
        <v>0</v>
      </c>
      <c r="Q72" s="9">
        <f t="shared" si="44"/>
        <v>0</v>
      </c>
      <c r="R72" s="9">
        <f t="shared" si="44"/>
        <v>0</v>
      </c>
      <c r="S72" s="9">
        <f t="shared" si="44"/>
        <v>0</v>
      </c>
      <c r="T72" s="9">
        <f t="shared" si="44"/>
        <v>0</v>
      </c>
      <c r="U72" s="9">
        <f t="shared" si="44"/>
        <v>0</v>
      </c>
      <c r="V72" s="9">
        <f t="shared" si="44"/>
        <v>0</v>
      </c>
      <c r="W72" s="9">
        <f t="shared" si="44"/>
        <v>0</v>
      </c>
      <c r="X72" s="9">
        <f t="shared" si="44"/>
        <v>0</v>
      </c>
      <c r="Y72" s="9">
        <f t="shared" si="44"/>
        <v>0</v>
      </c>
      <c r="Z72" s="9">
        <f t="shared" si="44"/>
        <v>0</v>
      </c>
      <c r="AA72" s="9">
        <f t="shared" si="44"/>
        <v>0</v>
      </c>
      <c r="AB72" s="9">
        <f t="shared" si="44"/>
        <v>0</v>
      </c>
      <c r="AC72" s="9">
        <f t="shared" si="44"/>
        <v>0</v>
      </c>
      <c r="AD72" s="9">
        <f t="shared" si="44"/>
        <v>0</v>
      </c>
      <c r="AE72" s="9">
        <f t="shared" si="44"/>
        <v>0</v>
      </c>
      <c r="AF72" s="9">
        <f t="shared" si="44"/>
        <v>0</v>
      </c>
      <c r="AG72" s="9">
        <f t="shared" si="44"/>
        <v>0</v>
      </c>
      <c r="AH72" s="9">
        <f t="shared" si="39"/>
        <v>0</v>
      </c>
      <c r="AI72" s="9">
        <f t="shared" si="40"/>
        <v>0</v>
      </c>
      <c r="AJ72" s="10">
        <f t="shared" si="41"/>
        <v>0</v>
      </c>
      <c r="AK72" s="9">
        <f t="shared" si="42"/>
        <v>0</v>
      </c>
      <c r="AM72" s="9">
        <f>(AK73-AI73)/5</f>
        <v>0</v>
      </c>
      <c r="AN72" s="9"/>
      <c r="AO72" s="9"/>
      <c r="AP72" s="9"/>
      <c r="AQ72" s="9"/>
      <c r="AR72" s="9"/>
      <c r="AS72" s="9"/>
      <c r="AT72" s="9"/>
      <c r="AU72" s="9"/>
      <c r="AV72" s="9"/>
    </row>
    <row r="73" spans="1:48">
      <c r="A73" s="9" t="s">
        <v>1</v>
      </c>
      <c r="B73" s="9">
        <f>B43-B72*$A43</f>
        <v>0</v>
      </c>
      <c r="C73" s="9">
        <f t="shared" ref="C73:AG73" si="45">C43-C72*$A43</f>
        <v>0</v>
      </c>
      <c r="D73" s="9">
        <f t="shared" si="45"/>
        <v>0</v>
      </c>
      <c r="E73" s="9">
        <f t="shared" si="45"/>
        <v>0</v>
      </c>
      <c r="F73" s="9">
        <f t="shared" si="45"/>
        <v>0</v>
      </c>
      <c r="G73" s="9">
        <f t="shared" si="45"/>
        <v>0</v>
      </c>
      <c r="H73" s="9">
        <f t="shared" si="45"/>
        <v>0</v>
      </c>
      <c r="I73" s="9">
        <f t="shared" si="45"/>
        <v>0</v>
      </c>
      <c r="J73" s="9">
        <f t="shared" si="45"/>
        <v>0</v>
      </c>
      <c r="K73" s="9">
        <f t="shared" si="45"/>
        <v>0</v>
      </c>
      <c r="L73" s="9">
        <f t="shared" si="45"/>
        <v>0</v>
      </c>
      <c r="M73" s="9">
        <f t="shared" si="45"/>
        <v>0</v>
      </c>
      <c r="N73" s="9">
        <f t="shared" si="45"/>
        <v>0</v>
      </c>
      <c r="O73" s="9">
        <f t="shared" si="45"/>
        <v>0</v>
      </c>
      <c r="P73" s="9">
        <f t="shared" si="45"/>
        <v>0</v>
      </c>
      <c r="Q73" s="9">
        <f t="shared" si="45"/>
        <v>0</v>
      </c>
      <c r="R73" s="9">
        <f t="shared" si="45"/>
        <v>0</v>
      </c>
      <c r="S73" s="9">
        <f t="shared" si="45"/>
        <v>0</v>
      </c>
      <c r="T73" s="9">
        <f t="shared" si="45"/>
        <v>0</v>
      </c>
      <c r="U73" s="9">
        <f t="shared" si="45"/>
        <v>0</v>
      </c>
      <c r="V73" s="9">
        <f t="shared" si="45"/>
        <v>0</v>
      </c>
      <c r="W73" s="9">
        <f t="shared" si="45"/>
        <v>0</v>
      </c>
      <c r="X73" s="9">
        <f t="shared" si="45"/>
        <v>0</v>
      </c>
      <c r="Y73" s="9">
        <f t="shared" si="45"/>
        <v>0</v>
      </c>
      <c r="Z73" s="9">
        <f t="shared" si="45"/>
        <v>0</v>
      </c>
      <c r="AA73" s="9">
        <f t="shared" si="45"/>
        <v>0</v>
      </c>
      <c r="AB73" s="9">
        <f t="shared" si="45"/>
        <v>0</v>
      </c>
      <c r="AC73" s="9">
        <f t="shared" si="45"/>
        <v>0</v>
      </c>
      <c r="AD73" s="9">
        <f t="shared" si="45"/>
        <v>0</v>
      </c>
      <c r="AE73" s="9">
        <f t="shared" si="45"/>
        <v>0</v>
      </c>
      <c r="AF73" s="9">
        <f t="shared" si="45"/>
        <v>0</v>
      </c>
      <c r="AG73" s="9">
        <f t="shared" si="45"/>
        <v>0</v>
      </c>
      <c r="AH73" s="9">
        <f>STDEV(B73:AG73)</f>
        <v>0</v>
      </c>
      <c r="AI73" s="9">
        <f>AJ73-1.5*AH73</f>
        <v>0</v>
      </c>
      <c r="AJ73" s="10">
        <f t="shared" si="41"/>
        <v>0</v>
      </c>
      <c r="AK73" s="9">
        <f>AJ73+1.5*AH73</f>
        <v>0</v>
      </c>
      <c r="AM73" s="11">
        <f>AI73</f>
        <v>0</v>
      </c>
      <c r="AN73" s="9" t="b">
        <f ca="1">_xll.HISTOGRAM(B$73:AG$73,AM$73:AM$78,AM73)</f>
        <v>0</v>
      </c>
      <c r="AO73" s="9"/>
      <c r="AP73" s="9"/>
      <c r="AQ73" s="9"/>
      <c r="AR73" s="9"/>
      <c r="AS73" s="9"/>
      <c r="AT73" s="9"/>
      <c r="AU73" s="9"/>
      <c r="AV73" s="9"/>
    </row>
    <row r="74" spans="1:48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10"/>
      <c r="AK74" s="9"/>
      <c r="AM74" s="11">
        <f>AM73+AM$72</f>
        <v>0</v>
      </c>
      <c r="AN74" s="9" t="b">
        <f ca="1">_xll.HISTOGRAM(B$73:AG$73,AM$73:AM$78,AM74)</f>
        <v>0</v>
      </c>
      <c r="AO74" s="9"/>
      <c r="AP74" s="9"/>
      <c r="AQ74" s="9"/>
      <c r="AR74" s="9"/>
      <c r="AS74" s="9"/>
      <c r="AT74" s="9"/>
      <c r="AU74" s="9"/>
      <c r="AV74" s="9"/>
    </row>
    <row r="75" spans="1:48">
      <c r="A75" s="9" t="s">
        <v>21</v>
      </c>
      <c r="B75" s="9">
        <f>B1</f>
        <v>0</v>
      </c>
      <c r="C75" s="9">
        <f t="shared" ref="C75:AK75" si="46">C1</f>
        <v>1</v>
      </c>
      <c r="D75" s="9">
        <f t="shared" si="46"/>
        <v>2</v>
      </c>
      <c r="E75" s="9">
        <f t="shared" si="46"/>
        <v>3</v>
      </c>
      <c r="F75" s="9">
        <f t="shared" si="46"/>
        <v>4</v>
      </c>
      <c r="G75" s="9">
        <f t="shared" si="46"/>
        <v>5</v>
      </c>
      <c r="H75" s="9">
        <f t="shared" si="46"/>
        <v>6</v>
      </c>
      <c r="I75" s="9">
        <f t="shared" si="46"/>
        <v>7</v>
      </c>
      <c r="J75" s="9">
        <f t="shared" si="46"/>
        <v>8</v>
      </c>
      <c r="K75" s="9">
        <f t="shared" si="46"/>
        <v>9</v>
      </c>
      <c r="L75" s="9">
        <f t="shared" si="46"/>
        <v>10</v>
      </c>
      <c r="M75" s="9">
        <f t="shared" si="46"/>
        <v>11</v>
      </c>
      <c r="N75" s="9">
        <f t="shared" si="46"/>
        <v>12</v>
      </c>
      <c r="O75" s="9">
        <f t="shared" si="46"/>
        <v>13</v>
      </c>
      <c r="P75" s="9">
        <f t="shared" si="46"/>
        <v>14</v>
      </c>
      <c r="Q75" s="9">
        <f t="shared" si="46"/>
        <v>15</v>
      </c>
      <c r="R75" s="9">
        <f t="shared" si="46"/>
        <v>16</v>
      </c>
      <c r="S75" s="9">
        <f t="shared" si="46"/>
        <v>17</v>
      </c>
      <c r="T75" s="9">
        <f t="shared" si="46"/>
        <v>18</v>
      </c>
      <c r="U75" s="9">
        <f t="shared" si="46"/>
        <v>19</v>
      </c>
      <c r="V75" s="9">
        <f t="shared" si="46"/>
        <v>20</v>
      </c>
      <c r="W75" s="9">
        <f t="shared" si="46"/>
        <v>21</v>
      </c>
      <c r="X75" s="9">
        <f t="shared" si="46"/>
        <v>22</v>
      </c>
      <c r="Y75" s="9">
        <f t="shared" si="46"/>
        <v>23</v>
      </c>
      <c r="Z75" s="9">
        <f t="shared" si="46"/>
        <v>24</v>
      </c>
      <c r="AA75" s="9">
        <f t="shared" si="46"/>
        <v>25</v>
      </c>
      <c r="AB75" s="9">
        <f t="shared" si="46"/>
        <v>26</v>
      </c>
      <c r="AC75" s="9">
        <f t="shared" si="46"/>
        <v>27</v>
      </c>
      <c r="AD75" s="9">
        <f t="shared" si="46"/>
        <v>28</v>
      </c>
      <c r="AE75" s="9">
        <f t="shared" si="46"/>
        <v>29</v>
      </c>
      <c r="AF75" s="9">
        <f t="shared" si="46"/>
        <v>30</v>
      </c>
      <c r="AG75" s="9">
        <f t="shared" si="46"/>
        <v>31</v>
      </c>
      <c r="AH75" s="9" t="str">
        <f t="shared" si="46"/>
        <v>STDEV</v>
      </c>
      <c r="AI75" s="9" t="str">
        <f t="shared" si="46"/>
        <v>-3σ</v>
      </c>
      <c r="AJ75" s="9" t="str">
        <f t="shared" si="46"/>
        <v>MEAN</v>
      </c>
      <c r="AK75" s="9" t="str">
        <f t="shared" si="46"/>
        <v>+3σ</v>
      </c>
      <c r="AM75" s="11">
        <f t="shared" ref="AM75" si="47">AM74+AM$72</f>
        <v>0</v>
      </c>
      <c r="AN75" s="9" t="b">
        <f ca="1">_xll.HISTOGRAM(B$73:AG$73,AM$73:AM$78,AM75)</f>
        <v>0</v>
      </c>
      <c r="AO75" s="9"/>
      <c r="AP75" s="9"/>
      <c r="AQ75" s="9"/>
      <c r="AR75" s="9"/>
      <c r="AS75" s="9"/>
      <c r="AT75" s="9"/>
      <c r="AU75" s="9"/>
      <c r="AV75" s="9"/>
    </row>
    <row r="76" spans="1:48" s="9" customFormat="1">
      <c r="A76" s="9">
        <f t="shared" ref="A76:A80" si="48">A43</f>
        <v>3007.1739501953125</v>
      </c>
      <c r="B76" s="9">
        <f>B$72*$A43+B$73</f>
        <v>0</v>
      </c>
      <c r="C76" s="9">
        <f t="shared" ref="C76:AG76" si="49">C$72*$A43+C$73</f>
        <v>0</v>
      </c>
      <c r="D76" s="9">
        <f t="shared" si="49"/>
        <v>0</v>
      </c>
      <c r="E76" s="9">
        <f t="shared" si="49"/>
        <v>0</v>
      </c>
      <c r="F76" s="9">
        <f t="shared" si="49"/>
        <v>0</v>
      </c>
      <c r="G76" s="9">
        <f t="shared" si="49"/>
        <v>0</v>
      </c>
      <c r="H76" s="9">
        <f t="shared" si="49"/>
        <v>0</v>
      </c>
      <c r="I76" s="9">
        <f t="shared" si="49"/>
        <v>0</v>
      </c>
      <c r="J76" s="9">
        <f t="shared" si="49"/>
        <v>0</v>
      </c>
      <c r="K76" s="9">
        <f t="shared" si="49"/>
        <v>0</v>
      </c>
      <c r="L76" s="9">
        <f t="shared" si="49"/>
        <v>0</v>
      </c>
      <c r="M76" s="9">
        <f t="shared" si="49"/>
        <v>0</v>
      </c>
      <c r="N76" s="9">
        <f t="shared" si="49"/>
        <v>0</v>
      </c>
      <c r="O76" s="9">
        <f t="shared" si="49"/>
        <v>0</v>
      </c>
      <c r="P76" s="9">
        <f t="shared" si="49"/>
        <v>0</v>
      </c>
      <c r="Q76" s="9">
        <f t="shared" si="49"/>
        <v>0</v>
      </c>
      <c r="R76" s="9">
        <f t="shared" si="49"/>
        <v>0</v>
      </c>
      <c r="S76" s="9">
        <f t="shared" si="49"/>
        <v>0</v>
      </c>
      <c r="T76" s="9">
        <f t="shared" si="49"/>
        <v>0</v>
      </c>
      <c r="U76" s="9">
        <f t="shared" si="49"/>
        <v>0</v>
      </c>
      <c r="V76" s="9">
        <f t="shared" si="49"/>
        <v>0</v>
      </c>
      <c r="W76" s="9">
        <f t="shared" si="49"/>
        <v>0</v>
      </c>
      <c r="X76" s="9">
        <f t="shared" si="49"/>
        <v>0</v>
      </c>
      <c r="Y76" s="9">
        <f t="shared" si="49"/>
        <v>0</v>
      </c>
      <c r="Z76" s="9">
        <f t="shared" si="49"/>
        <v>0</v>
      </c>
      <c r="AA76" s="9">
        <f t="shared" si="49"/>
        <v>0</v>
      </c>
      <c r="AB76" s="9">
        <f t="shared" si="49"/>
        <v>0</v>
      </c>
      <c r="AC76" s="9">
        <f t="shared" si="49"/>
        <v>0</v>
      </c>
      <c r="AD76" s="9">
        <f t="shared" si="49"/>
        <v>0</v>
      </c>
      <c r="AE76" s="9">
        <f t="shared" si="49"/>
        <v>0</v>
      </c>
      <c r="AF76" s="9">
        <f t="shared" si="49"/>
        <v>0</v>
      </c>
      <c r="AG76" s="9">
        <f t="shared" si="49"/>
        <v>0</v>
      </c>
      <c r="AH76" s="9">
        <f t="shared" ref="AH76:AH77" si="50">STDEV(B76:AG76)</f>
        <v>0</v>
      </c>
      <c r="AI76" s="9">
        <f t="shared" ref="AI76:AI77" si="51">AJ76-1.5*AH76</f>
        <v>0</v>
      </c>
      <c r="AJ76" s="10">
        <f t="shared" ref="AJ76:AJ77" si="52">AVERAGE(B76:AG76)</f>
        <v>0</v>
      </c>
      <c r="AK76" s="9">
        <f t="shared" ref="AK76:AK77" si="53">AJ76+1.5*AH76</f>
        <v>0</v>
      </c>
      <c r="AM76" s="11">
        <f>AM75+AM$72</f>
        <v>0</v>
      </c>
      <c r="AN76" s="9" t="b">
        <f ca="1">_xll.HISTOGRAM(B$73:AG$73,AM$73:AM$78,AM76)</f>
        <v>0</v>
      </c>
    </row>
    <row r="77" spans="1:48" s="9" customFormat="1">
      <c r="A77" s="9">
        <f t="shared" si="48"/>
        <v>2440.1146484374999</v>
      </c>
      <c r="B77" s="9">
        <f t="shared" ref="B77:AG77" si="54">B$72*$A44+B$73</f>
        <v>0</v>
      </c>
      <c r="C77" s="9">
        <f t="shared" si="54"/>
        <v>0</v>
      </c>
      <c r="D77" s="9">
        <f t="shared" si="54"/>
        <v>0</v>
      </c>
      <c r="E77" s="9">
        <f t="shared" si="54"/>
        <v>0</v>
      </c>
      <c r="F77" s="9">
        <f t="shared" si="54"/>
        <v>0</v>
      </c>
      <c r="G77" s="9">
        <f t="shared" si="54"/>
        <v>0</v>
      </c>
      <c r="H77" s="9">
        <f t="shared" si="54"/>
        <v>0</v>
      </c>
      <c r="I77" s="9">
        <f t="shared" si="54"/>
        <v>0</v>
      </c>
      <c r="J77" s="9">
        <f t="shared" si="54"/>
        <v>0</v>
      </c>
      <c r="K77" s="9">
        <f t="shared" si="54"/>
        <v>0</v>
      </c>
      <c r="L77" s="9">
        <f t="shared" si="54"/>
        <v>0</v>
      </c>
      <c r="M77" s="9">
        <f t="shared" si="54"/>
        <v>0</v>
      </c>
      <c r="N77" s="9">
        <f t="shared" si="54"/>
        <v>0</v>
      </c>
      <c r="O77" s="9">
        <f t="shared" si="54"/>
        <v>0</v>
      </c>
      <c r="P77" s="9">
        <f t="shared" si="54"/>
        <v>0</v>
      </c>
      <c r="Q77" s="9">
        <f t="shared" si="54"/>
        <v>0</v>
      </c>
      <c r="R77" s="9">
        <f t="shared" si="54"/>
        <v>0</v>
      </c>
      <c r="S77" s="9">
        <f t="shared" si="54"/>
        <v>0</v>
      </c>
      <c r="T77" s="9">
        <f t="shared" si="54"/>
        <v>0</v>
      </c>
      <c r="U77" s="9">
        <f t="shared" si="54"/>
        <v>0</v>
      </c>
      <c r="V77" s="9">
        <f t="shared" si="54"/>
        <v>0</v>
      </c>
      <c r="W77" s="9">
        <f t="shared" si="54"/>
        <v>0</v>
      </c>
      <c r="X77" s="9">
        <f t="shared" si="54"/>
        <v>0</v>
      </c>
      <c r="Y77" s="9">
        <f t="shared" si="54"/>
        <v>0</v>
      </c>
      <c r="Z77" s="9">
        <f t="shared" si="54"/>
        <v>0</v>
      </c>
      <c r="AA77" s="9">
        <f t="shared" si="54"/>
        <v>0</v>
      </c>
      <c r="AB77" s="9">
        <f t="shared" si="54"/>
        <v>0</v>
      </c>
      <c r="AC77" s="9">
        <f t="shared" si="54"/>
        <v>0</v>
      </c>
      <c r="AD77" s="9">
        <f t="shared" si="54"/>
        <v>0</v>
      </c>
      <c r="AE77" s="9">
        <f t="shared" si="54"/>
        <v>0</v>
      </c>
      <c r="AF77" s="9">
        <f t="shared" si="54"/>
        <v>0</v>
      </c>
      <c r="AG77" s="9">
        <f t="shared" si="54"/>
        <v>0</v>
      </c>
      <c r="AH77" s="9">
        <f t="shared" si="50"/>
        <v>0</v>
      </c>
      <c r="AI77" s="9">
        <f t="shared" si="51"/>
        <v>0</v>
      </c>
      <c r="AJ77" s="10">
        <f t="shared" si="52"/>
        <v>0</v>
      </c>
      <c r="AK77" s="9">
        <f t="shared" si="53"/>
        <v>0</v>
      </c>
      <c r="AM77" s="11">
        <f>AM76+AM$72</f>
        <v>0</v>
      </c>
      <c r="AN77" s="9" t="b">
        <f ca="1">_xll.HISTOGRAM(B$73:AG$73,AM$73:AM$78,AM77)</f>
        <v>0</v>
      </c>
    </row>
    <row r="78" spans="1:48" s="9" customFormat="1">
      <c r="A78" s="9">
        <f t="shared" si="48"/>
        <v>1996.1750244140626</v>
      </c>
      <c r="B78" s="9">
        <f>B$72*$A45+B$73</f>
        <v>0</v>
      </c>
      <c r="C78" s="9">
        <f t="shared" ref="C78:AG78" si="55">C$72*$A45+C$73</f>
        <v>0</v>
      </c>
      <c r="D78" s="9">
        <f t="shared" si="55"/>
        <v>0</v>
      </c>
      <c r="E78" s="9">
        <f t="shared" si="55"/>
        <v>0</v>
      </c>
      <c r="F78" s="9">
        <f t="shared" si="55"/>
        <v>0</v>
      </c>
      <c r="G78" s="9">
        <f t="shared" si="55"/>
        <v>0</v>
      </c>
      <c r="H78" s="9">
        <f t="shared" si="55"/>
        <v>0</v>
      </c>
      <c r="I78" s="9">
        <f t="shared" si="55"/>
        <v>0</v>
      </c>
      <c r="J78" s="9">
        <f t="shared" si="55"/>
        <v>0</v>
      </c>
      <c r="K78" s="9">
        <f t="shared" si="55"/>
        <v>0</v>
      </c>
      <c r="L78" s="9">
        <f t="shared" si="55"/>
        <v>0</v>
      </c>
      <c r="M78" s="9">
        <f t="shared" si="55"/>
        <v>0</v>
      </c>
      <c r="N78" s="9">
        <f t="shared" si="55"/>
        <v>0</v>
      </c>
      <c r="O78" s="9">
        <f t="shared" si="55"/>
        <v>0</v>
      </c>
      <c r="P78" s="9">
        <f t="shared" si="55"/>
        <v>0</v>
      </c>
      <c r="Q78" s="9">
        <f t="shared" si="55"/>
        <v>0</v>
      </c>
      <c r="R78" s="9">
        <f t="shared" si="55"/>
        <v>0</v>
      </c>
      <c r="S78" s="9">
        <f t="shared" si="55"/>
        <v>0</v>
      </c>
      <c r="T78" s="9">
        <f t="shared" si="55"/>
        <v>0</v>
      </c>
      <c r="U78" s="9">
        <f t="shared" si="55"/>
        <v>0</v>
      </c>
      <c r="V78" s="9">
        <f t="shared" si="55"/>
        <v>0</v>
      </c>
      <c r="W78" s="9">
        <f t="shared" si="55"/>
        <v>0</v>
      </c>
      <c r="X78" s="9">
        <f t="shared" si="55"/>
        <v>0</v>
      </c>
      <c r="Y78" s="9">
        <f t="shared" si="55"/>
        <v>0</v>
      </c>
      <c r="Z78" s="9">
        <f t="shared" si="55"/>
        <v>0</v>
      </c>
      <c r="AA78" s="9">
        <f t="shared" si="55"/>
        <v>0</v>
      </c>
      <c r="AB78" s="9">
        <f t="shared" si="55"/>
        <v>0</v>
      </c>
      <c r="AC78" s="9">
        <f t="shared" si="55"/>
        <v>0</v>
      </c>
      <c r="AD78" s="9">
        <f t="shared" si="55"/>
        <v>0</v>
      </c>
      <c r="AE78" s="9">
        <f t="shared" si="55"/>
        <v>0</v>
      </c>
      <c r="AF78" s="9">
        <f t="shared" si="55"/>
        <v>0</v>
      </c>
      <c r="AG78" s="9">
        <f t="shared" si="55"/>
        <v>0</v>
      </c>
      <c r="AH78" s="9">
        <f t="shared" ref="AH78:AH80" si="56">STDEV(B78:AG78)</f>
        <v>0</v>
      </c>
      <c r="AI78" s="9">
        <f t="shared" si="40"/>
        <v>0</v>
      </c>
      <c r="AJ78" s="10">
        <f t="shared" ref="AJ78:AJ80" si="57">AVERAGE(B78:AG78)</f>
        <v>0</v>
      </c>
      <c r="AK78" s="9">
        <f t="shared" ref="AK78:AK80" si="58">AJ78+1.5*AH78</f>
        <v>0</v>
      </c>
      <c r="AM78" s="11">
        <f>AM77+AM$72</f>
        <v>0</v>
      </c>
      <c r="AN78" s="9" t="b">
        <f ca="1">_xll.HISTOGRAM(B$73:AG$73,AM$73:AM$78,AM78)</f>
        <v>0</v>
      </c>
    </row>
    <row r="79" spans="1:48" s="9" customFormat="1">
      <c r="A79" s="9">
        <f t="shared" si="48"/>
        <v>1659.095166015625</v>
      </c>
      <c r="B79" s="9">
        <f>B$72*$A46+B$73</f>
        <v>0</v>
      </c>
      <c r="C79" s="9">
        <f t="shared" ref="C79:AG79" si="59">C$72*$A46+C$73</f>
        <v>0</v>
      </c>
      <c r="D79" s="9">
        <f t="shared" si="59"/>
        <v>0</v>
      </c>
      <c r="E79" s="9">
        <f t="shared" si="59"/>
        <v>0</v>
      </c>
      <c r="F79" s="9">
        <f t="shared" si="59"/>
        <v>0</v>
      </c>
      <c r="G79" s="9">
        <f t="shared" si="59"/>
        <v>0</v>
      </c>
      <c r="H79" s="9">
        <f t="shared" si="59"/>
        <v>0</v>
      </c>
      <c r="I79" s="9">
        <f t="shared" si="59"/>
        <v>0</v>
      </c>
      <c r="J79" s="9">
        <f t="shared" si="59"/>
        <v>0</v>
      </c>
      <c r="K79" s="9">
        <f t="shared" si="59"/>
        <v>0</v>
      </c>
      <c r="L79" s="9">
        <f t="shared" si="59"/>
        <v>0</v>
      </c>
      <c r="M79" s="9">
        <f t="shared" si="59"/>
        <v>0</v>
      </c>
      <c r="N79" s="9">
        <f t="shared" si="59"/>
        <v>0</v>
      </c>
      <c r="O79" s="9">
        <f t="shared" si="59"/>
        <v>0</v>
      </c>
      <c r="P79" s="9">
        <f t="shared" si="59"/>
        <v>0</v>
      </c>
      <c r="Q79" s="9">
        <f t="shared" si="59"/>
        <v>0</v>
      </c>
      <c r="R79" s="9">
        <f t="shared" si="59"/>
        <v>0</v>
      </c>
      <c r="S79" s="9">
        <f t="shared" si="59"/>
        <v>0</v>
      </c>
      <c r="T79" s="9">
        <f t="shared" si="59"/>
        <v>0</v>
      </c>
      <c r="U79" s="9">
        <f t="shared" si="59"/>
        <v>0</v>
      </c>
      <c r="V79" s="9">
        <f t="shared" si="59"/>
        <v>0</v>
      </c>
      <c r="W79" s="9">
        <f t="shared" si="59"/>
        <v>0</v>
      </c>
      <c r="X79" s="9">
        <f t="shared" si="59"/>
        <v>0</v>
      </c>
      <c r="Y79" s="9">
        <f t="shared" si="59"/>
        <v>0</v>
      </c>
      <c r="Z79" s="9">
        <f t="shared" si="59"/>
        <v>0</v>
      </c>
      <c r="AA79" s="9">
        <f t="shared" si="59"/>
        <v>0</v>
      </c>
      <c r="AB79" s="9">
        <f t="shared" si="59"/>
        <v>0</v>
      </c>
      <c r="AC79" s="9">
        <f t="shared" si="59"/>
        <v>0</v>
      </c>
      <c r="AD79" s="9">
        <f t="shared" si="59"/>
        <v>0</v>
      </c>
      <c r="AE79" s="9">
        <f t="shared" si="59"/>
        <v>0</v>
      </c>
      <c r="AF79" s="9">
        <f t="shared" si="59"/>
        <v>0</v>
      </c>
      <c r="AG79" s="9">
        <f t="shared" si="59"/>
        <v>0</v>
      </c>
      <c r="AH79" s="9">
        <f t="shared" si="56"/>
        <v>0</v>
      </c>
      <c r="AI79" s="9">
        <f t="shared" si="40"/>
        <v>0</v>
      </c>
      <c r="AJ79" s="10">
        <f t="shared" si="57"/>
        <v>0</v>
      </c>
      <c r="AK79" s="9">
        <f t="shared" si="58"/>
        <v>0</v>
      </c>
    </row>
    <row r="80" spans="1:48" s="9" customFormat="1">
      <c r="A80" s="9">
        <f t="shared" si="48"/>
        <v>1234.2751586914062</v>
      </c>
      <c r="B80" s="9">
        <f>B$72*$A47+B$73</f>
        <v>0</v>
      </c>
      <c r="C80" s="9">
        <f t="shared" ref="C80:AG80" si="60">C$72*$A47+C$73</f>
        <v>0</v>
      </c>
      <c r="D80" s="9">
        <f t="shared" si="60"/>
        <v>0</v>
      </c>
      <c r="E80" s="9">
        <f t="shared" si="60"/>
        <v>0</v>
      </c>
      <c r="F80" s="9">
        <f t="shared" si="60"/>
        <v>0</v>
      </c>
      <c r="G80" s="9">
        <f t="shared" si="60"/>
        <v>0</v>
      </c>
      <c r="H80" s="9">
        <f t="shared" si="60"/>
        <v>0</v>
      </c>
      <c r="I80" s="9">
        <f t="shared" si="60"/>
        <v>0</v>
      </c>
      <c r="J80" s="9">
        <f t="shared" si="60"/>
        <v>0</v>
      </c>
      <c r="K80" s="9">
        <f t="shared" si="60"/>
        <v>0</v>
      </c>
      <c r="L80" s="9">
        <f t="shared" si="60"/>
        <v>0</v>
      </c>
      <c r="M80" s="9">
        <f t="shared" si="60"/>
        <v>0</v>
      </c>
      <c r="N80" s="9">
        <f t="shared" si="60"/>
        <v>0</v>
      </c>
      <c r="O80" s="9">
        <f t="shared" si="60"/>
        <v>0</v>
      </c>
      <c r="P80" s="9">
        <f t="shared" si="60"/>
        <v>0</v>
      </c>
      <c r="Q80" s="9">
        <f t="shared" si="60"/>
        <v>0</v>
      </c>
      <c r="R80" s="9">
        <f t="shared" si="60"/>
        <v>0</v>
      </c>
      <c r="S80" s="9">
        <f t="shared" si="60"/>
        <v>0</v>
      </c>
      <c r="T80" s="9">
        <f t="shared" si="60"/>
        <v>0</v>
      </c>
      <c r="U80" s="9">
        <f t="shared" si="60"/>
        <v>0</v>
      </c>
      <c r="V80" s="9">
        <f t="shared" si="60"/>
        <v>0</v>
      </c>
      <c r="W80" s="9">
        <f t="shared" si="60"/>
        <v>0</v>
      </c>
      <c r="X80" s="9">
        <f t="shared" si="60"/>
        <v>0</v>
      </c>
      <c r="Y80" s="9">
        <f t="shared" si="60"/>
        <v>0</v>
      </c>
      <c r="Z80" s="9">
        <f t="shared" si="60"/>
        <v>0</v>
      </c>
      <c r="AA80" s="9">
        <f t="shared" si="60"/>
        <v>0</v>
      </c>
      <c r="AB80" s="9">
        <f t="shared" si="60"/>
        <v>0</v>
      </c>
      <c r="AC80" s="9">
        <f t="shared" si="60"/>
        <v>0</v>
      </c>
      <c r="AD80" s="9">
        <f t="shared" si="60"/>
        <v>0</v>
      </c>
      <c r="AE80" s="9">
        <f t="shared" si="60"/>
        <v>0</v>
      </c>
      <c r="AF80" s="9">
        <f t="shared" si="60"/>
        <v>0</v>
      </c>
      <c r="AG80" s="9">
        <f t="shared" si="60"/>
        <v>0</v>
      </c>
      <c r="AH80" s="9">
        <f t="shared" si="56"/>
        <v>0</v>
      </c>
      <c r="AI80" s="9">
        <f t="shared" si="40"/>
        <v>0</v>
      </c>
      <c r="AJ80" s="10">
        <f t="shared" si="57"/>
        <v>0</v>
      </c>
      <c r="AK80" s="9">
        <f t="shared" si="58"/>
        <v>0</v>
      </c>
    </row>
    <row r="81" spans="1:48">
      <c r="A81" s="9">
        <f t="shared" ref="A81:A92" si="61">A48</f>
        <v>924.54020385742183</v>
      </c>
      <c r="B81" s="9">
        <f>B$72*$A48+B$73</f>
        <v>0</v>
      </c>
      <c r="C81" s="9">
        <f t="shared" ref="C81:AG81" si="62">C$72*$A48+C$73</f>
        <v>0</v>
      </c>
      <c r="D81" s="9">
        <f t="shared" si="62"/>
        <v>0</v>
      </c>
      <c r="E81" s="9">
        <f t="shared" si="62"/>
        <v>0</v>
      </c>
      <c r="F81" s="9">
        <f t="shared" si="62"/>
        <v>0</v>
      </c>
      <c r="G81" s="9">
        <f t="shared" si="62"/>
        <v>0</v>
      </c>
      <c r="H81" s="9">
        <f t="shared" si="62"/>
        <v>0</v>
      </c>
      <c r="I81" s="9">
        <f t="shared" si="62"/>
        <v>0</v>
      </c>
      <c r="J81" s="9">
        <f t="shared" si="62"/>
        <v>0</v>
      </c>
      <c r="K81" s="9">
        <f t="shared" si="62"/>
        <v>0</v>
      </c>
      <c r="L81" s="9">
        <f t="shared" si="62"/>
        <v>0</v>
      </c>
      <c r="M81" s="9">
        <f t="shared" si="62"/>
        <v>0</v>
      </c>
      <c r="N81" s="9">
        <f t="shared" si="62"/>
        <v>0</v>
      </c>
      <c r="O81" s="9">
        <f t="shared" si="62"/>
        <v>0</v>
      </c>
      <c r="P81" s="9">
        <f t="shared" si="62"/>
        <v>0</v>
      </c>
      <c r="Q81" s="9">
        <f t="shared" si="62"/>
        <v>0</v>
      </c>
      <c r="R81" s="9">
        <f t="shared" si="62"/>
        <v>0</v>
      </c>
      <c r="S81" s="9">
        <f t="shared" si="62"/>
        <v>0</v>
      </c>
      <c r="T81" s="9">
        <f t="shared" si="62"/>
        <v>0</v>
      </c>
      <c r="U81" s="9">
        <f t="shared" si="62"/>
        <v>0</v>
      </c>
      <c r="V81" s="9">
        <f t="shared" si="62"/>
        <v>0</v>
      </c>
      <c r="W81" s="9">
        <f t="shared" si="62"/>
        <v>0</v>
      </c>
      <c r="X81" s="9">
        <f t="shared" si="62"/>
        <v>0</v>
      </c>
      <c r="Y81" s="9">
        <f t="shared" si="62"/>
        <v>0</v>
      </c>
      <c r="Z81" s="9">
        <f t="shared" si="62"/>
        <v>0</v>
      </c>
      <c r="AA81" s="9">
        <f t="shared" si="62"/>
        <v>0</v>
      </c>
      <c r="AB81" s="9">
        <f t="shared" si="62"/>
        <v>0</v>
      </c>
      <c r="AC81" s="9">
        <f t="shared" si="62"/>
        <v>0</v>
      </c>
      <c r="AD81" s="9">
        <f t="shared" si="62"/>
        <v>0</v>
      </c>
      <c r="AE81" s="9">
        <f t="shared" si="62"/>
        <v>0</v>
      </c>
      <c r="AF81" s="9">
        <f t="shared" si="62"/>
        <v>0</v>
      </c>
      <c r="AG81" s="9">
        <f t="shared" si="62"/>
        <v>0</v>
      </c>
      <c r="AH81" s="9">
        <f t="shared" ref="AH81:AH92" si="63">STDEV(B81:AG81)</f>
        <v>0</v>
      </c>
      <c r="AI81" s="9">
        <f t="shared" si="40"/>
        <v>0</v>
      </c>
      <c r="AJ81" s="10">
        <f t="shared" ref="AJ81:AJ92" si="64">AVERAGE(B81:AG81)</f>
        <v>0</v>
      </c>
      <c r="AK81" s="9">
        <f t="shared" ref="AK81:AK92" si="65">AJ81+1.5*AH81</f>
        <v>0</v>
      </c>
      <c r="AM81" s="9"/>
      <c r="AN81" s="9"/>
      <c r="AO81" s="9"/>
      <c r="AP81" s="9"/>
      <c r="AQ81" s="9"/>
      <c r="AR81" s="9"/>
      <c r="AS81" s="9"/>
      <c r="AT81" s="9"/>
      <c r="AU81" s="9"/>
      <c r="AV81" s="9"/>
    </row>
    <row r="82" spans="1:48">
      <c r="A82" s="9">
        <f t="shared" si="61"/>
        <v>761.20014648437495</v>
      </c>
      <c r="B82" s="9">
        <f t="shared" ref="B82:AG89" si="66">B$72*$A49+B$73</f>
        <v>0</v>
      </c>
      <c r="C82" s="9">
        <f t="shared" si="66"/>
        <v>0</v>
      </c>
      <c r="D82" s="9">
        <f t="shared" si="66"/>
        <v>0</v>
      </c>
      <c r="E82" s="9">
        <f t="shared" si="66"/>
        <v>0</v>
      </c>
      <c r="F82" s="9">
        <f t="shared" si="66"/>
        <v>0</v>
      </c>
      <c r="G82" s="9">
        <f t="shared" si="66"/>
        <v>0</v>
      </c>
      <c r="H82" s="9">
        <f t="shared" si="66"/>
        <v>0</v>
      </c>
      <c r="I82" s="9">
        <f t="shared" si="66"/>
        <v>0</v>
      </c>
      <c r="J82" s="9">
        <f t="shared" si="66"/>
        <v>0</v>
      </c>
      <c r="K82" s="9">
        <f t="shared" si="66"/>
        <v>0</v>
      </c>
      <c r="L82" s="9">
        <f t="shared" si="66"/>
        <v>0</v>
      </c>
      <c r="M82" s="9">
        <f t="shared" si="66"/>
        <v>0</v>
      </c>
      <c r="N82" s="9">
        <f t="shared" si="66"/>
        <v>0</v>
      </c>
      <c r="O82" s="9">
        <f t="shared" si="66"/>
        <v>0</v>
      </c>
      <c r="P82" s="9">
        <f t="shared" si="66"/>
        <v>0</v>
      </c>
      <c r="Q82" s="9">
        <f t="shared" si="66"/>
        <v>0</v>
      </c>
      <c r="R82" s="9">
        <f t="shared" si="66"/>
        <v>0</v>
      </c>
      <c r="S82" s="9">
        <f t="shared" si="66"/>
        <v>0</v>
      </c>
      <c r="T82" s="9">
        <f t="shared" si="66"/>
        <v>0</v>
      </c>
      <c r="U82" s="9">
        <f t="shared" si="66"/>
        <v>0</v>
      </c>
      <c r="V82" s="9">
        <f t="shared" si="66"/>
        <v>0</v>
      </c>
      <c r="W82" s="9">
        <f t="shared" si="66"/>
        <v>0</v>
      </c>
      <c r="X82" s="9">
        <f t="shared" si="66"/>
        <v>0</v>
      </c>
      <c r="Y82" s="9">
        <f t="shared" si="66"/>
        <v>0</v>
      </c>
      <c r="Z82" s="9">
        <f t="shared" si="66"/>
        <v>0</v>
      </c>
      <c r="AA82" s="9">
        <f t="shared" si="66"/>
        <v>0</v>
      </c>
      <c r="AB82" s="9">
        <f t="shared" si="66"/>
        <v>0</v>
      </c>
      <c r="AC82" s="9">
        <f t="shared" si="66"/>
        <v>0</v>
      </c>
      <c r="AD82" s="9">
        <f t="shared" si="66"/>
        <v>0</v>
      </c>
      <c r="AE82" s="9">
        <f t="shared" si="66"/>
        <v>0</v>
      </c>
      <c r="AF82" s="9">
        <f t="shared" si="66"/>
        <v>0</v>
      </c>
      <c r="AG82" s="9">
        <f t="shared" si="66"/>
        <v>0</v>
      </c>
      <c r="AH82" s="9">
        <f t="shared" si="63"/>
        <v>0</v>
      </c>
      <c r="AI82" s="9">
        <f t="shared" si="40"/>
        <v>0</v>
      </c>
      <c r="AJ82" s="10">
        <f t="shared" si="64"/>
        <v>0</v>
      </c>
      <c r="AK82" s="9">
        <f t="shared" si="65"/>
        <v>0</v>
      </c>
      <c r="AM82" s="9"/>
      <c r="AN82" s="9"/>
      <c r="AO82" s="9"/>
      <c r="AP82" s="9"/>
      <c r="AQ82" s="9"/>
      <c r="AR82" s="9"/>
      <c r="AS82" s="9"/>
      <c r="AT82" s="9"/>
      <c r="AU82" s="9"/>
      <c r="AV82" s="9"/>
    </row>
    <row r="83" spans="1:48">
      <c r="A83" s="9">
        <f t="shared" si="61"/>
        <v>618.7050842285156</v>
      </c>
      <c r="B83" s="9">
        <f t="shared" si="66"/>
        <v>0</v>
      </c>
      <c r="C83" s="9">
        <f t="shared" si="66"/>
        <v>0</v>
      </c>
      <c r="D83" s="9">
        <f t="shared" si="66"/>
        <v>0</v>
      </c>
      <c r="E83" s="9">
        <f t="shared" si="66"/>
        <v>0</v>
      </c>
      <c r="F83" s="9">
        <f t="shared" si="66"/>
        <v>0</v>
      </c>
      <c r="G83" s="9">
        <f t="shared" si="66"/>
        <v>0</v>
      </c>
      <c r="H83" s="9">
        <f t="shared" si="66"/>
        <v>0</v>
      </c>
      <c r="I83" s="9">
        <f t="shared" si="66"/>
        <v>0</v>
      </c>
      <c r="J83" s="9">
        <f t="shared" si="66"/>
        <v>0</v>
      </c>
      <c r="K83" s="9">
        <f t="shared" si="66"/>
        <v>0</v>
      </c>
      <c r="L83" s="9">
        <f t="shared" si="66"/>
        <v>0</v>
      </c>
      <c r="M83" s="9">
        <f t="shared" si="66"/>
        <v>0</v>
      </c>
      <c r="N83" s="9">
        <f t="shared" si="66"/>
        <v>0</v>
      </c>
      <c r="O83" s="9">
        <f t="shared" si="66"/>
        <v>0</v>
      </c>
      <c r="P83" s="9">
        <f t="shared" si="66"/>
        <v>0</v>
      </c>
      <c r="Q83" s="9">
        <f t="shared" si="66"/>
        <v>0</v>
      </c>
      <c r="R83" s="9">
        <f t="shared" si="66"/>
        <v>0</v>
      </c>
      <c r="S83" s="9">
        <f t="shared" si="66"/>
        <v>0</v>
      </c>
      <c r="T83" s="9">
        <f t="shared" si="66"/>
        <v>0</v>
      </c>
      <c r="U83" s="9">
        <f t="shared" si="66"/>
        <v>0</v>
      </c>
      <c r="V83" s="9">
        <f t="shared" si="66"/>
        <v>0</v>
      </c>
      <c r="W83" s="9">
        <f t="shared" si="66"/>
        <v>0</v>
      </c>
      <c r="X83" s="9">
        <f t="shared" si="66"/>
        <v>0</v>
      </c>
      <c r="Y83" s="9">
        <f t="shared" si="66"/>
        <v>0</v>
      </c>
      <c r="Z83" s="9">
        <f t="shared" si="66"/>
        <v>0</v>
      </c>
      <c r="AA83" s="9">
        <f t="shared" si="66"/>
        <v>0</v>
      </c>
      <c r="AB83" s="9">
        <f t="shared" si="66"/>
        <v>0</v>
      </c>
      <c r="AC83" s="9">
        <f t="shared" si="66"/>
        <v>0</v>
      </c>
      <c r="AD83" s="9">
        <f t="shared" si="66"/>
        <v>0</v>
      </c>
      <c r="AE83" s="9">
        <f t="shared" si="66"/>
        <v>0</v>
      </c>
      <c r="AF83" s="9">
        <f t="shared" si="66"/>
        <v>0</v>
      </c>
      <c r="AG83" s="9">
        <f t="shared" si="66"/>
        <v>0</v>
      </c>
      <c r="AH83" s="9">
        <f t="shared" si="63"/>
        <v>0</v>
      </c>
      <c r="AI83" s="9">
        <f t="shared" si="40"/>
        <v>0</v>
      </c>
      <c r="AJ83" s="10">
        <f t="shared" si="64"/>
        <v>0</v>
      </c>
      <c r="AK83" s="9">
        <f t="shared" si="65"/>
        <v>0</v>
      </c>
      <c r="AM83" s="9"/>
      <c r="AN83" s="9"/>
      <c r="AO83" s="9"/>
      <c r="AP83" s="9"/>
      <c r="AQ83" s="9"/>
      <c r="AR83" s="9"/>
      <c r="AS83" s="9"/>
      <c r="AT83" s="9"/>
      <c r="AU83" s="9"/>
      <c r="AV83" s="9"/>
    </row>
    <row r="84" spans="1:48">
      <c r="A84" s="9">
        <f t="shared" si="61"/>
        <v>506.39999389648438</v>
      </c>
      <c r="B84" s="9">
        <f t="shared" si="66"/>
        <v>0</v>
      </c>
      <c r="C84" s="9">
        <f t="shared" si="66"/>
        <v>0</v>
      </c>
      <c r="D84" s="9">
        <f t="shared" si="66"/>
        <v>0</v>
      </c>
      <c r="E84" s="9">
        <f t="shared" si="66"/>
        <v>0</v>
      </c>
      <c r="F84" s="9">
        <f t="shared" si="66"/>
        <v>0</v>
      </c>
      <c r="G84" s="9">
        <f t="shared" si="66"/>
        <v>0</v>
      </c>
      <c r="H84" s="9">
        <f t="shared" si="66"/>
        <v>0</v>
      </c>
      <c r="I84" s="9">
        <f t="shared" si="66"/>
        <v>0</v>
      </c>
      <c r="J84" s="9">
        <f t="shared" si="66"/>
        <v>0</v>
      </c>
      <c r="K84" s="9">
        <f t="shared" si="66"/>
        <v>0</v>
      </c>
      <c r="L84" s="9">
        <f t="shared" si="66"/>
        <v>0</v>
      </c>
      <c r="M84" s="9">
        <f t="shared" si="66"/>
        <v>0</v>
      </c>
      <c r="N84" s="9">
        <f t="shared" si="66"/>
        <v>0</v>
      </c>
      <c r="O84" s="9">
        <f t="shared" si="66"/>
        <v>0</v>
      </c>
      <c r="P84" s="9">
        <f t="shared" si="66"/>
        <v>0</v>
      </c>
      <c r="Q84" s="9">
        <f t="shared" si="66"/>
        <v>0</v>
      </c>
      <c r="R84" s="9">
        <f t="shared" si="66"/>
        <v>0</v>
      </c>
      <c r="S84" s="9">
        <f t="shared" si="66"/>
        <v>0</v>
      </c>
      <c r="T84" s="9">
        <f t="shared" si="66"/>
        <v>0</v>
      </c>
      <c r="U84" s="9">
        <f t="shared" si="66"/>
        <v>0</v>
      </c>
      <c r="V84" s="9">
        <f t="shared" si="66"/>
        <v>0</v>
      </c>
      <c r="W84" s="9">
        <f t="shared" si="66"/>
        <v>0</v>
      </c>
      <c r="X84" s="9">
        <f t="shared" si="66"/>
        <v>0</v>
      </c>
      <c r="Y84" s="9">
        <f t="shared" si="66"/>
        <v>0</v>
      </c>
      <c r="Z84" s="9">
        <f t="shared" si="66"/>
        <v>0</v>
      </c>
      <c r="AA84" s="9">
        <f t="shared" si="66"/>
        <v>0</v>
      </c>
      <c r="AB84" s="9">
        <f t="shared" si="66"/>
        <v>0</v>
      </c>
      <c r="AC84" s="9">
        <f t="shared" si="66"/>
        <v>0</v>
      </c>
      <c r="AD84" s="9">
        <f t="shared" si="66"/>
        <v>0</v>
      </c>
      <c r="AE84" s="9">
        <f t="shared" si="66"/>
        <v>0</v>
      </c>
      <c r="AF84" s="9">
        <f t="shared" si="66"/>
        <v>0</v>
      </c>
      <c r="AG84" s="9">
        <f t="shared" si="66"/>
        <v>0</v>
      </c>
      <c r="AH84" s="9">
        <f t="shared" si="63"/>
        <v>0</v>
      </c>
      <c r="AI84" s="9">
        <f t="shared" si="40"/>
        <v>0</v>
      </c>
      <c r="AJ84" s="10">
        <f t="shared" si="64"/>
        <v>0</v>
      </c>
      <c r="AK84" s="9">
        <f t="shared" si="65"/>
        <v>0</v>
      </c>
      <c r="AM84" s="9"/>
      <c r="AN84" s="9"/>
      <c r="AO84" s="9"/>
      <c r="AP84" s="9"/>
      <c r="AQ84" s="9"/>
      <c r="AR84" s="9"/>
      <c r="AS84" s="9"/>
      <c r="AT84" s="9"/>
      <c r="AU84" s="9"/>
      <c r="AV84" s="9"/>
    </row>
    <row r="85" spans="1:48">
      <c r="A85" s="9">
        <f t="shared" si="61"/>
        <v>421.14996337890625</v>
      </c>
      <c r="B85" s="9">
        <f t="shared" si="66"/>
        <v>0</v>
      </c>
      <c r="C85" s="9">
        <f t="shared" si="66"/>
        <v>0</v>
      </c>
      <c r="D85" s="9">
        <f t="shared" si="66"/>
        <v>0</v>
      </c>
      <c r="E85" s="9">
        <f t="shared" si="66"/>
        <v>0</v>
      </c>
      <c r="F85" s="9">
        <f t="shared" si="66"/>
        <v>0</v>
      </c>
      <c r="G85" s="9">
        <f t="shared" si="66"/>
        <v>0</v>
      </c>
      <c r="H85" s="9">
        <f t="shared" si="66"/>
        <v>0</v>
      </c>
      <c r="I85" s="9">
        <f t="shared" si="66"/>
        <v>0</v>
      </c>
      <c r="J85" s="9">
        <f t="shared" si="66"/>
        <v>0</v>
      </c>
      <c r="K85" s="9">
        <f t="shared" si="66"/>
        <v>0</v>
      </c>
      <c r="L85" s="9">
        <f t="shared" si="66"/>
        <v>0</v>
      </c>
      <c r="M85" s="9">
        <f t="shared" si="66"/>
        <v>0</v>
      </c>
      <c r="N85" s="9">
        <f t="shared" si="66"/>
        <v>0</v>
      </c>
      <c r="O85" s="9">
        <f t="shared" si="66"/>
        <v>0</v>
      </c>
      <c r="P85" s="9">
        <f t="shared" si="66"/>
        <v>0</v>
      </c>
      <c r="Q85" s="9">
        <f t="shared" si="66"/>
        <v>0</v>
      </c>
      <c r="R85" s="9">
        <f t="shared" si="66"/>
        <v>0</v>
      </c>
      <c r="S85" s="9">
        <f t="shared" si="66"/>
        <v>0</v>
      </c>
      <c r="T85" s="9">
        <f t="shared" si="66"/>
        <v>0</v>
      </c>
      <c r="U85" s="9">
        <f t="shared" si="66"/>
        <v>0</v>
      </c>
      <c r="V85" s="9">
        <f t="shared" si="66"/>
        <v>0</v>
      </c>
      <c r="W85" s="9">
        <f t="shared" si="66"/>
        <v>0</v>
      </c>
      <c r="X85" s="9">
        <f t="shared" si="66"/>
        <v>0</v>
      </c>
      <c r="Y85" s="9">
        <f t="shared" si="66"/>
        <v>0</v>
      </c>
      <c r="Z85" s="9">
        <f t="shared" si="66"/>
        <v>0</v>
      </c>
      <c r="AA85" s="9">
        <f t="shared" si="66"/>
        <v>0</v>
      </c>
      <c r="AB85" s="9">
        <f t="shared" si="66"/>
        <v>0</v>
      </c>
      <c r="AC85" s="9">
        <f t="shared" si="66"/>
        <v>0</v>
      </c>
      <c r="AD85" s="9">
        <f t="shared" si="66"/>
        <v>0</v>
      </c>
      <c r="AE85" s="9">
        <f t="shared" si="66"/>
        <v>0</v>
      </c>
      <c r="AF85" s="9">
        <f t="shared" si="66"/>
        <v>0</v>
      </c>
      <c r="AG85" s="9">
        <f t="shared" si="66"/>
        <v>0</v>
      </c>
      <c r="AH85" s="9">
        <f t="shared" si="63"/>
        <v>0</v>
      </c>
      <c r="AI85" s="9">
        <f t="shared" si="40"/>
        <v>0</v>
      </c>
      <c r="AJ85" s="10">
        <f t="shared" si="64"/>
        <v>0</v>
      </c>
      <c r="AK85" s="9">
        <f t="shared" si="65"/>
        <v>0</v>
      </c>
      <c r="AM85" s="9"/>
      <c r="AN85" s="9"/>
      <c r="AO85" s="9"/>
      <c r="AP85" s="9"/>
      <c r="AQ85" s="9"/>
      <c r="AR85" s="9"/>
      <c r="AS85" s="9"/>
      <c r="AT85" s="9"/>
      <c r="AU85" s="9"/>
      <c r="AV85" s="9"/>
    </row>
    <row r="86" spans="1:48">
      <c r="A86" s="9">
        <f t="shared" si="61"/>
        <v>313.39996337890625</v>
      </c>
      <c r="B86" s="9">
        <f t="shared" si="66"/>
        <v>0</v>
      </c>
      <c r="C86" s="9">
        <f t="shared" si="66"/>
        <v>0</v>
      </c>
      <c r="D86" s="9">
        <f t="shared" si="66"/>
        <v>0</v>
      </c>
      <c r="E86" s="9">
        <f t="shared" si="66"/>
        <v>0</v>
      </c>
      <c r="F86" s="9">
        <f t="shared" si="66"/>
        <v>0</v>
      </c>
      <c r="G86" s="9">
        <f t="shared" si="66"/>
        <v>0</v>
      </c>
      <c r="H86" s="9">
        <f t="shared" si="66"/>
        <v>0</v>
      </c>
      <c r="I86" s="9">
        <f t="shared" si="66"/>
        <v>0</v>
      </c>
      <c r="J86" s="9">
        <f t="shared" si="66"/>
        <v>0</v>
      </c>
      <c r="K86" s="9">
        <f t="shared" si="66"/>
        <v>0</v>
      </c>
      <c r="L86" s="9">
        <f t="shared" si="66"/>
        <v>0</v>
      </c>
      <c r="M86" s="9">
        <f t="shared" si="66"/>
        <v>0</v>
      </c>
      <c r="N86" s="9">
        <f t="shared" si="66"/>
        <v>0</v>
      </c>
      <c r="O86" s="9">
        <f t="shared" si="66"/>
        <v>0</v>
      </c>
      <c r="P86" s="9">
        <f t="shared" si="66"/>
        <v>0</v>
      </c>
      <c r="Q86" s="9">
        <f t="shared" si="66"/>
        <v>0</v>
      </c>
      <c r="R86" s="9">
        <f t="shared" si="66"/>
        <v>0</v>
      </c>
      <c r="S86" s="9">
        <f t="shared" si="66"/>
        <v>0</v>
      </c>
      <c r="T86" s="9">
        <f t="shared" si="66"/>
        <v>0</v>
      </c>
      <c r="U86" s="9">
        <f t="shared" si="66"/>
        <v>0</v>
      </c>
      <c r="V86" s="9">
        <f t="shared" si="66"/>
        <v>0</v>
      </c>
      <c r="W86" s="9">
        <f t="shared" si="66"/>
        <v>0</v>
      </c>
      <c r="X86" s="9">
        <f t="shared" si="66"/>
        <v>0</v>
      </c>
      <c r="Y86" s="9">
        <f t="shared" si="66"/>
        <v>0</v>
      </c>
      <c r="Z86" s="9">
        <f t="shared" si="66"/>
        <v>0</v>
      </c>
      <c r="AA86" s="9">
        <f t="shared" si="66"/>
        <v>0</v>
      </c>
      <c r="AB86" s="9">
        <f t="shared" si="66"/>
        <v>0</v>
      </c>
      <c r="AC86" s="9">
        <f t="shared" si="66"/>
        <v>0</v>
      </c>
      <c r="AD86" s="9">
        <f t="shared" si="66"/>
        <v>0</v>
      </c>
      <c r="AE86" s="9">
        <f t="shared" si="66"/>
        <v>0</v>
      </c>
      <c r="AF86" s="9">
        <f t="shared" si="66"/>
        <v>0</v>
      </c>
      <c r="AG86" s="9">
        <f t="shared" si="66"/>
        <v>0</v>
      </c>
      <c r="AH86" s="9">
        <f t="shared" si="63"/>
        <v>0</v>
      </c>
      <c r="AI86" s="9">
        <f t="shared" si="40"/>
        <v>0</v>
      </c>
      <c r="AJ86" s="10">
        <f t="shared" si="64"/>
        <v>0</v>
      </c>
      <c r="AK86" s="9">
        <f t="shared" si="65"/>
        <v>0</v>
      </c>
      <c r="AM86" s="9"/>
      <c r="AN86" s="9"/>
      <c r="AO86" s="9"/>
      <c r="AP86" s="9"/>
      <c r="AQ86" s="9"/>
      <c r="AR86" s="9"/>
      <c r="AS86" s="9"/>
      <c r="AT86" s="9"/>
      <c r="AU86" s="9"/>
      <c r="AV86" s="9"/>
    </row>
    <row r="87" spans="1:48">
      <c r="A87" s="9">
        <f t="shared" si="61"/>
        <v>283.35547790527346</v>
      </c>
      <c r="B87" s="9">
        <f t="shared" si="66"/>
        <v>0</v>
      </c>
      <c r="C87" s="9">
        <f t="shared" si="66"/>
        <v>0</v>
      </c>
      <c r="D87" s="9">
        <f t="shared" si="66"/>
        <v>0</v>
      </c>
      <c r="E87" s="9">
        <f t="shared" si="66"/>
        <v>0</v>
      </c>
      <c r="F87" s="9">
        <f t="shared" si="66"/>
        <v>0</v>
      </c>
      <c r="G87" s="9">
        <f t="shared" si="66"/>
        <v>0</v>
      </c>
      <c r="H87" s="9">
        <f t="shared" si="66"/>
        <v>0</v>
      </c>
      <c r="I87" s="9">
        <f t="shared" si="66"/>
        <v>0</v>
      </c>
      <c r="J87" s="9">
        <f t="shared" si="66"/>
        <v>0</v>
      </c>
      <c r="K87" s="9">
        <f t="shared" si="66"/>
        <v>0</v>
      </c>
      <c r="L87" s="9">
        <f t="shared" si="66"/>
        <v>0</v>
      </c>
      <c r="M87" s="9">
        <f t="shared" si="66"/>
        <v>0</v>
      </c>
      <c r="N87" s="9">
        <f t="shared" si="66"/>
        <v>0</v>
      </c>
      <c r="O87" s="9">
        <f t="shared" si="66"/>
        <v>0</v>
      </c>
      <c r="P87" s="9">
        <f t="shared" si="66"/>
        <v>0</v>
      </c>
      <c r="Q87" s="9">
        <f t="shared" si="66"/>
        <v>0</v>
      </c>
      <c r="R87" s="9">
        <f t="shared" si="66"/>
        <v>0</v>
      </c>
      <c r="S87" s="9">
        <f t="shared" si="66"/>
        <v>0</v>
      </c>
      <c r="T87" s="9">
        <f t="shared" si="66"/>
        <v>0</v>
      </c>
      <c r="U87" s="9">
        <f t="shared" si="66"/>
        <v>0</v>
      </c>
      <c r="V87" s="9">
        <f t="shared" si="66"/>
        <v>0</v>
      </c>
      <c r="W87" s="9">
        <f t="shared" si="66"/>
        <v>0</v>
      </c>
      <c r="X87" s="9">
        <f t="shared" si="66"/>
        <v>0</v>
      </c>
      <c r="Y87" s="9">
        <f t="shared" si="66"/>
        <v>0</v>
      </c>
      <c r="Z87" s="9">
        <f t="shared" si="66"/>
        <v>0</v>
      </c>
      <c r="AA87" s="9">
        <f t="shared" si="66"/>
        <v>0</v>
      </c>
      <c r="AB87" s="9">
        <f t="shared" si="66"/>
        <v>0</v>
      </c>
      <c r="AC87" s="9">
        <f t="shared" si="66"/>
        <v>0</v>
      </c>
      <c r="AD87" s="9">
        <f t="shared" si="66"/>
        <v>0</v>
      </c>
      <c r="AE87" s="9">
        <f t="shared" si="66"/>
        <v>0</v>
      </c>
      <c r="AF87" s="9">
        <f t="shared" si="66"/>
        <v>0</v>
      </c>
      <c r="AG87" s="9">
        <f t="shared" si="66"/>
        <v>0</v>
      </c>
      <c r="AH87" s="9">
        <f t="shared" si="63"/>
        <v>0</v>
      </c>
      <c r="AI87" s="9">
        <f t="shared" si="40"/>
        <v>0</v>
      </c>
      <c r="AJ87" s="10">
        <f t="shared" si="64"/>
        <v>0</v>
      </c>
      <c r="AK87" s="9">
        <f t="shared" si="65"/>
        <v>0</v>
      </c>
      <c r="AM87" s="9"/>
      <c r="AN87" s="9"/>
      <c r="AO87" s="9"/>
      <c r="AP87" s="9"/>
      <c r="AQ87" s="9"/>
      <c r="AR87" s="9"/>
      <c r="AS87" s="9"/>
      <c r="AT87" s="9"/>
      <c r="AU87" s="9"/>
      <c r="AV87" s="9"/>
    </row>
    <row r="88" spans="1:48">
      <c r="A88" s="9">
        <f t="shared" si="61"/>
        <v>233.5469970703125</v>
      </c>
      <c r="B88" s="9">
        <f t="shared" si="66"/>
        <v>0</v>
      </c>
      <c r="C88" s="9">
        <f t="shared" si="66"/>
        <v>0</v>
      </c>
      <c r="D88" s="9">
        <f t="shared" si="66"/>
        <v>0</v>
      </c>
      <c r="E88" s="9">
        <f t="shared" si="66"/>
        <v>0</v>
      </c>
      <c r="F88" s="9">
        <f t="shared" si="66"/>
        <v>0</v>
      </c>
      <c r="G88" s="9">
        <f t="shared" si="66"/>
        <v>0</v>
      </c>
      <c r="H88" s="9">
        <f t="shared" si="66"/>
        <v>0</v>
      </c>
      <c r="I88" s="9">
        <f t="shared" si="66"/>
        <v>0</v>
      </c>
      <c r="J88" s="9">
        <f t="shared" si="66"/>
        <v>0</v>
      </c>
      <c r="K88" s="9">
        <f t="shared" si="66"/>
        <v>0</v>
      </c>
      <c r="L88" s="9">
        <f t="shared" si="66"/>
        <v>0</v>
      </c>
      <c r="M88" s="9">
        <f t="shared" si="66"/>
        <v>0</v>
      </c>
      <c r="N88" s="9">
        <f t="shared" si="66"/>
        <v>0</v>
      </c>
      <c r="O88" s="9">
        <f t="shared" si="66"/>
        <v>0</v>
      </c>
      <c r="P88" s="9">
        <f t="shared" si="66"/>
        <v>0</v>
      </c>
      <c r="Q88" s="9">
        <f t="shared" si="66"/>
        <v>0</v>
      </c>
      <c r="R88" s="9">
        <f t="shared" si="66"/>
        <v>0</v>
      </c>
      <c r="S88" s="9">
        <f t="shared" si="66"/>
        <v>0</v>
      </c>
      <c r="T88" s="9">
        <f t="shared" si="66"/>
        <v>0</v>
      </c>
      <c r="U88" s="9">
        <f t="shared" si="66"/>
        <v>0</v>
      </c>
      <c r="V88" s="9">
        <f t="shared" si="66"/>
        <v>0</v>
      </c>
      <c r="W88" s="9">
        <f t="shared" si="66"/>
        <v>0</v>
      </c>
      <c r="X88" s="9">
        <f t="shared" si="66"/>
        <v>0</v>
      </c>
      <c r="Y88" s="9">
        <f t="shared" si="66"/>
        <v>0</v>
      </c>
      <c r="Z88" s="9">
        <f t="shared" si="66"/>
        <v>0</v>
      </c>
      <c r="AA88" s="9">
        <f t="shared" si="66"/>
        <v>0</v>
      </c>
      <c r="AB88" s="9">
        <f t="shared" si="66"/>
        <v>0</v>
      </c>
      <c r="AC88" s="9">
        <f t="shared" si="66"/>
        <v>0</v>
      </c>
      <c r="AD88" s="9">
        <f t="shared" si="66"/>
        <v>0</v>
      </c>
      <c r="AE88" s="9">
        <f t="shared" si="66"/>
        <v>0</v>
      </c>
      <c r="AF88" s="9">
        <f t="shared" si="66"/>
        <v>0</v>
      </c>
      <c r="AG88" s="9">
        <f t="shared" si="66"/>
        <v>0</v>
      </c>
      <c r="AH88" s="9">
        <f t="shared" si="63"/>
        <v>0</v>
      </c>
      <c r="AI88" s="9">
        <f t="shared" si="40"/>
        <v>0</v>
      </c>
      <c r="AJ88" s="10">
        <f t="shared" si="64"/>
        <v>0</v>
      </c>
      <c r="AK88" s="9">
        <f t="shared" si="65"/>
        <v>0</v>
      </c>
      <c r="AM88" s="9"/>
      <c r="AN88" s="9"/>
      <c r="AO88" s="9"/>
      <c r="AP88" s="9"/>
      <c r="AQ88" s="9"/>
      <c r="AR88" s="9"/>
      <c r="AS88" s="9"/>
      <c r="AT88" s="9"/>
      <c r="AU88" s="9"/>
      <c r="AV88" s="9"/>
    </row>
    <row r="89" spans="1:48">
      <c r="A89" s="9">
        <f t="shared" si="61"/>
        <v>188.09650726318358</v>
      </c>
      <c r="B89" s="9">
        <f t="shared" si="66"/>
        <v>0</v>
      </c>
      <c r="C89" s="9">
        <f t="shared" si="66"/>
        <v>0</v>
      </c>
      <c r="D89" s="9">
        <f t="shared" si="66"/>
        <v>0</v>
      </c>
      <c r="E89" s="9">
        <f t="shared" si="66"/>
        <v>0</v>
      </c>
      <c r="F89" s="9">
        <f t="shared" si="66"/>
        <v>0</v>
      </c>
      <c r="G89" s="9">
        <f t="shared" si="66"/>
        <v>0</v>
      </c>
      <c r="H89" s="9">
        <f t="shared" si="66"/>
        <v>0</v>
      </c>
      <c r="I89" s="9">
        <f t="shared" si="66"/>
        <v>0</v>
      </c>
      <c r="J89" s="9">
        <f t="shared" si="66"/>
        <v>0</v>
      </c>
      <c r="K89" s="9">
        <f t="shared" si="66"/>
        <v>0</v>
      </c>
      <c r="L89" s="9">
        <f t="shared" si="66"/>
        <v>0</v>
      </c>
      <c r="M89" s="9">
        <f t="shared" si="66"/>
        <v>0</v>
      </c>
      <c r="N89" s="9">
        <f t="shared" si="66"/>
        <v>0</v>
      </c>
      <c r="O89" s="9">
        <f t="shared" si="66"/>
        <v>0</v>
      </c>
      <c r="P89" s="9">
        <f t="shared" si="66"/>
        <v>0</v>
      </c>
      <c r="Q89" s="9">
        <f t="shared" si="66"/>
        <v>0</v>
      </c>
      <c r="R89" s="9">
        <f t="shared" si="66"/>
        <v>0</v>
      </c>
      <c r="S89" s="9">
        <f t="shared" si="66"/>
        <v>0</v>
      </c>
      <c r="T89" s="9">
        <f t="shared" si="66"/>
        <v>0</v>
      </c>
      <c r="U89" s="9">
        <f t="shared" si="66"/>
        <v>0</v>
      </c>
      <c r="V89" s="9">
        <f t="shared" si="66"/>
        <v>0</v>
      </c>
      <c r="W89" s="9">
        <f t="shared" si="66"/>
        <v>0</v>
      </c>
      <c r="X89" s="9">
        <f t="shared" si="66"/>
        <v>0</v>
      </c>
      <c r="Y89" s="9">
        <f t="shared" si="66"/>
        <v>0</v>
      </c>
      <c r="Z89" s="9">
        <f t="shared" si="66"/>
        <v>0</v>
      </c>
      <c r="AA89" s="9">
        <f t="shared" si="66"/>
        <v>0</v>
      </c>
      <c r="AB89" s="9">
        <f t="shared" si="66"/>
        <v>0</v>
      </c>
      <c r="AC89" s="9">
        <f t="shared" si="66"/>
        <v>0</v>
      </c>
      <c r="AD89" s="9">
        <f t="shared" si="66"/>
        <v>0</v>
      </c>
      <c r="AE89" s="9">
        <f t="shared" si="66"/>
        <v>0</v>
      </c>
      <c r="AF89" s="9">
        <f t="shared" si="66"/>
        <v>0</v>
      </c>
      <c r="AG89" s="9">
        <f t="shared" ref="AG89" si="67">AG$72*$A56+AG$73</f>
        <v>0</v>
      </c>
      <c r="AH89" s="9">
        <f t="shared" si="63"/>
        <v>0</v>
      </c>
      <c r="AI89" s="9">
        <f t="shared" si="40"/>
        <v>0</v>
      </c>
      <c r="AJ89" s="10">
        <f t="shared" si="64"/>
        <v>0</v>
      </c>
      <c r="AK89" s="9">
        <f t="shared" si="65"/>
        <v>0</v>
      </c>
      <c r="AM89" s="9"/>
      <c r="AN89" s="9"/>
      <c r="AO89" s="9"/>
      <c r="AP89" s="9"/>
      <c r="AQ89" s="9"/>
      <c r="AR89" s="9"/>
      <c r="AS89" s="9"/>
      <c r="AT89" s="9"/>
      <c r="AU89" s="9"/>
      <c r="AV89" s="9"/>
    </row>
    <row r="90" spans="1:48">
      <c r="A90" s="9">
        <f t="shared" si="61"/>
        <v>156.44500579833985</v>
      </c>
      <c r="B90" s="9">
        <f t="shared" ref="B90:AG91" si="68">B$72*$A57+B$73</f>
        <v>0</v>
      </c>
      <c r="C90" s="9">
        <f t="shared" si="68"/>
        <v>0</v>
      </c>
      <c r="D90" s="9">
        <f t="shared" si="68"/>
        <v>0</v>
      </c>
      <c r="E90" s="9">
        <f t="shared" si="68"/>
        <v>0</v>
      </c>
      <c r="F90" s="9">
        <f t="shared" si="68"/>
        <v>0</v>
      </c>
      <c r="G90" s="9">
        <f t="shared" si="68"/>
        <v>0</v>
      </c>
      <c r="H90" s="9">
        <f t="shared" si="68"/>
        <v>0</v>
      </c>
      <c r="I90" s="9">
        <f t="shared" si="68"/>
        <v>0</v>
      </c>
      <c r="J90" s="9">
        <f t="shared" si="68"/>
        <v>0</v>
      </c>
      <c r="K90" s="9">
        <f t="shared" si="68"/>
        <v>0</v>
      </c>
      <c r="L90" s="9">
        <f t="shared" si="68"/>
        <v>0</v>
      </c>
      <c r="M90" s="9">
        <f t="shared" si="68"/>
        <v>0</v>
      </c>
      <c r="N90" s="9">
        <f t="shared" si="68"/>
        <v>0</v>
      </c>
      <c r="O90" s="9">
        <f t="shared" si="68"/>
        <v>0</v>
      </c>
      <c r="P90" s="9">
        <f t="shared" si="68"/>
        <v>0</v>
      </c>
      <c r="Q90" s="9">
        <f t="shared" si="68"/>
        <v>0</v>
      </c>
      <c r="R90" s="9">
        <f t="shared" si="68"/>
        <v>0</v>
      </c>
      <c r="S90" s="9">
        <f t="shared" si="68"/>
        <v>0</v>
      </c>
      <c r="T90" s="9">
        <f t="shared" si="68"/>
        <v>0</v>
      </c>
      <c r="U90" s="9">
        <f t="shared" si="68"/>
        <v>0</v>
      </c>
      <c r="V90" s="9">
        <f t="shared" si="68"/>
        <v>0</v>
      </c>
      <c r="W90" s="9">
        <f t="shared" si="68"/>
        <v>0</v>
      </c>
      <c r="X90" s="9">
        <f t="shared" si="68"/>
        <v>0</v>
      </c>
      <c r="Y90" s="9">
        <f t="shared" si="68"/>
        <v>0</v>
      </c>
      <c r="Z90" s="9">
        <f t="shared" si="68"/>
        <v>0</v>
      </c>
      <c r="AA90" s="9">
        <f t="shared" si="68"/>
        <v>0</v>
      </c>
      <c r="AB90" s="9">
        <f t="shared" si="68"/>
        <v>0</v>
      </c>
      <c r="AC90" s="9">
        <f t="shared" si="68"/>
        <v>0</v>
      </c>
      <c r="AD90" s="9">
        <f t="shared" si="68"/>
        <v>0</v>
      </c>
      <c r="AE90" s="9">
        <f t="shared" si="68"/>
        <v>0</v>
      </c>
      <c r="AF90" s="9">
        <f t="shared" si="68"/>
        <v>0</v>
      </c>
      <c r="AG90" s="9">
        <f t="shared" si="68"/>
        <v>0</v>
      </c>
      <c r="AH90" s="9">
        <f t="shared" si="63"/>
        <v>0</v>
      </c>
      <c r="AI90" s="9">
        <f t="shared" si="40"/>
        <v>0</v>
      </c>
      <c r="AJ90" s="10">
        <f t="shared" si="64"/>
        <v>0</v>
      </c>
      <c r="AK90" s="9">
        <f t="shared" si="65"/>
        <v>0</v>
      </c>
      <c r="AM90" s="9"/>
      <c r="AN90" s="9"/>
      <c r="AO90" s="9"/>
    </row>
    <row r="91" spans="1:48">
      <c r="A91" s="9">
        <f t="shared" si="61"/>
        <v>116.47100143432617</v>
      </c>
      <c r="B91" s="9">
        <f>B$72*$A58+B$73</f>
        <v>0</v>
      </c>
      <c r="C91" s="9">
        <f t="shared" si="68"/>
        <v>0</v>
      </c>
      <c r="D91" s="9">
        <f t="shared" si="68"/>
        <v>0</v>
      </c>
      <c r="E91" s="9">
        <f t="shared" si="68"/>
        <v>0</v>
      </c>
      <c r="F91" s="9">
        <f t="shared" si="68"/>
        <v>0</v>
      </c>
      <c r="G91" s="9">
        <f t="shared" si="68"/>
        <v>0</v>
      </c>
      <c r="H91" s="9">
        <f t="shared" si="68"/>
        <v>0</v>
      </c>
      <c r="I91" s="9">
        <f t="shared" si="68"/>
        <v>0</v>
      </c>
      <c r="J91" s="9">
        <f t="shared" si="68"/>
        <v>0</v>
      </c>
      <c r="K91" s="9">
        <f t="shared" si="68"/>
        <v>0</v>
      </c>
      <c r="L91" s="9">
        <f t="shared" si="68"/>
        <v>0</v>
      </c>
      <c r="M91" s="9">
        <f t="shared" si="68"/>
        <v>0</v>
      </c>
      <c r="N91" s="9">
        <f t="shared" si="68"/>
        <v>0</v>
      </c>
      <c r="O91" s="9">
        <f t="shared" si="68"/>
        <v>0</v>
      </c>
      <c r="P91" s="9">
        <f t="shared" si="68"/>
        <v>0</v>
      </c>
      <c r="Q91" s="9">
        <f t="shared" si="68"/>
        <v>0</v>
      </c>
      <c r="R91" s="9">
        <f t="shared" si="68"/>
        <v>0</v>
      </c>
      <c r="S91" s="9">
        <f t="shared" si="68"/>
        <v>0</v>
      </c>
      <c r="T91" s="9">
        <f t="shared" si="68"/>
        <v>0</v>
      </c>
      <c r="U91" s="9">
        <f t="shared" si="68"/>
        <v>0</v>
      </c>
      <c r="V91" s="9">
        <f t="shared" si="68"/>
        <v>0</v>
      </c>
      <c r="W91" s="9">
        <f t="shared" si="68"/>
        <v>0</v>
      </c>
      <c r="X91" s="9">
        <f t="shared" si="68"/>
        <v>0</v>
      </c>
      <c r="Y91" s="9">
        <f t="shared" si="68"/>
        <v>0</v>
      </c>
      <c r="Z91" s="9">
        <f t="shared" si="68"/>
        <v>0</v>
      </c>
      <c r="AA91" s="9">
        <f t="shared" si="68"/>
        <v>0</v>
      </c>
      <c r="AB91" s="9">
        <f t="shared" si="68"/>
        <v>0</v>
      </c>
      <c r="AC91" s="9">
        <f t="shared" si="68"/>
        <v>0</v>
      </c>
      <c r="AD91" s="9">
        <f t="shared" si="68"/>
        <v>0</v>
      </c>
      <c r="AE91" s="9">
        <f t="shared" si="68"/>
        <v>0</v>
      </c>
      <c r="AF91" s="9">
        <f t="shared" si="68"/>
        <v>0</v>
      </c>
      <c r="AG91" s="9">
        <f t="shared" si="68"/>
        <v>0</v>
      </c>
      <c r="AH91" s="9">
        <f t="shared" si="63"/>
        <v>0</v>
      </c>
      <c r="AI91" s="9">
        <f t="shared" si="40"/>
        <v>0</v>
      </c>
      <c r="AJ91" s="10">
        <f t="shared" si="64"/>
        <v>0</v>
      </c>
      <c r="AK91" s="9">
        <f t="shared" si="65"/>
        <v>0</v>
      </c>
      <c r="AM91" s="9"/>
      <c r="AN91" s="9"/>
      <c r="AO91" s="9"/>
    </row>
    <row r="92" spans="1:48">
      <c r="A92" s="9">
        <f t="shared" si="61"/>
        <v>87.306494903564456</v>
      </c>
      <c r="B92" s="9">
        <f t="shared" ref="B92:AG100" si="69">B$72*$A59+B$73</f>
        <v>0</v>
      </c>
      <c r="C92" s="9">
        <f t="shared" si="69"/>
        <v>0</v>
      </c>
      <c r="D92" s="9">
        <f t="shared" si="69"/>
        <v>0</v>
      </c>
      <c r="E92" s="9">
        <f t="shared" si="69"/>
        <v>0</v>
      </c>
      <c r="F92" s="9">
        <f t="shared" si="69"/>
        <v>0</v>
      </c>
      <c r="G92" s="9">
        <f t="shared" si="69"/>
        <v>0</v>
      </c>
      <c r="H92" s="9">
        <f t="shared" si="69"/>
        <v>0</v>
      </c>
      <c r="I92" s="9">
        <f t="shared" si="69"/>
        <v>0</v>
      </c>
      <c r="J92" s="9">
        <f t="shared" si="69"/>
        <v>0</v>
      </c>
      <c r="K92" s="9">
        <f t="shared" si="69"/>
        <v>0</v>
      </c>
      <c r="L92" s="9">
        <f t="shared" si="69"/>
        <v>0</v>
      </c>
      <c r="M92" s="9">
        <f t="shared" si="69"/>
        <v>0</v>
      </c>
      <c r="N92" s="9">
        <f t="shared" si="69"/>
        <v>0</v>
      </c>
      <c r="O92" s="9">
        <f t="shared" si="69"/>
        <v>0</v>
      </c>
      <c r="P92" s="9">
        <f t="shared" si="69"/>
        <v>0</v>
      </c>
      <c r="Q92" s="9">
        <f t="shared" si="69"/>
        <v>0</v>
      </c>
      <c r="R92" s="9">
        <f t="shared" si="69"/>
        <v>0</v>
      </c>
      <c r="S92" s="9">
        <f t="shared" si="69"/>
        <v>0</v>
      </c>
      <c r="T92" s="9">
        <f t="shared" si="69"/>
        <v>0</v>
      </c>
      <c r="U92" s="9">
        <f t="shared" si="69"/>
        <v>0</v>
      </c>
      <c r="V92" s="9">
        <f t="shared" si="69"/>
        <v>0</v>
      </c>
      <c r="W92" s="9">
        <f t="shared" si="69"/>
        <v>0</v>
      </c>
      <c r="X92" s="9">
        <f t="shared" si="69"/>
        <v>0</v>
      </c>
      <c r="Y92" s="9">
        <f t="shared" si="69"/>
        <v>0</v>
      </c>
      <c r="Z92" s="9">
        <f t="shared" si="69"/>
        <v>0</v>
      </c>
      <c r="AA92" s="9">
        <f t="shared" si="69"/>
        <v>0</v>
      </c>
      <c r="AB92" s="9">
        <f t="shared" si="69"/>
        <v>0</v>
      </c>
      <c r="AC92" s="9">
        <f t="shared" si="69"/>
        <v>0</v>
      </c>
      <c r="AD92" s="9">
        <f t="shared" si="69"/>
        <v>0</v>
      </c>
      <c r="AE92" s="9">
        <f t="shared" si="69"/>
        <v>0</v>
      </c>
      <c r="AF92" s="9">
        <f t="shared" si="69"/>
        <v>0</v>
      </c>
      <c r="AG92" s="9">
        <f t="shared" si="69"/>
        <v>0</v>
      </c>
      <c r="AH92" s="9">
        <f t="shared" si="63"/>
        <v>0</v>
      </c>
      <c r="AI92" s="9">
        <f t="shared" si="40"/>
        <v>0</v>
      </c>
      <c r="AJ92" s="10">
        <f t="shared" si="64"/>
        <v>0</v>
      </c>
      <c r="AK92" s="9">
        <f t="shared" si="65"/>
        <v>0</v>
      </c>
      <c r="AM92" s="9"/>
      <c r="AN92" s="9"/>
      <c r="AO92" s="9"/>
    </row>
    <row r="93" spans="1:48">
      <c r="A93" s="9">
        <f>A60</f>
        <v>21.315652084350585</v>
      </c>
      <c r="B93" s="9">
        <f t="shared" ref="B93:B100" si="70">B$72*$A60+B$73</f>
        <v>0</v>
      </c>
      <c r="C93" s="9">
        <f t="shared" si="69"/>
        <v>0</v>
      </c>
      <c r="D93" s="9">
        <f t="shared" si="69"/>
        <v>0</v>
      </c>
      <c r="E93" s="9">
        <f t="shared" si="69"/>
        <v>0</v>
      </c>
      <c r="F93" s="9">
        <f t="shared" si="69"/>
        <v>0</v>
      </c>
      <c r="G93" s="9">
        <f t="shared" si="69"/>
        <v>0</v>
      </c>
      <c r="H93" s="9">
        <f t="shared" si="69"/>
        <v>0</v>
      </c>
      <c r="I93" s="9">
        <f t="shared" si="69"/>
        <v>0</v>
      </c>
      <c r="J93" s="9">
        <f t="shared" si="69"/>
        <v>0</v>
      </c>
      <c r="K93" s="9">
        <f t="shared" si="69"/>
        <v>0</v>
      </c>
      <c r="L93" s="9">
        <f t="shared" si="69"/>
        <v>0</v>
      </c>
      <c r="M93" s="9">
        <f t="shared" si="69"/>
        <v>0</v>
      </c>
      <c r="N93" s="9">
        <f t="shared" si="69"/>
        <v>0</v>
      </c>
      <c r="O93" s="9">
        <f t="shared" si="69"/>
        <v>0</v>
      </c>
      <c r="P93" s="9">
        <f t="shared" si="69"/>
        <v>0</v>
      </c>
      <c r="Q93" s="9">
        <f t="shared" si="69"/>
        <v>0</v>
      </c>
      <c r="R93" s="9">
        <f t="shared" si="69"/>
        <v>0</v>
      </c>
      <c r="S93" s="9">
        <f t="shared" si="69"/>
        <v>0</v>
      </c>
      <c r="T93" s="9">
        <f t="shared" si="69"/>
        <v>0</v>
      </c>
      <c r="U93" s="9">
        <f t="shared" si="69"/>
        <v>0</v>
      </c>
      <c r="V93" s="9">
        <f t="shared" si="69"/>
        <v>0</v>
      </c>
      <c r="W93" s="9">
        <f t="shared" si="69"/>
        <v>0</v>
      </c>
      <c r="X93" s="9">
        <f t="shared" si="69"/>
        <v>0</v>
      </c>
      <c r="Y93" s="9">
        <f t="shared" si="69"/>
        <v>0</v>
      </c>
      <c r="Z93" s="9">
        <f t="shared" si="69"/>
        <v>0</v>
      </c>
      <c r="AA93" s="9">
        <f t="shared" si="69"/>
        <v>0</v>
      </c>
      <c r="AB93" s="9">
        <f t="shared" si="69"/>
        <v>0</v>
      </c>
      <c r="AC93" s="9">
        <f t="shared" si="69"/>
        <v>0</v>
      </c>
      <c r="AD93" s="9">
        <f t="shared" si="69"/>
        <v>0</v>
      </c>
      <c r="AE93" s="9">
        <f t="shared" si="69"/>
        <v>0</v>
      </c>
      <c r="AF93" s="9">
        <f t="shared" si="69"/>
        <v>0</v>
      </c>
      <c r="AG93" s="9">
        <f t="shared" si="69"/>
        <v>0</v>
      </c>
      <c r="AH93" s="9">
        <f t="shared" si="39"/>
        <v>0</v>
      </c>
      <c r="AI93" s="9">
        <f t="shared" si="40"/>
        <v>0</v>
      </c>
      <c r="AJ93" s="10">
        <f t="shared" si="41"/>
        <v>0</v>
      </c>
      <c r="AK93" s="9">
        <f t="shared" si="42"/>
        <v>0</v>
      </c>
      <c r="AM93" s="9"/>
      <c r="AN93" s="9"/>
      <c r="AO93" s="9"/>
    </row>
    <row r="94" spans="1:48">
      <c r="A94" s="9">
        <f t="shared" ref="A94:A99" si="71">A61</f>
        <v>17.340450096130372</v>
      </c>
      <c r="B94" s="9">
        <f t="shared" si="70"/>
        <v>0</v>
      </c>
      <c r="C94" s="9">
        <f t="shared" si="69"/>
        <v>0</v>
      </c>
      <c r="D94" s="9">
        <f t="shared" si="69"/>
        <v>0</v>
      </c>
      <c r="E94" s="9">
        <f t="shared" si="69"/>
        <v>0</v>
      </c>
      <c r="F94" s="9">
        <f t="shared" si="69"/>
        <v>0</v>
      </c>
      <c r="G94" s="9">
        <f t="shared" si="69"/>
        <v>0</v>
      </c>
      <c r="H94" s="9">
        <f t="shared" si="69"/>
        <v>0</v>
      </c>
      <c r="I94" s="9">
        <f t="shared" si="69"/>
        <v>0</v>
      </c>
      <c r="J94" s="9">
        <f t="shared" si="69"/>
        <v>0</v>
      </c>
      <c r="K94" s="9">
        <f t="shared" si="69"/>
        <v>0</v>
      </c>
      <c r="L94" s="9">
        <f t="shared" si="69"/>
        <v>0</v>
      </c>
      <c r="M94" s="9">
        <f t="shared" si="69"/>
        <v>0</v>
      </c>
      <c r="N94" s="9">
        <f t="shared" si="69"/>
        <v>0</v>
      </c>
      <c r="O94" s="9">
        <f t="shared" si="69"/>
        <v>0</v>
      </c>
      <c r="P94" s="9">
        <f t="shared" si="69"/>
        <v>0</v>
      </c>
      <c r="Q94" s="9">
        <f t="shared" si="69"/>
        <v>0</v>
      </c>
      <c r="R94" s="9">
        <f t="shared" si="69"/>
        <v>0</v>
      </c>
      <c r="S94" s="9">
        <f t="shared" si="69"/>
        <v>0</v>
      </c>
      <c r="T94" s="9">
        <f t="shared" si="69"/>
        <v>0</v>
      </c>
      <c r="U94" s="9">
        <f t="shared" si="69"/>
        <v>0</v>
      </c>
      <c r="V94" s="9">
        <f t="shared" si="69"/>
        <v>0</v>
      </c>
      <c r="W94" s="9">
        <f t="shared" si="69"/>
        <v>0</v>
      </c>
      <c r="X94" s="9">
        <f t="shared" si="69"/>
        <v>0</v>
      </c>
      <c r="Y94" s="9">
        <f t="shared" si="69"/>
        <v>0</v>
      </c>
      <c r="Z94" s="9">
        <f t="shared" si="69"/>
        <v>0</v>
      </c>
      <c r="AA94" s="9">
        <f t="shared" si="69"/>
        <v>0</v>
      </c>
      <c r="AB94" s="9">
        <f t="shared" si="69"/>
        <v>0</v>
      </c>
      <c r="AC94" s="9">
        <f t="shared" si="69"/>
        <v>0</v>
      </c>
      <c r="AD94" s="9">
        <f t="shared" si="69"/>
        <v>0</v>
      </c>
      <c r="AE94" s="9">
        <f t="shared" si="69"/>
        <v>0</v>
      </c>
      <c r="AF94" s="9">
        <f t="shared" si="69"/>
        <v>0</v>
      </c>
      <c r="AG94" s="9">
        <f t="shared" si="69"/>
        <v>0</v>
      </c>
      <c r="AH94" s="9">
        <f t="shared" si="39"/>
        <v>0</v>
      </c>
      <c r="AI94" s="9">
        <f t="shared" si="40"/>
        <v>0</v>
      </c>
      <c r="AJ94" s="10">
        <f t="shared" si="41"/>
        <v>0</v>
      </c>
      <c r="AK94" s="9">
        <f t="shared" si="42"/>
        <v>0</v>
      </c>
      <c r="AM94" s="9"/>
      <c r="AN94" s="9"/>
      <c r="AO94" s="9"/>
    </row>
    <row r="95" spans="1:48">
      <c r="A95" s="9">
        <f t="shared" si="71"/>
        <v>14.188851261138916</v>
      </c>
      <c r="B95" s="9">
        <f t="shared" si="70"/>
        <v>0</v>
      </c>
      <c r="C95" s="9">
        <f t="shared" si="69"/>
        <v>0</v>
      </c>
      <c r="D95" s="9">
        <f t="shared" si="69"/>
        <v>0</v>
      </c>
      <c r="E95" s="9">
        <f t="shared" si="69"/>
        <v>0</v>
      </c>
      <c r="F95" s="9">
        <f t="shared" si="69"/>
        <v>0</v>
      </c>
      <c r="G95" s="9">
        <f t="shared" si="69"/>
        <v>0</v>
      </c>
      <c r="H95" s="9">
        <f t="shared" si="69"/>
        <v>0</v>
      </c>
      <c r="I95" s="9">
        <f t="shared" si="69"/>
        <v>0</v>
      </c>
      <c r="J95" s="9">
        <f t="shared" si="69"/>
        <v>0</v>
      </c>
      <c r="K95" s="9">
        <f t="shared" si="69"/>
        <v>0</v>
      </c>
      <c r="L95" s="9">
        <f t="shared" si="69"/>
        <v>0</v>
      </c>
      <c r="M95" s="9">
        <f t="shared" si="69"/>
        <v>0</v>
      </c>
      <c r="N95" s="9">
        <f t="shared" si="69"/>
        <v>0</v>
      </c>
      <c r="O95" s="9">
        <f t="shared" si="69"/>
        <v>0</v>
      </c>
      <c r="P95" s="9">
        <f t="shared" si="69"/>
        <v>0</v>
      </c>
      <c r="Q95" s="9">
        <f t="shared" si="69"/>
        <v>0</v>
      </c>
      <c r="R95" s="9">
        <f t="shared" si="69"/>
        <v>0</v>
      </c>
      <c r="S95" s="9">
        <f t="shared" si="69"/>
        <v>0</v>
      </c>
      <c r="T95" s="9">
        <f t="shared" si="69"/>
        <v>0</v>
      </c>
      <c r="U95" s="9">
        <f t="shared" si="69"/>
        <v>0</v>
      </c>
      <c r="V95" s="9">
        <f t="shared" si="69"/>
        <v>0</v>
      </c>
      <c r="W95" s="9">
        <f t="shared" si="69"/>
        <v>0</v>
      </c>
      <c r="X95" s="9">
        <f t="shared" si="69"/>
        <v>0</v>
      </c>
      <c r="Y95" s="9">
        <f t="shared" si="69"/>
        <v>0</v>
      </c>
      <c r="Z95" s="9">
        <f t="shared" si="69"/>
        <v>0</v>
      </c>
      <c r="AA95" s="9">
        <f t="shared" si="69"/>
        <v>0</v>
      </c>
      <c r="AB95" s="9">
        <f t="shared" si="69"/>
        <v>0</v>
      </c>
      <c r="AC95" s="9">
        <f t="shared" si="69"/>
        <v>0</v>
      </c>
      <c r="AD95" s="9">
        <f t="shared" si="69"/>
        <v>0</v>
      </c>
      <c r="AE95" s="9">
        <f t="shared" si="69"/>
        <v>0</v>
      </c>
      <c r="AF95" s="9">
        <f t="shared" si="69"/>
        <v>0</v>
      </c>
      <c r="AG95" s="9">
        <f t="shared" si="69"/>
        <v>0</v>
      </c>
      <c r="AH95" s="9">
        <f t="shared" si="39"/>
        <v>0</v>
      </c>
      <c r="AI95" s="9">
        <f t="shared" si="40"/>
        <v>0</v>
      </c>
      <c r="AJ95" s="10">
        <f t="shared" si="41"/>
        <v>0</v>
      </c>
      <c r="AK95" s="9">
        <f t="shared" si="42"/>
        <v>0</v>
      </c>
      <c r="AM95" s="9"/>
      <c r="AN95" s="9"/>
      <c r="AO95" s="9"/>
    </row>
    <row r="96" spans="1:48">
      <c r="A96" s="9">
        <f t="shared" si="71"/>
        <v>11.795599174499511</v>
      </c>
      <c r="B96" s="9">
        <f t="shared" si="70"/>
        <v>0</v>
      </c>
      <c r="C96" s="9">
        <f t="shared" si="69"/>
        <v>0</v>
      </c>
      <c r="D96" s="9">
        <f t="shared" si="69"/>
        <v>0</v>
      </c>
      <c r="E96" s="9">
        <f t="shared" si="69"/>
        <v>0</v>
      </c>
      <c r="F96" s="9">
        <f t="shared" si="69"/>
        <v>0</v>
      </c>
      <c r="G96" s="9">
        <f t="shared" si="69"/>
        <v>0</v>
      </c>
      <c r="H96" s="9">
        <f t="shared" si="69"/>
        <v>0</v>
      </c>
      <c r="I96" s="9">
        <f t="shared" si="69"/>
        <v>0</v>
      </c>
      <c r="J96" s="9">
        <f t="shared" si="69"/>
        <v>0</v>
      </c>
      <c r="K96" s="9">
        <f t="shared" si="69"/>
        <v>0</v>
      </c>
      <c r="L96" s="9">
        <f t="shared" si="69"/>
        <v>0</v>
      </c>
      <c r="M96" s="9">
        <f t="shared" si="69"/>
        <v>0</v>
      </c>
      <c r="N96" s="9">
        <f t="shared" si="69"/>
        <v>0</v>
      </c>
      <c r="O96" s="9">
        <f t="shared" si="69"/>
        <v>0</v>
      </c>
      <c r="P96" s="9">
        <f t="shared" si="69"/>
        <v>0</v>
      </c>
      <c r="Q96" s="9">
        <f t="shared" si="69"/>
        <v>0</v>
      </c>
      <c r="R96" s="9">
        <f t="shared" si="69"/>
        <v>0</v>
      </c>
      <c r="S96" s="9">
        <f t="shared" si="69"/>
        <v>0</v>
      </c>
      <c r="T96" s="9">
        <f t="shared" si="69"/>
        <v>0</v>
      </c>
      <c r="U96" s="9">
        <f t="shared" si="69"/>
        <v>0</v>
      </c>
      <c r="V96" s="9">
        <f t="shared" si="69"/>
        <v>0</v>
      </c>
      <c r="W96" s="9">
        <f t="shared" si="69"/>
        <v>0</v>
      </c>
      <c r="X96" s="9">
        <f t="shared" si="69"/>
        <v>0</v>
      </c>
      <c r="Y96" s="9">
        <f t="shared" si="69"/>
        <v>0</v>
      </c>
      <c r="Z96" s="9">
        <f t="shared" si="69"/>
        <v>0</v>
      </c>
      <c r="AA96" s="9">
        <f t="shared" si="69"/>
        <v>0</v>
      </c>
      <c r="AB96" s="9">
        <f t="shared" si="69"/>
        <v>0</v>
      </c>
      <c r="AC96" s="9">
        <f t="shared" si="69"/>
        <v>0</v>
      </c>
      <c r="AD96" s="9">
        <f t="shared" si="69"/>
        <v>0</v>
      </c>
      <c r="AE96" s="9">
        <f t="shared" si="69"/>
        <v>0</v>
      </c>
      <c r="AF96" s="9">
        <f t="shared" si="69"/>
        <v>0</v>
      </c>
      <c r="AG96" s="9">
        <f t="shared" si="69"/>
        <v>0</v>
      </c>
      <c r="AH96" s="9">
        <f t="shared" si="39"/>
        <v>0</v>
      </c>
      <c r="AI96" s="9">
        <f t="shared" si="40"/>
        <v>0</v>
      </c>
      <c r="AJ96" s="10">
        <f t="shared" si="41"/>
        <v>0</v>
      </c>
      <c r="AK96" s="9">
        <f t="shared" si="42"/>
        <v>0</v>
      </c>
      <c r="AM96" s="9"/>
      <c r="AN96" s="9"/>
      <c r="AO96" s="9"/>
    </row>
    <row r="97" spans="1:41">
      <c r="A97" s="9">
        <f t="shared" si="71"/>
        <v>8.797748947143555</v>
      </c>
      <c r="B97" s="9">
        <f t="shared" si="70"/>
        <v>0</v>
      </c>
      <c r="C97" s="9">
        <f t="shared" si="69"/>
        <v>0</v>
      </c>
      <c r="D97" s="9">
        <f t="shared" si="69"/>
        <v>0</v>
      </c>
      <c r="E97" s="9">
        <f t="shared" si="69"/>
        <v>0</v>
      </c>
      <c r="F97" s="9">
        <f t="shared" si="69"/>
        <v>0</v>
      </c>
      <c r="G97" s="9">
        <f t="shared" si="69"/>
        <v>0</v>
      </c>
      <c r="H97" s="9">
        <f t="shared" si="69"/>
        <v>0</v>
      </c>
      <c r="I97" s="9">
        <f t="shared" si="69"/>
        <v>0</v>
      </c>
      <c r="J97" s="9">
        <f t="shared" si="69"/>
        <v>0</v>
      </c>
      <c r="K97" s="9">
        <f t="shared" si="69"/>
        <v>0</v>
      </c>
      <c r="L97" s="9">
        <f t="shared" si="69"/>
        <v>0</v>
      </c>
      <c r="M97" s="9">
        <f t="shared" si="69"/>
        <v>0</v>
      </c>
      <c r="N97" s="9">
        <f t="shared" si="69"/>
        <v>0</v>
      </c>
      <c r="O97" s="9">
        <f t="shared" si="69"/>
        <v>0</v>
      </c>
      <c r="P97" s="9">
        <f t="shared" si="69"/>
        <v>0</v>
      </c>
      <c r="Q97" s="9">
        <f t="shared" si="69"/>
        <v>0</v>
      </c>
      <c r="R97" s="9">
        <f t="shared" si="69"/>
        <v>0</v>
      </c>
      <c r="S97" s="9">
        <f t="shared" si="69"/>
        <v>0</v>
      </c>
      <c r="T97" s="9">
        <f t="shared" si="69"/>
        <v>0</v>
      </c>
      <c r="U97" s="9">
        <f t="shared" si="69"/>
        <v>0</v>
      </c>
      <c r="V97" s="9">
        <f t="shared" si="69"/>
        <v>0</v>
      </c>
      <c r="W97" s="9">
        <f t="shared" si="69"/>
        <v>0</v>
      </c>
      <c r="X97" s="9">
        <f t="shared" si="69"/>
        <v>0</v>
      </c>
      <c r="Y97" s="9">
        <f t="shared" si="69"/>
        <v>0</v>
      </c>
      <c r="Z97" s="9">
        <f t="shared" si="69"/>
        <v>0</v>
      </c>
      <c r="AA97" s="9">
        <f t="shared" si="69"/>
        <v>0</v>
      </c>
      <c r="AB97" s="9">
        <f t="shared" si="69"/>
        <v>0</v>
      </c>
      <c r="AC97" s="9">
        <f t="shared" si="69"/>
        <v>0</v>
      </c>
      <c r="AD97" s="9">
        <f t="shared" si="69"/>
        <v>0</v>
      </c>
      <c r="AE97" s="9">
        <f t="shared" si="69"/>
        <v>0</v>
      </c>
      <c r="AF97" s="9">
        <f t="shared" si="69"/>
        <v>0</v>
      </c>
      <c r="AG97" s="9">
        <f t="shared" si="69"/>
        <v>0</v>
      </c>
      <c r="AH97" s="9">
        <f t="shared" si="39"/>
        <v>0</v>
      </c>
      <c r="AI97" s="9">
        <f t="shared" si="40"/>
        <v>0</v>
      </c>
      <c r="AJ97" s="10">
        <f t="shared" si="41"/>
        <v>0</v>
      </c>
      <c r="AK97" s="9">
        <f t="shared" si="42"/>
        <v>0</v>
      </c>
      <c r="AM97" s="9"/>
      <c r="AN97" s="9"/>
      <c r="AO97" s="9"/>
    </row>
    <row r="98" spans="1:41">
      <c r="A98" s="9">
        <f t="shared" si="71"/>
        <v>6.5973999023437502</v>
      </c>
      <c r="B98" s="9">
        <f t="shared" si="70"/>
        <v>0</v>
      </c>
      <c r="C98" s="9">
        <f t="shared" si="69"/>
        <v>0</v>
      </c>
      <c r="D98" s="9">
        <f t="shared" si="69"/>
        <v>0</v>
      </c>
      <c r="E98" s="9">
        <f t="shared" si="69"/>
        <v>0</v>
      </c>
      <c r="F98" s="9">
        <f t="shared" si="69"/>
        <v>0</v>
      </c>
      <c r="G98" s="9">
        <f t="shared" si="69"/>
        <v>0</v>
      </c>
      <c r="H98" s="9">
        <f t="shared" si="69"/>
        <v>0</v>
      </c>
      <c r="I98" s="9">
        <f t="shared" si="69"/>
        <v>0</v>
      </c>
      <c r="J98" s="9">
        <f t="shared" si="69"/>
        <v>0</v>
      </c>
      <c r="K98" s="9">
        <f t="shared" si="69"/>
        <v>0</v>
      </c>
      <c r="L98" s="9">
        <f t="shared" si="69"/>
        <v>0</v>
      </c>
      <c r="M98" s="9">
        <f t="shared" si="69"/>
        <v>0</v>
      </c>
      <c r="N98" s="9">
        <f t="shared" si="69"/>
        <v>0</v>
      </c>
      <c r="O98" s="9">
        <f t="shared" si="69"/>
        <v>0</v>
      </c>
      <c r="P98" s="9">
        <f t="shared" si="69"/>
        <v>0</v>
      </c>
      <c r="Q98" s="9">
        <f t="shared" si="69"/>
        <v>0</v>
      </c>
      <c r="R98" s="9">
        <f t="shared" si="69"/>
        <v>0</v>
      </c>
      <c r="S98" s="9">
        <f t="shared" si="69"/>
        <v>0</v>
      </c>
      <c r="T98" s="9">
        <f t="shared" si="69"/>
        <v>0</v>
      </c>
      <c r="U98" s="9">
        <f t="shared" si="69"/>
        <v>0</v>
      </c>
      <c r="V98" s="9">
        <f t="shared" si="69"/>
        <v>0</v>
      </c>
      <c r="W98" s="9">
        <f t="shared" si="69"/>
        <v>0</v>
      </c>
      <c r="X98" s="9">
        <f t="shared" si="69"/>
        <v>0</v>
      </c>
      <c r="Y98" s="9">
        <f t="shared" si="69"/>
        <v>0</v>
      </c>
      <c r="Z98" s="9">
        <f t="shared" si="69"/>
        <v>0</v>
      </c>
      <c r="AA98" s="9">
        <f t="shared" si="69"/>
        <v>0</v>
      </c>
      <c r="AB98" s="9">
        <f t="shared" si="69"/>
        <v>0</v>
      </c>
      <c r="AC98" s="9">
        <f t="shared" si="69"/>
        <v>0</v>
      </c>
      <c r="AD98" s="9">
        <f t="shared" si="69"/>
        <v>0</v>
      </c>
      <c r="AE98" s="9">
        <f t="shared" si="69"/>
        <v>0</v>
      </c>
      <c r="AF98" s="9">
        <f t="shared" si="69"/>
        <v>0</v>
      </c>
      <c r="AG98" s="9">
        <f t="shared" si="69"/>
        <v>0</v>
      </c>
      <c r="AH98" s="9">
        <f t="shared" si="39"/>
        <v>0</v>
      </c>
      <c r="AI98" s="9">
        <f t="shared" si="40"/>
        <v>0</v>
      </c>
      <c r="AJ98" s="10">
        <f t="shared" si="41"/>
        <v>0</v>
      </c>
      <c r="AK98" s="9">
        <f t="shared" si="42"/>
        <v>0</v>
      </c>
      <c r="AM98" s="9"/>
      <c r="AN98" s="9"/>
      <c r="AO98" s="9"/>
    </row>
    <row r="99" spans="1:41">
      <c r="A99" s="9">
        <f t="shared" si="71"/>
        <v>2.3447998762130737</v>
      </c>
      <c r="B99" s="9">
        <f t="shared" si="70"/>
        <v>0</v>
      </c>
      <c r="C99" s="9">
        <f t="shared" si="69"/>
        <v>0</v>
      </c>
      <c r="D99" s="9">
        <f t="shared" si="69"/>
        <v>0</v>
      </c>
      <c r="E99" s="9">
        <f t="shared" si="69"/>
        <v>0</v>
      </c>
      <c r="F99" s="9">
        <f t="shared" si="69"/>
        <v>0</v>
      </c>
      <c r="G99" s="9">
        <f t="shared" si="69"/>
        <v>0</v>
      </c>
      <c r="H99" s="9">
        <f t="shared" si="69"/>
        <v>0</v>
      </c>
      <c r="I99" s="9">
        <f t="shared" si="69"/>
        <v>0</v>
      </c>
      <c r="J99" s="9">
        <f t="shared" si="69"/>
        <v>0</v>
      </c>
      <c r="K99" s="9">
        <f t="shared" si="69"/>
        <v>0</v>
      </c>
      <c r="L99" s="9">
        <f t="shared" si="69"/>
        <v>0</v>
      </c>
      <c r="M99" s="9">
        <f t="shared" si="69"/>
        <v>0</v>
      </c>
      <c r="N99" s="9">
        <f t="shared" si="69"/>
        <v>0</v>
      </c>
      <c r="O99" s="9">
        <f t="shared" si="69"/>
        <v>0</v>
      </c>
      <c r="P99" s="9">
        <f t="shared" si="69"/>
        <v>0</v>
      </c>
      <c r="Q99" s="9">
        <f t="shared" si="69"/>
        <v>0</v>
      </c>
      <c r="R99" s="9">
        <f t="shared" si="69"/>
        <v>0</v>
      </c>
      <c r="S99" s="9">
        <f t="shared" si="69"/>
        <v>0</v>
      </c>
      <c r="T99" s="9">
        <f t="shared" si="69"/>
        <v>0</v>
      </c>
      <c r="U99" s="9">
        <f t="shared" si="69"/>
        <v>0</v>
      </c>
      <c r="V99" s="9">
        <f t="shared" si="69"/>
        <v>0</v>
      </c>
      <c r="W99" s="9">
        <f t="shared" si="69"/>
        <v>0</v>
      </c>
      <c r="X99" s="9">
        <f t="shared" si="69"/>
        <v>0</v>
      </c>
      <c r="Y99" s="9">
        <f t="shared" si="69"/>
        <v>0</v>
      </c>
      <c r="Z99" s="9">
        <f t="shared" si="69"/>
        <v>0</v>
      </c>
      <c r="AA99" s="9">
        <f t="shared" si="69"/>
        <v>0</v>
      </c>
      <c r="AB99" s="9">
        <f t="shared" si="69"/>
        <v>0</v>
      </c>
      <c r="AC99" s="9">
        <f t="shared" si="69"/>
        <v>0</v>
      </c>
      <c r="AD99" s="9">
        <f t="shared" si="69"/>
        <v>0</v>
      </c>
      <c r="AE99" s="9">
        <f t="shared" si="69"/>
        <v>0</v>
      </c>
      <c r="AF99" s="9">
        <f t="shared" si="69"/>
        <v>0</v>
      </c>
      <c r="AG99" s="9">
        <f t="shared" si="69"/>
        <v>0</v>
      </c>
      <c r="AH99" s="9">
        <f t="shared" si="39"/>
        <v>0</v>
      </c>
      <c r="AI99" s="9">
        <f t="shared" si="40"/>
        <v>0</v>
      </c>
      <c r="AJ99" s="10">
        <f t="shared" si="41"/>
        <v>0</v>
      </c>
      <c r="AK99" s="9">
        <f t="shared" si="42"/>
        <v>0</v>
      </c>
      <c r="AM99" s="9"/>
      <c r="AN99" s="9"/>
      <c r="AO99" s="9"/>
    </row>
    <row r="100" spans="1:41">
      <c r="A100" s="9">
        <f>A67</f>
        <v>1.9071000814437866</v>
      </c>
      <c r="B100" s="9">
        <f t="shared" si="70"/>
        <v>0</v>
      </c>
      <c r="C100" s="9">
        <f t="shared" si="69"/>
        <v>0</v>
      </c>
      <c r="D100" s="9">
        <f t="shared" si="69"/>
        <v>0</v>
      </c>
      <c r="E100" s="9">
        <f t="shared" si="69"/>
        <v>0</v>
      </c>
      <c r="F100" s="9">
        <f t="shared" si="69"/>
        <v>0</v>
      </c>
      <c r="G100" s="9">
        <f t="shared" si="69"/>
        <v>0</v>
      </c>
      <c r="H100" s="9">
        <f t="shared" si="69"/>
        <v>0</v>
      </c>
      <c r="I100" s="9">
        <f t="shared" ref="I100:AG100" si="72">I$72*$A67+I$73</f>
        <v>0</v>
      </c>
      <c r="J100" s="9">
        <f t="shared" si="72"/>
        <v>0</v>
      </c>
      <c r="K100" s="9">
        <f t="shared" si="72"/>
        <v>0</v>
      </c>
      <c r="L100" s="9">
        <f t="shared" si="72"/>
        <v>0</v>
      </c>
      <c r="M100" s="9">
        <f t="shared" si="72"/>
        <v>0</v>
      </c>
      <c r="N100" s="9">
        <f t="shared" si="72"/>
        <v>0</v>
      </c>
      <c r="O100" s="9">
        <f t="shared" si="72"/>
        <v>0</v>
      </c>
      <c r="P100" s="9">
        <f t="shared" si="72"/>
        <v>0</v>
      </c>
      <c r="Q100" s="9">
        <f t="shared" si="72"/>
        <v>0</v>
      </c>
      <c r="R100" s="9">
        <f t="shared" si="72"/>
        <v>0</v>
      </c>
      <c r="S100" s="9">
        <f t="shared" si="72"/>
        <v>0</v>
      </c>
      <c r="T100" s="9">
        <f t="shared" si="72"/>
        <v>0</v>
      </c>
      <c r="U100" s="9">
        <f t="shared" si="72"/>
        <v>0</v>
      </c>
      <c r="V100" s="9">
        <f t="shared" si="72"/>
        <v>0</v>
      </c>
      <c r="W100" s="9">
        <f t="shared" si="72"/>
        <v>0</v>
      </c>
      <c r="X100" s="9">
        <f t="shared" si="72"/>
        <v>0</v>
      </c>
      <c r="Y100" s="9">
        <f t="shared" si="72"/>
        <v>0</v>
      </c>
      <c r="Z100" s="9">
        <f t="shared" si="72"/>
        <v>0</v>
      </c>
      <c r="AA100" s="9">
        <f t="shared" si="72"/>
        <v>0</v>
      </c>
      <c r="AB100" s="9">
        <f t="shared" si="72"/>
        <v>0</v>
      </c>
      <c r="AC100" s="9">
        <f t="shared" si="72"/>
        <v>0</v>
      </c>
      <c r="AD100" s="9">
        <f t="shared" si="72"/>
        <v>0</v>
      </c>
      <c r="AE100" s="9">
        <f t="shared" si="72"/>
        <v>0</v>
      </c>
      <c r="AF100" s="9">
        <f t="shared" si="72"/>
        <v>0</v>
      </c>
      <c r="AG100" s="9">
        <f t="shared" si="72"/>
        <v>0</v>
      </c>
      <c r="AH100" s="9">
        <f t="shared" si="39"/>
        <v>0</v>
      </c>
      <c r="AI100" s="9">
        <f t="shared" si="40"/>
        <v>0</v>
      </c>
      <c r="AJ100" s="10">
        <f t="shared" si="41"/>
        <v>0</v>
      </c>
      <c r="AK100" s="9">
        <f t="shared" si="42"/>
        <v>0</v>
      </c>
      <c r="AM100" s="9"/>
      <c r="AN100" s="9"/>
      <c r="AO100" s="9"/>
    </row>
    <row r="101" spans="1:4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10"/>
      <c r="AK101" s="9"/>
      <c r="AM101" s="9"/>
      <c r="AN101" s="9"/>
      <c r="AO101" s="9"/>
    </row>
    <row r="102" spans="1:41"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F102" s="9"/>
      <c r="AG102" s="9"/>
      <c r="AH102" s="9"/>
      <c r="AI102" s="9"/>
      <c r="AJ102" s="10"/>
      <c r="AK102" s="9"/>
      <c r="AM102" s="9"/>
      <c r="AN102" s="9"/>
      <c r="AO102" s="9"/>
    </row>
    <row r="103" spans="1:41">
      <c r="A103" s="9"/>
      <c r="B103" s="9">
        <f>B75</f>
        <v>0</v>
      </c>
      <c r="C103" s="9">
        <f t="shared" ref="C103:AK103" si="73">C75</f>
        <v>1</v>
      </c>
      <c r="D103" s="9">
        <f t="shared" si="73"/>
        <v>2</v>
      </c>
      <c r="E103" s="9">
        <f t="shared" si="73"/>
        <v>3</v>
      </c>
      <c r="F103" s="9">
        <f t="shared" si="73"/>
        <v>4</v>
      </c>
      <c r="G103" s="9">
        <f t="shared" si="73"/>
        <v>5</v>
      </c>
      <c r="H103" s="9">
        <f t="shared" si="73"/>
        <v>6</v>
      </c>
      <c r="I103" s="9">
        <f t="shared" si="73"/>
        <v>7</v>
      </c>
      <c r="J103" s="9">
        <f t="shared" si="73"/>
        <v>8</v>
      </c>
      <c r="K103" s="9">
        <f t="shared" si="73"/>
        <v>9</v>
      </c>
      <c r="L103" s="9">
        <f t="shared" si="73"/>
        <v>10</v>
      </c>
      <c r="M103" s="9">
        <f t="shared" si="73"/>
        <v>11</v>
      </c>
      <c r="N103" s="9">
        <f t="shared" si="73"/>
        <v>12</v>
      </c>
      <c r="O103" s="9">
        <f t="shared" si="73"/>
        <v>13</v>
      </c>
      <c r="P103" s="9">
        <f t="shared" si="73"/>
        <v>14</v>
      </c>
      <c r="Q103" s="9">
        <f t="shared" si="73"/>
        <v>15</v>
      </c>
      <c r="R103" s="9">
        <f t="shared" si="73"/>
        <v>16</v>
      </c>
      <c r="S103" s="9">
        <f t="shared" si="73"/>
        <v>17</v>
      </c>
      <c r="T103" s="9">
        <f t="shared" si="73"/>
        <v>18</v>
      </c>
      <c r="U103" s="9">
        <f t="shared" si="73"/>
        <v>19</v>
      </c>
      <c r="V103" s="9">
        <f t="shared" si="73"/>
        <v>20</v>
      </c>
      <c r="W103" s="9">
        <f t="shared" si="73"/>
        <v>21</v>
      </c>
      <c r="X103" s="9">
        <f t="shared" si="73"/>
        <v>22</v>
      </c>
      <c r="Y103" s="9">
        <f t="shared" si="73"/>
        <v>23</v>
      </c>
      <c r="Z103" s="9">
        <f t="shared" si="73"/>
        <v>24</v>
      </c>
      <c r="AA103" s="9">
        <f t="shared" si="73"/>
        <v>25</v>
      </c>
      <c r="AB103" s="9">
        <f t="shared" si="73"/>
        <v>26</v>
      </c>
      <c r="AC103" s="9">
        <f t="shared" si="73"/>
        <v>27</v>
      </c>
      <c r="AD103" s="9">
        <f t="shared" si="73"/>
        <v>28</v>
      </c>
      <c r="AE103" s="9">
        <f t="shared" si="73"/>
        <v>29</v>
      </c>
      <c r="AF103" s="9">
        <f t="shared" si="73"/>
        <v>30</v>
      </c>
      <c r="AG103" s="9">
        <f t="shared" si="73"/>
        <v>31</v>
      </c>
      <c r="AH103" s="9" t="str">
        <f t="shared" si="73"/>
        <v>STDEV</v>
      </c>
      <c r="AI103" s="9" t="str">
        <f t="shared" si="73"/>
        <v>-3σ</v>
      </c>
      <c r="AJ103" s="9" t="str">
        <f t="shared" si="73"/>
        <v>MEAN</v>
      </c>
      <c r="AK103" s="9" t="str">
        <f t="shared" si="73"/>
        <v>+3σ</v>
      </c>
      <c r="AL103" s="9" t="s">
        <v>29</v>
      </c>
      <c r="AM103" s="9"/>
      <c r="AN103" s="9"/>
      <c r="AO103" s="9"/>
    </row>
    <row r="104" spans="1:41" s="9" customFormat="1">
      <c r="A104" s="9">
        <f t="shared" ref="A104:A108" si="74">A76</f>
        <v>3007.1739501953125</v>
      </c>
      <c r="B104" s="9">
        <f t="shared" ref="B104:AG104" si="75">B43-B76</f>
        <v>0</v>
      </c>
      <c r="C104" s="9">
        <f t="shared" si="75"/>
        <v>0</v>
      </c>
      <c r="D104" s="9">
        <f t="shared" si="75"/>
        <v>0</v>
      </c>
      <c r="E104" s="9">
        <f t="shared" si="75"/>
        <v>0</v>
      </c>
      <c r="F104" s="9">
        <f t="shared" si="75"/>
        <v>0</v>
      </c>
      <c r="G104" s="9">
        <f t="shared" si="75"/>
        <v>0</v>
      </c>
      <c r="H104" s="9">
        <f t="shared" si="75"/>
        <v>0</v>
      </c>
      <c r="I104" s="9">
        <f t="shared" si="75"/>
        <v>0</v>
      </c>
      <c r="J104" s="9">
        <f t="shared" si="75"/>
        <v>0</v>
      </c>
      <c r="K104" s="9">
        <f t="shared" si="75"/>
        <v>0</v>
      </c>
      <c r="L104" s="9">
        <f t="shared" si="75"/>
        <v>0</v>
      </c>
      <c r="M104" s="9">
        <f t="shared" si="75"/>
        <v>0</v>
      </c>
      <c r="N104" s="9">
        <f t="shared" si="75"/>
        <v>0</v>
      </c>
      <c r="O104" s="9">
        <f t="shared" si="75"/>
        <v>0</v>
      </c>
      <c r="P104" s="9">
        <f t="shared" si="75"/>
        <v>0</v>
      </c>
      <c r="Q104" s="9">
        <f t="shared" si="75"/>
        <v>0</v>
      </c>
      <c r="R104" s="9">
        <f t="shared" si="75"/>
        <v>0</v>
      </c>
      <c r="S104" s="9">
        <f t="shared" si="75"/>
        <v>0</v>
      </c>
      <c r="T104" s="9">
        <f t="shared" si="75"/>
        <v>0</v>
      </c>
      <c r="U104" s="9">
        <f t="shared" si="75"/>
        <v>0</v>
      </c>
      <c r="V104" s="9">
        <f t="shared" si="75"/>
        <v>0</v>
      </c>
      <c r="W104" s="9">
        <f t="shared" si="75"/>
        <v>0</v>
      </c>
      <c r="X104" s="9">
        <f t="shared" si="75"/>
        <v>0</v>
      </c>
      <c r="Y104" s="9">
        <f t="shared" si="75"/>
        <v>0</v>
      </c>
      <c r="Z104" s="9">
        <f t="shared" si="75"/>
        <v>0</v>
      </c>
      <c r="AA104" s="9">
        <f t="shared" si="75"/>
        <v>0</v>
      </c>
      <c r="AB104" s="9">
        <f t="shared" si="75"/>
        <v>0</v>
      </c>
      <c r="AC104" s="9">
        <f t="shared" si="75"/>
        <v>0</v>
      </c>
      <c r="AD104" s="9">
        <f t="shared" si="75"/>
        <v>0</v>
      </c>
      <c r="AE104" s="9">
        <f t="shared" si="75"/>
        <v>0</v>
      </c>
      <c r="AF104" s="9">
        <f t="shared" si="75"/>
        <v>0</v>
      </c>
      <c r="AG104" s="9">
        <f t="shared" si="75"/>
        <v>0</v>
      </c>
      <c r="AH104" s="9">
        <f t="shared" ref="AH104:AH106" si="76">STDEV(B104:AG104)</f>
        <v>0</v>
      </c>
      <c r="AI104" s="9">
        <f t="shared" ref="AI104:AI106" si="77">AJ104-1.5*AH104</f>
        <v>0</v>
      </c>
      <c r="AJ104" s="10">
        <f t="shared" ref="AJ104:AJ106" si="78">AVERAGE(B104:AG104)</f>
        <v>0</v>
      </c>
      <c r="AK104" s="9">
        <f t="shared" ref="AK104:AK106" si="79">AJ104+1.5*AH104</f>
        <v>0</v>
      </c>
      <c r="AL104" s="9">
        <f t="shared" ref="AL104:AL106" si="80">ABS(AJ104)</f>
        <v>0</v>
      </c>
    </row>
    <row r="105" spans="1:41" s="9" customFormat="1">
      <c r="A105" s="9">
        <f t="shared" si="74"/>
        <v>2440.1146484374999</v>
      </c>
      <c r="B105" s="9">
        <f t="shared" ref="B105:AG105" si="81">B44-B77</f>
        <v>0</v>
      </c>
      <c r="C105" s="9">
        <f t="shared" si="81"/>
        <v>0</v>
      </c>
      <c r="D105" s="9">
        <f t="shared" si="81"/>
        <v>0</v>
      </c>
      <c r="E105" s="9">
        <f t="shared" si="81"/>
        <v>0</v>
      </c>
      <c r="F105" s="9">
        <f t="shared" si="81"/>
        <v>0</v>
      </c>
      <c r="G105" s="9">
        <f t="shared" si="81"/>
        <v>0</v>
      </c>
      <c r="H105" s="9">
        <f t="shared" si="81"/>
        <v>0</v>
      </c>
      <c r="I105" s="9">
        <f t="shared" si="81"/>
        <v>0</v>
      </c>
      <c r="J105" s="9">
        <f t="shared" si="81"/>
        <v>0</v>
      </c>
      <c r="K105" s="9">
        <f t="shared" si="81"/>
        <v>0</v>
      </c>
      <c r="L105" s="9">
        <f t="shared" si="81"/>
        <v>0</v>
      </c>
      <c r="M105" s="9">
        <f t="shared" si="81"/>
        <v>0</v>
      </c>
      <c r="N105" s="9">
        <f t="shared" si="81"/>
        <v>0</v>
      </c>
      <c r="O105" s="9">
        <f t="shared" si="81"/>
        <v>0</v>
      </c>
      <c r="P105" s="9">
        <f t="shared" si="81"/>
        <v>0</v>
      </c>
      <c r="Q105" s="9">
        <f t="shared" si="81"/>
        <v>0</v>
      </c>
      <c r="R105" s="9">
        <f t="shared" si="81"/>
        <v>0</v>
      </c>
      <c r="S105" s="9">
        <f t="shared" si="81"/>
        <v>0</v>
      </c>
      <c r="T105" s="9">
        <f t="shared" si="81"/>
        <v>0</v>
      </c>
      <c r="U105" s="9">
        <f t="shared" si="81"/>
        <v>0</v>
      </c>
      <c r="V105" s="9">
        <f t="shared" si="81"/>
        <v>0</v>
      </c>
      <c r="W105" s="9">
        <f t="shared" si="81"/>
        <v>0</v>
      </c>
      <c r="X105" s="9">
        <f t="shared" si="81"/>
        <v>0</v>
      </c>
      <c r="Y105" s="9">
        <f t="shared" si="81"/>
        <v>0</v>
      </c>
      <c r="Z105" s="9">
        <f t="shared" si="81"/>
        <v>0</v>
      </c>
      <c r="AA105" s="9">
        <f t="shared" si="81"/>
        <v>0</v>
      </c>
      <c r="AB105" s="9">
        <f t="shared" si="81"/>
        <v>0</v>
      </c>
      <c r="AC105" s="9">
        <f t="shared" si="81"/>
        <v>0</v>
      </c>
      <c r="AD105" s="9">
        <f t="shared" si="81"/>
        <v>0</v>
      </c>
      <c r="AE105" s="9">
        <f t="shared" si="81"/>
        <v>0</v>
      </c>
      <c r="AF105" s="9">
        <f t="shared" si="81"/>
        <v>0</v>
      </c>
      <c r="AG105" s="9">
        <f t="shared" si="81"/>
        <v>0</v>
      </c>
      <c r="AH105" s="9">
        <f t="shared" si="76"/>
        <v>0</v>
      </c>
      <c r="AI105" s="9">
        <f t="shared" si="77"/>
        <v>0</v>
      </c>
      <c r="AJ105" s="10">
        <f t="shared" si="78"/>
        <v>0</v>
      </c>
      <c r="AK105" s="9">
        <f t="shared" si="79"/>
        <v>0</v>
      </c>
      <c r="AL105" s="9">
        <f t="shared" si="80"/>
        <v>0</v>
      </c>
    </row>
    <row r="106" spans="1:41" s="9" customFormat="1">
      <c r="A106" s="9">
        <f t="shared" si="74"/>
        <v>1996.1750244140626</v>
      </c>
      <c r="B106" s="9">
        <f t="shared" ref="B106:AG106" si="82">B45-B78</f>
        <v>0</v>
      </c>
      <c r="C106" s="9">
        <f t="shared" si="82"/>
        <v>0</v>
      </c>
      <c r="D106" s="9">
        <f t="shared" si="82"/>
        <v>0</v>
      </c>
      <c r="E106" s="9">
        <f t="shared" si="82"/>
        <v>0</v>
      </c>
      <c r="F106" s="9">
        <f t="shared" si="82"/>
        <v>0</v>
      </c>
      <c r="G106" s="9">
        <f t="shared" si="82"/>
        <v>0</v>
      </c>
      <c r="H106" s="9">
        <f t="shared" si="82"/>
        <v>0</v>
      </c>
      <c r="I106" s="9">
        <f t="shared" si="82"/>
        <v>0</v>
      </c>
      <c r="J106" s="9">
        <f t="shared" si="82"/>
        <v>0</v>
      </c>
      <c r="K106" s="9">
        <f t="shared" si="82"/>
        <v>0</v>
      </c>
      <c r="L106" s="9">
        <f t="shared" si="82"/>
        <v>0</v>
      </c>
      <c r="M106" s="9">
        <f t="shared" si="82"/>
        <v>0</v>
      </c>
      <c r="N106" s="9">
        <f t="shared" si="82"/>
        <v>0</v>
      </c>
      <c r="O106" s="9">
        <f t="shared" si="82"/>
        <v>0</v>
      </c>
      <c r="P106" s="9">
        <f t="shared" si="82"/>
        <v>0</v>
      </c>
      <c r="Q106" s="9">
        <f t="shared" si="82"/>
        <v>0</v>
      </c>
      <c r="R106" s="9">
        <f t="shared" si="82"/>
        <v>0</v>
      </c>
      <c r="S106" s="9">
        <f t="shared" si="82"/>
        <v>0</v>
      </c>
      <c r="T106" s="9">
        <f t="shared" si="82"/>
        <v>0</v>
      </c>
      <c r="U106" s="9">
        <f t="shared" si="82"/>
        <v>0</v>
      </c>
      <c r="V106" s="9">
        <f t="shared" si="82"/>
        <v>0</v>
      </c>
      <c r="W106" s="9">
        <f t="shared" si="82"/>
        <v>0</v>
      </c>
      <c r="X106" s="9">
        <f t="shared" si="82"/>
        <v>0</v>
      </c>
      <c r="Y106" s="9">
        <f t="shared" si="82"/>
        <v>0</v>
      </c>
      <c r="Z106" s="9">
        <f t="shared" si="82"/>
        <v>0</v>
      </c>
      <c r="AA106" s="9">
        <f t="shared" si="82"/>
        <v>0</v>
      </c>
      <c r="AB106" s="9">
        <f t="shared" si="82"/>
        <v>0</v>
      </c>
      <c r="AC106" s="9">
        <f t="shared" si="82"/>
        <v>0</v>
      </c>
      <c r="AD106" s="9">
        <f t="shared" si="82"/>
        <v>0</v>
      </c>
      <c r="AE106" s="9">
        <f t="shared" si="82"/>
        <v>0</v>
      </c>
      <c r="AF106" s="9">
        <f t="shared" si="82"/>
        <v>0</v>
      </c>
      <c r="AG106" s="9">
        <f t="shared" si="82"/>
        <v>0</v>
      </c>
      <c r="AH106" s="9">
        <f t="shared" si="76"/>
        <v>0</v>
      </c>
      <c r="AI106" s="9">
        <f t="shared" si="77"/>
        <v>0</v>
      </c>
      <c r="AJ106" s="10">
        <f t="shared" si="78"/>
        <v>0</v>
      </c>
      <c r="AK106" s="9">
        <f t="shared" si="79"/>
        <v>0</v>
      </c>
      <c r="AL106" s="9">
        <f t="shared" si="80"/>
        <v>0</v>
      </c>
    </row>
    <row r="107" spans="1:41" s="9" customFormat="1">
      <c r="A107" s="9">
        <f t="shared" si="74"/>
        <v>1659.095166015625</v>
      </c>
      <c r="B107" s="9">
        <f t="shared" ref="B107:AG107" si="83">B46-B79</f>
        <v>0</v>
      </c>
      <c r="C107" s="9">
        <f t="shared" si="83"/>
        <v>0</v>
      </c>
      <c r="D107" s="9">
        <f t="shared" si="83"/>
        <v>0</v>
      </c>
      <c r="E107" s="9">
        <f t="shared" si="83"/>
        <v>0</v>
      </c>
      <c r="F107" s="9">
        <f t="shared" si="83"/>
        <v>0</v>
      </c>
      <c r="G107" s="9">
        <f t="shared" si="83"/>
        <v>0</v>
      </c>
      <c r="H107" s="9">
        <f t="shared" si="83"/>
        <v>0</v>
      </c>
      <c r="I107" s="9">
        <f t="shared" si="83"/>
        <v>0</v>
      </c>
      <c r="J107" s="9">
        <f t="shared" si="83"/>
        <v>0</v>
      </c>
      <c r="K107" s="9">
        <f t="shared" si="83"/>
        <v>0</v>
      </c>
      <c r="L107" s="9">
        <f t="shared" si="83"/>
        <v>0</v>
      </c>
      <c r="M107" s="9">
        <f t="shared" si="83"/>
        <v>0</v>
      </c>
      <c r="N107" s="9">
        <f t="shared" si="83"/>
        <v>0</v>
      </c>
      <c r="O107" s="9">
        <f t="shared" si="83"/>
        <v>0</v>
      </c>
      <c r="P107" s="9">
        <f t="shared" si="83"/>
        <v>0</v>
      </c>
      <c r="Q107" s="9">
        <f t="shared" si="83"/>
        <v>0</v>
      </c>
      <c r="R107" s="9">
        <f t="shared" si="83"/>
        <v>0</v>
      </c>
      <c r="S107" s="9">
        <f t="shared" si="83"/>
        <v>0</v>
      </c>
      <c r="T107" s="9">
        <f t="shared" si="83"/>
        <v>0</v>
      </c>
      <c r="U107" s="9">
        <f t="shared" si="83"/>
        <v>0</v>
      </c>
      <c r="V107" s="9">
        <f t="shared" si="83"/>
        <v>0</v>
      </c>
      <c r="W107" s="9">
        <f t="shared" si="83"/>
        <v>0</v>
      </c>
      <c r="X107" s="9">
        <f t="shared" si="83"/>
        <v>0</v>
      </c>
      <c r="Y107" s="9">
        <f t="shared" si="83"/>
        <v>0</v>
      </c>
      <c r="Z107" s="9">
        <f t="shared" si="83"/>
        <v>0</v>
      </c>
      <c r="AA107" s="9">
        <f t="shared" si="83"/>
        <v>0</v>
      </c>
      <c r="AB107" s="9">
        <f t="shared" si="83"/>
        <v>0</v>
      </c>
      <c r="AC107" s="9">
        <f t="shared" si="83"/>
        <v>0</v>
      </c>
      <c r="AD107" s="9">
        <f t="shared" si="83"/>
        <v>0</v>
      </c>
      <c r="AE107" s="9">
        <f t="shared" si="83"/>
        <v>0</v>
      </c>
      <c r="AF107" s="9">
        <f t="shared" si="83"/>
        <v>0</v>
      </c>
      <c r="AG107" s="9">
        <f t="shared" si="83"/>
        <v>0</v>
      </c>
      <c r="AH107" s="9">
        <f t="shared" ref="AH107:AH108" si="84">STDEV(B107:AG107)</f>
        <v>0</v>
      </c>
      <c r="AI107" s="9">
        <f t="shared" si="40"/>
        <v>0</v>
      </c>
      <c r="AJ107" s="10">
        <f t="shared" ref="AJ107:AJ108" si="85">AVERAGE(B107:AG107)</f>
        <v>0</v>
      </c>
      <c r="AK107" s="9">
        <f t="shared" ref="AK107:AK108" si="86">AJ107+1.5*AH107</f>
        <v>0</v>
      </c>
      <c r="AL107" s="9">
        <f t="shared" ref="AL107:AL127" si="87">ABS(AJ107)</f>
        <v>0</v>
      </c>
    </row>
    <row r="108" spans="1:41" s="9" customFormat="1">
      <c r="A108" s="9">
        <f t="shared" si="74"/>
        <v>1234.2751586914062</v>
      </c>
      <c r="B108" s="9">
        <f t="shared" ref="B108:AG108" si="88">B47-B80</f>
        <v>0</v>
      </c>
      <c r="C108" s="9">
        <f t="shared" si="88"/>
        <v>0</v>
      </c>
      <c r="D108" s="9">
        <f t="shared" si="88"/>
        <v>0</v>
      </c>
      <c r="E108" s="9">
        <f t="shared" si="88"/>
        <v>0</v>
      </c>
      <c r="F108" s="9">
        <f t="shared" si="88"/>
        <v>0</v>
      </c>
      <c r="G108" s="9">
        <f t="shared" si="88"/>
        <v>0</v>
      </c>
      <c r="H108" s="9">
        <f t="shared" si="88"/>
        <v>0</v>
      </c>
      <c r="I108" s="9">
        <f t="shared" si="88"/>
        <v>0</v>
      </c>
      <c r="J108" s="9">
        <f t="shared" si="88"/>
        <v>0</v>
      </c>
      <c r="K108" s="9">
        <f t="shared" si="88"/>
        <v>0</v>
      </c>
      <c r="L108" s="9">
        <f t="shared" si="88"/>
        <v>0</v>
      </c>
      <c r="M108" s="9">
        <f t="shared" si="88"/>
        <v>0</v>
      </c>
      <c r="N108" s="9">
        <f t="shared" si="88"/>
        <v>0</v>
      </c>
      <c r="O108" s="9">
        <f t="shared" si="88"/>
        <v>0</v>
      </c>
      <c r="P108" s="9">
        <f t="shared" si="88"/>
        <v>0</v>
      </c>
      <c r="Q108" s="9">
        <f t="shared" si="88"/>
        <v>0</v>
      </c>
      <c r="R108" s="9">
        <f t="shared" si="88"/>
        <v>0</v>
      </c>
      <c r="S108" s="9">
        <f t="shared" si="88"/>
        <v>0</v>
      </c>
      <c r="T108" s="9">
        <f t="shared" si="88"/>
        <v>0</v>
      </c>
      <c r="U108" s="9">
        <f t="shared" si="88"/>
        <v>0</v>
      </c>
      <c r="V108" s="9">
        <f t="shared" si="88"/>
        <v>0</v>
      </c>
      <c r="W108" s="9">
        <f t="shared" si="88"/>
        <v>0</v>
      </c>
      <c r="X108" s="9">
        <f t="shared" si="88"/>
        <v>0</v>
      </c>
      <c r="Y108" s="9">
        <f t="shared" si="88"/>
        <v>0</v>
      </c>
      <c r="Z108" s="9">
        <f t="shared" si="88"/>
        <v>0</v>
      </c>
      <c r="AA108" s="9">
        <f t="shared" si="88"/>
        <v>0</v>
      </c>
      <c r="AB108" s="9">
        <f t="shared" si="88"/>
        <v>0</v>
      </c>
      <c r="AC108" s="9">
        <f t="shared" si="88"/>
        <v>0</v>
      </c>
      <c r="AD108" s="9">
        <f t="shared" si="88"/>
        <v>0</v>
      </c>
      <c r="AE108" s="9">
        <f t="shared" si="88"/>
        <v>0</v>
      </c>
      <c r="AF108" s="9">
        <f t="shared" si="88"/>
        <v>0</v>
      </c>
      <c r="AG108" s="9">
        <f t="shared" si="88"/>
        <v>0</v>
      </c>
      <c r="AH108" s="9">
        <f t="shared" si="84"/>
        <v>0</v>
      </c>
      <c r="AI108" s="9">
        <f t="shared" si="40"/>
        <v>0</v>
      </c>
      <c r="AJ108" s="10">
        <f t="shared" si="85"/>
        <v>0</v>
      </c>
      <c r="AK108" s="9">
        <f t="shared" si="86"/>
        <v>0</v>
      </c>
      <c r="AL108" s="9">
        <f t="shared" si="87"/>
        <v>0</v>
      </c>
    </row>
    <row r="109" spans="1:41">
      <c r="A109" s="9">
        <f t="shared" ref="A109:A120" si="89">A81</f>
        <v>924.54020385742183</v>
      </c>
      <c r="B109" s="9">
        <f t="shared" ref="B109:AG109" si="90">B48-B81</f>
        <v>0</v>
      </c>
      <c r="C109" s="9">
        <f t="shared" si="90"/>
        <v>0</v>
      </c>
      <c r="D109" s="9">
        <f t="shared" si="90"/>
        <v>0</v>
      </c>
      <c r="E109" s="9">
        <f t="shared" si="90"/>
        <v>0</v>
      </c>
      <c r="F109" s="9">
        <f t="shared" si="90"/>
        <v>0</v>
      </c>
      <c r="G109" s="9">
        <f t="shared" si="90"/>
        <v>0</v>
      </c>
      <c r="H109" s="9">
        <f t="shared" si="90"/>
        <v>0</v>
      </c>
      <c r="I109" s="9">
        <f t="shared" si="90"/>
        <v>0</v>
      </c>
      <c r="J109" s="9">
        <f t="shared" si="90"/>
        <v>0</v>
      </c>
      <c r="K109" s="9">
        <f t="shared" si="90"/>
        <v>0</v>
      </c>
      <c r="L109" s="9">
        <f t="shared" si="90"/>
        <v>0</v>
      </c>
      <c r="M109" s="9">
        <f t="shared" si="90"/>
        <v>0</v>
      </c>
      <c r="N109" s="9">
        <f t="shared" si="90"/>
        <v>0</v>
      </c>
      <c r="O109" s="9">
        <f t="shared" si="90"/>
        <v>0</v>
      </c>
      <c r="P109" s="9">
        <f t="shared" si="90"/>
        <v>0</v>
      </c>
      <c r="Q109" s="9">
        <f t="shared" si="90"/>
        <v>0</v>
      </c>
      <c r="R109" s="9">
        <f t="shared" si="90"/>
        <v>0</v>
      </c>
      <c r="S109" s="9">
        <f t="shared" si="90"/>
        <v>0</v>
      </c>
      <c r="T109" s="9">
        <f t="shared" si="90"/>
        <v>0</v>
      </c>
      <c r="U109" s="9">
        <f t="shared" si="90"/>
        <v>0</v>
      </c>
      <c r="V109" s="9">
        <f t="shared" si="90"/>
        <v>0</v>
      </c>
      <c r="W109" s="9">
        <f t="shared" si="90"/>
        <v>0</v>
      </c>
      <c r="X109" s="9">
        <f t="shared" si="90"/>
        <v>0</v>
      </c>
      <c r="Y109" s="9">
        <f t="shared" si="90"/>
        <v>0</v>
      </c>
      <c r="Z109" s="9">
        <f t="shared" si="90"/>
        <v>0</v>
      </c>
      <c r="AA109" s="9">
        <f t="shared" si="90"/>
        <v>0</v>
      </c>
      <c r="AB109" s="9">
        <f t="shared" si="90"/>
        <v>0</v>
      </c>
      <c r="AC109" s="9">
        <f t="shared" si="90"/>
        <v>0</v>
      </c>
      <c r="AD109" s="9">
        <f t="shared" si="90"/>
        <v>0</v>
      </c>
      <c r="AE109" s="9">
        <f t="shared" si="90"/>
        <v>0</v>
      </c>
      <c r="AF109" s="9">
        <f t="shared" si="90"/>
        <v>0</v>
      </c>
      <c r="AG109" s="9">
        <f t="shared" si="90"/>
        <v>0</v>
      </c>
      <c r="AH109" s="9">
        <f t="shared" ref="AH109:AH120" si="91">STDEV(B109:AG109)</f>
        <v>0</v>
      </c>
      <c r="AI109" s="9">
        <f t="shared" si="40"/>
        <v>0</v>
      </c>
      <c r="AJ109" s="10">
        <f t="shared" ref="AJ109:AJ120" si="92">AVERAGE(B109:AG109)</f>
        <v>0</v>
      </c>
      <c r="AK109" s="9">
        <f t="shared" ref="AK109:AK120" si="93">AJ109+1.5*AH109</f>
        <v>0</v>
      </c>
      <c r="AL109" s="9">
        <f t="shared" si="87"/>
        <v>0</v>
      </c>
      <c r="AM109" s="9"/>
      <c r="AN109" s="9"/>
      <c r="AO109" s="9"/>
    </row>
    <row r="110" spans="1:41">
      <c r="A110" s="9">
        <f t="shared" si="89"/>
        <v>761.20014648437495</v>
      </c>
      <c r="B110" s="9">
        <f t="shared" ref="B110:AG110" si="94">B49-B82</f>
        <v>0</v>
      </c>
      <c r="C110" s="9">
        <f t="shared" si="94"/>
        <v>0</v>
      </c>
      <c r="D110" s="9">
        <f t="shared" si="94"/>
        <v>0</v>
      </c>
      <c r="E110" s="9">
        <f t="shared" si="94"/>
        <v>0</v>
      </c>
      <c r="F110" s="9">
        <f t="shared" si="94"/>
        <v>0</v>
      </c>
      <c r="G110" s="9">
        <f t="shared" si="94"/>
        <v>0</v>
      </c>
      <c r="H110" s="9">
        <f t="shared" si="94"/>
        <v>0</v>
      </c>
      <c r="I110" s="9">
        <f t="shared" si="94"/>
        <v>0</v>
      </c>
      <c r="J110" s="9">
        <f t="shared" si="94"/>
        <v>0</v>
      </c>
      <c r="K110" s="9">
        <f t="shared" si="94"/>
        <v>0</v>
      </c>
      <c r="L110" s="9">
        <f t="shared" si="94"/>
        <v>0</v>
      </c>
      <c r="M110" s="9">
        <f t="shared" si="94"/>
        <v>0</v>
      </c>
      <c r="N110" s="9">
        <f t="shared" si="94"/>
        <v>0</v>
      </c>
      <c r="O110" s="9">
        <f t="shared" si="94"/>
        <v>0</v>
      </c>
      <c r="P110" s="9">
        <f t="shared" si="94"/>
        <v>0</v>
      </c>
      <c r="Q110" s="9">
        <f t="shared" si="94"/>
        <v>0</v>
      </c>
      <c r="R110" s="9">
        <f t="shared" si="94"/>
        <v>0</v>
      </c>
      <c r="S110" s="9">
        <f t="shared" si="94"/>
        <v>0</v>
      </c>
      <c r="T110" s="9">
        <f t="shared" si="94"/>
        <v>0</v>
      </c>
      <c r="U110" s="9">
        <f t="shared" si="94"/>
        <v>0</v>
      </c>
      <c r="V110" s="9">
        <f t="shared" si="94"/>
        <v>0</v>
      </c>
      <c r="W110" s="9">
        <f t="shared" si="94"/>
        <v>0</v>
      </c>
      <c r="X110" s="9">
        <f t="shared" si="94"/>
        <v>0</v>
      </c>
      <c r="Y110" s="9">
        <f t="shared" si="94"/>
        <v>0</v>
      </c>
      <c r="Z110" s="9">
        <f t="shared" si="94"/>
        <v>0</v>
      </c>
      <c r="AA110" s="9">
        <f t="shared" si="94"/>
        <v>0</v>
      </c>
      <c r="AB110" s="9">
        <f t="shared" si="94"/>
        <v>0</v>
      </c>
      <c r="AC110" s="9">
        <f t="shared" si="94"/>
        <v>0</v>
      </c>
      <c r="AD110" s="9">
        <f t="shared" si="94"/>
        <v>0</v>
      </c>
      <c r="AE110" s="9">
        <f t="shared" si="94"/>
        <v>0</v>
      </c>
      <c r="AF110" s="9">
        <f t="shared" si="94"/>
        <v>0</v>
      </c>
      <c r="AG110" s="9">
        <f t="shared" si="94"/>
        <v>0</v>
      </c>
      <c r="AH110" s="9">
        <f t="shared" si="91"/>
        <v>0</v>
      </c>
      <c r="AI110" s="9">
        <f t="shared" si="40"/>
        <v>0</v>
      </c>
      <c r="AJ110" s="10">
        <f t="shared" si="92"/>
        <v>0</v>
      </c>
      <c r="AK110" s="9">
        <f t="shared" si="93"/>
        <v>0</v>
      </c>
      <c r="AL110" s="9">
        <f t="shared" si="87"/>
        <v>0</v>
      </c>
      <c r="AM110" s="9"/>
      <c r="AN110" s="9"/>
      <c r="AO110" s="9"/>
    </row>
    <row r="111" spans="1:41">
      <c r="A111" s="9">
        <f t="shared" si="89"/>
        <v>618.7050842285156</v>
      </c>
      <c r="B111" s="9">
        <f t="shared" ref="B111:AG111" si="95">B50-B83</f>
        <v>0</v>
      </c>
      <c r="C111" s="9">
        <f t="shared" si="95"/>
        <v>0</v>
      </c>
      <c r="D111" s="9">
        <f t="shared" si="95"/>
        <v>0</v>
      </c>
      <c r="E111" s="9">
        <f t="shared" si="95"/>
        <v>0</v>
      </c>
      <c r="F111" s="9">
        <f t="shared" si="95"/>
        <v>0</v>
      </c>
      <c r="G111" s="9">
        <f t="shared" si="95"/>
        <v>0</v>
      </c>
      <c r="H111" s="9">
        <f t="shared" si="95"/>
        <v>0</v>
      </c>
      <c r="I111" s="9">
        <f t="shared" si="95"/>
        <v>0</v>
      </c>
      <c r="J111" s="9">
        <f t="shared" si="95"/>
        <v>0</v>
      </c>
      <c r="K111" s="9">
        <f t="shared" si="95"/>
        <v>0</v>
      </c>
      <c r="L111" s="9">
        <f t="shared" si="95"/>
        <v>0</v>
      </c>
      <c r="M111" s="9">
        <f t="shared" si="95"/>
        <v>0</v>
      </c>
      <c r="N111" s="9">
        <f t="shared" si="95"/>
        <v>0</v>
      </c>
      <c r="O111" s="9">
        <f t="shared" si="95"/>
        <v>0</v>
      </c>
      <c r="P111" s="9">
        <f t="shared" si="95"/>
        <v>0</v>
      </c>
      <c r="Q111" s="9">
        <f t="shared" si="95"/>
        <v>0</v>
      </c>
      <c r="R111" s="9">
        <f t="shared" si="95"/>
        <v>0</v>
      </c>
      <c r="S111" s="9">
        <f t="shared" si="95"/>
        <v>0</v>
      </c>
      <c r="T111" s="9">
        <f t="shared" si="95"/>
        <v>0</v>
      </c>
      <c r="U111" s="9">
        <f t="shared" si="95"/>
        <v>0</v>
      </c>
      <c r="V111" s="9">
        <f t="shared" si="95"/>
        <v>0</v>
      </c>
      <c r="W111" s="9">
        <f t="shared" si="95"/>
        <v>0</v>
      </c>
      <c r="X111" s="9">
        <f t="shared" si="95"/>
        <v>0</v>
      </c>
      <c r="Y111" s="9">
        <f t="shared" si="95"/>
        <v>0</v>
      </c>
      <c r="Z111" s="9">
        <f t="shared" si="95"/>
        <v>0</v>
      </c>
      <c r="AA111" s="9">
        <f t="shared" si="95"/>
        <v>0</v>
      </c>
      <c r="AB111" s="9">
        <f t="shared" si="95"/>
        <v>0</v>
      </c>
      <c r="AC111" s="9">
        <f t="shared" si="95"/>
        <v>0</v>
      </c>
      <c r="AD111" s="9">
        <f t="shared" si="95"/>
        <v>0</v>
      </c>
      <c r="AE111" s="9">
        <f t="shared" si="95"/>
        <v>0</v>
      </c>
      <c r="AF111" s="9">
        <f t="shared" si="95"/>
        <v>0</v>
      </c>
      <c r="AG111" s="9">
        <f t="shared" si="95"/>
        <v>0</v>
      </c>
      <c r="AH111" s="9">
        <f t="shared" si="91"/>
        <v>0</v>
      </c>
      <c r="AI111" s="9">
        <f t="shared" si="40"/>
        <v>0</v>
      </c>
      <c r="AJ111" s="10">
        <f t="shared" si="92"/>
        <v>0</v>
      </c>
      <c r="AK111" s="9">
        <f t="shared" si="93"/>
        <v>0</v>
      </c>
      <c r="AL111" s="9">
        <f t="shared" si="87"/>
        <v>0</v>
      </c>
      <c r="AM111" s="9"/>
      <c r="AN111" s="9"/>
      <c r="AO111" s="9"/>
    </row>
    <row r="112" spans="1:41">
      <c r="A112" s="9">
        <f t="shared" si="89"/>
        <v>506.39999389648438</v>
      </c>
      <c r="B112" s="9">
        <f t="shared" ref="B112:AG112" si="96">B51-B84</f>
        <v>0</v>
      </c>
      <c r="C112" s="9">
        <f t="shared" si="96"/>
        <v>0</v>
      </c>
      <c r="D112" s="9">
        <f t="shared" si="96"/>
        <v>0</v>
      </c>
      <c r="E112" s="9">
        <f t="shared" si="96"/>
        <v>0</v>
      </c>
      <c r="F112" s="9">
        <f t="shared" si="96"/>
        <v>0</v>
      </c>
      <c r="G112" s="9">
        <f t="shared" si="96"/>
        <v>0</v>
      </c>
      <c r="H112" s="9">
        <f t="shared" si="96"/>
        <v>0</v>
      </c>
      <c r="I112" s="9">
        <f t="shared" si="96"/>
        <v>0</v>
      </c>
      <c r="J112" s="9">
        <f t="shared" si="96"/>
        <v>0</v>
      </c>
      <c r="K112" s="9">
        <f t="shared" si="96"/>
        <v>0</v>
      </c>
      <c r="L112" s="9">
        <f t="shared" si="96"/>
        <v>0</v>
      </c>
      <c r="M112" s="9">
        <f t="shared" si="96"/>
        <v>0</v>
      </c>
      <c r="N112" s="9">
        <f t="shared" si="96"/>
        <v>0</v>
      </c>
      <c r="O112" s="9">
        <f t="shared" si="96"/>
        <v>0</v>
      </c>
      <c r="P112" s="9">
        <f t="shared" si="96"/>
        <v>0</v>
      </c>
      <c r="Q112" s="9">
        <f t="shared" si="96"/>
        <v>0</v>
      </c>
      <c r="R112" s="9">
        <f t="shared" si="96"/>
        <v>0</v>
      </c>
      <c r="S112" s="9">
        <f t="shared" si="96"/>
        <v>0</v>
      </c>
      <c r="T112" s="9">
        <f t="shared" si="96"/>
        <v>0</v>
      </c>
      <c r="U112" s="9">
        <f t="shared" si="96"/>
        <v>0</v>
      </c>
      <c r="V112" s="9">
        <f t="shared" si="96"/>
        <v>0</v>
      </c>
      <c r="W112" s="9">
        <f t="shared" si="96"/>
        <v>0</v>
      </c>
      <c r="X112" s="9">
        <f t="shared" si="96"/>
        <v>0</v>
      </c>
      <c r="Y112" s="9">
        <f t="shared" si="96"/>
        <v>0</v>
      </c>
      <c r="Z112" s="9">
        <f t="shared" si="96"/>
        <v>0</v>
      </c>
      <c r="AA112" s="9">
        <f t="shared" si="96"/>
        <v>0</v>
      </c>
      <c r="AB112" s="9">
        <f t="shared" si="96"/>
        <v>0</v>
      </c>
      <c r="AC112" s="9">
        <f t="shared" si="96"/>
        <v>0</v>
      </c>
      <c r="AD112" s="9">
        <f t="shared" si="96"/>
        <v>0</v>
      </c>
      <c r="AE112" s="9">
        <f t="shared" si="96"/>
        <v>0</v>
      </c>
      <c r="AF112" s="9">
        <f t="shared" si="96"/>
        <v>0</v>
      </c>
      <c r="AG112" s="9">
        <f t="shared" si="96"/>
        <v>0</v>
      </c>
      <c r="AH112" s="9">
        <f t="shared" si="91"/>
        <v>0</v>
      </c>
      <c r="AI112" s="9">
        <f t="shared" si="40"/>
        <v>0</v>
      </c>
      <c r="AJ112" s="10">
        <f t="shared" si="92"/>
        <v>0</v>
      </c>
      <c r="AK112" s="9">
        <f t="shared" si="93"/>
        <v>0</v>
      </c>
      <c r="AL112" s="9">
        <f t="shared" si="87"/>
        <v>0</v>
      </c>
      <c r="AM112" s="9"/>
      <c r="AN112" s="9"/>
      <c r="AO112" s="9"/>
    </row>
    <row r="113" spans="1:41">
      <c r="A113" s="9">
        <f t="shared" si="89"/>
        <v>421.14996337890625</v>
      </c>
      <c r="B113" s="9">
        <f t="shared" ref="B113:AG113" si="97">B52-B85</f>
        <v>0</v>
      </c>
      <c r="C113" s="9">
        <f t="shared" si="97"/>
        <v>0</v>
      </c>
      <c r="D113" s="9">
        <f t="shared" si="97"/>
        <v>0</v>
      </c>
      <c r="E113" s="9">
        <f t="shared" si="97"/>
        <v>0</v>
      </c>
      <c r="F113" s="9">
        <f t="shared" si="97"/>
        <v>0</v>
      </c>
      <c r="G113" s="9">
        <f t="shared" si="97"/>
        <v>0</v>
      </c>
      <c r="H113" s="9">
        <f t="shared" si="97"/>
        <v>0</v>
      </c>
      <c r="I113" s="9">
        <f t="shared" si="97"/>
        <v>0</v>
      </c>
      <c r="J113" s="9">
        <f t="shared" si="97"/>
        <v>0</v>
      </c>
      <c r="K113" s="9">
        <f t="shared" si="97"/>
        <v>0</v>
      </c>
      <c r="L113" s="9">
        <f t="shared" si="97"/>
        <v>0</v>
      </c>
      <c r="M113" s="9">
        <f t="shared" si="97"/>
        <v>0</v>
      </c>
      <c r="N113" s="9">
        <f t="shared" si="97"/>
        <v>0</v>
      </c>
      <c r="O113" s="9">
        <f t="shared" si="97"/>
        <v>0</v>
      </c>
      <c r="P113" s="9">
        <f t="shared" si="97"/>
        <v>0</v>
      </c>
      <c r="Q113" s="9">
        <f t="shared" si="97"/>
        <v>0</v>
      </c>
      <c r="R113" s="9">
        <f t="shared" si="97"/>
        <v>0</v>
      </c>
      <c r="S113" s="9">
        <f t="shared" si="97"/>
        <v>0</v>
      </c>
      <c r="T113" s="9">
        <f t="shared" si="97"/>
        <v>0</v>
      </c>
      <c r="U113" s="9">
        <f t="shared" si="97"/>
        <v>0</v>
      </c>
      <c r="V113" s="9">
        <f t="shared" si="97"/>
        <v>0</v>
      </c>
      <c r="W113" s="9">
        <f t="shared" si="97"/>
        <v>0</v>
      </c>
      <c r="X113" s="9">
        <f t="shared" si="97"/>
        <v>0</v>
      </c>
      <c r="Y113" s="9">
        <f t="shared" si="97"/>
        <v>0</v>
      </c>
      <c r="Z113" s="9">
        <f t="shared" si="97"/>
        <v>0</v>
      </c>
      <c r="AA113" s="9">
        <f t="shared" si="97"/>
        <v>0</v>
      </c>
      <c r="AB113" s="9">
        <f t="shared" si="97"/>
        <v>0</v>
      </c>
      <c r="AC113" s="9">
        <f t="shared" si="97"/>
        <v>0</v>
      </c>
      <c r="AD113" s="9">
        <f t="shared" si="97"/>
        <v>0</v>
      </c>
      <c r="AE113" s="9">
        <f t="shared" si="97"/>
        <v>0</v>
      </c>
      <c r="AF113" s="9">
        <f t="shared" si="97"/>
        <v>0</v>
      </c>
      <c r="AG113" s="9">
        <f t="shared" si="97"/>
        <v>0</v>
      </c>
      <c r="AH113" s="9">
        <f t="shared" si="91"/>
        <v>0</v>
      </c>
      <c r="AI113" s="9">
        <f t="shared" si="40"/>
        <v>0</v>
      </c>
      <c r="AJ113" s="10">
        <f t="shared" si="92"/>
        <v>0</v>
      </c>
      <c r="AK113" s="9">
        <f t="shared" si="93"/>
        <v>0</v>
      </c>
      <c r="AL113" s="9">
        <f t="shared" si="87"/>
        <v>0</v>
      </c>
      <c r="AM113" s="9"/>
      <c r="AN113" s="9"/>
      <c r="AO113" s="9"/>
    </row>
    <row r="114" spans="1:41">
      <c r="A114" s="9">
        <f t="shared" si="89"/>
        <v>313.39996337890625</v>
      </c>
      <c r="B114" s="9">
        <f t="shared" ref="B114:AG114" si="98">B53-B86</f>
        <v>0</v>
      </c>
      <c r="C114" s="9">
        <f t="shared" si="98"/>
        <v>0</v>
      </c>
      <c r="D114" s="9">
        <f t="shared" si="98"/>
        <v>0</v>
      </c>
      <c r="E114" s="9">
        <f t="shared" si="98"/>
        <v>0</v>
      </c>
      <c r="F114" s="9">
        <f t="shared" si="98"/>
        <v>0</v>
      </c>
      <c r="G114" s="9">
        <f t="shared" si="98"/>
        <v>0</v>
      </c>
      <c r="H114" s="9">
        <f t="shared" si="98"/>
        <v>0</v>
      </c>
      <c r="I114" s="9">
        <f t="shared" si="98"/>
        <v>0</v>
      </c>
      <c r="J114" s="9">
        <f t="shared" si="98"/>
        <v>0</v>
      </c>
      <c r="K114" s="9">
        <f t="shared" si="98"/>
        <v>0</v>
      </c>
      <c r="L114" s="9">
        <f t="shared" si="98"/>
        <v>0</v>
      </c>
      <c r="M114" s="9">
        <f t="shared" si="98"/>
        <v>0</v>
      </c>
      <c r="N114" s="9">
        <f t="shared" si="98"/>
        <v>0</v>
      </c>
      <c r="O114" s="9">
        <f t="shared" si="98"/>
        <v>0</v>
      </c>
      <c r="P114" s="9">
        <f t="shared" si="98"/>
        <v>0</v>
      </c>
      <c r="Q114" s="9">
        <f t="shared" si="98"/>
        <v>0</v>
      </c>
      <c r="R114" s="9">
        <f t="shared" si="98"/>
        <v>0</v>
      </c>
      <c r="S114" s="9">
        <f t="shared" si="98"/>
        <v>0</v>
      </c>
      <c r="T114" s="9">
        <f t="shared" si="98"/>
        <v>0</v>
      </c>
      <c r="U114" s="9">
        <f t="shared" si="98"/>
        <v>0</v>
      </c>
      <c r="V114" s="9">
        <f t="shared" si="98"/>
        <v>0</v>
      </c>
      <c r="W114" s="9">
        <f t="shared" si="98"/>
        <v>0</v>
      </c>
      <c r="X114" s="9">
        <f t="shared" si="98"/>
        <v>0</v>
      </c>
      <c r="Y114" s="9">
        <f t="shared" si="98"/>
        <v>0</v>
      </c>
      <c r="Z114" s="9">
        <f t="shared" si="98"/>
        <v>0</v>
      </c>
      <c r="AA114" s="9">
        <f t="shared" si="98"/>
        <v>0</v>
      </c>
      <c r="AB114" s="9">
        <f t="shared" si="98"/>
        <v>0</v>
      </c>
      <c r="AC114" s="9">
        <f t="shared" si="98"/>
        <v>0</v>
      </c>
      <c r="AD114" s="9">
        <f t="shared" si="98"/>
        <v>0</v>
      </c>
      <c r="AE114" s="9">
        <f t="shared" si="98"/>
        <v>0</v>
      </c>
      <c r="AF114" s="9">
        <f t="shared" si="98"/>
        <v>0</v>
      </c>
      <c r="AG114" s="9">
        <f t="shared" si="98"/>
        <v>0</v>
      </c>
      <c r="AH114" s="9">
        <f t="shared" si="91"/>
        <v>0</v>
      </c>
      <c r="AI114" s="9">
        <f t="shared" si="40"/>
        <v>0</v>
      </c>
      <c r="AJ114" s="10">
        <f t="shared" si="92"/>
        <v>0</v>
      </c>
      <c r="AK114" s="9">
        <f t="shared" si="93"/>
        <v>0</v>
      </c>
      <c r="AL114" s="9">
        <f t="shared" si="87"/>
        <v>0</v>
      </c>
      <c r="AM114" s="9"/>
      <c r="AN114" s="9"/>
      <c r="AO114" s="9"/>
    </row>
    <row r="115" spans="1:41">
      <c r="A115" s="9">
        <f t="shared" si="89"/>
        <v>283.35547790527346</v>
      </c>
      <c r="B115" s="9">
        <f t="shared" ref="B115:AG115" si="99">B54-B87</f>
        <v>0</v>
      </c>
      <c r="C115" s="9">
        <f t="shared" si="99"/>
        <v>0</v>
      </c>
      <c r="D115" s="9">
        <f t="shared" si="99"/>
        <v>0</v>
      </c>
      <c r="E115" s="9">
        <f t="shared" si="99"/>
        <v>0</v>
      </c>
      <c r="F115" s="9">
        <f t="shared" si="99"/>
        <v>0</v>
      </c>
      <c r="G115" s="9">
        <f t="shared" si="99"/>
        <v>0</v>
      </c>
      <c r="H115" s="9">
        <f t="shared" si="99"/>
        <v>0</v>
      </c>
      <c r="I115" s="9">
        <f t="shared" si="99"/>
        <v>0</v>
      </c>
      <c r="J115" s="9">
        <f t="shared" si="99"/>
        <v>0</v>
      </c>
      <c r="K115" s="9">
        <f t="shared" si="99"/>
        <v>0</v>
      </c>
      <c r="L115" s="9">
        <f t="shared" si="99"/>
        <v>0</v>
      </c>
      <c r="M115" s="9">
        <f t="shared" si="99"/>
        <v>0</v>
      </c>
      <c r="N115" s="9">
        <f t="shared" si="99"/>
        <v>0</v>
      </c>
      <c r="O115" s="9">
        <f t="shared" si="99"/>
        <v>0</v>
      </c>
      <c r="P115" s="9">
        <f t="shared" si="99"/>
        <v>0</v>
      </c>
      <c r="Q115" s="9">
        <f t="shared" si="99"/>
        <v>0</v>
      </c>
      <c r="R115" s="9">
        <f t="shared" si="99"/>
        <v>0</v>
      </c>
      <c r="S115" s="9">
        <f t="shared" si="99"/>
        <v>0</v>
      </c>
      <c r="T115" s="9">
        <f t="shared" si="99"/>
        <v>0</v>
      </c>
      <c r="U115" s="9">
        <f t="shared" si="99"/>
        <v>0</v>
      </c>
      <c r="V115" s="9">
        <f t="shared" si="99"/>
        <v>0</v>
      </c>
      <c r="W115" s="9">
        <f t="shared" si="99"/>
        <v>0</v>
      </c>
      <c r="X115" s="9">
        <f t="shared" si="99"/>
        <v>0</v>
      </c>
      <c r="Y115" s="9">
        <f t="shared" si="99"/>
        <v>0</v>
      </c>
      <c r="Z115" s="9">
        <f t="shared" si="99"/>
        <v>0</v>
      </c>
      <c r="AA115" s="9">
        <f t="shared" si="99"/>
        <v>0</v>
      </c>
      <c r="AB115" s="9">
        <f t="shared" si="99"/>
        <v>0</v>
      </c>
      <c r="AC115" s="9">
        <f t="shared" si="99"/>
        <v>0</v>
      </c>
      <c r="AD115" s="9">
        <f t="shared" si="99"/>
        <v>0</v>
      </c>
      <c r="AE115" s="9">
        <f t="shared" si="99"/>
        <v>0</v>
      </c>
      <c r="AF115" s="9">
        <f t="shared" si="99"/>
        <v>0</v>
      </c>
      <c r="AG115" s="9">
        <f t="shared" si="99"/>
        <v>0</v>
      </c>
      <c r="AH115" s="9">
        <f t="shared" si="91"/>
        <v>0</v>
      </c>
      <c r="AI115" s="9">
        <f t="shared" si="40"/>
        <v>0</v>
      </c>
      <c r="AJ115" s="10">
        <f t="shared" si="92"/>
        <v>0</v>
      </c>
      <c r="AK115" s="9">
        <f t="shared" si="93"/>
        <v>0</v>
      </c>
      <c r="AL115" s="9">
        <f t="shared" si="87"/>
        <v>0</v>
      </c>
      <c r="AM115" s="9"/>
      <c r="AN115" s="9"/>
      <c r="AO115" s="9"/>
    </row>
    <row r="116" spans="1:41">
      <c r="A116" s="9">
        <f t="shared" si="89"/>
        <v>233.5469970703125</v>
      </c>
      <c r="B116" s="9">
        <f t="shared" ref="B116:AG116" si="100">B55-B88</f>
        <v>0</v>
      </c>
      <c r="C116" s="9">
        <f t="shared" si="100"/>
        <v>0</v>
      </c>
      <c r="D116" s="9">
        <f t="shared" si="100"/>
        <v>0</v>
      </c>
      <c r="E116" s="9">
        <f t="shared" si="100"/>
        <v>0</v>
      </c>
      <c r="F116" s="9">
        <f t="shared" si="100"/>
        <v>0</v>
      </c>
      <c r="G116" s="9">
        <f t="shared" si="100"/>
        <v>0</v>
      </c>
      <c r="H116" s="9">
        <f t="shared" si="100"/>
        <v>0</v>
      </c>
      <c r="I116" s="9">
        <f t="shared" si="100"/>
        <v>0</v>
      </c>
      <c r="J116" s="9">
        <f t="shared" si="100"/>
        <v>0</v>
      </c>
      <c r="K116" s="9">
        <f t="shared" si="100"/>
        <v>0</v>
      </c>
      <c r="L116" s="9">
        <f t="shared" si="100"/>
        <v>0</v>
      </c>
      <c r="M116" s="9">
        <f t="shared" si="100"/>
        <v>0</v>
      </c>
      <c r="N116" s="9">
        <f t="shared" si="100"/>
        <v>0</v>
      </c>
      <c r="O116" s="9">
        <f t="shared" si="100"/>
        <v>0</v>
      </c>
      <c r="P116" s="9">
        <f t="shared" si="100"/>
        <v>0</v>
      </c>
      <c r="Q116" s="9">
        <f t="shared" si="100"/>
        <v>0</v>
      </c>
      <c r="R116" s="9">
        <f t="shared" si="100"/>
        <v>0</v>
      </c>
      <c r="S116" s="9">
        <f t="shared" si="100"/>
        <v>0</v>
      </c>
      <c r="T116" s="9">
        <f t="shared" si="100"/>
        <v>0</v>
      </c>
      <c r="U116" s="9">
        <f t="shared" si="100"/>
        <v>0</v>
      </c>
      <c r="V116" s="9">
        <f t="shared" si="100"/>
        <v>0</v>
      </c>
      <c r="W116" s="9">
        <f t="shared" si="100"/>
        <v>0</v>
      </c>
      <c r="X116" s="9">
        <f t="shared" si="100"/>
        <v>0</v>
      </c>
      <c r="Y116" s="9">
        <f t="shared" si="100"/>
        <v>0</v>
      </c>
      <c r="Z116" s="9">
        <f t="shared" si="100"/>
        <v>0</v>
      </c>
      <c r="AA116" s="9">
        <f t="shared" si="100"/>
        <v>0</v>
      </c>
      <c r="AB116" s="9">
        <f t="shared" si="100"/>
        <v>0</v>
      </c>
      <c r="AC116" s="9">
        <f t="shared" si="100"/>
        <v>0</v>
      </c>
      <c r="AD116" s="9">
        <f t="shared" si="100"/>
        <v>0</v>
      </c>
      <c r="AE116" s="9">
        <f t="shared" si="100"/>
        <v>0</v>
      </c>
      <c r="AF116" s="9">
        <f t="shared" si="100"/>
        <v>0</v>
      </c>
      <c r="AG116" s="9">
        <f t="shared" si="100"/>
        <v>0</v>
      </c>
      <c r="AH116" s="9">
        <f t="shared" si="91"/>
        <v>0</v>
      </c>
      <c r="AI116" s="9">
        <f t="shared" si="40"/>
        <v>0</v>
      </c>
      <c r="AJ116" s="10">
        <f t="shared" si="92"/>
        <v>0</v>
      </c>
      <c r="AK116" s="9">
        <f t="shared" si="93"/>
        <v>0</v>
      </c>
      <c r="AL116" s="9">
        <f t="shared" si="87"/>
        <v>0</v>
      </c>
      <c r="AM116" s="9"/>
      <c r="AN116" s="9"/>
      <c r="AO116" s="9"/>
    </row>
    <row r="117" spans="1:41">
      <c r="A117" s="9">
        <f t="shared" si="89"/>
        <v>188.09650726318358</v>
      </c>
      <c r="B117" s="9">
        <f t="shared" ref="B117:AG117" si="101">B56-B89</f>
        <v>0</v>
      </c>
      <c r="C117" s="9">
        <f t="shared" si="101"/>
        <v>0</v>
      </c>
      <c r="D117" s="9">
        <f t="shared" si="101"/>
        <v>0</v>
      </c>
      <c r="E117" s="9">
        <f t="shared" si="101"/>
        <v>0</v>
      </c>
      <c r="F117" s="9">
        <f t="shared" si="101"/>
        <v>0</v>
      </c>
      <c r="G117" s="9">
        <f t="shared" si="101"/>
        <v>0</v>
      </c>
      <c r="H117" s="9">
        <f t="shared" si="101"/>
        <v>0</v>
      </c>
      <c r="I117" s="9">
        <f t="shared" si="101"/>
        <v>0</v>
      </c>
      <c r="J117" s="9">
        <f t="shared" si="101"/>
        <v>0</v>
      </c>
      <c r="K117" s="9">
        <f t="shared" si="101"/>
        <v>0</v>
      </c>
      <c r="L117" s="9">
        <f t="shared" si="101"/>
        <v>0</v>
      </c>
      <c r="M117" s="9">
        <f t="shared" si="101"/>
        <v>0</v>
      </c>
      <c r="N117" s="9">
        <f t="shared" si="101"/>
        <v>0</v>
      </c>
      <c r="O117" s="9">
        <f t="shared" si="101"/>
        <v>0</v>
      </c>
      <c r="P117" s="9">
        <f t="shared" si="101"/>
        <v>0</v>
      </c>
      <c r="Q117" s="9">
        <f t="shared" si="101"/>
        <v>0</v>
      </c>
      <c r="R117" s="9">
        <f t="shared" si="101"/>
        <v>0</v>
      </c>
      <c r="S117" s="9">
        <f t="shared" si="101"/>
        <v>0</v>
      </c>
      <c r="T117" s="9">
        <f t="shared" si="101"/>
        <v>0</v>
      </c>
      <c r="U117" s="9">
        <f t="shared" si="101"/>
        <v>0</v>
      </c>
      <c r="V117" s="9">
        <f t="shared" si="101"/>
        <v>0</v>
      </c>
      <c r="W117" s="9">
        <f t="shared" si="101"/>
        <v>0</v>
      </c>
      <c r="X117" s="9">
        <f t="shared" si="101"/>
        <v>0</v>
      </c>
      <c r="Y117" s="9">
        <f t="shared" si="101"/>
        <v>0</v>
      </c>
      <c r="Z117" s="9">
        <f t="shared" si="101"/>
        <v>0</v>
      </c>
      <c r="AA117" s="9">
        <f t="shared" si="101"/>
        <v>0</v>
      </c>
      <c r="AB117" s="9">
        <f t="shared" si="101"/>
        <v>0</v>
      </c>
      <c r="AC117" s="9">
        <f t="shared" si="101"/>
        <v>0</v>
      </c>
      <c r="AD117" s="9">
        <f t="shared" si="101"/>
        <v>0</v>
      </c>
      <c r="AE117" s="9">
        <f t="shared" si="101"/>
        <v>0</v>
      </c>
      <c r="AF117" s="9">
        <f t="shared" si="101"/>
        <v>0</v>
      </c>
      <c r="AG117" s="9">
        <f t="shared" si="101"/>
        <v>0</v>
      </c>
      <c r="AH117" s="9">
        <f t="shared" si="91"/>
        <v>0</v>
      </c>
      <c r="AI117" s="9">
        <f t="shared" si="40"/>
        <v>0</v>
      </c>
      <c r="AJ117" s="10">
        <f t="shared" si="92"/>
        <v>0</v>
      </c>
      <c r="AK117" s="9">
        <f t="shared" si="93"/>
        <v>0</v>
      </c>
      <c r="AL117" s="9">
        <f t="shared" si="87"/>
        <v>0</v>
      </c>
      <c r="AM117" s="9"/>
      <c r="AN117" s="9"/>
      <c r="AO117" s="9"/>
    </row>
    <row r="118" spans="1:41">
      <c r="A118" s="9">
        <f t="shared" si="89"/>
        <v>156.44500579833985</v>
      </c>
      <c r="B118" s="9">
        <f t="shared" ref="B118:AF118" si="102">B57-B90</f>
        <v>0</v>
      </c>
      <c r="C118" s="9">
        <f t="shared" si="102"/>
        <v>0</v>
      </c>
      <c r="D118" s="9">
        <f t="shared" si="102"/>
        <v>0</v>
      </c>
      <c r="E118" s="9">
        <f t="shared" si="102"/>
        <v>0</v>
      </c>
      <c r="F118" s="9">
        <f t="shared" si="102"/>
        <v>0</v>
      </c>
      <c r="G118" s="9">
        <f t="shared" si="102"/>
        <v>0</v>
      </c>
      <c r="H118" s="9">
        <f t="shared" si="102"/>
        <v>0</v>
      </c>
      <c r="I118" s="9">
        <f t="shared" si="102"/>
        <v>0</v>
      </c>
      <c r="J118" s="9">
        <f t="shared" si="102"/>
        <v>0</v>
      </c>
      <c r="K118" s="9">
        <f t="shared" si="102"/>
        <v>0</v>
      </c>
      <c r="L118" s="9">
        <f t="shared" si="102"/>
        <v>0</v>
      </c>
      <c r="M118" s="9">
        <f t="shared" si="102"/>
        <v>0</v>
      </c>
      <c r="N118" s="9">
        <f t="shared" si="102"/>
        <v>0</v>
      </c>
      <c r="O118" s="9">
        <f t="shared" si="102"/>
        <v>0</v>
      </c>
      <c r="P118" s="9">
        <f t="shared" si="102"/>
        <v>0</v>
      </c>
      <c r="Q118" s="9">
        <f t="shared" si="102"/>
        <v>0</v>
      </c>
      <c r="R118" s="9">
        <f t="shared" si="102"/>
        <v>0</v>
      </c>
      <c r="S118" s="9">
        <f t="shared" si="102"/>
        <v>0</v>
      </c>
      <c r="T118" s="9">
        <f t="shared" si="102"/>
        <v>0</v>
      </c>
      <c r="U118" s="9">
        <f t="shared" si="102"/>
        <v>0</v>
      </c>
      <c r="V118" s="9">
        <f t="shared" si="102"/>
        <v>0</v>
      </c>
      <c r="W118" s="9">
        <f t="shared" si="102"/>
        <v>0</v>
      </c>
      <c r="X118" s="9">
        <f t="shared" si="102"/>
        <v>0</v>
      </c>
      <c r="Y118" s="9">
        <f t="shared" si="102"/>
        <v>0</v>
      </c>
      <c r="Z118" s="9">
        <f t="shared" si="102"/>
        <v>0</v>
      </c>
      <c r="AA118" s="9">
        <f t="shared" si="102"/>
        <v>0</v>
      </c>
      <c r="AB118" s="9">
        <f t="shared" si="102"/>
        <v>0</v>
      </c>
      <c r="AC118" s="9">
        <f t="shared" si="102"/>
        <v>0</v>
      </c>
      <c r="AD118" s="9">
        <f t="shared" si="102"/>
        <v>0</v>
      </c>
      <c r="AE118" s="9">
        <f t="shared" si="102"/>
        <v>0</v>
      </c>
      <c r="AF118" s="9">
        <f t="shared" si="102"/>
        <v>0</v>
      </c>
      <c r="AG118" s="9">
        <f t="shared" ref="AG118" si="103">AG57-AG90</f>
        <v>0</v>
      </c>
      <c r="AH118" s="9">
        <f t="shared" si="91"/>
        <v>0</v>
      </c>
      <c r="AI118" s="9">
        <f t="shared" si="40"/>
        <v>0</v>
      </c>
      <c r="AJ118" s="10">
        <f t="shared" si="92"/>
        <v>0</v>
      </c>
      <c r="AK118" s="9">
        <f t="shared" si="93"/>
        <v>0</v>
      </c>
      <c r="AL118" s="9">
        <f t="shared" si="87"/>
        <v>0</v>
      </c>
      <c r="AM118" s="9"/>
      <c r="AN118" s="9"/>
      <c r="AO118" s="9"/>
    </row>
    <row r="119" spans="1:41">
      <c r="A119" s="9">
        <f t="shared" si="89"/>
        <v>116.47100143432617</v>
      </c>
      <c r="B119" s="9">
        <f t="shared" ref="B119:AF119" si="104">B58-B91</f>
        <v>0</v>
      </c>
      <c r="C119" s="9">
        <f t="shared" si="104"/>
        <v>0</v>
      </c>
      <c r="D119" s="9">
        <f t="shared" si="104"/>
        <v>0</v>
      </c>
      <c r="E119" s="9">
        <f t="shared" si="104"/>
        <v>0</v>
      </c>
      <c r="F119" s="9">
        <f t="shared" si="104"/>
        <v>0</v>
      </c>
      <c r="G119" s="9">
        <f t="shared" si="104"/>
        <v>0</v>
      </c>
      <c r="H119" s="9">
        <f t="shared" si="104"/>
        <v>0</v>
      </c>
      <c r="I119" s="9">
        <f t="shared" si="104"/>
        <v>0</v>
      </c>
      <c r="J119" s="9">
        <f t="shared" si="104"/>
        <v>0</v>
      </c>
      <c r="K119" s="9">
        <f t="shared" si="104"/>
        <v>0</v>
      </c>
      <c r="L119" s="9">
        <f t="shared" si="104"/>
        <v>0</v>
      </c>
      <c r="M119" s="9">
        <f t="shared" si="104"/>
        <v>0</v>
      </c>
      <c r="N119" s="9">
        <f t="shared" si="104"/>
        <v>0</v>
      </c>
      <c r="O119" s="9">
        <f t="shared" si="104"/>
        <v>0</v>
      </c>
      <c r="P119" s="9">
        <f t="shared" si="104"/>
        <v>0</v>
      </c>
      <c r="Q119" s="9">
        <f t="shared" si="104"/>
        <v>0</v>
      </c>
      <c r="R119" s="9">
        <f t="shared" si="104"/>
        <v>0</v>
      </c>
      <c r="S119" s="9">
        <f t="shared" si="104"/>
        <v>0</v>
      </c>
      <c r="T119" s="9">
        <f t="shared" si="104"/>
        <v>0</v>
      </c>
      <c r="U119" s="9">
        <f t="shared" si="104"/>
        <v>0</v>
      </c>
      <c r="V119" s="9">
        <f t="shared" si="104"/>
        <v>0</v>
      </c>
      <c r="W119" s="9">
        <f t="shared" si="104"/>
        <v>0</v>
      </c>
      <c r="X119" s="9">
        <f t="shared" si="104"/>
        <v>0</v>
      </c>
      <c r="Y119" s="9">
        <f t="shared" si="104"/>
        <v>0</v>
      </c>
      <c r="Z119" s="9">
        <f t="shared" si="104"/>
        <v>0</v>
      </c>
      <c r="AA119" s="9">
        <f t="shared" si="104"/>
        <v>0</v>
      </c>
      <c r="AB119" s="9">
        <f t="shared" si="104"/>
        <v>0</v>
      </c>
      <c r="AC119" s="9">
        <f t="shared" si="104"/>
        <v>0</v>
      </c>
      <c r="AD119" s="9">
        <f t="shared" si="104"/>
        <v>0</v>
      </c>
      <c r="AE119" s="9">
        <f t="shared" si="104"/>
        <v>0</v>
      </c>
      <c r="AF119" s="9">
        <f t="shared" si="104"/>
        <v>0</v>
      </c>
      <c r="AG119" s="9">
        <f t="shared" ref="AG119:AG128" si="105">AG58-AG91</f>
        <v>0</v>
      </c>
      <c r="AH119" s="9">
        <f t="shared" si="91"/>
        <v>0</v>
      </c>
      <c r="AI119" s="9">
        <f t="shared" si="40"/>
        <v>0</v>
      </c>
      <c r="AJ119" s="10">
        <f t="shared" si="92"/>
        <v>0</v>
      </c>
      <c r="AK119" s="9">
        <f t="shared" si="93"/>
        <v>0</v>
      </c>
      <c r="AL119" s="9">
        <f t="shared" si="87"/>
        <v>0</v>
      </c>
      <c r="AM119" s="9"/>
      <c r="AN119" s="9"/>
      <c r="AO119" s="9"/>
    </row>
    <row r="120" spans="1:41">
      <c r="A120" s="9">
        <f t="shared" si="89"/>
        <v>87.306494903564456</v>
      </c>
      <c r="B120" s="9">
        <f t="shared" ref="B120:AF120" si="106">B59-B92</f>
        <v>0</v>
      </c>
      <c r="C120" s="9">
        <f t="shared" si="106"/>
        <v>0</v>
      </c>
      <c r="D120" s="9">
        <f t="shared" si="106"/>
        <v>0</v>
      </c>
      <c r="E120" s="9">
        <f t="shared" si="106"/>
        <v>0</v>
      </c>
      <c r="F120" s="9">
        <f t="shared" si="106"/>
        <v>0</v>
      </c>
      <c r="G120" s="9">
        <f t="shared" si="106"/>
        <v>0</v>
      </c>
      <c r="H120" s="9">
        <f t="shared" si="106"/>
        <v>0</v>
      </c>
      <c r="I120" s="9">
        <f t="shared" si="106"/>
        <v>0</v>
      </c>
      <c r="J120" s="9">
        <f t="shared" si="106"/>
        <v>0</v>
      </c>
      <c r="K120" s="9">
        <f t="shared" si="106"/>
        <v>0</v>
      </c>
      <c r="L120" s="9">
        <f t="shared" si="106"/>
        <v>0</v>
      </c>
      <c r="M120" s="9">
        <f t="shared" si="106"/>
        <v>0</v>
      </c>
      <c r="N120" s="9">
        <f t="shared" si="106"/>
        <v>0</v>
      </c>
      <c r="O120" s="9">
        <f t="shared" si="106"/>
        <v>0</v>
      </c>
      <c r="P120" s="9">
        <f t="shared" si="106"/>
        <v>0</v>
      </c>
      <c r="Q120" s="9">
        <f t="shared" si="106"/>
        <v>0</v>
      </c>
      <c r="R120" s="9">
        <f t="shared" si="106"/>
        <v>0</v>
      </c>
      <c r="S120" s="9">
        <f t="shared" si="106"/>
        <v>0</v>
      </c>
      <c r="T120" s="9">
        <f t="shared" si="106"/>
        <v>0</v>
      </c>
      <c r="U120" s="9">
        <f t="shared" si="106"/>
        <v>0</v>
      </c>
      <c r="V120" s="9">
        <f t="shared" si="106"/>
        <v>0</v>
      </c>
      <c r="W120" s="9">
        <f t="shared" si="106"/>
        <v>0</v>
      </c>
      <c r="X120" s="9">
        <f t="shared" si="106"/>
        <v>0</v>
      </c>
      <c r="Y120" s="9">
        <f t="shared" si="106"/>
        <v>0</v>
      </c>
      <c r="Z120" s="9">
        <f t="shared" si="106"/>
        <v>0</v>
      </c>
      <c r="AA120" s="9">
        <f t="shared" si="106"/>
        <v>0</v>
      </c>
      <c r="AB120" s="9">
        <f t="shared" si="106"/>
        <v>0</v>
      </c>
      <c r="AC120" s="9">
        <f t="shared" si="106"/>
        <v>0</v>
      </c>
      <c r="AD120" s="9">
        <f t="shared" si="106"/>
        <v>0</v>
      </c>
      <c r="AE120" s="9">
        <f t="shared" si="106"/>
        <v>0</v>
      </c>
      <c r="AF120" s="9">
        <f t="shared" si="106"/>
        <v>0</v>
      </c>
      <c r="AG120" s="9">
        <f t="shared" si="105"/>
        <v>0</v>
      </c>
      <c r="AH120" s="9">
        <f t="shared" si="91"/>
        <v>0</v>
      </c>
      <c r="AI120" s="9">
        <f t="shared" si="40"/>
        <v>0</v>
      </c>
      <c r="AJ120" s="10">
        <f t="shared" si="92"/>
        <v>0</v>
      </c>
      <c r="AK120" s="9">
        <f t="shared" si="93"/>
        <v>0</v>
      </c>
      <c r="AL120" s="9">
        <f t="shared" si="87"/>
        <v>0</v>
      </c>
      <c r="AM120" s="9"/>
      <c r="AN120" s="9"/>
      <c r="AO120" s="9"/>
    </row>
    <row r="121" spans="1:41">
      <c r="A121" s="9">
        <f t="shared" ref="A121:A127" si="107">A93</f>
        <v>21.315652084350585</v>
      </c>
      <c r="B121" s="9">
        <f t="shared" ref="B121:AF121" si="108">B60-B93</f>
        <v>0</v>
      </c>
      <c r="C121" s="9">
        <f t="shared" si="108"/>
        <v>0</v>
      </c>
      <c r="D121" s="9">
        <f t="shared" si="108"/>
        <v>0</v>
      </c>
      <c r="E121" s="9">
        <f t="shared" si="108"/>
        <v>0</v>
      </c>
      <c r="F121" s="9">
        <f t="shared" si="108"/>
        <v>0</v>
      </c>
      <c r="G121" s="9">
        <f t="shared" si="108"/>
        <v>0</v>
      </c>
      <c r="H121" s="9">
        <f t="shared" si="108"/>
        <v>0</v>
      </c>
      <c r="I121" s="9">
        <f t="shared" si="108"/>
        <v>0</v>
      </c>
      <c r="J121" s="9">
        <f t="shared" si="108"/>
        <v>0</v>
      </c>
      <c r="K121" s="9">
        <f t="shared" si="108"/>
        <v>0</v>
      </c>
      <c r="L121" s="9">
        <f t="shared" si="108"/>
        <v>0</v>
      </c>
      <c r="M121" s="9">
        <f t="shared" si="108"/>
        <v>0</v>
      </c>
      <c r="N121" s="9">
        <f t="shared" si="108"/>
        <v>0</v>
      </c>
      <c r="O121" s="9">
        <f t="shared" si="108"/>
        <v>0</v>
      </c>
      <c r="P121" s="9">
        <f t="shared" si="108"/>
        <v>0</v>
      </c>
      <c r="Q121" s="9">
        <f t="shared" si="108"/>
        <v>0</v>
      </c>
      <c r="R121" s="9">
        <f t="shared" si="108"/>
        <v>0</v>
      </c>
      <c r="S121" s="9">
        <f t="shared" si="108"/>
        <v>0</v>
      </c>
      <c r="T121" s="9">
        <f t="shared" si="108"/>
        <v>0</v>
      </c>
      <c r="U121" s="9">
        <f t="shared" si="108"/>
        <v>0</v>
      </c>
      <c r="V121" s="9">
        <f t="shared" si="108"/>
        <v>0</v>
      </c>
      <c r="W121" s="9">
        <f t="shared" si="108"/>
        <v>0</v>
      </c>
      <c r="X121" s="9">
        <f t="shared" si="108"/>
        <v>0</v>
      </c>
      <c r="Y121" s="9">
        <f t="shared" si="108"/>
        <v>0</v>
      </c>
      <c r="Z121" s="9">
        <f t="shared" si="108"/>
        <v>0</v>
      </c>
      <c r="AA121" s="9">
        <f t="shared" si="108"/>
        <v>0</v>
      </c>
      <c r="AB121" s="9">
        <f t="shared" si="108"/>
        <v>0</v>
      </c>
      <c r="AC121" s="9">
        <f t="shared" si="108"/>
        <v>0</v>
      </c>
      <c r="AD121" s="9">
        <f t="shared" si="108"/>
        <v>0</v>
      </c>
      <c r="AE121" s="9">
        <f t="shared" si="108"/>
        <v>0</v>
      </c>
      <c r="AF121" s="9">
        <f t="shared" si="108"/>
        <v>0</v>
      </c>
      <c r="AG121" s="9">
        <f t="shared" si="105"/>
        <v>0</v>
      </c>
      <c r="AH121" s="9">
        <f t="shared" si="39"/>
        <v>0</v>
      </c>
      <c r="AI121" s="9">
        <f t="shared" si="40"/>
        <v>0</v>
      </c>
      <c r="AJ121" s="10">
        <f t="shared" si="41"/>
        <v>0</v>
      </c>
      <c r="AK121" s="9">
        <f t="shared" si="42"/>
        <v>0</v>
      </c>
      <c r="AL121" s="9">
        <f t="shared" si="87"/>
        <v>0</v>
      </c>
      <c r="AM121" s="9"/>
      <c r="AN121" s="9"/>
      <c r="AO121" s="9"/>
    </row>
    <row r="122" spans="1:41">
      <c r="A122" s="9">
        <f t="shared" si="107"/>
        <v>17.340450096130372</v>
      </c>
      <c r="B122" s="9">
        <f t="shared" ref="B122:AF122" si="109">B61-B94</f>
        <v>0</v>
      </c>
      <c r="C122" s="9">
        <f t="shared" si="109"/>
        <v>0</v>
      </c>
      <c r="D122" s="9">
        <f t="shared" si="109"/>
        <v>0</v>
      </c>
      <c r="E122" s="9">
        <f t="shared" si="109"/>
        <v>0</v>
      </c>
      <c r="F122" s="9">
        <f t="shared" si="109"/>
        <v>0</v>
      </c>
      <c r="G122" s="9">
        <f t="shared" si="109"/>
        <v>0</v>
      </c>
      <c r="H122" s="9">
        <f t="shared" si="109"/>
        <v>0</v>
      </c>
      <c r="I122" s="9">
        <f t="shared" si="109"/>
        <v>0</v>
      </c>
      <c r="J122" s="9">
        <f t="shared" si="109"/>
        <v>0</v>
      </c>
      <c r="K122" s="9">
        <f t="shared" si="109"/>
        <v>0</v>
      </c>
      <c r="L122" s="9">
        <f t="shared" si="109"/>
        <v>0</v>
      </c>
      <c r="M122" s="9">
        <f t="shared" si="109"/>
        <v>0</v>
      </c>
      <c r="N122" s="9">
        <f t="shared" si="109"/>
        <v>0</v>
      </c>
      <c r="O122" s="9">
        <f t="shared" si="109"/>
        <v>0</v>
      </c>
      <c r="P122" s="9">
        <f t="shared" si="109"/>
        <v>0</v>
      </c>
      <c r="Q122" s="9">
        <f t="shared" si="109"/>
        <v>0</v>
      </c>
      <c r="R122" s="9">
        <f t="shared" si="109"/>
        <v>0</v>
      </c>
      <c r="S122" s="9">
        <f t="shared" si="109"/>
        <v>0</v>
      </c>
      <c r="T122" s="9">
        <f t="shared" si="109"/>
        <v>0</v>
      </c>
      <c r="U122" s="9">
        <f t="shared" si="109"/>
        <v>0</v>
      </c>
      <c r="V122" s="9">
        <f t="shared" si="109"/>
        <v>0</v>
      </c>
      <c r="W122" s="9">
        <f t="shared" si="109"/>
        <v>0</v>
      </c>
      <c r="X122" s="9">
        <f t="shared" si="109"/>
        <v>0</v>
      </c>
      <c r="Y122" s="9">
        <f t="shared" si="109"/>
        <v>0</v>
      </c>
      <c r="Z122" s="9">
        <f t="shared" si="109"/>
        <v>0</v>
      </c>
      <c r="AA122" s="9">
        <f t="shared" si="109"/>
        <v>0</v>
      </c>
      <c r="AB122" s="9">
        <f t="shared" si="109"/>
        <v>0</v>
      </c>
      <c r="AC122" s="9">
        <f t="shared" si="109"/>
        <v>0</v>
      </c>
      <c r="AD122" s="9">
        <f t="shared" si="109"/>
        <v>0</v>
      </c>
      <c r="AE122" s="9">
        <f t="shared" si="109"/>
        <v>0</v>
      </c>
      <c r="AF122" s="9">
        <f t="shared" si="109"/>
        <v>0</v>
      </c>
      <c r="AG122" s="9">
        <f t="shared" si="105"/>
        <v>0</v>
      </c>
      <c r="AH122" s="9">
        <f t="shared" si="39"/>
        <v>0</v>
      </c>
      <c r="AI122" s="9">
        <f t="shared" si="40"/>
        <v>0</v>
      </c>
      <c r="AJ122" s="10">
        <f t="shared" si="41"/>
        <v>0</v>
      </c>
      <c r="AK122" s="9">
        <f t="shared" si="42"/>
        <v>0</v>
      </c>
      <c r="AL122" s="9">
        <f t="shared" si="87"/>
        <v>0</v>
      </c>
      <c r="AM122" s="9"/>
      <c r="AN122" s="9"/>
      <c r="AO122" s="9"/>
    </row>
    <row r="123" spans="1:41">
      <c r="A123" s="9">
        <f t="shared" si="107"/>
        <v>14.188851261138916</v>
      </c>
      <c r="B123" s="9">
        <f t="shared" ref="B123:AF123" si="110">B62-B95</f>
        <v>0</v>
      </c>
      <c r="C123" s="9">
        <f t="shared" si="110"/>
        <v>0</v>
      </c>
      <c r="D123" s="9">
        <f t="shared" si="110"/>
        <v>0</v>
      </c>
      <c r="E123" s="9">
        <f t="shared" si="110"/>
        <v>0</v>
      </c>
      <c r="F123" s="9">
        <f t="shared" si="110"/>
        <v>0</v>
      </c>
      <c r="G123" s="9">
        <f t="shared" si="110"/>
        <v>0</v>
      </c>
      <c r="H123" s="9">
        <f t="shared" si="110"/>
        <v>0</v>
      </c>
      <c r="I123" s="9">
        <f t="shared" si="110"/>
        <v>0</v>
      </c>
      <c r="J123" s="9">
        <f t="shared" si="110"/>
        <v>0</v>
      </c>
      <c r="K123" s="9">
        <f t="shared" si="110"/>
        <v>0</v>
      </c>
      <c r="L123" s="9">
        <f t="shared" si="110"/>
        <v>0</v>
      </c>
      <c r="M123" s="9">
        <f t="shared" si="110"/>
        <v>0</v>
      </c>
      <c r="N123" s="9">
        <f t="shared" si="110"/>
        <v>0</v>
      </c>
      <c r="O123" s="9">
        <f t="shared" si="110"/>
        <v>0</v>
      </c>
      <c r="P123" s="9">
        <f t="shared" si="110"/>
        <v>0</v>
      </c>
      <c r="Q123" s="9">
        <f t="shared" si="110"/>
        <v>0</v>
      </c>
      <c r="R123" s="9">
        <f t="shared" si="110"/>
        <v>0</v>
      </c>
      <c r="S123" s="9">
        <f t="shared" si="110"/>
        <v>0</v>
      </c>
      <c r="T123" s="9">
        <f t="shared" si="110"/>
        <v>0</v>
      </c>
      <c r="U123" s="9">
        <f t="shared" si="110"/>
        <v>0</v>
      </c>
      <c r="V123" s="9">
        <f t="shared" si="110"/>
        <v>0</v>
      </c>
      <c r="W123" s="9">
        <f t="shared" si="110"/>
        <v>0</v>
      </c>
      <c r="X123" s="9">
        <f t="shared" si="110"/>
        <v>0</v>
      </c>
      <c r="Y123" s="9">
        <f t="shared" si="110"/>
        <v>0</v>
      </c>
      <c r="Z123" s="9">
        <f t="shared" si="110"/>
        <v>0</v>
      </c>
      <c r="AA123" s="9">
        <f t="shared" si="110"/>
        <v>0</v>
      </c>
      <c r="AB123" s="9">
        <f t="shared" si="110"/>
        <v>0</v>
      </c>
      <c r="AC123" s="9">
        <f t="shared" si="110"/>
        <v>0</v>
      </c>
      <c r="AD123" s="9">
        <f t="shared" si="110"/>
        <v>0</v>
      </c>
      <c r="AE123" s="9">
        <f t="shared" si="110"/>
        <v>0</v>
      </c>
      <c r="AF123" s="9">
        <f t="shared" si="110"/>
        <v>0</v>
      </c>
      <c r="AG123" s="9">
        <f t="shared" si="105"/>
        <v>0</v>
      </c>
      <c r="AH123" s="9">
        <f t="shared" si="39"/>
        <v>0</v>
      </c>
      <c r="AI123" s="9">
        <f t="shared" si="40"/>
        <v>0</v>
      </c>
      <c r="AJ123" s="10">
        <f t="shared" si="41"/>
        <v>0</v>
      </c>
      <c r="AK123" s="9">
        <f t="shared" si="42"/>
        <v>0</v>
      </c>
      <c r="AL123" s="9">
        <f t="shared" si="87"/>
        <v>0</v>
      </c>
      <c r="AM123" s="9"/>
      <c r="AN123" s="9"/>
      <c r="AO123" s="9"/>
    </row>
    <row r="124" spans="1:41">
      <c r="A124" s="9">
        <f t="shared" si="107"/>
        <v>11.795599174499511</v>
      </c>
      <c r="B124" s="9">
        <f t="shared" ref="B124:AF124" si="111">B63-B96</f>
        <v>0</v>
      </c>
      <c r="C124" s="9">
        <f t="shared" si="111"/>
        <v>0</v>
      </c>
      <c r="D124" s="9">
        <f t="shared" si="111"/>
        <v>0</v>
      </c>
      <c r="E124" s="9">
        <f t="shared" si="111"/>
        <v>0</v>
      </c>
      <c r="F124" s="9">
        <f t="shared" si="111"/>
        <v>0</v>
      </c>
      <c r="G124" s="9">
        <f t="shared" si="111"/>
        <v>0</v>
      </c>
      <c r="H124" s="9">
        <f t="shared" si="111"/>
        <v>0</v>
      </c>
      <c r="I124" s="9">
        <f t="shared" si="111"/>
        <v>0</v>
      </c>
      <c r="J124" s="9">
        <f t="shared" si="111"/>
        <v>0</v>
      </c>
      <c r="K124" s="9">
        <f t="shared" si="111"/>
        <v>0</v>
      </c>
      <c r="L124" s="9">
        <f t="shared" si="111"/>
        <v>0</v>
      </c>
      <c r="M124" s="9">
        <f t="shared" si="111"/>
        <v>0</v>
      </c>
      <c r="N124" s="9">
        <f t="shared" si="111"/>
        <v>0</v>
      </c>
      <c r="O124" s="9">
        <f t="shared" si="111"/>
        <v>0</v>
      </c>
      <c r="P124" s="9">
        <f t="shared" si="111"/>
        <v>0</v>
      </c>
      <c r="Q124" s="9">
        <f t="shared" si="111"/>
        <v>0</v>
      </c>
      <c r="R124" s="9">
        <f t="shared" si="111"/>
        <v>0</v>
      </c>
      <c r="S124" s="9">
        <f t="shared" si="111"/>
        <v>0</v>
      </c>
      <c r="T124" s="9">
        <f t="shared" si="111"/>
        <v>0</v>
      </c>
      <c r="U124" s="9">
        <f t="shared" si="111"/>
        <v>0</v>
      </c>
      <c r="V124" s="9">
        <f t="shared" si="111"/>
        <v>0</v>
      </c>
      <c r="W124" s="9">
        <f t="shared" si="111"/>
        <v>0</v>
      </c>
      <c r="X124" s="9">
        <f t="shared" si="111"/>
        <v>0</v>
      </c>
      <c r="Y124" s="9">
        <f t="shared" si="111"/>
        <v>0</v>
      </c>
      <c r="Z124" s="9">
        <f t="shared" si="111"/>
        <v>0</v>
      </c>
      <c r="AA124" s="9">
        <f t="shared" si="111"/>
        <v>0</v>
      </c>
      <c r="AB124" s="9">
        <f t="shared" si="111"/>
        <v>0</v>
      </c>
      <c r="AC124" s="9">
        <f t="shared" si="111"/>
        <v>0</v>
      </c>
      <c r="AD124" s="9">
        <f t="shared" si="111"/>
        <v>0</v>
      </c>
      <c r="AE124" s="9">
        <f t="shared" si="111"/>
        <v>0</v>
      </c>
      <c r="AF124" s="9">
        <f t="shared" si="111"/>
        <v>0</v>
      </c>
      <c r="AG124" s="9">
        <f t="shared" si="105"/>
        <v>0</v>
      </c>
      <c r="AH124" s="9">
        <f t="shared" si="39"/>
        <v>0</v>
      </c>
      <c r="AI124" s="9">
        <f t="shared" si="40"/>
        <v>0</v>
      </c>
      <c r="AJ124" s="10">
        <f t="shared" si="41"/>
        <v>0</v>
      </c>
      <c r="AK124" s="9">
        <f t="shared" si="42"/>
        <v>0</v>
      </c>
      <c r="AL124" s="9">
        <f t="shared" si="87"/>
        <v>0</v>
      </c>
      <c r="AM124" s="9"/>
      <c r="AN124" s="9"/>
      <c r="AO124" s="9"/>
    </row>
    <row r="125" spans="1:41">
      <c r="A125" s="9">
        <f t="shared" si="107"/>
        <v>8.797748947143555</v>
      </c>
      <c r="B125" s="9">
        <f t="shared" ref="B125:AF125" si="112">B64-B97</f>
        <v>0</v>
      </c>
      <c r="C125" s="9">
        <f t="shared" si="112"/>
        <v>0</v>
      </c>
      <c r="D125" s="9">
        <f t="shared" si="112"/>
        <v>0</v>
      </c>
      <c r="E125" s="9">
        <f t="shared" si="112"/>
        <v>0</v>
      </c>
      <c r="F125" s="9">
        <f t="shared" si="112"/>
        <v>0</v>
      </c>
      <c r="G125" s="9">
        <f t="shared" si="112"/>
        <v>0</v>
      </c>
      <c r="H125" s="9">
        <f t="shared" si="112"/>
        <v>0</v>
      </c>
      <c r="I125" s="9">
        <f t="shared" si="112"/>
        <v>0</v>
      </c>
      <c r="J125" s="9">
        <f t="shared" si="112"/>
        <v>0</v>
      </c>
      <c r="K125" s="9">
        <f t="shared" si="112"/>
        <v>0</v>
      </c>
      <c r="L125" s="9">
        <f t="shared" si="112"/>
        <v>0</v>
      </c>
      <c r="M125" s="9">
        <f t="shared" si="112"/>
        <v>0</v>
      </c>
      <c r="N125" s="9">
        <f t="shared" si="112"/>
        <v>0</v>
      </c>
      <c r="O125" s="9">
        <f t="shared" si="112"/>
        <v>0</v>
      </c>
      <c r="P125" s="9">
        <f t="shared" si="112"/>
        <v>0</v>
      </c>
      <c r="Q125" s="9">
        <f t="shared" si="112"/>
        <v>0</v>
      </c>
      <c r="R125" s="9">
        <f t="shared" si="112"/>
        <v>0</v>
      </c>
      <c r="S125" s="9">
        <f t="shared" si="112"/>
        <v>0</v>
      </c>
      <c r="T125" s="9">
        <f t="shared" si="112"/>
        <v>0</v>
      </c>
      <c r="U125" s="9">
        <f t="shared" si="112"/>
        <v>0</v>
      </c>
      <c r="V125" s="9">
        <f t="shared" si="112"/>
        <v>0</v>
      </c>
      <c r="W125" s="9">
        <f t="shared" si="112"/>
        <v>0</v>
      </c>
      <c r="X125" s="9">
        <f t="shared" si="112"/>
        <v>0</v>
      </c>
      <c r="Y125" s="9">
        <f t="shared" si="112"/>
        <v>0</v>
      </c>
      <c r="Z125" s="9">
        <f t="shared" si="112"/>
        <v>0</v>
      </c>
      <c r="AA125" s="9">
        <f t="shared" si="112"/>
        <v>0</v>
      </c>
      <c r="AB125" s="9">
        <f t="shared" si="112"/>
        <v>0</v>
      </c>
      <c r="AC125" s="9">
        <f t="shared" si="112"/>
        <v>0</v>
      </c>
      <c r="AD125" s="9">
        <f t="shared" si="112"/>
        <v>0</v>
      </c>
      <c r="AE125" s="9">
        <f t="shared" si="112"/>
        <v>0</v>
      </c>
      <c r="AF125" s="9">
        <f t="shared" si="112"/>
        <v>0</v>
      </c>
      <c r="AG125" s="9">
        <f t="shared" si="105"/>
        <v>0</v>
      </c>
      <c r="AH125" s="9">
        <f t="shared" si="39"/>
        <v>0</v>
      </c>
      <c r="AI125" s="9">
        <f t="shared" si="40"/>
        <v>0</v>
      </c>
      <c r="AJ125" s="10">
        <f t="shared" si="41"/>
        <v>0</v>
      </c>
      <c r="AK125" s="9">
        <f t="shared" si="42"/>
        <v>0</v>
      </c>
      <c r="AL125" s="9">
        <f t="shared" si="87"/>
        <v>0</v>
      </c>
      <c r="AM125" s="9"/>
      <c r="AN125" s="9"/>
      <c r="AO125" s="9"/>
    </row>
    <row r="126" spans="1:41">
      <c r="A126" s="9">
        <f t="shared" si="107"/>
        <v>6.5973999023437502</v>
      </c>
      <c r="B126" s="9">
        <f t="shared" ref="B126:AF126" si="113">B65-B98</f>
        <v>0</v>
      </c>
      <c r="C126" s="9">
        <f t="shared" si="113"/>
        <v>0</v>
      </c>
      <c r="D126" s="9">
        <f t="shared" si="113"/>
        <v>0</v>
      </c>
      <c r="E126" s="9">
        <f t="shared" si="113"/>
        <v>0</v>
      </c>
      <c r="F126" s="9">
        <f t="shared" si="113"/>
        <v>0</v>
      </c>
      <c r="G126" s="9">
        <f t="shared" si="113"/>
        <v>0</v>
      </c>
      <c r="H126" s="9">
        <f t="shared" si="113"/>
        <v>0</v>
      </c>
      <c r="I126" s="9">
        <f t="shared" si="113"/>
        <v>0</v>
      </c>
      <c r="J126" s="9">
        <f t="shared" si="113"/>
        <v>0</v>
      </c>
      <c r="K126" s="9">
        <f t="shared" si="113"/>
        <v>0</v>
      </c>
      <c r="L126" s="9">
        <f t="shared" si="113"/>
        <v>0</v>
      </c>
      <c r="M126" s="9">
        <f t="shared" si="113"/>
        <v>0</v>
      </c>
      <c r="N126" s="9">
        <f t="shared" si="113"/>
        <v>0</v>
      </c>
      <c r="O126" s="9">
        <f t="shared" si="113"/>
        <v>0</v>
      </c>
      <c r="P126" s="9">
        <f t="shared" si="113"/>
        <v>0</v>
      </c>
      <c r="Q126" s="9">
        <f t="shared" si="113"/>
        <v>0</v>
      </c>
      <c r="R126" s="9">
        <f t="shared" si="113"/>
        <v>0</v>
      </c>
      <c r="S126" s="9">
        <f t="shared" si="113"/>
        <v>0</v>
      </c>
      <c r="T126" s="9">
        <f t="shared" si="113"/>
        <v>0</v>
      </c>
      <c r="U126" s="9">
        <f t="shared" si="113"/>
        <v>0</v>
      </c>
      <c r="V126" s="9">
        <f t="shared" si="113"/>
        <v>0</v>
      </c>
      <c r="W126" s="9">
        <f t="shared" si="113"/>
        <v>0</v>
      </c>
      <c r="X126" s="9">
        <f t="shared" si="113"/>
        <v>0</v>
      </c>
      <c r="Y126" s="9">
        <f t="shared" si="113"/>
        <v>0</v>
      </c>
      <c r="Z126" s="9">
        <f t="shared" si="113"/>
        <v>0</v>
      </c>
      <c r="AA126" s="9">
        <f t="shared" si="113"/>
        <v>0</v>
      </c>
      <c r="AB126" s="9">
        <f t="shared" si="113"/>
        <v>0</v>
      </c>
      <c r="AC126" s="9">
        <f t="shared" si="113"/>
        <v>0</v>
      </c>
      <c r="AD126" s="9">
        <f t="shared" si="113"/>
        <v>0</v>
      </c>
      <c r="AE126" s="9">
        <f t="shared" si="113"/>
        <v>0</v>
      </c>
      <c r="AF126" s="9">
        <f t="shared" si="113"/>
        <v>0</v>
      </c>
      <c r="AG126" s="9">
        <f t="shared" si="105"/>
        <v>0</v>
      </c>
      <c r="AH126" s="9">
        <f t="shared" si="39"/>
        <v>0</v>
      </c>
      <c r="AI126" s="9">
        <f t="shared" si="40"/>
        <v>0</v>
      </c>
      <c r="AJ126" s="10">
        <f t="shared" si="41"/>
        <v>0</v>
      </c>
      <c r="AK126" s="9">
        <f t="shared" si="42"/>
        <v>0</v>
      </c>
      <c r="AL126" s="9">
        <f t="shared" si="87"/>
        <v>0</v>
      </c>
      <c r="AM126" s="9"/>
      <c r="AN126" s="9"/>
      <c r="AO126" s="9"/>
    </row>
    <row r="127" spans="1:41">
      <c r="A127" s="9">
        <f t="shared" si="107"/>
        <v>2.3447998762130737</v>
      </c>
      <c r="B127" s="9">
        <f t="shared" ref="B127:AF127" si="114">B66-B99</f>
        <v>0</v>
      </c>
      <c r="C127" s="9">
        <f t="shared" si="114"/>
        <v>0</v>
      </c>
      <c r="D127" s="9">
        <f t="shared" si="114"/>
        <v>0</v>
      </c>
      <c r="E127" s="9">
        <f t="shared" si="114"/>
        <v>0</v>
      </c>
      <c r="F127" s="9">
        <f t="shared" si="114"/>
        <v>0</v>
      </c>
      <c r="G127" s="9">
        <f t="shared" si="114"/>
        <v>0</v>
      </c>
      <c r="H127" s="9">
        <f t="shared" si="114"/>
        <v>0</v>
      </c>
      <c r="I127" s="9">
        <f t="shared" si="114"/>
        <v>0</v>
      </c>
      <c r="J127" s="9">
        <f t="shared" si="114"/>
        <v>0</v>
      </c>
      <c r="K127" s="9">
        <f t="shared" si="114"/>
        <v>0</v>
      </c>
      <c r="L127" s="9">
        <f t="shared" si="114"/>
        <v>0</v>
      </c>
      <c r="M127" s="9">
        <f t="shared" si="114"/>
        <v>0</v>
      </c>
      <c r="N127" s="9">
        <f t="shared" si="114"/>
        <v>0</v>
      </c>
      <c r="O127" s="9">
        <f t="shared" si="114"/>
        <v>0</v>
      </c>
      <c r="P127" s="9">
        <f t="shared" si="114"/>
        <v>0</v>
      </c>
      <c r="Q127" s="9">
        <f t="shared" si="114"/>
        <v>0</v>
      </c>
      <c r="R127" s="9">
        <f t="shared" si="114"/>
        <v>0</v>
      </c>
      <c r="S127" s="9">
        <f t="shared" si="114"/>
        <v>0</v>
      </c>
      <c r="T127" s="9">
        <f t="shared" si="114"/>
        <v>0</v>
      </c>
      <c r="U127" s="9">
        <f t="shared" si="114"/>
        <v>0</v>
      </c>
      <c r="V127" s="9">
        <f t="shared" si="114"/>
        <v>0</v>
      </c>
      <c r="W127" s="9">
        <f t="shared" si="114"/>
        <v>0</v>
      </c>
      <c r="X127" s="9">
        <f t="shared" si="114"/>
        <v>0</v>
      </c>
      <c r="Y127" s="9">
        <f t="shared" si="114"/>
        <v>0</v>
      </c>
      <c r="Z127" s="9">
        <f t="shared" si="114"/>
        <v>0</v>
      </c>
      <c r="AA127" s="9">
        <f t="shared" si="114"/>
        <v>0</v>
      </c>
      <c r="AB127" s="9">
        <f t="shared" si="114"/>
        <v>0</v>
      </c>
      <c r="AC127" s="9">
        <f t="shared" si="114"/>
        <v>0</v>
      </c>
      <c r="AD127" s="9">
        <f t="shared" si="114"/>
        <v>0</v>
      </c>
      <c r="AE127" s="9">
        <f t="shared" si="114"/>
        <v>0</v>
      </c>
      <c r="AF127" s="9">
        <f t="shared" si="114"/>
        <v>0</v>
      </c>
      <c r="AG127" s="9">
        <f t="shared" si="105"/>
        <v>0</v>
      </c>
      <c r="AH127" s="9">
        <f t="shared" si="39"/>
        <v>0</v>
      </c>
      <c r="AI127" s="9">
        <f t="shared" si="40"/>
        <v>0</v>
      </c>
      <c r="AJ127" s="10">
        <f t="shared" si="41"/>
        <v>0</v>
      </c>
      <c r="AK127" s="9">
        <f t="shared" si="42"/>
        <v>0</v>
      </c>
      <c r="AL127" s="9">
        <f t="shared" si="87"/>
        <v>0</v>
      </c>
      <c r="AM127" s="9"/>
      <c r="AN127" s="9"/>
      <c r="AO127" s="9"/>
    </row>
    <row r="128" spans="1:41">
      <c r="A128" s="9">
        <f t="shared" ref="A128" si="115">A100</f>
        <v>1.9071000814437866</v>
      </c>
      <c r="B128" s="9">
        <f t="shared" ref="B128:AF128" si="116">B67-B100</f>
        <v>0</v>
      </c>
      <c r="C128" s="9">
        <f t="shared" si="116"/>
        <v>0</v>
      </c>
      <c r="D128" s="9">
        <f t="shared" si="116"/>
        <v>0</v>
      </c>
      <c r="E128" s="9">
        <f t="shared" si="116"/>
        <v>0</v>
      </c>
      <c r="F128" s="9">
        <f t="shared" si="116"/>
        <v>0</v>
      </c>
      <c r="G128" s="9">
        <f t="shared" si="116"/>
        <v>0</v>
      </c>
      <c r="H128" s="9">
        <f t="shared" si="116"/>
        <v>0</v>
      </c>
      <c r="I128" s="9">
        <f t="shared" si="116"/>
        <v>0</v>
      </c>
      <c r="J128" s="9">
        <f t="shared" si="116"/>
        <v>0</v>
      </c>
      <c r="K128" s="9">
        <f t="shared" si="116"/>
        <v>0</v>
      </c>
      <c r="L128" s="9">
        <f t="shared" si="116"/>
        <v>0</v>
      </c>
      <c r="M128" s="9">
        <f t="shared" si="116"/>
        <v>0</v>
      </c>
      <c r="N128" s="9">
        <f t="shared" si="116"/>
        <v>0</v>
      </c>
      <c r="O128" s="9">
        <f t="shared" si="116"/>
        <v>0</v>
      </c>
      <c r="P128" s="9">
        <f t="shared" si="116"/>
        <v>0</v>
      </c>
      <c r="Q128" s="9">
        <f t="shared" si="116"/>
        <v>0</v>
      </c>
      <c r="R128" s="9">
        <f t="shared" si="116"/>
        <v>0</v>
      </c>
      <c r="S128" s="9">
        <f t="shared" si="116"/>
        <v>0</v>
      </c>
      <c r="T128" s="9">
        <f t="shared" si="116"/>
        <v>0</v>
      </c>
      <c r="U128" s="9">
        <f t="shared" si="116"/>
        <v>0</v>
      </c>
      <c r="V128" s="9">
        <f t="shared" si="116"/>
        <v>0</v>
      </c>
      <c r="W128" s="9">
        <f t="shared" si="116"/>
        <v>0</v>
      </c>
      <c r="X128" s="9">
        <f t="shared" si="116"/>
        <v>0</v>
      </c>
      <c r="Y128" s="9">
        <f t="shared" si="116"/>
        <v>0</v>
      </c>
      <c r="Z128" s="9">
        <f t="shared" si="116"/>
        <v>0</v>
      </c>
      <c r="AA128" s="9">
        <f t="shared" si="116"/>
        <v>0</v>
      </c>
      <c r="AB128" s="9">
        <f t="shared" si="116"/>
        <v>0</v>
      </c>
      <c r="AC128" s="9">
        <f t="shared" si="116"/>
        <v>0</v>
      </c>
      <c r="AD128" s="9">
        <f t="shared" si="116"/>
        <v>0</v>
      </c>
      <c r="AE128" s="9">
        <f t="shared" si="116"/>
        <v>0</v>
      </c>
      <c r="AF128" s="9">
        <f t="shared" si="116"/>
        <v>0</v>
      </c>
      <c r="AG128" s="9">
        <f t="shared" si="105"/>
        <v>0</v>
      </c>
      <c r="AH128" s="9">
        <f t="shared" si="39"/>
        <v>0</v>
      </c>
      <c r="AI128" s="9">
        <f t="shared" si="40"/>
        <v>0</v>
      </c>
      <c r="AJ128" s="10">
        <f t="shared" si="41"/>
        <v>0</v>
      </c>
      <c r="AK128" s="9">
        <f t="shared" si="42"/>
        <v>0</v>
      </c>
      <c r="AM128" s="9"/>
      <c r="AN128" s="9"/>
      <c r="AO128" s="9"/>
    </row>
    <row r="129" spans="1:4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M129" s="9"/>
      <c r="AN129" s="9"/>
      <c r="AO129" s="9"/>
    </row>
    <row r="130" spans="1:4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M130" s="9"/>
      <c r="AN130" s="9"/>
      <c r="AO130" s="9"/>
    </row>
    <row r="131" spans="1:4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M131" s="9"/>
      <c r="AN131" s="9"/>
      <c r="AO131" s="9"/>
    </row>
    <row r="132" spans="1:4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M132" s="9"/>
      <c r="AN132" s="9"/>
      <c r="AO132" s="9"/>
    </row>
    <row r="133" spans="1:4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M133" s="9"/>
      <c r="AN133" s="9"/>
      <c r="AO133" s="9"/>
    </row>
    <row r="134" spans="1:4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M134" s="9"/>
      <c r="AN134" s="9"/>
      <c r="AO134" s="9"/>
    </row>
    <row r="135" spans="1:4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M135" s="9"/>
      <c r="AN135" s="9"/>
      <c r="AO135" s="9"/>
    </row>
    <row r="136" spans="1:41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M136" s="9"/>
      <c r="AN136" s="9"/>
      <c r="AO136" s="9"/>
    </row>
    <row r="137" spans="1:41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M137" s="9"/>
      <c r="AN137" s="9"/>
      <c r="AO137" s="9"/>
    </row>
    <row r="138" spans="1:41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M138" s="9"/>
      <c r="AN138" s="9"/>
      <c r="AO138" s="9"/>
    </row>
    <row r="139" spans="1:41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M139" s="9"/>
      <c r="AN139" s="9"/>
      <c r="AO139" s="9"/>
    </row>
    <row r="140" spans="1:41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M140" s="9"/>
      <c r="AN140" s="9"/>
      <c r="AO140" s="9"/>
    </row>
    <row r="141" spans="1:41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M141" s="9"/>
      <c r="AN141" s="9"/>
      <c r="AO141" s="9"/>
    </row>
  </sheetData>
  <mergeCells count="3">
    <mergeCell ref="AL29:AP29"/>
    <mergeCell ref="AL30:AP30"/>
    <mergeCell ref="AL31:AP31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AH41"/>
  <sheetViews>
    <sheetView zoomScale="70" zoomScaleNormal="70" workbookViewId="0">
      <selection activeCell="U6" sqref="U6:U8"/>
    </sheetView>
  </sheetViews>
  <sheetFormatPr defaultRowHeight="15"/>
  <cols>
    <col min="2" max="2" width="7.85546875" style="7" customWidth="1"/>
    <col min="3" max="11" width="7.85546875" customWidth="1"/>
    <col min="12" max="12" width="7.5703125" bestFit="1" customWidth="1"/>
    <col min="13" max="13" width="7.7109375" style="3" bestFit="1" customWidth="1"/>
    <col min="14" max="15" width="4.85546875" bestFit="1" customWidth="1"/>
    <col min="16" max="16" width="5.28515625" bestFit="1" customWidth="1"/>
    <col min="17" max="17" width="6.85546875" bestFit="1" customWidth="1"/>
  </cols>
  <sheetData>
    <row r="1" spans="1:34">
      <c r="A1" s="9" t="s">
        <v>7</v>
      </c>
      <c r="B1" s="16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13" t="s">
        <v>12</v>
      </c>
      <c r="M1" s="13" t="s">
        <v>13</v>
      </c>
      <c r="N1" s="9"/>
      <c r="O1" s="9"/>
      <c r="P1" s="9"/>
      <c r="Q1" s="9"/>
      <c r="R1" s="9"/>
      <c r="S1" s="9" t="s">
        <v>15</v>
      </c>
      <c r="T1" s="9" t="s">
        <v>16</v>
      </c>
      <c r="U1" s="9" t="s">
        <v>17</v>
      </c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</row>
    <row r="2" spans="1:34">
      <c r="A2" s="9">
        <v>0</v>
      </c>
      <c r="B2" s="11">
        <v>3015</v>
      </c>
      <c r="C2" s="11">
        <v>3006.5</v>
      </c>
      <c r="D2" s="11">
        <v>3005</v>
      </c>
      <c r="E2" s="11">
        <v>3002.239990234375</v>
      </c>
      <c r="F2" s="11">
        <v>3015</v>
      </c>
      <c r="G2" s="11">
        <v>2997.49951171875</v>
      </c>
      <c r="H2" s="11">
        <v>3005.5</v>
      </c>
      <c r="I2" s="11">
        <v>3005</v>
      </c>
      <c r="J2" s="11">
        <v>3015</v>
      </c>
      <c r="K2" s="11">
        <v>3005</v>
      </c>
      <c r="L2" s="11">
        <f>AVERAGE(B2:K2)*$U$2</f>
        <v>3007.1739501953125</v>
      </c>
      <c r="M2" s="14">
        <f>STDEV(B2:K2)/L2</f>
        <v>1.9801285460820345E-3</v>
      </c>
      <c r="N2" s="15" t="s">
        <v>8</v>
      </c>
      <c r="O2" s="13" t="s">
        <v>9</v>
      </c>
      <c r="P2" s="13" t="s">
        <v>10</v>
      </c>
      <c r="Q2" s="15" t="s">
        <v>11</v>
      </c>
      <c r="R2" s="9"/>
      <c r="S2" s="11">
        <f>AVERAGE(B2:K2)</f>
        <v>3007.1739501953125</v>
      </c>
      <c r="T2" s="9">
        <f>AVERAGE(data3!B43:AG43)</f>
        <v>0</v>
      </c>
      <c r="U2" s="9">
        <f>T2/S2*useDutAvg+(1-useDutAvg)</f>
        <v>1</v>
      </c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>
        <v>0</v>
      </c>
    </row>
    <row r="3" spans="1:34">
      <c r="A3" s="9">
        <v>1</v>
      </c>
      <c r="B3" s="11">
        <v>2440.69970703125</v>
      </c>
      <c r="C3" s="11">
        <v>2442.149658203125</v>
      </c>
      <c r="D3" s="11">
        <v>2432.399658203125</v>
      </c>
      <c r="E3" s="11">
        <v>2440.649658203125</v>
      </c>
      <c r="F3" s="11">
        <v>2441.349609375</v>
      </c>
      <c r="G3" s="11">
        <v>2442.049560546875</v>
      </c>
      <c r="H3" s="11">
        <v>2440.44970703125</v>
      </c>
      <c r="I3" s="11">
        <v>2441.149658203125</v>
      </c>
      <c r="J3" s="11">
        <v>2440.849609375</v>
      </c>
      <c r="K3" s="11">
        <v>2439.399658203125</v>
      </c>
      <c r="L3" s="11">
        <f t="shared" ref="L3:L26" si="0">AVERAGE(B3:K3)*$U$2</f>
        <v>2440.1146484374999</v>
      </c>
      <c r="M3" s="14">
        <f t="shared" ref="M3:M26" si="1">STDEV(B3:K3)/L3</f>
        <v>1.1574837858846856E-3</v>
      </c>
      <c r="N3" s="11">
        <v>1.2227405491401573</v>
      </c>
      <c r="O3" s="11">
        <v>8.7334314738348726E-2</v>
      </c>
      <c r="P3" s="11">
        <v>8.7334314738348726E-2</v>
      </c>
      <c r="Q3" s="11">
        <v>114.27162899452355</v>
      </c>
      <c r="R3" s="9"/>
      <c r="S3" s="9"/>
      <c r="T3" s="9"/>
      <c r="U3" s="9"/>
      <c r="V3" s="13"/>
      <c r="W3" s="9"/>
      <c r="X3" s="13"/>
      <c r="Y3" s="9"/>
      <c r="Z3" s="9"/>
      <c r="AA3" s="9"/>
      <c r="AB3" s="9"/>
      <c r="AC3" s="9"/>
      <c r="AD3" s="9"/>
      <c r="AE3" s="9"/>
      <c r="AF3" s="9"/>
      <c r="AG3" s="9"/>
      <c r="AH3" s="9">
        <v>0</v>
      </c>
    </row>
    <row r="4" spans="1:34">
      <c r="A4" s="9">
        <v>2</v>
      </c>
      <c r="B4" s="11">
        <v>1996.1500244140625</v>
      </c>
      <c r="C4" s="11">
        <v>1995.9000244140625</v>
      </c>
      <c r="D4" s="11">
        <v>1995.300048828125</v>
      </c>
      <c r="E4" s="11">
        <v>1996.4000244140625</v>
      </c>
      <c r="F4" s="11">
        <v>1997.4000244140625</v>
      </c>
      <c r="G4" s="11">
        <v>1996.4000244140625</v>
      </c>
      <c r="H4" s="11">
        <v>1996.1500244140625</v>
      </c>
      <c r="I4" s="11">
        <v>1995.1500244140625</v>
      </c>
      <c r="J4" s="11">
        <v>1996.75</v>
      </c>
      <c r="K4" s="11">
        <v>1996.1500244140625</v>
      </c>
      <c r="L4" s="11">
        <f t="shared" si="0"/>
        <v>1996.1750244140626</v>
      </c>
      <c r="M4" s="14">
        <f t="shared" si="1"/>
        <v>3.2663504667389807E-4</v>
      </c>
      <c r="N4" s="11">
        <v>1.2332464094769631</v>
      </c>
      <c r="O4" s="11">
        <v>9.104985971365416E-2</v>
      </c>
      <c r="P4" s="11">
        <v>0.17838417445200289</v>
      </c>
      <c r="Q4" s="11">
        <v>97.029599732023826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>
        <v>0</v>
      </c>
    </row>
    <row r="5" spans="1:34">
      <c r="A5" s="9">
        <v>3</v>
      </c>
      <c r="B5" s="11">
        <v>1655.500244140625</v>
      </c>
      <c r="C5" s="11">
        <v>1661.900146484375</v>
      </c>
      <c r="D5" s="11">
        <v>1660.400146484375</v>
      </c>
      <c r="E5" s="11">
        <v>1661.650146484375</v>
      </c>
      <c r="F5" s="11">
        <v>1661.400146484375</v>
      </c>
      <c r="G5" s="11">
        <v>1658.150146484375</v>
      </c>
      <c r="H5" s="11">
        <v>1662.400146484375</v>
      </c>
      <c r="I5" s="11">
        <v>1659.400146484375</v>
      </c>
      <c r="J5" s="11">
        <v>1648.400146484375</v>
      </c>
      <c r="K5" s="11">
        <v>1661.750244140625</v>
      </c>
      <c r="L5" s="11">
        <f t="shared" si="0"/>
        <v>1659.095166015625</v>
      </c>
      <c r="M5" s="14">
        <f t="shared" si="1"/>
        <v>2.6016225061746075E-3</v>
      </c>
      <c r="N5" s="11">
        <v>1.2016424406694368</v>
      </c>
      <c r="O5" s="11">
        <v>7.9775258727209072E-2</v>
      </c>
      <c r="P5" s="11">
        <v>0.25815943317921197</v>
      </c>
      <c r="Q5" s="11">
        <v>69.806515408606344</v>
      </c>
      <c r="R5" s="9"/>
      <c r="S5" s="9"/>
      <c r="T5" s="12"/>
      <c r="U5" s="9"/>
      <c r="V5" s="12"/>
      <c r="W5" s="9"/>
      <c r="X5" s="12"/>
      <c r="Y5" s="9"/>
      <c r="Z5" s="10"/>
      <c r="AA5" s="9"/>
      <c r="AB5" s="9"/>
      <c r="AC5" s="9"/>
      <c r="AD5" s="9"/>
      <c r="AE5" s="9"/>
      <c r="AF5" s="9"/>
      <c r="AG5" s="9"/>
      <c r="AH5" s="9">
        <v>0</v>
      </c>
    </row>
    <row r="6" spans="1:34">
      <c r="A6" s="9">
        <v>4</v>
      </c>
      <c r="B6" s="11">
        <v>1234.400146484375</v>
      </c>
      <c r="C6" s="11">
        <v>1230.900146484375</v>
      </c>
      <c r="D6" s="11">
        <v>1235.250244140625</v>
      </c>
      <c r="E6" s="11">
        <v>1235.400146484375</v>
      </c>
      <c r="F6" s="11">
        <v>1231.400146484375</v>
      </c>
      <c r="G6" s="11">
        <v>1236.400146484375</v>
      </c>
      <c r="H6" s="11">
        <v>1234.400146484375</v>
      </c>
      <c r="I6" s="11">
        <v>1237.400146484375</v>
      </c>
      <c r="J6" s="11">
        <v>1237.5501708984375</v>
      </c>
      <c r="K6" s="11">
        <v>1229.650146484375</v>
      </c>
      <c r="L6" s="11">
        <f t="shared" si="0"/>
        <v>1234.2751586914062</v>
      </c>
      <c r="M6" s="14">
        <f t="shared" si="1"/>
        <v>2.2319383615665694E-3</v>
      </c>
      <c r="N6" s="11">
        <v>1.3378121970855454</v>
      </c>
      <c r="O6" s="11">
        <v>0.12639515117918007</v>
      </c>
      <c r="P6" s="11">
        <v>0.38455458435839207</v>
      </c>
      <c r="Q6" s="11">
        <v>87.416655979016639</v>
      </c>
      <c r="R6" s="9"/>
      <c r="S6" s="9"/>
      <c r="T6" s="12"/>
      <c r="V6" s="12"/>
      <c r="W6" s="9"/>
      <c r="X6" s="12"/>
      <c r="Y6" s="9"/>
      <c r="Z6" s="10"/>
      <c r="AA6" s="9"/>
      <c r="AB6" s="9"/>
      <c r="AC6" s="9"/>
      <c r="AD6" s="9"/>
      <c r="AE6" s="9"/>
      <c r="AF6" s="9"/>
      <c r="AG6" s="9"/>
      <c r="AH6" s="9">
        <v>0</v>
      </c>
    </row>
    <row r="7" spans="1:34">
      <c r="A7" s="9">
        <v>5</v>
      </c>
      <c r="B7" s="11">
        <v>924.40020751953125</v>
      </c>
      <c r="C7" s="11">
        <v>924.65020751953125</v>
      </c>
      <c r="D7" s="11">
        <v>924.40020751953125</v>
      </c>
      <c r="E7" s="11">
        <v>924.40020751953125</v>
      </c>
      <c r="F7" s="11">
        <v>925.40020751953125</v>
      </c>
      <c r="G7" s="11">
        <v>924.40020751953125</v>
      </c>
      <c r="H7" s="11">
        <v>923.40020751953125</v>
      </c>
      <c r="I7" s="11">
        <v>925.0501708984375</v>
      </c>
      <c r="J7" s="11">
        <v>924.90020751953125</v>
      </c>
      <c r="K7" s="11">
        <v>924.40020751953125</v>
      </c>
      <c r="L7" s="11">
        <f t="shared" si="0"/>
        <v>924.54020385742183</v>
      </c>
      <c r="M7" s="14">
        <f t="shared" si="1"/>
        <v>5.7448818299207815E-4</v>
      </c>
      <c r="N7" s="11">
        <v>1.3416754948656553</v>
      </c>
      <c r="O7" s="11">
        <v>0.12764748764297662</v>
      </c>
      <c r="P7" s="11">
        <v>0.51220207200136869</v>
      </c>
      <c r="Q7" s="11">
        <v>65.899968545716291</v>
      </c>
      <c r="R7" s="9"/>
      <c r="S7" s="9"/>
      <c r="T7" s="12"/>
      <c r="V7" s="12"/>
      <c r="W7" s="9"/>
      <c r="X7" s="12"/>
      <c r="Y7" s="9"/>
      <c r="Z7" s="10"/>
      <c r="AA7" s="9"/>
      <c r="AB7" s="9"/>
      <c r="AC7" s="9"/>
      <c r="AD7" s="9"/>
      <c r="AE7" s="9"/>
      <c r="AF7" s="9"/>
      <c r="AG7" s="9"/>
      <c r="AH7" s="9">
        <v>0</v>
      </c>
    </row>
    <row r="8" spans="1:34">
      <c r="A8" s="9">
        <v>6</v>
      </c>
      <c r="B8" s="11">
        <v>760.400146484375</v>
      </c>
      <c r="C8" s="11">
        <v>763.400146484375</v>
      </c>
      <c r="D8" s="11">
        <v>761.400146484375</v>
      </c>
      <c r="E8" s="11">
        <v>759.400146484375</v>
      </c>
      <c r="F8" s="11">
        <v>760.400146484375</v>
      </c>
      <c r="G8" s="11">
        <v>760.400146484375</v>
      </c>
      <c r="H8" s="11">
        <v>761.400146484375</v>
      </c>
      <c r="I8" s="11">
        <v>761.400146484375</v>
      </c>
      <c r="J8" s="11">
        <v>763.400146484375</v>
      </c>
      <c r="K8" s="11">
        <v>760.400146484375</v>
      </c>
      <c r="L8" s="11">
        <f t="shared" si="0"/>
        <v>761.20014648437495</v>
      </c>
      <c r="M8" s="14">
        <f t="shared" si="1"/>
        <v>1.7295860796580544E-3</v>
      </c>
      <c r="N8" s="11">
        <v>1.1313737214068791</v>
      </c>
      <c r="O8" s="11">
        <v>5.3606087096165878E-2</v>
      </c>
      <c r="P8" s="11">
        <v>0.56580815909753457</v>
      </c>
      <c r="Q8" s="11">
        <v>22.396171805573971</v>
      </c>
      <c r="R8" s="9"/>
      <c r="S8" s="9"/>
      <c r="T8" s="12"/>
      <c r="V8" s="12"/>
      <c r="W8" s="9"/>
      <c r="X8" s="12"/>
      <c r="Y8" s="9"/>
      <c r="Z8" s="10"/>
      <c r="AA8" s="9"/>
      <c r="AB8" s="9"/>
      <c r="AC8" s="9"/>
      <c r="AD8" s="9"/>
      <c r="AE8" s="9"/>
      <c r="AF8" s="9"/>
      <c r="AG8" s="9"/>
      <c r="AH8" s="9">
        <v>0</v>
      </c>
    </row>
    <row r="9" spans="1:34">
      <c r="A9" s="9">
        <v>7</v>
      </c>
      <c r="B9" s="11">
        <v>619.40008544921875</v>
      </c>
      <c r="C9" s="11">
        <v>618.40008544921875</v>
      </c>
      <c r="D9" s="11">
        <v>618.40008544921875</v>
      </c>
      <c r="E9" s="11">
        <v>617.40008544921875</v>
      </c>
      <c r="F9" s="11">
        <v>618.90008544921875</v>
      </c>
      <c r="G9" s="11">
        <v>618.40008544921875</v>
      </c>
      <c r="H9" s="11">
        <v>619.40008544921875</v>
      </c>
      <c r="I9" s="11">
        <v>619.40008544921875</v>
      </c>
      <c r="J9" s="11">
        <v>618.40008544921875</v>
      </c>
      <c r="K9" s="11">
        <v>618.9500732421875</v>
      </c>
      <c r="L9" s="11">
        <f t="shared" si="0"/>
        <v>618.7050842285156</v>
      </c>
      <c r="M9" s="14">
        <f t="shared" si="1"/>
        <v>1.0253778045017979E-3</v>
      </c>
      <c r="N9" s="11">
        <v>1.2208876440709469</v>
      </c>
      <c r="O9" s="11">
        <v>8.6675698502451243E-2</v>
      </c>
      <c r="P9" s="11">
        <v>0.65248385759998584</v>
      </c>
      <c r="Q9" s="11">
        <v>30.843312404388655</v>
      </c>
      <c r="R9" s="9"/>
      <c r="S9" s="9"/>
      <c r="T9" s="12"/>
      <c r="U9" s="9"/>
      <c r="V9" s="12"/>
      <c r="W9" s="9"/>
      <c r="X9" s="12"/>
      <c r="Y9" s="9"/>
      <c r="Z9" s="10"/>
      <c r="AA9" s="9"/>
      <c r="AB9" s="9"/>
      <c r="AC9" s="9"/>
      <c r="AD9" s="9"/>
      <c r="AE9" s="9"/>
      <c r="AF9" s="9"/>
      <c r="AG9" s="9"/>
      <c r="AH9" s="9">
        <v>0</v>
      </c>
    </row>
    <row r="10" spans="1:34">
      <c r="A10" s="9">
        <v>8</v>
      </c>
      <c r="B10" s="11">
        <v>506.39999389648438</v>
      </c>
      <c r="C10" s="11">
        <v>506.39999389648438</v>
      </c>
      <c r="D10" s="11">
        <v>506.39999389648438</v>
      </c>
      <c r="E10" s="11">
        <v>506.39999389648438</v>
      </c>
      <c r="F10" s="11">
        <v>506.39999389648438</v>
      </c>
      <c r="G10" s="11">
        <v>506.39999389648438</v>
      </c>
      <c r="H10" s="11">
        <v>506.39999389648438</v>
      </c>
      <c r="I10" s="11">
        <v>506.39999389648438</v>
      </c>
      <c r="J10" s="11">
        <v>506.39999389648438</v>
      </c>
      <c r="K10" s="11">
        <v>506.39999389648438</v>
      </c>
      <c r="L10" s="11">
        <f t="shared" si="0"/>
        <v>506.39999389648438</v>
      </c>
      <c r="M10" s="14">
        <f t="shared" si="1"/>
        <v>0</v>
      </c>
      <c r="N10" s="11">
        <v>1.2345388684881615</v>
      </c>
      <c r="O10" s="11">
        <v>9.1504767904397474E-2</v>
      </c>
      <c r="P10" s="11">
        <v>0.74398862550438327</v>
      </c>
      <c r="Q10" s="11">
        <v>26.527703042766603</v>
      </c>
      <c r="R10" s="9"/>
      <c r="S10" s="9"/>
      <c r="T10" s="12"/>
      <c r="U10" s="9"/>
      <c r="V10" s="12"/>
      <c r="W10" s="9"/>
      <c r="X10" s="12"/>
      <c r="Y10" s="9"/>
      <c r="Z10" s="10"/>
      <c r="AA10" s="9"/>
      <c r="AB10" s="9"/>
      <c r="AC10" s="9"/>
      <c r="AD10" s="9"/>
      <c r="AE10" s="9"/>
      <c r="AF10" s="9"/>
      <c r="AG10" s="9"/>
      <c r="AH10" s="9">
        <v>0</v>
      </c>
    </row>
    <row r="11" spans="1:34">
      <c r="A11" s="9">
        <v>9</v>
      </c>
      <c r="B11" s="11">
        <v>421.39996337890625</v>
      </c>
      <c r="C11" s="11">
        <v>421.39996337890625</v>
      </c>
      <c r="D11" s="11">
        <v>421.39996337890625</v>
      </c>
      <c r="E11" s="11">
        <v>419.64996337890625</v>
      </c>
      <c r="F11" s="11">
        <v>421.39996337890625</v>
      </c>
      <c r="G11" s="11">
        <v>421.39996337890625</v>
      </c>
      <c r="H11" s="11">
        <v>421.39996337890625</v>
      </c>
      <c r="I11" s="11">
        <v>421.39996337890625</v>
      </c>
      <c r="J11" s="11">
        <v>420.64996337890625</v>
      </c>
      <c r="K11" s="11">
        <v>421.39996337890625</v>
      </c>
      <c r="L11" s="11">
        <f t="shared" si="0"/>
        <v>421.14996337890625</v>
      </c>
      <c r="M11" s="14">
        <f t="shared" si="1"/>
        <v>1.3708899902484068E-3</v>
      </c>
      <c r="N11" s="11">
        <v>1.2019126966962737</v>
      </c>
      <c r="O11" s="11">
        <v>7.9872922974495372E-2</v>
      </c>
      <c r="P11" s="11">
        <v>0.8238615484788786</v>
      </c>
      <c r="Q11" s="11">
        <v>19.000959307897233</v>
      </c>
      <c r="R11" s="9"/>
      <c r="S11" s="9"/>
      <c r="T11" s="12"/>
      <c r="U11" s="9"/>
      <c r="V11" s="12"/>
      <c r="W11" s="9"/>
      <c r="X11" s="12"/>
      <c r="Y11" s="9"/>
      <c r="Z11" s="10"/>
      <c r="AA11" s="9"/>
      <c r="AB11" s="9"/>
      <c r="AC11" s="9"/>
      <c r="AD11" s="9"/>
      <c r="AE11" s="9"/>
      <c r="AF11" s="9"/>
      <c r="AG11" s="9"/>
      <c r="AH11" s="9"/>
    </row>
    <row r="12" spans="1:34">
      <c r="A12" s="9">
        <v>10</v>
      </c>
      <c r="B12" s="11">
        <v>314.39996337890625</v>
      </c>
      <c r="C12" s="11">
        <v>313.39996337890625</v>
      </c>
      <c r="D12" s="11">
        <v>312.39996337890625</v>
      </c>
      <c r="E12" s="11">
        <v>314.39996337890625</v>
      </c>
      <c r="F12" s="11">
        <v>313.39996337890625</v>
      </c>
      <c r="G12" s="11">
        <v>313.39996337890625</v>
      </c>
      <c r="H12" s="11">
        <v>312.39996337890625</v>
      </c>
      <c r="I12" s="11">
        <v>313.39996337890625</v>
      </c>
      <c r="J12" s="11">
        <v>313.39996337890625</v>
      </c>
      <c r="K12" s="11">
        <v>313.39996337890625</v>
      </c>
      <c r="L12" s="11">
        <f t="shared" si="0"/>
        <v>313.39996337890625</v>
      </c>
      <c r="M12" s="14">
        <f t="shared" si="1"/>
        <v>2.1272072258051115E-3</v>
      </c>
      <c r="N12" s="11">
        <v>1.3386674485512424</v>
      </c>
      <c r="O12" s="11">
        <v>0.12667270307869807</v>
      </c>
      <c r="P12" s="11">
        <v>0.95053425155757665</v>
      </c>
      <c r="Q12" s="11">
        <v>23.807437426199172</v>
      </c>
      <c r="R12" s="9"/>
      <c r="S12" s="9"/>
      <c r="T12" s="12"/>
      <c r="U12" s="9"/>
      <c r="V12" s="12"/>
      <c r="W12" s="9"/>
      <c r="X12" s="12"/>
      <c r="Y12" s="9"/>
      <c r="Z12" s="10"/>
      <c r="AA12" s="9"/>
      <c r="AB12" s="9"/>
      <c r="AC12" s="9"/>
      <c r="AD12" s="9"/>
      <c r="AE12" s="9"/>
      <c r="AF12" s="9"/>
      <c r="AG12" s="9"/>
      <c r="AH12" s="9"/>
    </row>
    <row r="13" spans="1:34">
      <c r="A13" s="9">
        <v>11</v>
      </c>
      <c r="B13" s="11">
        <v>283.33001708984375</v>
      </c>
      <c r="C13" s="11">
        <v>283.594970703125</v>
      </c>
      <c r="D13" s="11">
        <v>283.30499267578125</v>
      </c>
      <c r="E13" s="11">
        <v>282.95989990234375</v>
      </c>
      <c r="F13" s="11">
        <v>283.800048828125</v>
      </c>
      <c r="G13" s="11">
        <v>283.72500610351562</v>
      </c>
      <c r="H13" s="11">
        <v>283.50494384765625</v>
      </c>
      <c r="I13" s="11">
        <v>283.48492431640625</v>
      </c>
      <c r="J13" s="11">
        <v>282.00494384765625</v>
      </c>
      <c r="K13" s="11">
        <v>283.84503173828125</v>
      </c>
      <c r="L13" s="11">
        <f t="shared" si="0"/>
        <v>283.35547790527346</v>
      </c>
      <c r="M13" s="14">
        <f t="shared" si="1"/>
        <v>1.9164258112947569E-3</v>
      </c>
      <c r="N13" s="11">
        <v>1.1058558579346618</v>
      </c>
      <c r="O13" s="11">
        <v>4.3698522824742521E-2</v>
      </c>
      <c r="P13" s="11">
        <v>0.99423277438231916</v>
      </c>
      <c r="Q13" s="11">
        <v>6.7290781041404983</v>
      </c>
      <c r="R13" s="9"/>
      <c r="S13" s="9"/>
      <c r="T13" s="12"/>
      <c r="U13" s="9"/>
      <c r="V13" s="12"/>
      <c r="W13" s="9"/>
      <c r="X13" s="12"/>
      <c r="Y13" s="9"/>
      <c r="Z13" s="10"/>
      <c r="AA13" s="9"/>
      <c r="AB13" s="9"/>
      <c r="AC13" s="9"/>
      <c r="AD13" s="9"/>
      <c r="AE13" s="9"/>
      <c r="AF13" s="9"/>
      <c r="AG13" s="9"/>
      <c r="AH13" s="9"/>
    </row>
    <row r="14" spans="1:34">
      <c r="A14" s="9">
        <v>12</v>
      </c>
      <c r="B14" s="11">
        <v>233.27001953125</v>
      </c>
      <c r="C14" s="11">
        <v>233.83003234863281</v>
      </c>
      <c r="D14" s="11">
        <v>233.32002258300781</v>
      </c>
      <c r="E14" s="11">
        <v>233.44992065429687</v>
      </c>
      <c r="F14" s="11">
        <v>233.66996765136719</v>
      </c>
      <c r="G14" s="11">
        <v>233.27999877929687</v>
      </c>
      <c r="H14" s="11">
        <v>233.72000122070312</v>
      </c>
      <c r="I14" s="11">
        <v>233.42997741699219</v>
      </c>
      <c r="J14" s="11">
        <v>233.73001098632812</v>
      </c>
      <c r="K14" s="11">
        <v>233.77001953125</v>
      </c>
      <c r="L14" s="11">
        <f t="shared" si="0"/>
        <v>233.5469970703125</v>
      </c>
      <c r="M14" s="14">
        <f t="shared" si="1"/>
        <v>9.370442659701934E-4</v>
      </c>
      <c r="N14" s="11">
        <v>1.232760949246444</v>
      </c>
      <c r="O14" s="11">
        <v>9.0878868575873767E-2</v>
      </c>
      <c r="P14" s="11">
        <v>1.0851116429581928</v>
      </c>
      <c r="Q14" s="11">
        <v>12.002505783544549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</row>
    <row r="15" spans="1:34">
      <c r="A15" s="9">
        <v>13</v>
      </c>
      <c r="B15" s="11">
        <v>188.05000305175781</v>
      </c>
      <c r="C15" s="11">
        <v>187.97999572753906</v>
      </c>
      <c r="D15" s="11">
        <v>188.47999572753906</v>
      </c>
      <c r="E15" s="11">
        <v>188.30502319335937</v>
      </c>
      <c r="F15" s="11">
        <v>188.15998840332031</v>
      </c>
      <c r="G15" s="11">
        <v>188.07000732421875</v>
      </c>
      <c r="H15" s="11">
        <v>188.50498962402344</v>
      </c>
      <c r="I15" s="11">
        <v>187.2850341796875</v>
      </c>
      <c r="J15" s="11">
        <v>187.85499572753906</v>
      </c>
      <c r="K15" s="11">
        <v>188.27503967285156</v>
      </c>
      <c r="L15" s="11">
        <f t="shared" si="0"/>
        <v>188.09650726318358</v>
      </c>
      <c r="M15" s="14">
        <f t="shared" si="1"/>
        <v>1.8809410393387579E-3</v>
      </c>
      <c r="N15" s="11">
        <v>1.2250583155625532</v>
      </c>
      <c r="O15" s="11">
        <v>8.8156762597878399E-2</v>
      </c>
      <c r="P15" s="11">
        <v>1.1732684055560711</v>
      </c>
      <c r="Q15" s="11">
        <v>9.4732741515228724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</row>
    <row r="16" spans="1:34">
      <c r="A16" s="9">
        <v>14</v>
      </c>
      <c r="B16" s="11">
        <v>156.83001708984375</v>
      </c>
      <c r="C16" s="11">
        <v>156.33001708984375</v>
      </c>
      <c r="D16" s="11">
        <v>156.83001708984375</v>
      </c>
      <c r="E16" s="11">
        <v>156.62997436523437</v>
      </c>
      <c r="F16" s="11">
        <v>156.53001403808594</v>
      </c>
      <c r="G16" s="11">
        <v>155.97999572753906</v>
      </c>
      <c r="H16" s="11">
        <v>156.33001708984375</v>
      </c>
      <c r="I16" s="11">
        <v>156.35501098632812</v>
      </c>
      <c r="J16" s="11">
        <v>156.53001403808594</v>
      </c>
      <c r="K16" s="11">
        <v>156.10498046875</v>
      </c>
      <c r="L16" s="11">
        <f t="shared" si="0"/>
        <v>156.44500579833985</v>
      </c>
      <c r="M16" s="14">
        <f t="shared" si="1"/>
        <v>1.7972701104358743E-3</v>
      </c>
      <c r="N16" s="11">
        <v>1.2028053662458487</v>
      </c>
      <c r="O16" s="11">
        <v>8.0195357012252652E-2</v>
      </c>
      <c r="P16" s="11">
        <v>1.2534637625683238</v>
      </c>
      <c r="Q16" s="11">
        <v>7.0972340409093277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</row>
    <row r="17" spans="1:17">
      <c r="A17" s="9">
        <v>15</v>
      </c>
      <c r="B17" s="11">
        <v>116.53001403808594</v>
      </c>
      <c r="C17" s="11">
        <v>116.43001556396484</v>
      </c>
      <c r="D17" s="11">
        <v>116.32999420166016</v>
      </c>
      <c r="E17" s="11">
        <v>116.75498199462891</v>
      </c>
      <c r="F17" s="11">
        <v>116.49501800537109</v>
      </c>
      <c r="G17" s="11">
        <v>116.32999420166016</v>
      </c>
      <c r="H17" s="11">
        <v>116.22999572753906</v>
      </c>
      <c r="I17" s="11">
        <v>116.62998199462891</v>
      </c>
      <c r="J17" s="11">
        <v>116.43001556396484</v>
      </c>
      <c r="K17" s="11">
        <v>116.55000305175781</v>
      </c>
      <c r="L17" s="11">
        <f t="shared" si="0"/>
        <v>116.47100143432617</v>
      </c>
      <c r="M17" s="14">
        <f t="shared" si="1"/>
        <v>1.3345058988456081E-3</v>
      </c>
      <c r="N17" s="11">
        <v>1.336301166213492</v>
      </c>
      <c r="O17" s="11">
        <v>0.12590434742450918</v>
      </c>
      <c r="P17" s="11">
        <v>1.379368109992833</v>
      </c>
      <c r="Q17" s="11">
        <v>8.8071158785796975</v>
      </c>
    </row>
    <row r="18" spans="1:17">
      <c r="A18" s="9">
        <v>16</v>
      </c>
      <c r="B18" s="11">
        <v>87.329986572265625</v>
      </c>
      <c r="C18" s="11">
        <v>87.329986572265625</v>
      </c>
      <c r="D18" s="11">
        <v>87.430023193359375</v>
      </c>
      <c r="E18" s="11">
        <v>87.329986572265625</v>
      </c>
      <c r="F18" s="11">
        <v>87.229988098144531</v>
      </c>
      <c r="G18" s="11">
        <v>87.229988098144531</v>
      </c>
      <c r="H18" s="11">
        <v>87.314987182617188</v>
      </c>
      <c r="I18" s="11">
        <v>87.229988098144531</v>
      </c>
      <c r="J18" s="11">
        <v>87.254989624023438</v>
      </c>
      <c r="K18" s="11">
        <v>87.385025024414063</v>
      </c>
      <c r="L18" s="11">
        <f t="shared" si="0"/>
        <v>87.306494903564456</v>
      </c>
      <c r="M18" s="14">
        <f t="shared" si="1"/>
        <v>7.9507808008604062E-4</v>
      </c>
      <c r="N18" s="11">
        <v>1.3407329966019474</v>
      </c>
      <c r="O18" s="11">
        <v>0.12734229787543891</v>
      </c>
      <c r="P18" s="11">
        <v>1.5067104078682718</v>
      </c>
      <c r="Q18" s="11">
        <v>6.6554470416226899</v>
      </c>
    </row>
    <row r="19" spans="1:17">
      <c r="A19" s="9">
        <v>17</v>
      </c>
      <c r="B19" s="11">
        <v>21.354499816894531</v>
      </c>
      <c r="C19" s="11">
        <v>21.272001266479492</v>
      </c>
      <c r="D19" s="11">
        <v>21.402004241943359</v>
      </c>
      <c r="E19" s="11">
        <v>21.247005462646484</v>
      </c>
      <c r="F19" s="11">
        <v>21.302501678466797</v>
      </c>
      <c r="G19" s="11">
        <v>21.329502105712891</v>
      </c>
      <c r="H19" s="11">
        <v>21.310003280639648</v>
      </c>
      <c r="I19" s="11">
        <v>21.294998168945313</v>
      </c>
      <c r="J19" s="11">
        <v>21.337001800537109</v>
      </c>
      <c r="K19" s="11">
        <v>21.307003021240234</v>
      </c>
      <c r="L19" s="11">
        <f t="shared" si="0"/>
        <v>21.315652084350585</v>
      </c>
      <c r="M19" s="14">
        <f t="shared" si="1"/>
        <v>2.0351867457373387E-3</v>
      </c>
      <c r="N19" s="11">
        <v>4.1710341903986938</v>
      </c>
      <c r="O19" s="11">
        <v>0.62024374981721198</v>
      </c>
      <c r="P19" s="11">
        <v>2.1269541576854838</v>
      </c>
      <c r="Q19" s="11">
        <v>14.849786652636254</v>
      </c>
    </row>
    <row r="20" spans="1:17">
      <c r="A20" s="9">
        <v>18</v>
      </c>
      <c r="B20" s="11">
        <v>17.339000701904297</v>
      </c>
      <c r="C20" s="11">
        <v>17.341999053955078</v>
      </c>
      <c r="D20" s="11">
        <v>17.322000503540039</v>
      </c>
      <c r="E20" s="11">
        <v>17.347997665405273</v>
      </c>
      <c r="F20" s="11">
        <v>17.341999053955078</v>
      </c>
      <c r="G20" s="11">
        <v>17.334003448486328</v>
      </c>
      <c r="H20" s="11">
        <v>17.350997924804688</v>
      </c>
      <c r="I20" s="11">
        <v>17.339500427246094</v>
      </c>
      <c r="J20" s="11">
        <v>17.332500457763672</v>
      </c>
      <c r="K20" s="11">
        <v>17.354501724243164</v>
      </c>
      <c r="L20" s="11">
        <f t="shared" si="0"/>
        <v>17.340450096130372</v>
      </c>
      <c r="M20" s="14">
        <f t="shared" si="1"/>
        <v>5.4999447882596525E-4</v>
      </c>
      <c r="N20" s="11">
        <v>1.2220976809481081</v>
      </c>
      <c r="O20" s="11">
        <v>8.7105919982902916E-2</v>
      </c>
      <c r="P20" s="11">
        <v>2.2140600776683868</v>
      </c>
      <c r="Q20" s="11">
        <v>0.85105454109540846</v>
      </c>
    </row>
    <row r="21" spans="1:17">
      <c r="A21" s="9">
        <v>19</v>
      </c>
      <c r="B21" s="11">
        <v>14.182003974914551</v>
      </c>
      <c r="C21" s="11">
        <v>14.181503295898438</v>
      </c>
      <c r="D21" s="11">
        <v>14.201997756958008</v>
      </c>
      <c r="E21" s="11">
        <v>14.189501762390137</v>
      </c>
      <c r="F21" s="11">
        <v>14.190999984741211</v>
      </c>
      <c r="G21" s="11">
        <v>14.184503555297852</v>
      </c>
      <c r="H21" s="11">
        <v>14.191999435424805</v>
      </c>
      <c r="I21" s="11">
        <v>14.182003974914551</v>
      </c>
      <c r="J21" s="11">
        <v>14.191999435424805</v>
      </c>
      <c r="K21" s="11">
        <v>14.191999435424805</v>
      </c>
      <c r="L21" s="11">
        <f t="shared" si="0"/>
        <v>14.188851261138916</v>
      </c>
      <c r="M21" s="14">
        <f t="shared" si="1"/>
        <v>4.5448925695320874E-4</v>
      </c>
      <c r="N21" s="11">
        <v>1.234271019661165</v>
      </c>
      <c r="O21" s="11">
        <v>9.1410531998616623E-2</v>
      </c>
      <c r="P21" s="11">
        <v>2.3054706096670032</v>
      </c>
      <c r="Q21" s="11">
        <v>0.72731309231662999</v>
      </c>
    </row>
    <row r="22" spans="1:17">
      <c r="A22" s="9">
        <v>20</v>
      </c>
      <c r="B22" s="11">
        <v>11.806999206542969</v>
      </c>
      <c r="C22" s="11">
        <v>11.791996955871582</v>
      </c>
      <c r="D22" s="11">
        <v>11.807000160217285</v>
      </c>
      <c r="E22" s="11">
        <v>11.756998062133789</v>
      </c>
      <c r="F22" s="11">
        <v>11.806999206542969</v>
      </c>
      <c r="G22" s="11">
        <v>11.802000999450684</v>
      </c>
      <c r="H22" s="11">
        <v>11.778498649597168</v>
      </c>
      <c r="I22" s="11">
        <v>11.802000999450684</v>
      </c>
      <c r="J22" s="11">
        <v>11.80949878692627</v>
      </c>
      <c r="K22" s="11">
        <v>11.793998718261719</v>
      </c>
      <c r="L22" s="11">
        <f t="shared" si="0"/>
        <v>11.795599174499511</v>
      </c>
      <c r="M22" s="14">
        <f t="shared" si="1"/>
        <v>1.4024845948153034E-3</v>
      </c>
      <c r="N22" s="11">
        <v>1.2023922675144658</v>
      </c>
      <c r="O22" s="11">
        <v>8.0046174675827003E-2</v>
      </c>
      <c r="P22" s="11">
        <v>2.3855167843428302</v>
      </c>
      <c r="Q22" s="11">
        <v>0.52257734603118378</v>
      </c>
    </row>
    <row r="23" spans="1:17">
      <c r="A23" s="9">
        <v>21</v>
      </c>
      <c r="B23" s="11">
        <v>8.7819986343383789</v>
      </c>
      <c r="C23" s="11">
        <v>8.7919979095458984</v>
      </c>
      <c r="D23" s="11">
        <v>8.7970008850097656</v>
      </c>
      <c r="E23" s="11">
        <v>8.794499397277832</v>
      </c>
      <c r="F23" s="11">
        <v>8.7819986343383789</v>
      </c>
      <c r="G23" s="11">
        <v>8.8119983673095703</v>
      </c>
      <c r="H23" s="11">
        <v>8.7919979095458984</v>
      </c>
      <c r="I23" s="11">
        <v>8.8119983673095703</v>
      </c>
      <c r="J23" s="11">
        <v>8.8119983673095703</v>
      </c>
      <c r="K23" s="11">
        <v>8.8020009994506836</v>
      </c>
      <c r="L23" s="11">
        <f t="shared" si="0"/>
        <v>8.797748947143555</v>
      </c>
      <c r="M23" s="14">
        <f t="shared" si="1"/>
        <v>1.3128402642985232E-3</v>
      </c>
      <c r="N23" s="11">
        <v>1.3334741766666391</v>
      </c>
      <c r="O23" s="11">
        <v>0.12498460979734347</v>
      </c>
      <c r="P23" s="11">
        <v>2.5105013941401735</v>
      </c>
      <c r="Q23" s="11">
        <v>0.64570516751219653</v>
      </c>
    </row>
    <row r="24" spans="1:17">
      <c r="A24" s="9">
        <v>22</v>
      </c>
      <c r="B24" s="11">
        <v>6.5920014381408691</v>
      </c>
      <c r="C24" s="11">
        <v>6.5920014381408691</v>
      </c>
      <c r="D24" s="11">
        <v>6.5930008888244629</v>
      </c>
      <c r="E24" s="11">
        <v>6.6019988059997559</v>
      </c>
      <c r="F24" s="11">
        <v>6.601499080657959</v>
      </c>
      <c r="G24" s="11">
        <v>6.5954995155334473</v>
      </c>
      <c r="H24" s="11">
        <v>6.6019988059997559</v>
      </c>
      <c r="I24" s="11">
        <v>6.5920014381408691</v>
      </c>
      <c r="J24" s="11">
        <v>6.6019988059997559</v>
      </c>
      <c r="K24" s="11">
        <v>6.6019988059997559</v>
      </c>
      <c r="L24" s="11">
        <f t="shared" si="0"/>
        <v>6.5973999023437502</v>
      </c>
      <c r="M24" s="14">
        <f t="shared" si="1"/>
        <v>7.3530034685431885E-4</v>
      </c>
      <c r="N24" s="11">
        <v>1.3397962427417804</v>
      </c>
      <c r="O24" s="11">
        <v>0.12703875554285601</v>
      </c>
      <c r="P24" s="11">
        <v>2.6375401496830295</v>
      </c>
      <c r="Q24" s="11">
        <v>0.49107957342028818</v>
      </c>
    </row>
    <row r="25" spans="1:17">
      <c r="A25" s="9">
        <v>23</v>
      </c>
      <c r="B25" s="11">
        <v>2.3419995307922363</v>
      </c>
      <c r="C25" s="11">
        <v>2.3520002365112305</v>
      </c>
      <c r="D25" s="11">
        <v>2.3520002365112305</v>
      </c>
      <c r="E25" s="11">
        <v>2.3419995307922363</v>
      </c>
      <c r="F25" s="11">
        <v>2.3419995307922363</v>
      </c>
      <c r="G25" s="11">
        <v>2.3469996452331543</v>
      </c>
      <c r="H25" s="11">
        <v>2.3320002555847168</v>
      </c>
      <c r="I25" s="11">
        <v>2.3520002365112305</v>
      </c>
      <c r="J25" s="11">
        <v>2.3419995307922363</v>
      </c>
      <c r="K25" s="11">
        <v>2.3450000286102295</v>
      </c>
      <c r="L25" s="11">
        <f t="shared" si="0"/>
        <v>2.3447998762130737</v>
      </c>
      <c r="M25" s="14">
        <f t="shared" si="1"/>
        <v>2.6807823472744354E-3</v>
      </c>
      <c r="N25" s="11">
        <v>2.7526294517900598</v>
      </c>
      <c r="O25" s="11">
        <v>0.43974775230359009</v>
      </c>
      <c r="P25" s="11">
        <v>3.0772879019866197</v>
      </c>
      <c r="Q25" s="11">
        <v>0.92018606183413609</v>
      </c>
    </row>
    <row r="26" spans="1:17">
      <c r="A26" s="9">
        <v>24</v>
      </c>
      <c r="B26" s="11">
        <v>1.9020001888275146</v>
      </c>
      <c r="C26" s="11">
        <v>1.9020001888275146</v>
      </c>
      <c r="D26" s="11">
        <v>1.910000205039978</v>
      </c>
      <c r="E26" s="11">
        <v>1.9119999408721924</v>
      </c>
      <c r="F26" s="11">
        <v>1.9119999408721924</v>
      </c>
      <c r="G26" s="11">
        <v>1.9055001735687256</v>
      </c>
      <c r="H26" s="11">
        <v>1.9020001888275146</v>
      </c>
      <c r="I26" s="11">
        <v>1.9119999408721924</v>
      </c>
      <c r="J26" s="11">
        <v>1.9065001010894775</v>
      </c>
      <c r="K26" s="11">
        <v>1.906999945640564</v>
      </c>
      <c r="L26" s="11">
        <f t="shared" si="0"/>
        <v>1.9071000814437866</v>
      </c>
      <c r="M26" s="14">
        <f t="shared" si="1"/>
        <v>2.220483841994093E-3</v>
      </c>
      <c r="N26" s="11">
        <v>1.230584865633215</v>
      </c>
      <c r="O26" s="11">
        <v>9.01115696075281E-2</v>
      </c>
      <c r="P26" s="11">
        <v>3.1673994715941478</v>
      </c>
      <c r="Q26" s="11">
        <v>9.8379537089302971E-2</v>
      </c>
    </row>
    <row r="27" spans="1:17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14"/>
      <c r="N27" s="9"/>
      <c r="O27" s="11"/>
      <c r="P27" s="11"/>
      <c r="Q27" s="11"/>
    </row>
    <row r="28" spans="1:17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14"/>
      <c r="N28" s="9"/>
      <c r="O28" s="11"/>
      <c r="P28" s="11"/>
      <c r="Q28" s="11"/>
    </row>
    <row r="29" spans="1:17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14"/>
      <c r="N29" s="9"/>
      <c r="O29" s="11"/>
      <c r="P29" s="11"/>
      <c r="Q29" s="11"/>
    </row>
    <row r="30" spans="1:17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14"/>
      <c r="N30" s="9"/>
      <c r="O30" s="11"/>
      <c r="P30" s="11"/>
      <c r="Q30" s="11"/>
    </row>
    <row r="31" spans="1:17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14"/>
      <c r="N31" s="9"/>
      <c r="O31" s="11"/>
      <c r="P31" s="11"/>
      <c r="Q31" s="11"/>
    </row>
    <row r="32" spans="1:17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14"/>
      <c r="N32" s="9"/>
      <c r="O32" s="11"/>
      <c r="P32" s="11"/>
      <c r="Q32" s="11"/>
    </row>
    <row r="33" spans="1:17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14"/>
      <c r="N33" s="9"/>
      <c r="O33" s="11"/>
      <c r="P33" s="11"/>
      <c r="Q33" s="11"/>
    </row>
    <row r="34" spans="1:17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14"/>
      <c r="N34" s="9"/>
      <c r="O34" s="11"/>
      <c r="P34" s="11"/>
      <c r="Q34" s="11"/>
    </row>
    <row r="35" spans="1:17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14"/>
      <c r="N35" s="9"/>
      <c r="O35" s="11"/>
      <c r="P35" s="11"/>
      <c r="Q35" s="11"/>
    </row>
    <row r="36" spans="1:17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14"/>
      <c r="N36" s="9"/>
      <c r="O36" s="11"/>
      <c r="P36" s="11"/>
      <c r="Q36" s="11"/>
    </row>
    <row r="37" spans="1:17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14"/>
      <c r="N37" s="9"/>
      <c r="O37" s="11"/>
      <c r="P37" s="11"/>
      <c r="Q37" s="11"/>
    </row>
    <row r="38" spans="1:17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</row>
    <row r="39" spans="1:17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</row>
    <row r="40" spans="1:17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</row>
    <row r="41" spans="1:17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Summary</vt:lpstr>
      <vt:lpstr>data0</vt:lpstr>
      <vt:lpstr>data1</vt:lpstr>
      <vt:lpstr>data2</vt:lpstr>
      <vt:lpstr>data3</vt:lpstr>
      <vt:lpstr>data4</vt:lpstr>
      <vt:lpstr>Comp38</vt:lpstr>
      <vt:lpstr>mult</vt:lpstr>
      <vt:lpstr>nPoint</vt:lpstr>
      <vt:lpstr>nRange</vt:lpstr>
      <vt:lpstr>nStep</vt:lpstr>
      <vt:lpstr>useDutAvg</vt:lpstr>
      <vt:lpstr>Summary!v_0</vt:lpstr>
      <vt:lpstr>Summary!v_1</vt:lpstr>
      <vt:lpstr>Summary!v_2</vt:lpstr>
      <vt:lpstr>Summary!v_3</vt:lpstr>
      <vt:lpstr>Summary!v_4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2013-02-06T02:04:23Z</dcterms:modified>
</cp:coreProperties>
</file>