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15" yWindow="150" windowWidth="16110" windowHeight="9015" activeTab="3"/>
  </bookViews>
  <sheets>
    <sheet name="Summary" sheetId="1" r:id="rId1"/>
    <sheet name="Calculations" sheetId="5" r:id="rId2"/>
    <sheet name="IRcal" sheetId="7" r:id="rId3"/>
    <sheet name="data0" sheetId="2" r:id="rId4"/>
    <sheet name="data1" sheetId="6" r:id="rId5"/>
    <sheet name="vl1924e" sheetId="3" r:id="rId6"/>
    <sheet name="Cal" sheetId="4" r:id="rId7"/>
  </sheets>
  <functionGroups/>
  <definedNames>
    <definedName name="_xlnm._FilterDatabase" localSheetId="6" hidden="1">Cal!$A$1:$H$802</definedName>
    <definedName name="_xlnm.Criteria" localSheetId="6">Cal!$G$2:$G$26</definedName>
    <definedName name="_xlnm.Print_Area" localSheetId="0">Summary!$A$1:$Q$37</definedName>
    <definedName name="v_0">Summary!$K$40</definedName>
    <definedName name="v_1">Summary!$L$40</definedName>
    <definedName name="v_2">Summary!$M$40</definedName>
  </definedNames>
  <calcPr calcId="125725" calcMode="manual"/>
</workbook>
</file>

<file path=xl/calcChain.xml><?xml version="1.0" encoding="utf-8"?>
<calcChain xmlns="http://schemas.openxmlformats.org/spreadsheetml/2006/main">
  <c r="C1" i="2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L3" i="3" l="1"/>
  <c r="K3"/>
  <c r="AL3"/>
  <c r="AK3"/>
  <c r="AN2" i="5" l="1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P3" i="3"/>
  <c r="AP3"/>
  <c r="BB3" s="1"/>
  <c r="A4" l="1"/>
  <c r="Y4" s="1"/>
  <c r="AD3"/>
  <c r="AQ3" s="1"/>
  <c r="R3"/>
  <c r="E3"/>
  <c r="D3"/>
  <c r="AL4" l="1"/>
  <c r="AC4"/>
  <c r="AP4" s="1"/>
  <c r="R4"/>
  <c r="AE4" s="1"/>
  <c r="S3"/>
  <c r="AE3"/>
  <c r="AR3" s="1"/>
  <c r="Q4"/>
  <c r="AD4" s="1"/>
  <c r="S4"/>
  <c r="AF4" s="1"/>
  <c r="AX3" i="7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AX1"/>
  <c r="AW1"/>
  <c r="AV1"/>
  <c r="AU1"/>
  <c r="AT1"/>
  <c r="AS1"/>
  <c r="AR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N165"/>
  <c r="N163"/>
  <c r="N161"/>
  <c r="N159"/>
  <c r="N157"/>
  <c r="N155"/>
  <c r="N153"/>
  <c r="N151"/>
  <c r="N149"/>
  <c r="N147"/>
  <c r="N145"/>
  <c r="N143"/>
  <c r="N141"/>
  <c r="N139"/>
  <c r="N137"/>
  <c r="N135"/>
  <c r="N133"/>
  <c r="N131"/>
  <c r="N129"/>
  <c r="N127"/>
  <c r="N125"/>
  <c r="N123"/>
  <c r="N121"/>
  <c r="N119"/>
  <c r="N117"/>
  <c r="N115"/>
  <c r="N113"/>
  <c r="N111"/>
  <c r="N109"/>
  <c r="N107"/>
  <c r="N105"/>
  <c r="N103"/>
  <c r="N101"/>
  <c r="N99"/>
  <c r="N97"/>
  <c r="N95"/>
  <c r="N93"/>
  <c r="N91"/>
  <c r="N89"/>
  <c r="N87"/>
  <c r="N85"/>
  <c r="N83"/>
  <c r="N81"/>
  <c r="N79"/>
  <c r="N77"/>
  <c r="N75"/>
  <c r="N73"/>
  <c r="N71"/>
  <c r="N69"/>
  <c r="N67"/>
  <c r="N65"/>
  <c r="N63"/>
  <c r="N61"/>
  <c r="N59"/>
  <c r="N57"/>
  <c r="N55"/>
  <c r="N53"/>
  <c r="N51"/>
  <c r="N49"/>
  <c r="N47"/>
  <c r="N45"/>
  <c r="N43"/>
  <c r="N41"/>
  <c r="N39"/>
  <c r="N37"/>
  <c r="N35"/>
  <c r="N33"/>
  <c r="N31"/>
  <c r="N29"/>
  <c r="N27"/>
  <c r="N25"/>
  <c r="N23"/>
  <c r="N21"/>
  <c r="N19"/>
  <c r="N17"/>
  <c r="N15"/>
  <c r="N13"/>
  <c r="N11"/>
  <c r="N9"/>
  <c r="N8"/>
  <c r="N7"/>
  <c r="N6"/>
  <c r="N5"/>
  <c r="O3"/>
  <c r="O2"/>
  <c r="O1"/>
  <c r="C1" i="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3"/>
  <c r="I2" i="5"/>
  <c r="F3" i="3" l="1"/>
  <c r="AF3"/>
  <c r="AS3" s="1"/>
  <c r="T3"/>
  <c r="O4" i="7"/>
  <c r="N10"/>
  <c r="N12"/>
  <c r="N14"/>
  <c r="N16"/>
  <c r="N18"/>
  <c r="N20"/>
  <c r="N22"/>
  <c r="N24"/>
  <c r="N26"/>
  <c r="N28"/>
  <c r="N30"/>
  <c r="N32"/>
  <c r="N34"/>
  <c r="N36"/>
  <c r="N38"/>
  <c r="N40"/>
  <c r="N42"/>
  <c r="N44"/>
  <c r="N46"/>
  <c r="N48"/>
  <c r="N50"/>
  <c r="N52"/>
  <c r="N54"/>
  <c r="N56"/>
  <c r="N58"/>
  <c r="N60"/>
  <c r="N62"/>
  <c r="N64"/>
  <c r="N66"/>
  <c r="N68"/>
  <c r="N70"/>
  <c r="N72"/>
  <c r="N74"/>
  <c r="N76"/>
  <c r="N78"/>
  <c r="N80"/>
  <c r="N82"/>
  <c r="N84"/>
  <c r="N86"/>
  <c r="N88"/>
  <c r="N90"/>
  <c r="N92"/>
  <c r="N94"/>
  <c r="N96"/>
  <c r="N98"/>
  <c r="N100"/>
  <c r="N102"/>
  <c r="N104"/>
  <c r="N106"/>
  <c r="N108"/>
  <c r="N110"/>
  <c r="N112"/>
  <c r="N114"/>
  <c r="N116"/>
  <c r="N118"/>
  <c r="N120"/>
  <c r="N122"/>
  <c r="N124"/>
  <c r="N126"/>
  <c r="N128"/>
  <c r="N130"/>
  <c r="N132"/>
  <c r="N134"/>
  <c r="N136"/>
  <c r="N138"/>
  <c r="N140"/>
  <c r="N142"/>
  <c r="N144"/>
  <c r="N146"/>
  <c r="N148"/>
  <c r="N150"/>
  <c r="N152"/>
  <c r="N154"/>
  <c r="N156"/>
  <c r="N158"/>
  <c r="N160"/>
  <c r="N162"/>
  <c r="N164"/>
  <c r="P4"/>
  <c r="R4"/>
  <c r="T4"/>
  <c r="V4"/>
  <c r="X4"/>
  <c r="Z4"/>
  <c r="AB4"/>
  <c r="AD4"/>
  <c r="AF4"/>
  <c r="AH4"/>
  <c r="AJ4"/>
  <c r="AL4"/>
  <c r="AN4"/>
  <c r="AP4"/>
  <c r="AR4"/>
  <c r="AT4"/>
  <c r="AV4"/>
  <c r="AX4"/>
  <c r="Q4"/>
  <c r="S4"/>
  <c r="U4"/>
  <c r="W4"/>
  <c r="Y4"/>
  <c r="AA4"/>
  <c r="AC4"/>
  <c r="AE4"/>
  <c r="AG4"/>
  <c r="AI4"/>
  <c r="AK4"/>
  <c r="AM4"/>
  <c r="AO4"/>
  <c r="AQ4"/>
  <c r="AS4"/>
  <c r="AU4"/>
  <c r="AW4"/>
  <c r="K175" i="5"/>
  <c r="M175" s="1"/>
  <c r="AG3" i="3" l="1"/>
  <c r="AT3" s="1"/>
  <c r="U3"/>
  <c r="T4"/>
  <c r="AG4" s="1"/>
  <c r="G3"/>
  <c r="E1" i="4"/>
  <c r="E800" s="1"/>
  <c r="I1" i="5"/>
  <c r="A3"/>
  <c r="U2" i="1" s="1"/>
  <c r="F3" i="4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2"/>
  <c r="E802"/>
  <c r="E794"/>
  <c r="E786"/>
  <c r="E778"/>
  <c r="E770"/>
  <c r="E762"/>
  <c r="E754"/>
  <c r="E746"/>
  <c r="E738"/>
  <c r="E730"/>
  <c r="E722"/>
  <c r="E714"/>
  <c r="E706"/>
  <c r="E698"/>
  <c r="E690"/>
  <c r="E682"/>
  <c r="E674"/>
  <c r="E666"/>
  <c r="E658"/>
  <c r="E650"/>
  <c r="E642"/>
  <c r="E634"/>
  <c r="E626"/>
  <c r="E618"/>
  <c r="E610"/>
  <c r="E602"/>
  <c r="E594"/>
  <c r="E586"/>
  <c r="E578"/>
  <c r="E570"/>
  <c r="E562"/>
  <c r="E554"/>
  <c r="E546"/>
  <c r="E538"/>
  <c r="E530"/>
  <c r="E522"/>
  <c r="E514"/>
  <c r="E506"/>
  <c r="E498"/>
  <c r="E490"/>
  <c r="E484"/>
  <c r="E480"/>
  <c r="E476"/>
  <c r="E472"/>
  <c r="E468"/>
  <c r="E464"/>
  <c r="E460"/>
  <c r="E456"/>
  <c r="E452"/>
  <c r="E448"/>
  <c r="E444"/>
  <c r="E440"/>
  <c r="E436"/>
  <c r="E432"/>
  <c r="E428"/>
  <c r="E424"/>
  <c r="E420"/>
  <c r="E416"/>
  <c r="E412"/>
  <c r="E408"/>
  <c r="E404"/>
  <c r="E400"/>
  <c r="E396"/>
  <c r="E392"/>
  <c r="E388"/>
  <c r="E384"/>
  <c r="E380"/>
  <c r="E376"/>
  <c r="E372"/>
  <c r="E368"/>
  <c r="E364"/>
  <c r="E360"/>
  <c r="E356"/>
  <c r="E352"/>
  <c r="E348"/>
  <c r="E344"/>
  <c r="E340"/>
  <c r="E336"/>
  <c r="E332"/>
  <c r="E328"/>
  <c r="E324"/>
  <c r="E320"/>
  <c r="E316"/>
  <c r="E312"/>
  <c r="E308"/>
  <c r="E304"/>
  <c r="E300"/>
  <c r="E296"/>
  <c r="E292"/>
  <c r="E289"/>
  <c r="E287"/>
  <c r="E285"/>
  <c r="E283"/>
  <c r="E281"/>
  <c r="E279"/>
  <c r="E277"/>
  <c r="E275"/>
  <c r="E273"/>
  <c r="E271"/>
  <c r="E269"/>
  <c r="E267"/>
  <c r="E265"/>
  <c r="E263"/>
  <c r="E261"/>
  <c r="E259"/>
  <c r="E257"/>
  <c r="E255"/>
  <c r="E253"/>
  <c r="E251"/>
  <c r="E249"/>
  <c r="E247"/>
  <c r="E245"/>
  <c r="E243"/>
  <c r="E241"/>
  <c r="E239"/>
  <c r="E237"/>
  <c r="E235"/>
  <c r="E233"/>
  <c r="E231"/>
  <c r="E229"/>
  <c r="E227"/>
  <c r="E225"/>
  <c r="E223"/>
  <c r="E221"/>
  <c r="E219"/>
  <c r="E217"/>
  <c r="E215"/>
  <c r="E213"/>
  <c r="E211"/>
  <c r="E209"/>
  <c r="E207"/>
  <c r="E205"/>
  <c r="E203"/>
  <c r="E201"/>
  <c r="E199"/>
  <c r="E197"/>
  <c r="E195"/>
  <c r="E193"/>
  <c r="E191"/>
  <c r="E189"/>
  <c r="E187"/>
  <c r="E185"/>
  <c r="E183"/>
  <c r="E181"/>
  <c r="E179"/>
  <c r="E177"/>
  <c r="E175"/>
  <c r="E173"/>
  <c r="E171"/>
  <c r="E169"/>
  <c r="E167"/>
  <c r="E165"/>
  <c r="E163"/>
  <c r="E161"/>
  <c r="E159"/>
  <c r="E157"/>
  <c r="E155"/>
  <c r="E153"/>
  <c r="E151"/>
  <c r="E149"/>
  <c r="E147"/>
  <c r="E145"/>
  <c r="E143"/>
  <c r="E141"/>
  <c r="E139"/>
  <c r="E137"/>
  <c r="E135"/>
  <c r="E133"/>
  <c r="E131"/>
  <c r="E129"/>
  <c r="E127"/>
  <c r="E125"/>
  <c r="E123"/>
  <c r="E121"/>
  <c r="E119"/>
  <c r="E117"/>
  <c r="E115"/>
  <c r="E113"/>
  <c r="E111"/>
  <c r="E109"/>
  <c r="E107"/>
  <c r="E105"/>
  <c r="E103"/>
  <c r="E101"/>
  <c r="E99"/>
  <c r="E97"/>
  <c r="E95"/>
  <c r="E93"/>
  <c r="E91"/>
  <c r="E89"/>
  <c r="E87"/>
  <c r="E85"/>
  <c r="E83"/>
  <c r="E81"/>
  <c r="E79"/>
  <c r="E77"/>
  <c r="E75"/>
  <c r="E73"/>
  <c r="E71"/>
  <c r="E69"/>
  <c r="E67"/>
  <c r="E65"/>
  <c r="E63"/>
  <c r="E61"/>
  <c r="E59"/>
  <c r="E57"/>
  <c r="E55"/>
  <c r="E53"/>
  <c r="E51"/>
  <c r="E49"/>
  <c r="E47"/>
  <c r="E45"/>
  <c r="E43"/>
  <c r="E41"/>
  <c r="E39"/>
  <c r="E37"/>
  <c r="E35"/>
  <c r="E33"/>
  <c r="E31"/>
  <c r="E29"/>
  <c r="E27"/>
  <c r="E25"/>
  <c r="E23"/>
  <c r="E21"/>
  <c r="E19"/>
  <c r="E17"/>
  <c r="E15"/>
  <c r="E13"/>
  <c r="E11"/>
  <c r="E9"/>
  <c r="E7"/>
  <c r="E5"/>
  <c r="E3"/>
  <c r="D4"/>
  <c r="D3"/>
  <c r="D2" s="1"/>
  <c r="D5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B2"/>
  <c r="C802"/>
  <c r="C801"/>
  <c r="C800"/>
  <c r="C799"/>
  <c r="C798"/>
  <c r="C797"/>
  <c r="C796"/>
  <c r="C795"/>
  <c r="C794"/>
  <c r="C793"/>
  <c r="C792"/>
  <c r="C791"/>
  <c r="C790"/>
  <c r="C789"/>
  <c r="C788"/>
  <c r="C787"/>
  <c r="C786"/>
  <c r="C785"/>
  <c r="C784"/>
  <c r="C783"/>
  <c r="C782"/>
  <c r="C781"/>
  <c r="C780"/>
  <c r="C779"/>
  <c r="C778"/>
  <c r="C777"/>
  <c r="C776"/>
  <c r="C775"/>
  <c r="C774"/>
  <c r="C773"/>
  <c r="C772"/>
  <c r="C771"/>
  <c r="C770"/>
  <c r="C769"/>
  <c r="C768"/>
  <c r="C767"/>
  <c r="C766"/>
  <c r="C765"/>
  <c r="C764"/>
  <c r="C763"/>
  <c r="C762"/>
  <c r="C761"/>
  <c r="C760"/>
  <c r="C759"/>
  <c r="C758"/>
  <c r="C757"/>
  <c r="C756"/>
  <c r="C755"/>
  <c r="C754"/>
  <c r="C753"/>
  <c r="C752"/>
  <c r="C751"/>
  <c r="C750"/>
  <c r="C749"/>
  <c r="C748"/>
  <c r="C747"/>
  <c r="C746"/>
  <c r="C745"/>
  <c r="C744"/>
  <c r="C743"/>
  <c r="C742"/>
  <c r="C741"/>
  <c r="C740"/>
  <c r="C739"/>
  <c r="C738"/>
  <c r="C737"/>
  <c r="C736"/>
  <c r="C735"/>
  <c r="C734"/>
  <c r="C733"/>
  <c r="C732"/>
  <c r="C731"/>
  <c r="C730"/>
  <c r="C729"/>
  <c r="C728"/>
  <c r="C727"/>
  <c r="C726"/>
  <c r="C725"/>
  <c r="C724"/>
  <c r="C723"/>
  <c r="C722"/>
  <c r="C721"/>
  <c r="C720"/>
  <c r="C719"/>
  <c r="C718"/>
  <c r="C717"/>
  <c r="C716"/>
  <c r="C715"/>
  <c r="C714"/>
  <c r="C713"/>
  <c r="C712"/>
  <c r="C711"/>
  <c r="C710"/>
  <c r="C709"/>
  <c r="C708"/>
  <c r="C707"/>
  <c r="C706"/>
  <c r="C705"/>
  <c r="C704"/>
  <c r="C703"/>
  <c r="C702"/>
  <c r="C701"/>
  <c r="C700"/>
  <c r="C699"/>
  <c r="C698"/>
  <c r="C697"/>
  <c r="C696"/>
  <c r="C695"/>
  <c r="C694"/>
  <c r="C693"/>
  <c r="C692"/>
  <c r="C691"/>
  <c r="C690"/>
  <c r="C689"/>
  <c r="C688"/>
  <c r="C687"/>
  <c r="C686"/>
  <c r="C685"/>
  <c r="C684"/>
  <c r="C683"/>
  <c r="C682"/>
  <c r="C681"/>
  <c r="C680"/>
  <c r="C679"/>
  <c r="C678"/>
  <c r="C677"/>
  <c r="C676"/>
  <c r="C675"/>
  <c r="C674"/>
  <c r="C673"/>
  <c r="C672"/>
  <c r="C671"/>
  <c r="C670"/>
  <c r="C669"/>
  <c r="C668"/>
  <c r="C667"/>
  <c r="C666"/>
  <c r="C665"/>
  <c r="C664"/>
  <c r="C663"/>
  <c r="C662"/>
  <c r="C661"/>
  <c r="C660"/>
  <c r="C659"/>
  <c r="C658"/>
  <c r="C657"/>
  <c r="C656"/>
  <c r="C655"/>
  <c r="C654"/>
  <c r="C653"/>
  <c r="C652"/>
  <c r="C651"/>
  <c r="C650"/>
  <c r="C649"/>
  <c r="C648"/>
  <c r="C647"/>
  <c r="C646"/>
  <c r="C645"/>
  <c r="C644"/>
  <c r="C643"/>
  <c r="C642"/>
  <c r="C641"/>
  <c r="C640"/>
  <c r="C639"/>
  <c r="C638"/>
  <c r="C637"/>
  <c r="C636"/>
  <c r="C635"/>
  <c r="C634"/>
  <c r="C633"/>
  <c r="C632"/>
  <c r="C631"/>
  <c r="C630"/>
  <c r="C629"/>
  <c r="C628"/>
  <c r="C627"/>
  <c r="C626"/>
  <c r="C625"/>
  <c r="C624"/>
  <c r="C623"/>
  <c r="C622"/>
  <c r="C621"/>
  <c r="C620"/>
  <c r="C619"/>
  <c r="C618"/>
  <c r="C617"/>
  <c r="C616"/>
  <c r="C615"/>
  <c r="C614"/>
  <c r="C613"/>
  <c r="C612"/>
  <c r="C611"/>
  <c r="C610"/>
  <c r="C609"/>
  <c r="C608"/>
  <c r="C607"/>
  <c r="C606"/>
  <c r="C605"/>
  <c r="C604"/>
  <c r="C603"/>
  <c r="C602"/>
  <c r="C601"/>
  <c r="C600"/>
  <c r="C599"/>
  <c r="C598"/>
  <c r="C597"/>
  <c r="C596"/>
  <c r="C595"/>
  <c r="C594"/>
  <c r="C593"/>
  <c r="C592"/>
  <c r="C591"/>
  <c r="C590"/>
  <c r="C589"/>
  <c r="C588"/>
  <c r="C587"/>
  <c r="C586"/>
  <c r="C585"/>
  <c r="C584"/>
  <c r="C583"/>
  <c r="C582"/>
  <c r="C581"/>
  <c r="C580"/>
  <c r="C579"/>
  <c r="C578"/>
  <c r="C577"/>
  <c r="C576"/>
  <c r="C575"/>
  <c r="C574"/>
  <c r="C573"/>
  <c r="C572"/>
  <c r="C571"/>
  <c r="C570"/>
  <c r="C569"/>
  <c r="C568"/>
  <c r="C567"/>
  <c r="C566"/>
  <c r="C565"/>
  <c r="C564"/>
  <c r="C563"/>
  <c r="C562"/>
  <c r="C561"/>
  <c r="C560"/>
  <c r="C559"/>
  <c r="C558"/>
  <c r="C557"/>
  <c r="C556"/>
  <c r="C555"/>
  <c r="C554"/>
  <c r="C553"/>
  <c r="C552"/>
  <c r="C551"/>
  <c r="C550"/>
  <c r="C549"/>
  <c r="C548"/>
  <c r="C547"/>
  <c r="C546"/>
  <c r="C545"/>
  <c r="C544"/>
  <c r="C543"/>
  <c r="C542"/>
  <c r="C541"/>
  <c r="C540"/>
  <c r="C539"/>
  <c r="C538"/>
  <c r="C537"/>
  <c r="C536"/>
  <c r="C535"/>
  <c r="C534"/>
  <c r="C533"/>
  <c r="C532"/>
  <c r="C531"/>
  <c r="C530"/>
  <c r="C529"/>
  <c r="C528"/>
  <c r="C527"/>
  <c r="C526"/>
  <c r="C525"/>
  <c r="C524"/>
  <c r="C523"/>
  <c r="C522"/>
  <c r="C521"/>
  <c r="C520"/>
  <c r="C519"/>
  <c r="C518"/>
  <c r="C517"/>
  <c r="C516"/>
  <c r="C515"/>
  <c r="C514"/>
  <c r="C513"/>
  <c r="C512"/>
  <c r="C511"/>
  <c r="C510"/>
  <c r="C509"/>
  <c r="C508"/>
  <c r="C507"/>
  <c r="C506"/>
  <c r="C505"/>
  <c r="C504"/>
  <c r="C503"/>
  <c r="C502"/>
  <c r="C501"/>
  <c r="C500"/>
  <c r="C499"/>
  <c r="C498"/>
  <c r="C497"/>
  <c r="C496"/>
  <c r="C495"/>
  <c r="C494"/>
  <c r="C493"/>
  <c r="C492"/>
  <c r="C491"/>
  <c r="C490"/>
  <c r="C489"/>
  <c r="C488"/>
  <c r="C487"/>
  <c r="C486"/>
  <c r="C485"/>
  <c r="C484"/>
  <c r="C483"/>
  <c r="C482"/>
  <c r="C481"/>
  <c r="C480"/>
  <c r="C479"/>
  <c r="C478"/>
  <c r="C477"/>
  <c r="C476"/>
  <c r="C475"/>
  <c r="C474"/>
  <c r="C473"/>
  <c r="C472"/>
  <c r="C471"/>
  <c r="C470"/>
  <c r="C469"/>
  <c r="C468"/>
  <c r="C467"/>
  <c r="C466"/>
  <c r="C465"/>
  <c r="C464"/>
  <c r="C463"/>
  <c r="C462"/>
  <c r="C461"/>
  <c r="C460"/>
  <c r="C459"/>
  <c r="C458"/>
  <c r="C457"/>
  <c r="C456"/>
  <c r="C455"/>
  <c r="C454"/>
  <c r="C453"/>
  <c r="C452"/>
  <c r="C451"/>
  <c r="C450"/>
  <c r="C449"/>
  <c r="C448"/>
  <c r="C447"/>
  <c r="C446"/>
  <c r="C445"/>
  <c r="C444"/>
  <c r="C443"/>
  <c r="C442"/>
  <c r="C441"/>
  <c r="C440"/>
  <c r="C439"/>
  <c r="C438"/>
  <c r="C437"/>
  <c r="C436"/>
  <c r="C435"/>
  <c r="C434"/>
  <c r="C433"/>
  <c r="C432"/>
  <c r="C431"/>
  <c r="C430"/>
  <c r="C429"/>
  <c r="C428"/>
  <c r="C427"/>
  <c r="C426"/>
  <c r="C425"/>
  <c r="C424"/>
  <c r="C423"/>
  <c r="C422"/>
  <c r="C421"/>
  <c r="C420"/>
  <c r="C419"/>
  <c r="C418"/>
  <c r="C417"/>
  <c r="C416"/>
  <c r="C415"/>
  <c r="C414"/>
  <c r="C413"/>
  <c r="C412"/>
  <c r="C411"/>
  <c r="C410"/>
  <c r="C409"/>
  <c r="C408"/>
  <c r="C407"/>
  <c r="C406"/>
  <c r="C405"/>
  <c r="C404"/>
  <c r="C403"/>
  <c r="C402"/>
  <c r="C401"/>
  <c r="C400"/>
  <c r="C399"/>
  <c r="C398"/>
  <c r="C397"/>
  <c r="C396"/>
  <c r="C395"/>
  <c r="C394"/>
  <c r="C393"/>
  <c r="C392"/>
  <c r="C391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60"/>
  <c r="C359"/>
  <c r="C358"/>
  <c r="C357"/>
  <c r="C356"/>
  <c r="C355"/>
  <c r="C354"/>
  <c r="C353"/>
  <c r="C352"/>
  <c r="C351"/>
  <c r="C350"/>
  <c r="C349"/>
  <c r="C348"/>
  <c r="C347"/>
  <c r="C346"/>
  <c r="C345"/>
  <c r="C344"/>
  <c r="C343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H3" i="3" l="1"/>
  <c r="AH3"/>
  <c r="AU3" s="1"/>
  <c r="V3"/>
  <c r="U4"/>
  <c r="AH4" s="1"/>
  <c r="E4" i="4"/>
  <c r="E6"/>
  <c r="E8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56"/>
  <c r="E58"/>
  <c r="E60"/>
  <c r="E62"/>
  <c r="E64"/>
  <c r="E66"/>
  <c r="E68"/>
  <c r="E70"/>
  <c r="E72"/>
  <c r="E74"/>
  <c r="E76"/>
  <c r="E78"/>
  <c r="E80"/>
  <c r="E82"/>
  <c r="E84"/>
  <c r="E86"/>
  <c r="E88"/>
  <c r="E90"/>
  <c r="E92"/>
  <c r="E94"/>
  <c r="E96"/>
  <c r="E98"/>
  <c r="E100"/>
  <c r="E102"/>
  <c r="E104"/>
  <c r="E106"/>
  <c r="E108"/>
  <c r="E110"/>
  <c r="E112"/>
  <c r="E114"/>
  <c r="E116"/>
  <c r="E118"/>
  <c r="E120"/>
  <c r="E122"/>
  <c r="E124"/>
  <c r="E126"/>
  <c r="E128"/>
  <c r="E130"/>
  <c r="E132"/>
  <c r="E134"/>
  <c r="E136"/>
  <c r="E138"/>
  <c r="E140"/>
  <c r="E142"/>
  <c r="E144"/>
  <c r="E146"/>
  <c r="E148"/>
  <c r="E150"/>
  <c r="E152"/>
  <c r="E154"/>
  <c r="E156"/>
  <c r="E158"/>
  <c r="E160"/>
  <c r="E162"/>
  <c r="E164"/>
  <c r="E166"/>
  <c r="E168"/>
  <c r="E170"/>
  <c r="E172"/>
  <c r="E174"/>
  <c r="E176"/>
  <c r="E178"/>
  <c r="E180"/>
  <c r="E182"/>
  <c r="E184"/>
  <c r="E186"/>
  <c r="E188"/>
  <c r="E190"/>
  <c r="E192"/>
  <c r="E194"/>
  <c r="E196"/>
  <c r="E198"/>
  <c r="E200"/>
  <c r="E202"/>
  <c r="E204"/>
  <c r="E206"/>
  <c r="E208"/>
  <c r="E210"/>
  <c r="E212"/>
  <c r="E214"/>
  <c r="E216"/>
  <c r="E218"/>
  <c r="E220"/>
  <c r="E222"/>
  <c r="E224"/>
  <c r="E226"/>
  <c r="E228"/>
  <c r="E230"/>
  <c r="E232"/>
  <c r="E234"/>
  <c r="E236"/>
  <c r="E238"/>
  <c r="E240"/>
  <c r="E242"/>
  <c r="E244"/>
  <c r="E246"/>
  <c r="E248"/>
  <c r="E250"/>
  <c r="E252"/>
  <c r="E254"/>
  <c r="E256"/>
  <c r="E258"/>
  <c r="E260"/>
  <c r="E262"/>
  <c r="E264"/>
  <c r="E266"/>
  <c r="E268"/>
  <c r="E270"/>
  <c r="E272"/>
  <c r="E274"/>
  <c r="E276"/>
  <c r="E278"/>
  <c r="E280"/>
  <c r="E282"/>
  <c r="E284"/>
  <c r="E286"/>
  <c r="E288"/>
  <c r="E290"/>
  <c r="E294"/>
  <c r="E298"/>
  <c r="E302"/>
  <c r="E306"/>
  <c r="E310"/>
  <c r="E314"/>
  <c r="E318"/>
  <c r="E322"/>
  <c r="E326"/>
  <c r="E330"/>
  <c r="E334"/>
  <c r="E338"/>
  <c r="E342"/>
  <c r="E346"/>
  <c r="E350"/>
  <c r="E354"/>
  <c r="E358"/>
  <c r="E362"/>
  <c r="E366"/>
  <c r="E370"/>
  <c r="E374"/>
  <c r="E378"/>
  <c r="E382"/>
  <c r="E386"/>
  <c r="E390"/>
  <c r="E394"/>
  <c r="E398"/>
  <c r="E402"/>
  <c r="E406"/>
  <c r="E410"/>
  <c r="E414"/>
  <c r="E418"/>
  <c r="E422"/>
  <c r="E426"/>
  <c r="E430"/>
  <c r="E434"/>
  <c r="E438"/>
  <c r="E442"/>
  <c r="E446"/>
  <c r="E450"/>
  <c r="E454"/>
  <c r="E458"/>
  <c r="E462"/>
  <c r="E466"/>
  <c r="E470"/>
  <c r="E474"/>
  <c r="E478"/>
  <c r="E482"/>
  <c r="E486"/>
  <c r="E494"/>
  <c r="E502"/>
  <c r="E510"/>
  <c r="E518"/>
  <c r="E526"/>
  <c r="E534"/>
  <c r="E542"/>
  <c r="E550"/>
  <c r="E558"/>
  <c r="E566"/>
  <c r="E574"/>
  <c r="E582"/>
  <c r="E590"/>
  <c r="E598"/>
  <c r="E606"/>
  <c r="E614"/>
  <c r="E622"/>
  <c r="E630"/>
  <c r="E638"/>
  <c r="E646"/>
  <c r="E654"/>
  <c r="E662"/>
  <c r="E670"/>
  <c r="E678"/>
  <c r="E686"/>
  <c r="E694"/>
  <c r="E702"/>
  <c r="E710"/>
  <c r="E718"/>
  <c r="E726"/>
  <c r="E734"/>
  <c r="E742"/>
  <c r="E750"/>
  <c r="E758"/>
  <c r="E766"/>
  <c r="E774"/>
  <c r="E782"/>
  <c r="E790"/>
  <c r="E798"/>
  <c r="E488"/>
  <c r="E492"/>
  <c r="E496"/>
  <c r="E500"/>
  <c r="E504"/>
  <c r="E508"/>
  <c r="E512"/>
  <c r="E516"/>
  <c r="E520"/>
  <c r="E524"/>
  <c r="E528"/>
  <c r="E532"/>
  <c r="E536"/>
  <c r="E540"/>
  <c r="E544"/>
  <c r="E548"/>
  <c r="E552"/>
  <c r="E556"/>
  <c r="E560"/>
  <c r="E564"/>
  <c r="E568"/>
  <c r="E572"/>
  <c r="E576"/>
  <c r="E580"/>
  <c r="E584"/>
  <c r="E588"/>
  <c r="E592"/>
  <c r="E596"/>
  <c r="E600"/>
  <c r="E604"/>
  <c r="E608"/>
  <c r="E612"/>
  <c r="E616"/>
  <c r="E620"/>
  <c r="E624"/>
  <c r="E628"/>
  <c r="E632"/>
  <c r="E636"/>
  <c r="E640"/>
  <c r="E644"/>
  <c r="E648"/>
  <c r="E652"/>
  <c r="E656"/>
  <c r="E660"/>
  <c r="E664"/>
  <c r="E668"/>
  <c r="E672"/>
  <c r="E676"/>
  <c r="E680"/>
  <c r="E684"/>
  <c r="E688"/>
  <c r="E692"/>
  <c r="E696"/>
  <c r="E700"/>
  <c r="E704"/>
  <c r="E708"/>
  <c r="E712"/>
  <c r="E716"/>
  <c r="E720"/>
  <c r="E724"/>
  <c r="E728"/>
  <c r="E732"/>
  <c r="E736"/>
  <c r="E740"/>
  <c r="E744"/>
  <c r="E748"/>
  <c r="E752"/>
  <c r="E756"/>
  <c r="E760"/>
  <c r="E764"/>
  <c r="E768"/>
  <c r="E772"/>
  <c r="E776"/>
  <c r="E780"/>
  <c r="E784"/>
  <c r="E788"/>
  <c r="E792"/>
  <c r="E796"/>
  <c r="E2"/>
  <c r="E801"/>
  <c r="E799"/>
  <c r="E797"/>
  <c r="E795"/>
  <c r="E793"/>
  <c r="E791"/>
  <c r="E789"/>
  <c r="E787"/>
  <c r="E785"/>
  <c r="E783"/>
  <c r="E781"/>
  <c r="E779"/>
  <c r="E777"/>
  <c r="E775"/>
  <c r="E773"/>
  <c r="E771"/>
  <c r="E769"/>
  <c r="E767"/>
  <c r="E765"/>
  <c r="E763"/>
  <c r="E761"/>
  <c r="E759"/>
  <c r="E757"/>
  <c r="E755"/>
  <c r="E753"/>
  <c r="E751"/>
  <c r="E749"/>
  <c r="E747"/>
  <c r="E745"/>
  <c r="E743"/>
  <c r="E741"/>
  <c r="E739"/>
  <c r="E737"/>
  <c r="E735"/>
  <c r="E733"/>
  <c r="E731"/>
  <c r="E729"/>
  <c r="E727"/>
  <c r="E725"/>
  <c r="E723"/>
  <c r="E721"/>
  <c r="E719"/>
  <c r="E717"/>
  <c r="E715"/>
  <c r="E713"/>
  <c r="E711"/>
  <c r="E709"/>
  <c r="E707"/>
  <c r="E705"/>
  <c r="E703"/>
  <c r="E701"/>
  <c r="E699"/>
  <c r="E697"/>
  <c r="E695"/>
  <c r="E693"/>
  <c r="E691"/>
  <c r="E689"/>
  <c r="E687"/>
  <c r="E685"/>
  <c r="E683"/>
  <c r="E681"/>
  <c r="E679"/>
  <c r="E677"/>
  <c r="E675"/>
  <c r="E673"/>
  <c r="E671"/>
  <c r="E669"/>
  <c r="E667"/>
  <c r="E665"/>
  <c r="E663"/>
  <c r="E661"/>
  <c r="E659"/>
  <c r="E657"/>
  <c r="E655"/>
  <c r="E653"/>
  <c r="E651"/>
  <c r="E649"/>
  <c r="E647"/>
  <c r="E645"/>
  <c r="E643"/>
  <c r="E641"/>
  <c r="E639"/>
  <c r="E637"/>
  <c r="E635"/>
  <c r="E633"/>
  <c r="E631"/>
  <c r="E629"/>
  <c r="E627"/>
  <c r="E625"/>
  <c r="E623"/>
  <c r="E621"/>
  <c r="E619"/>
  <c r="E617"/>
  <c r="E615"/>
  <c r="E613"/>
  <c r="E611"/>
  <c r="E609"/>
  <c r="E607"/>
  <c r="E605"/>
  <c r="E603"/>
  <c r="E601"/>
  <c r="E599"/>
  <c r="E597"/>
  <c r="E595"/>
  <c r="E593"/>
  <c r="E591"/>
  <c r="E589"/>
  <c r="E587"/>
  <c r="E585"/>
  <c r="E583"/>
  <c r="E581"/>
  <c r="E579"/>
  <c r="E577"/>
  <c r="E575"/>
  <c r="E573"/>
  <c r="E571"/>
  <c r="E569"/>
  <c r="E567"/>
  <c r="E565"/>
  <c r="E563"/>
  <c r="E561"/>
  <c r="E559"/>
  <c r="E557"/>
  <c r="E555"/>
  <c r="E553"/>
  <c r="E551"/>
  <c r="E549"/>
  <c r="E547"/>
  <c r="E545"/>
  <c r="E543"/>
  <c r="E541"/>
  <c r="E539"/>
  <c r="E537"/>
  <c r="E535"/>
  <c r="E533"/>
  <c r="E531"/>
  <c r="E529"/>
  <c r="E527"/>
  <c r="E525"/>
  <c r="E523"/>
  <c r="E521"/>
  <c r="E519"/>
  <c r="E517"/>
  <c r="E515"/>
  <c r="E513"/>
  <c r="E511"/>
  <c r="E509"/>
  <c r="E507"/>
  <c r="E505"/>
  <c r="E503"/>
  <c r="E501"/>
  <c r="E499"/>
  <c r="E497"/>
  <c r="E495"/>
  <c r="E493"/>
  <c r="E491"/>
  <c r="E489"/>
  <c r="E487"/>
  <c r="E485"/>
  <c r="E483"/>
  <c r="E481"/>
  <c r="E479"/>
  <c r="E477"/>
  <c r="E475"/>
  <c r="E473"/>
  <c r="E471"/>
  <c r="E469"/>
  <c r="E467"/>
  <c r="E465"/>
  <c r="E463"/>
  <c r="E461"/>
  <c r="E459"/>
  <c r="E457"/>
  <c r="E455"/>
  <c r="E453"/>
  <c r="E451"/>
  <c r="E449"/>
  <c r="E447"/>
  <c r="E445"/>
  <c r="E443"/>
  <c r="E441"/>
  <c r="E439"/>
  <c r="E437"/>
  <c r="E435"/>
  <c r="E433"/>
  <c r="E431"/>
  <c r="E429"/>
  <c r="E427"/>
  <c r="E425"/>
  <c r="E423"/>
  <c r="E421"/>
  <c r="E419"/>
  <c r="E417"/>
  <c r="E415"/>
  <c r="E413"/>
  <c r="E411"/>
  <c r="E409"/>
  <c r="E407"/>
  <c r="E405"/>
  <c r="E403"/>
  <c r="E401"/>
  <c r="E399"/>
  <c r="E397"/>
  <c r="E395"/>
  <c r="E393"/>
  <c r="E391"/>
  <c r="E389"/>
  <c r="E387"/>
  <c r="E385"/>
  <c r="E383"/>
  <c r="E381"/>
  <c r="E379"/>
  <c r="E377"/>
  <c r="E375"/>
  <c r="E373"/>
  <c r="E371"/>
  <c r="E369"/>
  <c r="E367"/>
  <c r="E365"/>
  <c r="E363"/>
  <c r="E361"/>
  <c r="E359"/>
  <c r="E357"/>
  <c r="E355"/>
  <c r="E353"/>
  <c r="E351"/>
  <c r="E349"/>
  <c r="E347"/>
  <c r="E345"/>
  <c r="E343"/>
  <c r="E341"/>
  <c r="E339"/>
  <c r="E337"/>
  <c r="E335"/>
  <c r="E333"/>
  <c r="E331"/>
  <c r="E329"/>
  <c r="E327"/>
  <c r="E325"/>
  <c r="E323"/>
  <c r="E321"/>
  <c r="E319"/>
  <c r="E317"/>
  <c r="E315"/>
  <c r="E313"/>
  <c r="E311"/>
  <c r="E309"/>
  <c r="E307"/>
  <c r="E305"/>
  <c r="E303"/>
  <c r="E301"/>
  <c r="E299"/>
  <c r="E297"/>
  <c r="E295"/>
  <c r="E293"/>
  <c r="E291"/>
  <c r="G99"/>
  <c r="G138"/>
  <c r="G7"/>
  <c r="G13"/>
  <c r="G66"/>
  <c r="G3"/>
  <c r="G121"/>
  <c r="G47"/>
  <c r="G145"/>
  <c r="G26"/>
  <c r="G60"/>
  <c r="G42"/>
  <c r="G86"/>
  <c r="G135"/>
  <c r="G10"/>
  <c r="G95"/>
  <c r="G20"/>
  <c r="G156"/>
  <c r="G85"/>
  <c r="G65"/>
  <c r="G5"/>
  <c r="G160"/>
  <c r="G8"/>
  <c r="G120"/>
  <c r="G67"/>
  <c r="G100"/>
  <c r="G38"/>
  <c r="G71"/>
  <c r="G59"/>
  <c r="G147"/>
  <c r="G40"/>
  <c r="G63"/>
  <c r="G62"/>
  <c r="G30"/>
  <c r="G83"/>
  <c r="G151"/>
  <c r="G93"/>
  <c r="G45"/>
  <c r="G116"/>
  <c r="G89"/>
  <c r="G109"/>
  <c r="G155"/>
  <c r="G14"/>
  <c r="G132"/>
  <c r="G77"/>
  <c r="G51"/>
  <c r="G56"/>
  <c r="G37"/>
  <c r="G122"/>
  <c r="G141"/>
  <c r="G113"/>
  <c r="G159"/>
  <c r="G110"/>
  <c r="G142"/>
  <c r="G75"/>
  <c r="G82"/>
  <c r="G154"/>
  <c r="G114"/>
  <c r="G46"/>
  <c r="G118"/>
  <c r="G111"/>
  <c r="G112"/>
  <c r="G84"/>
  <c r="G24"/>
  <c r="G131"/>
  <c r="G25"/>
  <c r="G149"/>
  <c r="G4"/>
  <c r="G137"/>
  <c r="G74"/>
  <c r="G21"/>
  <c r="G92"/>
  <c r="G49"/>
  <c r="G23"/>
  <c r="G54"/>
  <c r="G158"/>
  <c r="G58"/>
  <c r="G134"/>
  <c r="G72"/>
  <c r="G119"/>
  <c r="G2"/>
  <c r="G87"/>
  <c r="G81"/>
  <c r="G6"/>
  <c r="G39"/>
  <c r="G157"/>
  <c r="G98"/>
  <c r="G126"/>
  <c r="G150"/>
  <c r="G153"/>
  <c r="G136"/>
  <c r="G104"/>
  <c r="G11"/>
  <c r="G44"/>
  <c r="G53"/>
  <c r="G50"/>
  <c r="G123"/>
  <c r="G55"/>
  <c r="G133"/>
  <c r="G52"/>
  <c r="G9"/>
  <c r="G103"/>
  <c r="G68"/>
  <c r="G61"/>
  <c r="G161"/>
  <c r="G146"/>
  <c r="G69"/>
  <c r="G102"/>
  <c r="G88"/>
  <c r="G73"/>
  <c r="G32"/>
  <c r="G18"/>
  <c r="G33"/>
  <c r="G27"/>
  <c r="G129"/>
  <c r="G28"/>
  <c r="G96"/>
  <c r="G80"/>
  <c r="G125"/>
  <c r="G70"/>
  <c r="G90"/>
  <c r="G12"/>
  <c r="G79"/>
  <c r="G162"/>
  <c r="G139"/>
  <c r="G144"/>
  <c r="G43"/>
  <c r="G76"/>
  <c r="G143"/>
  <c r="G31"/>
  <c r="G36"/>
  <c r="G127"/>
  <c r="G152"/>
  <c r="G48"/>
  <c r="G106"/>
  <c r="G19"/>
  <c r="G57"/>
  <c r="G41"/>
  <c r="G115"/>
  <c r="G34"/>
  <c r="G94"/>
  <c r="G148"/>
  <c r="G117"/>
  <c r="G130"/>
  <c r="G140"/>
  <c r="G91"/>
  <c r="G78"/>
  <c r="G64"/>
  <c r="G107"/>
  <c r="G17"/>
  <c r="G128"/>
  <c r="G101"/>
  <c r="G124"/>
  <c r="G29"/>
  <c r="G105"/>
  <c r="G108"/>
  <c r="G35"/>
  <c r="G15"/>
  <c r="G16"/>
  <c r="G97"/>
  <c r="G22"/>
  <c r="M6" i="5" l="1"/>
  <c r="Q6"/>
  <c r="U6"/>
  <c r="Y6"/>
  <c r="AC6"/>
  <c r="AG6"/>
  <c r="AK6"/>
  <c r="K6"/>
  <c r="O6"/>
  <c r="S6"/>
  <c r="W6"/>
  <c r="AA6"/>
  <c r="AE6"/>
  <c r="AI6"/>
  <c r="AM6"/>
  <c r="J6"/>
  <c r="N6"/>
  <c r="R6"/>
  <c r="V6"/>
  <c r="Z6"/>
  <c r="AD6"/>
  <c r="AH6"/>
  <c r="AL6"/>
  <c r="L6"/>
  <c r="P6"/>
  <c r="T6"/>
  <c r="X6"/>
  <c r="AB6"/>
  <c r="AF6"/>
  <c r="AJ6"/>
  <c r="AN6"/>
  <c r="AI132"/>
  <c r="AM132"/>
  <c r="V132"/>
  <c r="Z132"/>
  <c r="AD132"/>
  <c r="K132"/>
  <c r="M132"/>
  <c r="O132"/>
  <c r="Q132"/>
  <c r="S132"/>
  <c r="U132"/>
  <c r="W132"/>
  <c r="Y132"/>
  <c r="AA132"/>
  <c r="AC132"/>
  <c r="AE132"/>
  <c r="AG132"/>
  <c r="AK132"/>
  <c r="J132"/>
  <c r="L132"/>
  <c r="N132"/>
  <c r="P132"/>
  <c r="R132"/>
  <c r="T132"/>
  <c r="X132"/>
  <c r="AB132"/>
  <c r="AF132"/>
  <c r="AH132"/>
  <c r="AJ132"/>
  <c r="AL132"/>
  <c r="AN132"/>
  <c r="L25"/>
  <c r="P25"/>
  <c r="T25"/>
  <c r="X25"/>
  <c r="AB25"/>
  <c r="AF25"/>
  <c r="AJ25"/>
  <c r="AN25"/>
  <c r="J25"/>
  <c r="N25"/>
  <c r="R25"/>
  <c r="V25"/>
  <c r="Z25"/>
  <c r="AD25"/>
  <c r="AH25"/>
  <c r="AL25"/>
  <c r="M25"/>
  <c r="Q25"/>
  <c r="U25"/>
  <c r="Y25"/>
  <c r="AC25"/>
  <c r="AG25"/>
  <c r="AK25"/>
  <c r="K25"/>
  <c r="O25"/>
  <c r="S25"/>
  <c r="W25"/>
  <c r="AA25"/>
  <c r="AE25"/>
  <c r="AI25"/>
  <c r="AM25"/>
  <c r="K110"/>
  <c r="M110"/>
  <c r="O110"/>
  <c r="Q110"/>
  <c r="S110"/>
  <c r="U110"/>
  <c r="W110"/>
  <c r="Y110"/>
  <c r="AA110"/>
  <c r="AC110"/>
  <c r="AE110"/>
  <c r="AG110"/>
  <c r="AK110"/>
  <c r="J110"/>
  <c r="L110"/>
  <c r="N110"/>
  <c r="P110"/>
  <c r="R110"/>
  <c r="T110"/>
  <c r="X110"/>
  <c r="AB110"/>
  <c r="AF110"/>
  <c r="AH110"/>
  <c r="AI110"/>
  <c r="AM110"/>
  <c r="V110"/>
  <c r="Z110"/>
  <c r="AD110"/>
  <c r="AJ110"/>
  <c r="AL110"/>
  <c r="AN110"/>
  <c r="AG53"/>
  <c r="AK53"/>
  <c r="J53"/>
  <c r="L53"/>
  <c r="N53"/>
  <c r="P53"/>
  <c r="R53"/>
  <c r="T53"/>
  <c r="V53"/>
  <c r="X53"/>
  <c r="Z53"/>
  <c r="AB53"/>
  <c r="AD53"/>
  <c r="AF53"/>
  <c r="K53"/>
  <c r="M53"/>
  <c r="O53"/>
  <c r="Q53"/>
  <c r="S53"/>
  <c r="U53"/>
  <c r="W53"/>
  <c r="Y53"/>
  <c r="AA53"/>
  <c r="AC53"/>
  <c r="AE53"/>
  <c r="AI53"/>
  <c r="AM53"/>
  <c r="AH53"/>
  <c r="AJ53"/>
  <c r="AN53"/>
  <c r="AL53"/>
  <c r="M10"/>
  <c r="Q10"/>
  <c r="U10"/>
  <c r="Y10"/>
  <c r="AC10"/>
  <c r="AG10"/>
  <c r="AK10"/>
  <c r="K10"/>
  <c r="O10"/>
  <c r="S10"/>
  <c r="W10"/>
  <c r="AA10"/>
  <c r="AE10"/>
  <c r="AI10"/>
  <c r="AM10"/>
  <c r="J10"/>
  <c r="N10"/>
  <c r="R10"/>
  <c r="V10"/>
  <c r="Z10"/>
  <c r="AD10"/>
  <c r="AH10"/>
  <c r="AL10"/>
  <c r="L10"/>
  <c r="P10"/>
  <c r="T10"/>
  <c r="X10"/>
  <c r="AB10"/>
  <c r="AF10"/>
  <c r="AJ10"/>
  <c r="AN10"/>
  <c r="K118"/>
  <c r="M118"/>
  <c r="O118"/>
  <c r="Q118"/>
  <c r="S118"/>
  <c r="U118"/>
  <c r="W118"/>
  <c r="Y118"/>
  <c r="AA118"/>
  <c r="AC118"/>
  <c r="AE118"/>
  <c r="AG118"/>
  <c r="AK118"/>
  <c r="J118"/>
  <c r="L118"/>
  <c r="N118"/>
  <c r="P118"/>
  <c r="R118"/>
  <c r="T118"/>
  <c r="X118"/>
  <c r="AB118"/>
  <c r="AF118"/>
  <c r="AH118"/>
  <c r="AI118"/>
  <c r="AM118"/>
  <c r="V118"/>
  <c r="Z118"/>
  <c r="AD118"/>
  <c r="AJ118"/>
  <c r="AL118"/>
  <c r="AN118"/>
  <c r="M133"/>
  <c r="Q133"/>
  <c r="S133"/>
  <c r="AG133"/>
  <c r="AK133"/>
  <c r="AH133"/>
  <c r="K133"/>
  <c r="O133"/>
  <c r="U133"/>
  <c r="W133"/>
  <c r="Y133"/>
  <c r="AA133"/>
  <c r="AC133"/>
  <c r="AE133"/>
  <c r="AI133"/>
  <c r="AM133"/>
  <c r="J133"/>
  <c r="L133"/>
  <c r="N133"/>
  <c r="P133"/>
  <c r="R133"/>
  <c r="T133"/>
  <c r="V133"/>
  <c r="X133"/>
  <c r="Z133"/>
  <c r="AB133"/>
  <c r="AD133"/>
  <c r="AF133"/>
  <c r="AL133"/>
  <c r="AJ133"/>
  <c r="AN133"/>
  <c r="AE66"/>
  <c r="AI66"/>
  <c r="AM66"/>
  <c r="J66"/>
  <c r="L66"/>
  <c r="N66"/>
  <c r="P66"/>
  <c r="R66"/>
  <c r="T66"/>
  <c r="V66"/>
  <c r="X66"/>
  <c r="Z66"/>
  <c r="AB66"/>
  <c r="AD66"/>
  <c r="AF66"/>
  <c r="AH66"/>
  <c r="K66"/>
  <c r="M66"/>
  <c r="O66"/>
  <c r="Q66"/>
  <c r="S66"/>
  <c r="U66"/>
  <c r="W66"/>
  <c r="Y66"/>
  <c r="AA66"/>
  <c r="AC66"/>
  <c r="AG66"/>
  <c r="AK66"/>
  <c r="AL66"/>
  <c r="AJ66"/>
  <c r="AN66"/>
  <c r="K131"/>
  <c r="O131"/>
  <c r="U131"/>
  <c r="W131"/>
  <c r="Y131"/>
  <c r="AA131"/>
  <c r="AC131"/>
  <c r="AE131"/>
  <c r="AI131"/>
  <c r="AM131"/>
  <c r="J131"/>
  <c r="L131"/>
  <c r="N131"/>
  <c r="P131"/>
  <c r="R131"/>
  <c r="T131"/>
  <c r="V131"/>
  <c r="X131"/>
  <c r="Z131"/>
  <c r="AB131"/>
  <c r="AD131"/>
  <c r="AF131"/>
  <c r="M131"/>
  <c r="Q131"/>
  <c r="S131"/>
  <c r="AG131"/>
  <c r="AK131"/>
  <c r="AH131"/>
  <c r="AJ131"/>
  <c r="AN131"/>
  <c r="AL131"/>
  <c r="AG85"/>
  <c r="AK85"/>
  <c r="J85"/>
  <c r="L85"/>
  <c r="N85"/>
  <c r="P85"/>
  <c r="R85"/>
  <c r="T85"/>
  <c r="V85"/>
  <c r="X85"/>
  <c r="Z85"/>
  <c r="AB85"/>
  <c r="AD85"/>
  <c r="AF85"/>
  <c r="K85"/>
  <c r="M85"/>
  <c r="O85"/>
  <c r="Q85"/>
  <c r="S85"/>
  <c r="U85"/>
  <c r="W85"/>
  <c r="Y85"/>
  <c r="AA85"/>
  <c r="AC85"/>
  <c r="AE85"/>
  <c r="AI85"/>
  <c r="AM85"/>
  <c r="AH85"/>
  <c r="AJ85"/>
  <c r="AN85"/>
  <c r="AL85"/>
  <c r="K71"/>
  <c r="M71"/>
  <c r="O71"/>
  <c r="Q71"/>
  <c r="S71"/>
  <c r="U71"/>
  <c r="W71"/>
  <c r="Y71"/>
  <c r="AA71"/>
  <c r="AC71"/>
  <c r="AE71"/>
  <c r="AI71"/>
  <c r="AM71"/>
  <c r="AH71"/>
  <c r="AG71"/>
  <c r="AK71"/>
  <c r="J71"/>
  <c r="L71"/>
  <c r="N71"/>
  <c r="P71"/>
  <c r="R71"/>
  <c r="T71"/>
  <c r="V71"/>
  <c r="X71"/>
  <c r="Z71"/>
  <c r="AB71"/>
  <c r="AD71"/>
  <c r="AF71"/>
  <c r="AL71"/>
  <c r="AJ71"/>
  <c r="AN71"/>
  <c r="K134"/>
  <c r="M134"/>
  <c r="O134"/>
  <c r="Q134"/>
  <c r="S134"/>
  <c r="U134"/>
  <c r="W134"/>
  <c r="Y134"/>
  <c r="AC134"/>
  <c r="J134"/>
  <c r="L134"/>
  <c r="N134"/>
  <c r="P134"/>
  <c r="R134"/>
  <c r="T134"/>
  <c r="V134"/>
  <c r="X134"/>
  <c r="Z134"/>
  <c r="AB134"/>
  <c r="AD134"/>
  <c r="AF134"/>
  <c r="AA134"/>
  <c r="AE134"/>
  <c r="AG134"/>
  <c r="AI134"/>
  <c r="AK134"/>
  <c r="AM134"/>
  <c r="AH134"/>
  <c r="AJ134"/>
  <c r="AN134"/>
  <c r="AL134"/>
  <c r="J23"/>
  <c r="N23"/>
  <c r="R23"/>
  <c r="V23"/>
  <c r="Z23"/>
  <c r="AD23"/>
  <c r="AH23"/>
  <c r="AL23"/>
  <c r="L23"/>
  <c r="P23"/>
  <c r="T23"/>
  <c r="X23"/>
  <c r="AB23"/>
  <c r="AF23"/>
  <c r="AJ23"/>
  <c r="AN23"/>
  <c r="K23"/>
  <c r="O23"/>
  <c r="S23"/>
  <c r="W23"/>
  <c r="AA23"/>
  <c r="AE23"/>
  <c r="AI23"/>
  <c r="AM23"/>
  <c r="M23"/>
  <c r="Q23"/>
  <c r="U23"/>
  <c r="Y23"/>
  <c r="AC23"/>
  <c r="AG23"/>
  <c r="AK23"/>
  <c r="AG149"/>
  <c r="AK149"/>
  <c r="J149"/>
  <c r="L149"/>
  <c r="N149"/>
  <c r="P149"/>
  <c r="R149"/>
  <c r="T149"/>
  <c r="V149"/>
  <c r="X149"/>
  <c r="AH149"/>
  <c r="K149"/>
  <c r="M149"/>
  <c r="O149"/>
  <c r="Q149"/>
  <c r="S149"/>
  <c r="U149"/>
  <c r="W149"/>
  <c r="Y149"/>
  <c r="AA149"/>
  <c r="AC149"/>
  <c r="AE149"/>
  <c r="AI149"/>
  <c r="AM149"/>
  <c r="Z149"/>
  <c r="AB149"/>
  <c r="AD149"/>
  <c r="AF149"/>
  <c r="AL149"/>
  <c r="AJ149"/>
  <c r="AN149"/>
  <c r="AE90"/>
  <c r="AI90"/>
  <c r="AM90"/>
  <c r="J90"/>
  <c r="L90"/>
  <c r="N90"/>
  <c r="P90"/>
  <c r="R90"/>
  <c r="T90"/>
  <c r="V90"/>
  <c r="X90"/>
  <c r="Z90"/>
  <c r="AB90"/>
  <c r="AD90"/>
  <c r="AF90"/>
  <c r="AH90"/>
  <c r="K90"/>
  <c r="M90"/>
  <c r="O90"/>
  <c r="Q90"/>
  <c r="S90"/>
  <c r="U90"/>
  <c r="W90"/>
  <c r="Y90"/>
  <c r="AA90"/>
  <c r="AC90"/>
  <c r="AG90"/>
  <c r="AK90"/>
  <c r="AL90"/>
  <c r="AJ90"/>
  <c r="AN90"/>
  <c r="AE86"/>
  <c r="AI86"/>
  <c r="AM86"/>
  <c r="J86"/>
  <c r="L86"/>
  <c r="N86"/>
  <c r="P86"/>
  <c r="R86"/>
  <c r="T86"/>
  <c r="V86"/>
  <c r="X86"/>
  <c r="Z86"/>
  <c r="AB86"/>
  <c r="AD86"/>
  <c r="AF86"/>
  <c r="AH86"/>
  <c r="K86"/>
  <c r="M86"/>
  <c r="O86"/>
  <c r="Q86"/>
  <c r="S86"/>
  <c r="U86"/>
  <c r="W86"/>
  <c r="Y86"/>
  <c r="AA86"/>
  <c r="AC86"/>
  <c r="AG86"/>
  <c r="AK86"/>
  <c r="AL86"/>
  <c r="AJ86"/>
  <c r="AN86"/>
  <c r="K80"/>
  <c r="M80"/>
  <c r="O80"/>
  <c r="Q80"/>
  <c r="S80"/>
  <c r="U80"/>
  <c r="W80"/>
  <c r="Y80"/>
  <c r="AA80"/>
  <c r="AC80"/>
  <c r="AG80"/>
  <c r="AK80"/>
  <c r="AE80"/>
  <c r="AI80"/>
  <c r="AM80"/>
  <c r="J80"/>
  <c r="L80"/>
  <c r="N80"/>
  <c r="P80"/>
  <c r="R80"/>
  <c r="T80"/>
  <c r="V80"/>
  <c r="X80"/>
  <c r="Z80"/>
  <c r="AB80"/>
  <c r="AD80"/>
  <c r="AF80"/>
  <c r="AH80"/>
  <c r="AJ80"/>
  <c r="AN80"/>
  <c r="AL80"/>
  <c r="M113"/>
  <c r="Q113"/>
  <c r="S113"/>
  <c r="AG113"/>
  <c r="AK113"/>
  <c r="AH113"/>
  <c r="K113"/>
  <c r="O113"/>
  <c r="U113"/>
  <c r="W113"/>
  <c r="Y113"/>
  <c r="AA113"/>
  <c r="AC113"/>
  <c r="AE113"/>
  <c r="AI113"/>
  <c r="AM113"/>
  <c r="J113"/>
  <c r="L113"/>
  <c r="N113"/>
  <c r="P113"/>
  <c r="R113"/>
  <c r="T113"/>
  <c r="V113"/>
  <c r="X113"/>
  <c r="Z113"/>
  <c r="AB113"/>
  <c r="AD113"/>
  <c r="AF113"/>
  <c r="AL113"/>
  <c r="AJ113"/>
  <c r="AN113"/>
  <c r="K126"/>
  <c r="M126"/>
  <c r="O126"/>
  <c r="Q126"/>
  <c r="S126"/>
  <c r="U126"/>
  <c r="W126"/>
  <c r="Y126"/>
  <c r="AA126"/>
  <c r="AC126"/>
  <c r="AE126"/>
  <c r="AG126"/>
  <c r="AK126"/>
  <c r="J126"/>
  <c r="L126"/>
  <c r="N126"/>
  <c r="P126"/>
  <c r="R126"/>
  <c r="T126"/>
  <c r="X126"/>
  <c r="AB126"/>
  <c r="AF126"/>
  <c r="AH126"/>
  <c r="AI126"/>
  <c r="AM126"/>
  <c r="V126"/>
  <c r="Z126"/>
  <c r="AD126"/>
  <c r="AJ126"/>
  <c r="AL126"/>
  <c r="AN126"/>
  <c r="K56"/>
  <c r="M56"/>
  <c r="O56"/>
  <c r="Q56"/>
  <c r="S56"/>
  <c r="U56"/>
  <c r="W56"/>
  <c r="Y56"/>
  <c r="AA56"/>
  <c r="AC56"/>
  <c r="AG56"/>
  <c r="AK56"/>
  <c r="AE56"/>
  <c r="AI56"/>
  <c r="AM56"/>
  <c r="J56"/>
  <c r="L56"/>
  <c r="N56"/>
  <c r="P56"/>
  <c r="R56"/>
  <c r="T56"/>
  <c r="V56"/>
  <c r="X56"/>
  <c r="Z56"/>
  <c r="AB56"/>
  <c r="AD56"/>
  <c r="AF56"/>
  <c r="AH56"/>
  <c r="AJ56"/>
  <c r="AN56"/>
  <c r="AL56"/>
  <c r="AE98"/>
  <c r="AI98"/>
  <c r="AM98"/>
  <c r="J98"/>
  <c r="L98"/>
  <c r="N98"/>
  <c r="P98"/>
  <c r="R98"/>
  <c r="T98"/>
  <c r="V98"/>
  <c r="X98"/>
  <c r="Z98"/>
  <c r="AB98"/>
  <c r="AD98"/>
  <c r="AF98"/>
  <c r="AH98"/>
  <c r="K98"/>
  <c r="M98"/>
  <c r="O98"/>
  <c r="Q98"/>
  <c r="S98"/>
  <c r="U98"/>
  <c r="W98"/>
  <c r="Y98"/>
  <c r="AA98"/>
  <c r="AC98"/>
  <c r="AG98"/>
  <c r="AK98"/>
  <c r="AL98"/>
  <c r="AJ98"/>
  <c r="AN98"/>
  <c r="K95"/>
  <c r="M95"/>
  <c r="O95"/>
  <c r="Q95"/>
  <c r="S95"/>
  <c r="U95"/>
  <c r="W95"/>
  <c r="Y95"/>
  <c r="AA95"/>
  <c r="AC95"/>
  <c r="AE95"/>
  <c r="AI95"/>
  <c r="AM95"/>
  <c r="AH95"/>
  <c r="AG95"/>
  <c r="AK95"/>
  <c r="J95"/>
  <c r="L95"/>
  <c r="N95"/>
  <c r="P95"/>
  <c r="R95"/>
  <c r="T95"/>
  <c r="V95"/>
  <c r="X95"/>
  <c r="Z95"/>
  <c r="AB95"/>
  <c r="AD95"/>
  <c r="AF95"/>
  <c r="AL95"/>
  <c r="AJ95"/>
  <c r="AN95"/>
  <c r="M117"/>
  <c r="Q117"/>
  <c r="S117"/>
  <c r="AG117"/>
  <c r="AK117"/>
  <c r="AH117"/>
  <c r="K117"/>
  <c r="O117"/>
  <c r="U117"/>
  <c r="W117"/>
  <c r="Y117"/>
  <c r="AA117"/>
  <c r="AC117"/>
  <c r="AE117"/>
  <c r="AI117"/>
  <c r="AM117"/>
  <c r="J117"/>
  <c r="L117"/>
  <c r="N117"/>
  <c r="P117"/>
  <c r="R117"/>
  <c r="T117"/>
  <c r="V117"/>
  <c r="X117"/>
  <c r="Z117"/>
  <c r="AB117"/>
  <c r="AD117"/>
  <c r="AF117"/>
  <c r="AL117"/>
  <c r="AJ117"/>
  <c r="AN117"/>
  <c r="AG157"/>
  <c r="AK157"/>
  <c r="J157"/>
  <c r="L157"/>
  <c r="N157"/>
  <c r="P157"/>
  <c r="R157"/>
  <c r="T157"/>
  <c r="V157"/>
  <c r="X157"/>
  <c r="Z157"/>
  <c r="AB157"/>
  <c r="AD157"/>
  <c r="AF157"/>
  <c r="K157"/>
  <c r="M157"/>
  <c r="O157"/>
  <c r="Q157"/>
  <c r="S157"/>
  <c r="U157"/>
  <c r="W157"/>
  <c r="Y157"/>
  <c r="AA157"/>
  <c r="AC157"/>
  <c r="AE157"/>
  <c r="AI157"/>
  <c r="AM157"/>
  <c r="AH157"/>
  <c r="AJ157"/>
  <c r="AN157"/>
  <c r="AL157"/>
  <c r="J15"/>
  <c r="N15"/>
  <c r="R15"/>
  <c r="V15"/>
  <c r="Z15"/>
  <c r="AD15"/>
  <c r="AH15"/>
  <c r="AL15"/>
  <c r="L15"/>
  <c r="P15"/>
  <c r="T15"/>
  <c r="X15"/>
  <c r="AB15"/>
  <c r="AF15"/>
  <c r="AJ15"/>
  <c r="AN15"/>
  <c r="K15"/>
  <c r="O15"/>
  <c r="S15"/>
  <c r="W15"/>
  <c r="AA15"/>
  <c r="AE15"/>
  <c r="AI15"/>
  <c r="AM15"/>
  <c r="M15"/>
  <c r="Q15"/>
  <c r="U15"/>
  <c r="Y15"/>
  <c r="AC15"/>
  <c r="AG15"/>
  <c r="AK15"/>
  <c r="AI112"/>
  <c r="AM112"/>
  <c r="V112"/>
  <c r="Z112"/>
  <c r="AD112"/>
  <c r="K112"/>
  <c r="M112"/>
  <c r="O112"/>
  <c r="Q112"/>
  <c r="S112"/>
  <c r="U112"/>
  <c r="W112"/>
  <c r="Y112"/>
  <c r="AA112"/>
  <c r="AC112"/>
  <c r="AE112"/>
  <c r="AG112"/>
  <c r="AK112"/>
  <c r="J112"/>
  <c r="L112"/>
  <c r="N112"/>
  <c r="P112"/>
  <c r="R112"/>
  <c r="T112"/>
  <c r="X112"/>
  <c r="AB112"/>
  <c r="AF112"/>
  <c r="AH112"/>
  <c r="AJ112"/>
  <c r="AL112"/>
  <c r="AN112"/>
  <c r="AG81"/>
  <c r="AK81"/>
  <c r="J81"/>
  <c r="L81"/>
  <c r="N81"/>
  <c r="P81"/>
  <c r="R81"/>
  <c r="T81"/>
  <c r="V81"/>
  <c r="X81"/>
  <c r="Z81"/>
  <c r="AB81"/>
  <c r="AD81"/>
  <c r="AF81"/>
  <c r="K81"/>
  <c r="M81"/>
  <c r="O81"/>
  <c r="Q81"/>
  <c r="S81"/>
  <c r="U81"/>
  <c r="W81"/>
  <c r="Y81"/>
  <c r="AA81"/>
  <c r="AC81"/>
  <c r="AE81"/>
  <c r="AI81"/>
  <c r="AM81"/>
  <c r="AH81"/>
  <c r="AJ81"/>
  <c r="AN81"/>
  <c r="AL81"/>
  <c r="AI124"/>
  <c r="AM124"/>
  <c r="V124"/>
  <c r="Z124"/>
  <c r="AD124"/>
  <c r="K124"/>
  <c r="M124"/>
  <c r="O124"/>
  <c r="Q124"/>
  <c r="S124"/>
  <c r="U124"/>
  <c r="W124"/>
  <c r="Y124"/>
  <c r="AA124"/>
  <c r="AC124"/>
  <c r="AE124"/>
  <c r="AG124"/>
  <c r="AK124"/>
  <c r="J124"/>
  <c r="L124"/>
  <c r="N124"/>
  <c r="P124"/>
  <c r="R124"/>
  <c r="T124"/>
  <c r="X124"/>
  <c r="AB124"/>
  <c r="AF124"/>
  <c r="AH124"/>
  <c r="AJ124"/>
  <c r="AL124"/>
  <c r="AN124"/>
  <c r="AI120"/>
  <c r="AM120"/>
  <c r="V120"/>
  <c r="Z120"/>
  <c r="AD120"/>
  <c r="K120"/>
  <c r="M120"/>
  <c r="O120"/>
  <c r="Q120"/>
  <c r="S120"/>
  <c r="U120"/>
  <c r="W120"/>
  <c r="Y120"/>
  <c r="AA120"/>
  <c r="AC120"/>
  <c r="AE120"/>
  <c r="AG120"/>
  <c r="AK120"/>
  <c r="J120"/>
  <c r="L120"/>
  <c r="N120"/>
  <c r="P120"/>
  <c r="R120"/>
  <c r="T120"/>
  <c r="X120"/>
  <c r="AB120"/>
  <c r="AF120"/>
  <c r="AH120"/>
  <c r="AJ120"/>
  <c r="AL120"/>
  <c r="AN120"/>
  <c r="L35"/>
  <c r="P35"/>
  <c r="T35"/>
  <c r="X35"/>
  <c r="AB35"/>
  <c r="AE35"/>
  <c r="AI35"/>
  <c r="AM35"/>
  <c r="J35"/>
  <c r="N35"/>
  <c r="R35"/>
  <c r="V35"/>
  <c r="Z35"/>
  <c r="AD35"/>
  <c r="AG35"/>
  <c r="AK35"/>
  <c r="AF35"/>
  <c r="AH35"/>
  <c r="AL35"/>
  <c r="K35"/>
  <c r="O35"/>
  <c r="S35"/>
  <c r="W35"/>
  <c r="AA35"/>
  <c r="M35"/>
  <c r="U35"/>
  <c r="AC35"/>
  <c r="AJ35"/>
  <c r="AN35"/>
  <c r="Q35"/>
  <c r="Y35"/>
  <c r="AE46"/>
  <c r="AI46"/>
  <c r="AM46"/>
  <c r="J46"/>
  <c r="L46"/>
  <c r="N46"/>
  <c r="P46"/>
  <c r="R46"/>
  <c r="T46"/>
  <c r="V46"/>
  <c r="X46"/>
  <c r="Z46"/>
  <c r="AB46"/>
  <c r="AD46"/>
  <c r="AF46"/>
  <c r="AH46"/>
  <c r="K46"/>
  <c r="M46"/>
  <c r="O46"/>
  <c r="Q46"/>
  <c r="S46"/>
  <c r="U46"/>
  <c r="W46"/>
  <c r="Y46"/>
  <c r="AA46"/>
  <c r="AC46"/>
  <c r="AG46"/>
  <c r="AK46"/>
  <c r="AL46"/>
  <c r="AJ46"/>
  <c r="AN46"/>
  <c r="L21"/>
  <c r="P21"/>
  <c r="T21"/>
  <c r="X21"/>
  <c r="AB21"/>
  <c r="AF21"/>
  <c r="AJ21"/>
  <c r="AN21"/>
  <c r="J21"/>
  <c r="N21"/>
  <c r="R21"/>
  <c r="V21"/>
  <c r="Z21"/>
  <c r="AD21"/>
  <c r="AH21"/>
  <c r="AL21"/>
  <c r="M21"/>
  <c r="Q21"/>
  <c r="U21"/>
  <c r="Y21"/>
  <c r="AC21"/>
  <c r="AG21"/>
  <c r="AK21"/>
  <c r="K21"/>
  <c r="O21"/>
  <c r="S21"/>
  <c r="W21"/>
  <c r="AA21"/>
  <c r="AE21"/>
  <c r="AI21"/>
  <c r="AM21"/>
  <c r="L13"/>
  <c r="P13"/>
  <c r="T13"/>
  <c r="X13"/>
  <c r="AB13"/>
  <c r="AF13"/>
  <c r="AJ13"/>
  <c r="AN13"/>
  <c r="J13"/>
  <c r="N13"/>
  <c r="R13"/>
  <c r="V13"/>
  <c r="Z13"/>
  <c r="AD13"/>
  <c r="AH13"/>
  <c r="AL13"/>
  <c r="M13"/>
  <c r="Q13"/>
  <c r="U13"/>
  <c r="Y13"/>
  <c r="AC13"/>
  <c r="AG13"/>
  <c r="AK13"/>
  <c r="K13"/>
  <c r="O13"/>
  <c r="S13"/>
  <c r="W13"/>
  <c r="AA13"/>
  <c r="AE13"/>
  <c r="AI13"/>
  <c r="AM13"/>
  <c r="K119"/>
  <c r="O119"/>
  <c r="U119"/>
  <c r="W119"/>
  <c r="Y119"/>
  <c r="AA119"/>
  <c r="AC119"/>
  <c r="AE119"/>
  <c r="AI119"/>
  <c r="AM119"/>
  <c r="J119"/>
  <c r="L119"/>
  <c r="N119"/>
  <c r="P119"/>
  <c r="R119"/>
  <c r="T119"/>
  <c r="V119"/>
  <c r="X119"/>
  <c r="Z119"/>
  <c r="AB119"/>
  <c r="AD119"/>
  <c r="AF119"/>
  <c r="M119"/>
  <c r="Q119"/>
  <c r="S119"/>
  <c r="AG119"/>
  <c r="AK119"/>
  <c r="AH119"/>
  <c r="AJ119"/>
  <c r="AN119"/>
  <c r="AL119"/>
  <c r="AG97"/>
  <c r="AK97"/>
  <c r="J97"/>
  <c r="L97"/>
  <c r="N97"/>
  <c r="P97"/>
  <c r="R97"/>
  <c r="T97"/>
  <c r="V97"/>
  <c r="X97"/>
  <c r="Z97"/>
  <c r="AB97"/>
  <c r="AD97"/>
  <c r="AF97"/>
  <c r="K97"/>
  <c r="M97"/>
  <c r="O97"/>
  <c r="Q97"/>
  <c r="S97"/>
  <c r="U97"/>
  <c r="W97"/>
  <c r="Y97"/>
  <c r="AA97"/>
  <c r="AC97"/>
  <c r="AE97"/>
  <c r="AI97"/>
  <c r="AM97"/>
  <c r="AH97"/>
  <c r="AJ97"/>
  <c r="AN97"/>
  <c r="AL97"/>
  <c r="K51"/>
  <c r="M51"/>
  <c r="O51"/>
  <c r="Q51"/>
  <c r="S51"/>
  <c r="U51"/>
  <c r="W51"/>
  <c r="Y51"/>
  <c r="AA51"/>
  <c r="AC51"/>
  <c r="AE51"/>
  <c r="AI51"/>
  <c r="AM51"/>
  <c r="AH51"/>
  <c r="AG51"/>
  <c r="AK51"/>
  <c r="J51"/>
  <c r="L51"/>
  <c r="N51"/>
  <c r="P51"/>
  <c r="R51"/>
  <c r="T51"/>
  <c r="V51"/>
  <c r="X51"/>
  <c r="Z51"/>
  <c r="AB51"/>
  <c r="AD51"/>
  <c r="AF51"/>
  <c r="AL51"/>
  <c r="AJ51"/>
  <c r="AN51"/>
  <c r="L17"/>
  <c r="P17"/>
  <c r="T17"/>
  <c r="X17"/>
  <c r="AB17"/>
  <c r="AF17"/>
  <c r="AJ17"/>
  <c r="AN17"/>
  <c r="J17"/>
  <c r="N17"/>
  <c r="R17"/>
  <c r="V17"/>
  <c r="Z17"/>
  <c r="AD17"/>
  <c r="AH17"/>
  <c r="AL17"/>
  <c r="M17"/>
  <c r="Q17"/>
  <c r="U17"/>
  <c r="Y17"/>
  <c r="AC17"/>
  <c r="AG17"/>
  <c r="AK17"/>
  <c r="K17"/>
  <c r="O17"/>
  <c r="S17"/>
  <c r="W17"/>
  <c r="AA17"/>
  <c r="AE17"/>
  <c r="AI17"/>
  <c r="AM17"/>
  <c r="AI116"/>
  <c r="AM116"/>
  <c r="V116"/>
  <c r="Z116"/>
  <c r="AD116"/>
  <c r="K116"/>
  <c r="M116"/>
  <c r="O116"/>
  <c r="Q116"/>
  <c r="S116"/>
  <c r="U116"/>
  <c r="W116"/>
  <c r="Y116"/>
  <c r="AA116"/>
  <c r="AC116"/>
  <c r="AE116"/>
  <c r="AG116"/>
  <c r="AK116"/>
  <c r="J116"/>
  <c r="L116"/>
  <c r="N116"/>
  <c r="P116"/>
  <c r="R116"/>
  <c r="T116"/>
  <c r="X116"/>
  <c r="AB116"/>
  <c r="AF116"/>
  <c r="AH116"/>
  <c r="AJ116"/>
  <c r="AL116"/>
  <c r="AN116"/>
  <c r="AE94"/>
  <c r="AI94"/>
  <c r="AM94"/>
  <c r="J94"/>
  <c r="L94"/>
  <c r="N94"/>
  <c r="P94"/>
  <c r="R94"/>
  <c r="T94"/>
  <c r="V94"/>
  <c r="X94"/>
  <c r="Z94"/>
  <c r="AB94"/>
  <c r="AD94"/>
  <c r="AF94"/>
  <c r="AH94"/>
  <c r="K94"/>
  <c r="M94"/>
  <c r="O94"/>
  <c r="Q94"/>
  <c r="S94"/>
  <c r="U94"/>
  <c r="W94"/>
  <c r="Y94"/>
  <c r="AA94"/>
  <c r="AC94"/>
  <c r="AG94"/>
  <c r="AK94"/>
  <c r="AL94"/>
  <c r="AJ94"/>
  <c r="AN94"/>
  <c r="K96"/>
  <c r="M96"/>
  <c r="O96"/>
  <c r="Q96"/>
  <c r="S96"/>
  <c r="U96"/>
  <c r="W96"/>
  <c r="Y96"/>
  <c r="AA96"/>
  <c r="AC96"/>
  <c r="AG96"/>
  <c r="AK96"/>
  <c r="AE96"/>
  <c r="AI96"/>
  <c r="AM96"/>
  <c r="J96"/>
  <c r="L96"/>
  <c r="N96"/>
  <c r="P96"/>
  <c r="R96"/>
  <c r="T96"/>
  <c r="V96"/>
  <c r="X96"/>
  <c r="Z96"/>
  <c r="AB96"/>
  <c r="AD96"/>
  <c r="AF96"/>
  <c r="AH96"/>
  <c r="AJ96"/>
  <c r="AN96"/>
  <c r="AL96"/>
  <c r="K156"/>
  <c r="M156"/>
  <c r="O156"/>
  <c r="Q156"/>
  <c r="S156"/>
  <c r="U156"/>
  <c r="W156"/>
  <c r="Y156"/>
  <c r="AA156"/>
  <c r="AC156"/>
  <c r="AE156"/>
  <c r="AI156"/>
  <c r="AM156"/>
  <c r="R156"/>
  <c r="T156"/>
  <c r="V156"/>
  <c r="X156"/>
  <c r="Z156"/>
  <c r="AB156"/>
  <c r="AD156"/>
  <c r="AF156"/>
  <c r="AG156"/>
  <c r="AK156"/>
  <c r="J156"/>
  <c r="L156"/>
  <c r="N156"/>
  <c r="P156"/>
  <c r="AH156"/>
  <c r="AJ156"/>
  <c r="AN156"/>
  <c r="AL156"/>
  <c r="K47"/>
  <c r="M47"/>
  <c r="O47"/>
  <c r="Q47"/>
  <c r="S47"/>
  <c r="U47"/>
  <c r="W47"/>
  <c r="Y47"/>
  <c r="AA47"/>
  <c r="AC47"/>
  <c r="AE47"/>
  <c r="AI47"/>
  <c r="AM47"/>
  <c r="AH47"/>
  <c r="AG47"/>
  <c r="AK47"/>
  <c r="J47"/>
  <c r="L47"/>
  <c r="N47"/>
  <c r="P47"/>
  <c r="R47"/>
  <c r="T47"/>
  <c r="V47"/>
  <c r="X47"/>
  <c r="Z47"/>
  <c r="AB47"/>
  <c r="AD47"/>
  <c r="AF47"/>
  <c r="AL47"/>
  <c r="AJ47"/>
  <c r="AN47"/>
  <c r="L29"/>
  <c r="P29"/>
  <c r="T29"/>
  <c r="X29"/>
  <c r="AB29"/>
  <c r="AF29"/>
  <c r="AJ29"/>
  <c r="AN29"/>
  <c r="J29"/>
  <c r="N29"/>
  <c r="R29"/>
  <c r="V29"/>
  <c r="Z29"/>
  <c r="AD29"/>
  <c r="AH29"/>
  <c r="AL29"/>
  <c r="M29"/>
  <c r="Q29"/>
  <c r="U29"/>
  <c r="Y29"/>
  <c r="AC29"/>
  <c r="AG29"/>
  <c r="AK29"/>
  <c r="K29"/>
  <c r="O29"/>
  <c r="S29"/>
  <c r="W29"/>
  <c r="AA29"/>
  <c r="AE29"/>
  <c r="AI29"/>
  <c r="AM29"/>
  <c r="AE54"/>
  <c r="AI54"/>
  <c r="AM54"/>
  <c r="J54"/>
  <c r="L54"/>
  <c r="N54"/>
  <c r="P54"/>
  <c r="R54"/>
  <c r="T54"/>
  <c r="V54"/>
  <c r="X54"/>
  <c r="Z54"/>
  <c r="AB54"/>
  <c r="AD54"/>
  <c r="AF54"/>
  <c r="AH54"/>
  <c r="K54"/>
  <c r="M54"/>
  <c r="O54"/>
  <c r="Q54"/>
  <c r="S54"/>
  <c r="U54"/>
  <c r="W54"/>
  <c r="Y54"/>
  <c r="AA54"/>
  <c r="AC54"/>
  <c r="AG54"/>
  <c r="AK54"/>
  <c r="AL54"/>
  <c r="AJ54"/>
  <c r="AN54"/>
  <c r="AG73"/>
  <c r="AK73"/>
  <c r="J73"/>
  <c r="L73"/>
  <c r="N73"/>
  <c r="P73"/>
  <c r="R73"/>
  <c r="T73"/>
  <c r="V73"/>
  <c r="X73"/>
  <c r="Z73"/>
  <c r="AB73"/>
  <c r="AD73"/>
  <c r="AF73"/>
  <c r="K73"/>
  <c r="M73"/>
  <c r="O73"/>
  <c r="Q73"/>
  <c r="S73"/>
  <c r="U73"/>
  <c r="W73"/>
  <c r="Y73"/>
  <c r="AA73"/>
  <c r="AC73"/>
  <c r="AE73"/>
  <c r="AI73"/>
  <c r="AM73"/>
  <c r="AH73"/>
  <c r="AJ73"/>
  <c r="AN73"/>
  <c r="AL73"/>
  <c r="AE42"/>
  <c r="AI42"/>
  <c r="AM42"/>
  <c r="J42"/>
  <c r="L42"/>
  <c r="N42"/>
  <c r="P42"/>
  <c r="R42"/>
  <c r="T42"/>
  <c r="V42"/>
  <c r="X42"/>
  <c r="Z42"/>
  <c r="AB42"/>
  <c r="AD42"/>
  <c r="AF42"/>
  <c r="AH42"/>
  <c r="K42"/>
  <c r="M42"/>
  <c r="O42"/>
  <c r="Q42"/>
  <c r="S42"/>
  <c r="U42"/>
  <c r="W42"/>
  <c r="Y42"/>
  <c r="AA42"/>
  <c r="AC42"/>
  <c r="AG42"/>
  <c r="AK42"/>
  <c r="AL42"/>
  <c r="AJ42"/>
  <c r="AN42"/>
  <c r="K152"/>
  <c r="M152"/>
  <c r="O152"/>
  <c r="Q152"/>
  <c r="S152"/>
  <c r="U152"/>
  <c r="Y152"/>
  <c r="AA152"/>
  <c r="AC152"/>
  <c r="AE152"/>
  <c r="AI152"/>
  <c r="AM152"/>
  <c r="R152"/>
  <c r="T152"/>
  <c r="V152"/>
  <c r="X152"/>
  <c r="Z152"/>
  <c r="AB152"/>
  <c r="AD152"/>
  <c r="AF152"/>
  <c r="W152"/>
  <c r="AG152"/>
  <c r="AK152"/>
  <c r="J152"/>
  <c r="L152"/>
  <c r="N152"/>
  <c r="P152"/>
  <c r="AH152"/>
  <c r="AJ152"/>
  <c r="AN152"/>
  <c r="AL152"/>
  <c r="J11"/>
  <c r="N11"/>
  <c r="R11"/>
  <c r="V11"/>
  <c r="Z11"/>
  <c r="AD11"/>
  <c r="AH11"/>
  <c r="AL11"/>
  <c r="L11"/>
  <c r="P11"/>
  <c r="T11"/>
  <c r="X11"/>
  <c r="AB11"/>
  <c r="AF11"/>
  <c r="AJ11"/>
  <c r="AN11"/>
  <c r="K11"/>
  <c r="O11"/>
  <c r="S11"/>
  <c r="W11"/>
  <c r="AA11"/>
  <c r="AE11"/>
  <c r="AI11"/>
  <c r="AM11"/>
  <c r="M11"/>
  <c r="Q11"/>
  <c r="U11"/>
  <c r="Y11"/>
  <c r="AC11"/>
  <c r="AG11"/>
  <c r="AK11"/>
  <c r="K91"/>
  <c r="M91"/>
  <c r="O91"/>
  <c r="Q91"/>
  <c r="S91"/>
  <c r="U91"/>
  <c r="W91"/>
  <c r="Y91"/>
  <c r="AA91"/>
  <c r="AC91"/>
  <c r="AE91"/>
  <c r="AI91"/>
  <c r="AM91"/>
  <c r="AH91"/>
  <c r="AG91"/>
  <c r="AK91"/>
  <c r="J91"/>
  <c r="L91"/>
  <c r="N91"/>
  <c r="P91"/>
  <c r="R91"/>
  <c r="T91"/>
  <c r="V91"/>
  <c r="X91"/>
  <c r="Z91"/>
  <c r="AB91"/>
  <c r="AD91"/>
  <c r="AF91"/>
  <c r="AL91"/>
  <c r="AJ91"/>
  <c r="AN91"/>
  <c r="K115"/>
  <c r="O115"/>
  <c r="U115"/>
  <c r="W115"/>
  <c r="Y115"/>
  <c r="AA115"/>
  <c r="AC115"/>
  <c r="AE115"/>
  <c r="AI115"/>
  <c r="AM115"/>
  <c r="J115"/>
  <c r="L115"/>
  <c r="N115"/>
  <c r="P115"/>
  <c r="R115"/>
  <c r="T115"/>
  <c r="V115"/>
  <c r="X115"/>
  <c r="Z115"/>
  <c r="AB115"/>
  <c r="AD115"/>
  <c r="AF115"/>
  <c r="M115"/>
  <c r="Q115"/>
  <c r="S115"/>
  <c r="AG115"/>
  <c r="AK115"/>
  <c r="AH115"/>
  <c r="AJ115"/>
  <c r="AN115"/>
  <c r="AL115"/>
  <c r="K130"/>
  <c r="M130"/>
  <c r="O130"/>
  <c r="Q130"/>
  <c r="S130"/>
  <c r="U130"/>
  <c r="W130"/>
  <c r="Y130"/>
  <c r="AA130"/>
  <c r="AC130"/>
  <c r="AE130"/>
  <c r="AG130"/>
  <c r="AK130"/>
  <c r="J130"/>
  <c r="L130"/>
  <c r="N130"/>
  <c r="P130"/>
  <c r="R130"/>
  <c r="T130"/>
  <c r="X130"/>
  <c r="AB130"/>
  <c r="AF130"/>
  <c r="AH130"/>
  <c r="AI130"/>
  <c r="AM130"/>
  <c r="V130"/>
  <c r="Z130"/>
  <c r="AD130"/>
  <c r="AJ130"/>
  <c r="AL130"/>
  <c r="AN130"/>
  <c r="AG45"/>
  <c r="AK45"/>
  <c r="J45"/>
  <c r="L45"/>
  <c r="N45"/>
  <c r="P45"/>
  <c r="R45"/>
  <c r="T45"/>
  <c r="V45"/>
  <c r="X45"/>
  <c r="Z45"/>
  <c r="AB45"/>
  <c r="AD45"/>
  <c r="AF45"/>
  <c r="K45"/>
  <c r="M45"/>
  <c r="O45"/>
  <c r="Q45"/>
  <c r="S45"/>
  <c r="U45"/>
  <c r="W45"/>
  <c r="Y45"/>
  <c r="AA45"/>
  <c r="AC45"/>
  <c r="AE45"/>
  <c r="AI45"/>
  <c r="AM45"/>
  <c r="AH45"/>
  <c r="AJ45"/>
  <c r="AN45"/>
  <c r="AL45"/>
  <c r="K16"/>
  <c r="O16"/>
  <c r="S16"/>
  <c r="W16"/>
  <c r="AA16"/>
  <c r="AE16"/>
  <c r="AI16"/>
  <c r="AM16"/>
  <c r="M16"/>
  <c r="Q16"/>
  <c r="U16"/>
  <c r="Y16"/>
  <c r="AC16"/>
  <c r="AG16"/>
  <c r="AK16"/>
  <c r="L16"/>
  <c r="P16"/>
  <c r="T16"/>
  <c r="X16"/>
  <c r="AB16"/>
  <c r="AF16"/>
  <c r="AJ16"/>
  <c r="AN16"/>
  <c r="J16"/>
  <c r="N16"/>
  <c r="R16"/>
  <c r="V16"/>
  <c r="Z16"/>
  <c r="AD16"/>
  <c r="AH16"/>
  <c r="AL16"/>
  <c r="AE58"/>
  <c r="AI58"/>
  <c r="AM58"/>
  <c r="J58"/>
  <c r="L58"/>
  <c r="N58"/>
  <c r="P58"/>
  <c r="R58"/>
  <c r="T58"/>
  <c r="V58"/>
  <c r="X58"/>
  <c r="Z58"/>
  <c r="AB58"/>
  <c r="AD58"/>
  <c r="AF58"/>
  <c r="AH58"/>
  <c r="K58"/>
  <c r="M58"/>
  <c r="O58"/>
  <c r="Q58"/>
  <c r="S58"/>
  <c r="U58"/>
  <c r="W58"/>
  <c r="Y58"/>
  <c r="AA58"/>
  <c r="AC58"/>
  <c r="AG58"/>
  <c r="AK58"/>
  <c r="AL58"/>
  <c r="AJ58"/>
  <c r="AN58"/>
  <c r="K84"/>
  <c r="M84"/>
  <c r="O84"/>
  <c r="Q84"/>
  <c r="S84"/>
  <c r="U84"/>
  <c r="W84"/>
  <c r="Y84"/>
  <c r="AA84"/>
  <c r="AC84"/>
  <c r="AG84"/>
  <c r="AK84"/>
  <c r="AE84"/>
  <c r="AI84"/>
  <c r="AM84"/>
  <c r="J84"/>
  <c r="L84"/>
  <c r="N84"/>
  <c r="P84"/>
  <c r="R84"/>
  <c r="T84"/>
  <c r="V84"/>
  <c r="X84"/>
  <c r="Z84"/>
  <c r="AB84"/>
  <c r="AD84"/>
  <c r="AF84"/>
  <c r="AH84"/>
  <c r="AJ84"/>
  <c r="AN84"/>
  <c r="AL84"/>
  <c r="AA136"/>
  <c r="AE136"/>
  <c r="AG136"/>
  <c r="AI136"/>
  <c r="AK136"/>
  <c r="AM136"/>
  <c r="AH136"/>
  <c r="K136"/>
  <c r="M136"/>
  <c r="O136"/>
  <c r="Q136"/>
  <c r="S136"/>
  <c r="U136"/>
  <c r="W136"/>
  <c r="Y136"/>
  <c r="AC136"/>
  <c r="J136"/>
  <c r="L136"/>
  <c r="N136"/>
  <c r="P136"/>
  <c r="R136"/>
  <c r="T136"/>
  <c r="V136"/>
  <c r="X136"/>
  <c r="Z136"/>
  <c r="AB136"/>
  <c r="AD136"/>
  <c r="AF136"/>
  <c r="AL136"/>
  <c r="AJ136"/>
  <c r="AN136"/>
  <c r="U135"/>
  <c r="W135"/>
  <c r="Y135"/>
  <c r="AA135"/>
  <c r="AC135"/>
  <c r="AE135"/>
  <c r="AI135"/>
  <c r="AM135"/>
  <c r="L135"/>
  <c r="P135"/>
  <c r="Z135"/>
  <c r="AB135"/>
  <c r="AD135"/>
  <c r="AF135"/>
  <c r="K135"/>
  <c r="M135"/>
  <c r="O135"/>
  <c r="Q135"/>
  <c r="S135"/>
  <c r="AG135"/>
  <c r="AK135"/>
  <c r="J135"/>
  <c r="N135"/>
  <c r="R135"/>
  <c r="T135"/>
  <c r="V135"/>
  <c r="X135"/>
  <c r="AH135"/>
  <c r="AJ135"/>
  <c r="AN135"/>
  <c r="AL135"/>
  <c r="K155"/>
  <c r="M155"/>
  <c r="O155"/>
  <c r="Q155"/>
  <c r="S155"/>
  <c r="U155"/>
  <c r="W155"/>
  <c r="Y155"/>
  <c r="AA155"/>
  <c r="AC155"/>
  <c r="AE155"/>
  <c r="AI155"/>
  <c r="AM155"/>
  <c r="AH155"/>
  <c r="AG155"/>
  <c r="AK155"/>
  <c r="J155"/>
  <c r="L155"/>
  <c r="N155"/>
  <c r="P155"/>
  <c r="R155"/>
  <c r="T155"/>
  <c r="V155"/>
  <c r="X155"/>
  <c r="Z155"/>
  <c r="AB155"/>
  <c r="AD155"/>
  <c r="AF155"/>
  <c r="AL155"/>
  <c r="AJ155"/>
  <c r="AN155"/>
  <c r="K28"/>
  <c r="O28"/>
  <c r="S28"/>
  <c r="W28"/>
  <c r="AA28"/>
  <c r="AE28"/>
  <c r="AI28"/>
  <c r="AM28"/>
  <c r="M28"/>
  <c r="Q28"/>
  <c r="U28"/>
  <c r="Y28"/>
  <c r="AC28"/>
  <c r="AG28"/>
  <c r="AK28"/>
  <c r="L28"/>
  <c r="P28"/>
  <c r="T28"/>
  <c r="X28"/>
  <c r="AB28"/>
  <c r="AF28"/>
  <c r="AJ28"/>
  <c r="AN28"/>
  <c r="J28"/>
  <c r="N28"/>
  <c r="R28"/>
  <c r="V28"/>
  <c r="Z28"/>
  <c r="AD28"/>
  <c r="AH28"/>
  <c r="AL28"/>
  <c r="K12"/>
  <c r="O12"/>
  <c r="S12"/>
  <c r="W12"/>
  <c r="AA12"/>
  <c r="AE12"/>
  <c r="AI12"/>
  <c r="AM12"/>
  <c r="M12"/>
  <c r="Q12"/>
  <c r="U12"/>
  <c r="Y12"/>
  <c r="AC12"/>
  <c r="AG12"/>
  <c r="AK12"/>
  <c r="L12"/>
  <c r="P12"/>
  <c r="T12"/>
  <c r="X12"/>
  <c r="AB12"/>
  <c r="AF12"/>
  <c r="AJ12"/>
  <c r="AN12"/>
  <c r="J12"/>
  <c r="N12"/>
  <c r="R12"/>
  <c r="V12"/>
  <c r="Z12"/>
  <c r="AD12"/>
  <c r="AH12"/>
  <c r="AL12"/>
  <c r="K36"/>
  <c r="M36"/>
  <c r="O36"/>
  <c r="Q36"/>
  <c r="S36"/>
  <c r="U36"/>
  <c r="W36"/>
  <c r="Y36"/>
  <c r="AA36"/>
  <c r="AC36"/>
  <c r="AG36"/>
  <c r="AK36"/>
  <c r="AE36"/>
  <c r="AI36"/>
  <c r="AM36"/>
  <c r="J36"/>
  <c r="L36"/>
  <c r="N36"/>
  <c r="P36"/>
  <c r="R36"/>
  <c r="T36"/>
  <c r="V36"/>
  <c r="X36"/>
  <c r="Z36"/>
  <c r="AB36"/>
  <c r="AD36"/>
  <c r="AF36"/>
  <c r="AH36"/>
  <c r="AJ36"/>
  <c r="AN36"/>
  <c r="AL36"/>
  <c r="K20"/>
  <c r="O20"/>
  <c r="S20"/>
  <c r="W20"/>
  <c r="AA20"/>
  <c r="AE20"/>
  <c r="AI20"/>
  <c r="AM20"/>
  <c r="M20"/>
  <c r="Q20"/>
  <c r="U20"/>
  <c r="Y20"/>
  <c r="AC20"/>
  <c r="AG20"/>
  <c r="AK20"/>
  <c r="L20"/>
  <c r="P20"/>
  <c r="T20"/>
  <c r="X20"/>
  <c r="AB20"/>
  <c r="AF20"/>
  <c r="AJ20"/>
  <c r="AN20"/>
  <c r="J20"/>
  <c r="N20"/>
  <c r="R20"/>
  <c r="V20"/>
  <c r="Z20"/>
  <c r="AD20"/>
  <c r="AH20"/>
  <c r="AL20"/>
  <c r="J31"/>
  <c r="N31"/>
  <c r="R31"/>
  <c r="V31"/>
  <c r="Z31"/>
  <c r="AD31"/>
  <c r="AH31"/>
  <c r="AL31"/>
  <c r="L31"/>
  <c r="P31"/>
  <c r="T31"/>
  <c r="X31"/>
  <c r="AB31"/>
  <c r="AF31"/>
  <c r="AJ31"/>
  <c r="AN31"/>
  <c r="K31"/>
  <c r="O31"/>
  <c r="S31"/>
  <c r="W31"/>
  <c r="AA31"/>
  <c r="AE31"/>
  <c r="AI31"/>
  <c r="AM31"/>
  <c r="M31"/>
  <c r="Q31"/>
  <c r="U31"/>
  <c r="Y31"/>
  <c r="AC31"/>
  <c r="AG31"/>
  <c r="AK31"/>
  <c r="K87"/>
  <c r="M87"/>
  <c r="O87"/>
  <c r="Q87"/>
  <c r="S87"/>
  <c r="U87"/>
  <c r="W87"/>
  <c r="Y87"/>
  <c r="AA87"/>
  <c r="AC87"/>
  <c r="AE87"/>
  <c r="AI87"/>
  <c r="AM87"/>
  <c r="AH87"/>
  <c r="AG87"/>
  <c r="AK87"/>
  <c r="J87"/>
  <c r="L87"/>
  <c r="N87"/>
  <c r="P87"/>
  <c r="R87"/>
  <c r="T87"/>
  <c r="V87"/>
  <c r="X87"/>
  <c r="Z87"/>
  <c r="AB87"/>
  <c r="AD87"/>
  <c r="AF87"/>
  <c r="AL87"/>
  <c r="AJ87"/>
  <c r="AN87"/>
  <c r="K59"/>
  <c r="M59"/>
  <c r="O59"/>
  <c r="Q59"/>
  <c r="S59"/>
  <c r="U59"/>
  <c r="W59"/>
  <c r="Y59"/>
  <c r="AA59"/>
  <c r="AC59"/>
  <c r="AE59"/>
  <c r="AI59"/>
  <c r="AM59"/>
  <c r="AH59"/>
  <c r="AG59"/>
  <c r="AK59"/>
  <c r="J59"/>
  <c r="L59"/>
  <c r="N59"/>
  <c r="P59"/>
  <c r="R59"/>
  <c r="T59"/>
  <c r="V59"/>
  <c r="X59"/>
  <c r="Z59"/>
  <c r="AB59"/>
  <c r="AD59"/>
  <c r="AF59"/>
  <c r="AL59"/>
  <c r="AJ59"/>
  <c r="AN59"/>
  <c r="K83"/>
  <c r="M83"/>
  <c r="O83"/>
  <c r="Q83"/>
  <c r="S83"/>
  <c r="U83"/>
  <c r="W83"/>
  <c r="Y83"/>
  <c r="AA83"/>
  <c r="AC83"/>
  <c r="AE83"/>
  <c r="AI83"/>
  <c r="AM83"/>
  <c r="AH83"/>
  <c r="AG83"/>
  <c r="AK83"/>
  <c r="J83"/>
  <c r="L83"/>
  <c r="N83"/>
  <c r="P83"/>
  <c r="R83"/>
  <c r="T83"/>
  <c r="V83"/>
  <c r="X83"/>
  <c r="Z83"/>
  <c r="AB83"/>
  <c r="AD83"/>
  <c r="AF83"/>
  <c r="AL83"/>
  <c r="AJ83"/>
  <c r="AN83"/>
  <c r="K34"/>
  <c r="O34"/>
  <c r="S34"/>
  <c r="W34"/>
  <c r="AA34"/>
  <c r="AE34"/>
  <c r="AI34"/>
  <c r="AM34"/>
  <c r="M34"/>
  <c r="Q34"/>
  <c r="U34"/>
  <c r="Y34"/>
  <c r="AC34"/>
  <c r="AG34"/>
  <c r="AK34"/>
  <c r="J34"/>
  <c r="N34"/>
  <c r="R34"/>
  <c r="V34"/>
  <c r="Z34"/>
  <c r="AD34"/>
  <c r="AH34"/>
  <c r="AL34"/>
  <c r="L34"/>
  <c r="T34"/>
  <c r="AB34"/>
  <c r="AJ34"/>
  <c r="P34"/>
  <c r="X34"/>
  <c r="AF34"/>
  <c r="AN34"/>
  <c r="M105"/>
  <c r="Q105"/>
  <c r="S105"/>
  <c r="AG105"/>
  <c r="AK105"/>
  <c r="AH105"/>
  <c r="K105"/>
  <c r="O105"/>
  <c r="U105"/>
  <c r="W105"/>
  <c r="Y105"/>
  <c r="AA105"/>
  <c r="AC105"/>
  <c r="AE105"/>
  <c r="AI105"/>
  <c r="AM105"/>
  <c r="J105"/>
  <c r="L105"/>
  <c r="N105"/>
  <c r="P105"/>
  <c r="R105"/>
  <c r="T105"/>
  <c r="V105"/>
  <c r="X105"/>
  <c r="Z105"/>
  <c r="AB105"/>
  <c r="AD105"/>
  <c r="AF105"/>
  <c r="AL105"/>
  <c r="AJ105"/>
  <c r="AN105"/>
  <c r="M109"/>
  <c r="Q109"/>
  <c r="S109"/>
  <c r="AG109"/>
  <c r="AK109"/>
  <c r="AH109"/>
  <c r="K109"/>
  <c r="O109"/>
  <c r="U109"/>
  <c r="W109"/>
  <c r="Y109"/>
  <c r="AA109"/>
  <c r="AC109"/>
  <c r="AE109"/>
  <c r="AI109"/>
  <c r="AM109"/>
  <c r="J109"/>
  <c r="L109"/>
  <c r="N109"/>
  <c r="P109"/>
  <c r="R109"/>
  <c r="T109"/>
  <c r="V109"/>
  <c r="X109"/>
  <c r="Z109"/>
  <c r="AB109"/>
  <c r="AD109"/>
  <c r="AF109"/>
  <c r="AL109"/>
  <c r="AJ109"/>
  <c r="AN109"/>
  <c r="K107"/>
  <c r="O107"/>
  <c r="U107"/>
  <c r="W107"/>
  <c r="Y107"/>
  <c r="AA107"/>
  <c r="AC107"/>
  <c r="AE107"/>
  <c r="AI107"/>
  <c r="AM107"/>
  <c r="J107"/>
  <c r="L107"/>
  <c r="N107"/>
  <c r="P107"/>
  <c r="R107"/>
  <c r="T107"/>
  <c r="V107"/>
  <c r="X107"/>
  <c r="Z107"/>
  <c r="AB107"/>
  <c r="AD107"/>
  <c r="AF107"/>
  <c r="M107"/>
  <c r="Q107"/>
  <c r="S107"/>
  <c r="AG107"/>
  <c r="AK107"/>
  <c r="AH107"/>
  <c r="AJ107"/>
  <c r="AN107"/>
  <c r="AL107"/>
  <c r="K63"/>
  <c r="M63"/>
  <c r="O63"/>
  <c r="Q63"/>
  <c r="S63"/>
  <c r="U63"/>
  <c r="W63"/>
  <c r="Y63"/>
  <c r="AA63"/>
  <c r="AC63"/>
  <c r="AE63"/>
  <c r="AI63"/>
  <c r="AM63"/>
  <c r="AH63"/>
  <c r="AG63"/>
  <c r="AK63"/>
  <c r="J63"/>
  <c r="L63"/>
  <c r="N63"/>
  <c r="P63"/>
  <c r="R63"/>
  <c r="T63"/>
  <c r="V63"/>
  <c r="X63"/>
  <c r="Z63"/>
  <c r="AB63"/>
  <c r="AD63"/>
  <c r="AF63"/>
  <c r="AL63"/>
  <c r="AJ63"/>
  <c r="AN63"/>
  <c r="K43"/>
  <c r="M43"/>
  <c r="O43"/>
  <c r="Q43"/>
  <c r="S43"/>
  <c r="U43"/>
  <c r="W43"/>
  <c r="Y43"/>
  <c r="AA43"/>
  <c r="AC43"/>
  <c r="AE43"/>
  <c r="AI43"/>
  <c r="AM43"/>
  <c r="AH43"/>
  <c r="AG43"/>
  <c r="AK43"/>
  <c r="J43"/>
  <c r="L43"/>
  <c r="N43"/>
  <c r="P43"/>
  <c r="R43"/>
  <c r="T43"/>
  <c r="V43"/>
  <c r="X43"/>
  <c r="Z43"/>
  <c r="AB43"/>
  <c r="AD43"/>
  <c r="AF43"/>
  <c r="AL43"/>
  <c r="AJ43"/>
  <c r="AN43"/>
  <c r="K159"/>
  <c r="M159"/>
  <c r="O159"/>
  <c r="Q159"/>
  <c r="S159"/>
  <c r="U159"/>
  <c r="W159"/>
  <c r="Y159"/>
  <c r="AA159"/>
  <c r="AC159"/>
  <c r="AE159"/>
  <c r="AI159"/>
  <c r="AM159"/>
  <c r="AH159"/>
  <c r="AG159"/>
  <c r="AK159"/>
  <c r="J159"/>
  <c r="L159"/>
  <c r="N159"/>
  <c r="P159"/>
  <c r="R159"/>
  <c r="T159"/>
  <c r="V159"/>
  <c r="X159"/>
  <c r="Z159"/>
  <c r="AB159"/>
  <c r="AD159"/>
  <c r="AF159"/>
  <c r="AL159"/>
  <c r="AJ159"/>
  <c r="AN159"/>
  <c r="K76"/>
  <c r="M76"/>
  <c r="O76"/>
  <c r="Q76"/>
  <c r="S76"/>
  <c r="U76"/>
  <c r="W76"/>
  <c r="Y76"/>
  <c r="AA76"/>
  <c r="AC76"/>
  <c r="AG76"/>
  <c r="AK76"/>
  <c r="AE76"/>
  <c r="AI76"/>
  <c r="AM76"/>
  <c r="J76"/>
  <c r="L76"/>
  <c r="N76"/>
  <c r="P76"/>
  <c r="R76"/>
  <c r="T76"/>
  <c r="V76"/>
  <c r="X76"/>
  <c r="Z76"/>
  <c r="AB76"/>
  <c r="AD76"/>
  <c r="AF76"/>
  <c r="AH76"/>
  <c r="AJ76"/>
  <c r="AN76"/>
  <c r="AL76"/>
  <c r="J19"/>
  <c r="N19"/>
  <c r="R19"/>
  <c r="V19"/>
  <c r="Z19"/>
  <c r="AD19"/>
  <c r="AH19"/>
  <c r="AL19"/>
  <c r="L19"/>
  <c r="P19"/>
  <c r="T19"/>
  <c r="X19"/>
  <c r="AB19"/>
  <c r="AF19"/>
  <c r="AJ19"/>
  <c r="AN19"/>
  <c r="K19"/>
  <c r="O19"/>
  <c r="S19"/>
  <c r="W19"/>
  <c r="AA19"/>
  <c r="AE19"/>
  <c r="AI19"/>
  <c r="AM19"/>
  <c r="M19"/>
  <c r="Q19"/>
  <c r="U19"/>
  <c r="Y19"/>
  <c r="AC19"/>
  <c r="AG19"/>
  <c r="AK19"/>
  <c r="K137"/>
  <c r="M137"/>
  <c r="O137"/>
  <c r="Q137"/>
  <c r="S137"/>
  <c r="AG137"/>
  <c r="AK137"/>
  <c r="J137"/>
  <c r="N137"/>
  <c r="R137"/>
  <c r="T137"/>
  <c r="V137"/>
  <c r="X137"/>
  <c r="AH137"/>
  <c r="U137"/>
  <c r="W137"/>
  <c r="Y137"/>
  <c r="AA137"/>
  <c r="AC137"/>
  <c r="AE137"/>
  <c r="AI137"/>
  <c r="AM137"/>
  <c r="L137"/>
  <c r="P137"/>
  <c r="Z137"/>
  <c r="AB137"/>
  <c r="AD137"/>
  <c r="AF137"/>
  <c r="AL137"/>
  <c r="AJ137"/>
  <c r="AN137"/>
  <c r="K106"/>
  <c r="M106"/>
  <c r="O106"/>
  <c r="Q106"/>
  <c r="S106"/>
  <c r="U106"/>
  <c r="W106"/>
  <c r="Y106"/>
  <c r="AA106"/>
  <c r="AC106"/>
  <c r="AE106"/>
  <c r="AG106"/>
  <c r="AK106"/>
  <c r="J106"/>
  <c r="L106"/>
  <c r="N106"/>
  <c r="P106"/>
  <c r="R106"/>
  <c r="T106"/>
  <c r="X106"/>
  <c r="AB106"/>
  <c r="AF106"/>
  <c r="AH106"/>
  <c r="AI106"/>
  <c r="AM106"/>
  <c r="V106"/>
  <c r="Z106"/>
  <c r="AD106"/>
  <c r="AJ106"/>
  <c r="AL106"/>
  <c r="AN106"/>
  <c r="AG49"/>
  <c r="AK49"/>
  <c r="J49"/>
  <c r="L49"/>
  <c r="N49"/>
  <c r="P49"/>
  <c r="R49"/>
  <c r="T49"/>
  <c r="V49"/>
  <c r="X49"/>
  <c r="Z49"/>
  <c r="AB49"/>
  <c r="AD49"/>
  <c r="AF49"/>
  <c r="K49"/>
  <c r="M49"/>
  <c r="O49"/>
  <c r="Q49"/>
  <c r="S49"/>
  <c r="U49"/>
  <c r="W49"/>
  <c r="Y49"/>
  <c r="AA49"/>
  <c r="AC49"/>
  <c r="AE49"/>
  <c r="AI49"/>
  <c r="AM49"/>
  <c r="AH49"/>
  <c r="AJ49"/>
  <c r="AN49"/>
  <c r="AL49"/>
  <c r="K64"/>
  <c r="M64"/>
  <c r="O64"/>
  <c r="Q64"/>
  <c r="S64"/>
  <c r="U64"/>
  <c r="W64"/>
  <c r="Y64"/>
  <c r="AA64"/>
  <c r="AC64"/>
  <c r="AG64"/>
  <c r="AK64"/>
  <c r="AE64"/>
  <c r="AI64"/>
  <c r="AM64"/>
  <c r="J64"/>
  <c r="L64"/>
  <c r="N64"/>
  <c r="P64"/>
  <c r="R64"/>
  <c r="T64"/>
  <c r="V64"/>
  <c r="X64"/>
  <c r="Z64"/>
  <c r="AB64"/>
  <c r="AD64"/>
  <c r="AF64"/>
  <c r="AH64"/>
  <c r="AJ64"/>
  <c r="AN64"/>
  <c r="AL64"/>
  <c r="AG61"/>
  <c r="AK61"/>
  <c r="J61"/>
  <c r="L61"/>
  <c r="N61"/>
  <c r="P61"/>
  <c r="R61"/>
  <c r="T61"/>
  <c r="V61"/>
  <c r="X61"/>
  <c r="Z61"/>
  <c r="AB61"/>
  <c r="AD61"/>
  <c r="AF61"/>
  <c r="K61"/>
  <c r="M61"/>
  <c r="O61"/>
  <c r="Q61"/>
  <c r="S61"/>
  <c r="U61"/>
  <c r="W61"/>
  <c r="Y61"/>
  <c r="AA61"/>
  <c r="AC61"/>
  <c r="AE61"/>
  <c r="AI61"/>
  <c r="AM61"/>
  <c r="AH61"/>
  <c r="AJ61"/>
  <c r="AN61"/>
  <c r="AL61"/>
  <c r="K55"/>
  <c r="M55"/>
  <c r="O55"/>
  <c r="Q55"/>
  <c r="S55"/>
  <c r="U55"/>
  <c r="W55"/>
  <c r="Y55"/>
  <c r="AA55"/>
  <c r="AC55"/>
  <c r="AE55"/>
  <c r="AI55"/>
  <c r="AM55"/>
  <c r="AH55"/>
  <c r="AG55"/>
  <c r="AK55"/>
  <c r="J55"/>
  <c r="L55"/>
  <c r="N55"/>
  <c r="P55"/>
  <c r="R55"/>
  <c r="T55"/>
  <c r="V55"/>
  <c r="X55"/>
  <c r="Z55"/>
  <c r="AB55"/>
  <c r="AD55"/>
  <c r="AF55"/>
  <c r="AL55"/>
  <c r="AJ55"/>
  <c r="AN55"/>
  <c r="U143"/>
  <c r="W143"/>
  <c r="Y143"/>
  <c r="AA143"/>
  <c r="AC143"/>
  <c r="AE143"/>
  <c r="AI143"/>
  <c r="AM143"/>
  <c r="L143"/>
  <c r="P143"/>
  <c r="Z143"/>
  <c r="AB143"/>
  <c r="AD143"/>
  <c r="AF143"/>
  <c r="K143"/>
  <c r="M143"/>
  <c r="O143"/>
  <c r="Q143"/>
  <c r="S143"/>
  <c r="AG143"/>
  <c r="AK143"/>
  <c r="J143"/>
  <c r="N143"/>
  <c r="R143"/>
  <c r="T143"/>
  <c r="V143"/>
  <c r="X143"/>
  <c r="AH143"/>
  <c r="AJ143"/>
  <c r="AN143"/>
  <c r="AL143"/>
  <c r="AF33"/>
  <c r="AJ33"/>
  <c r="AN33"/>
  <c r="L33"/>
  <c r="P33"/>
  <c r="T33"/>
  <c r="X33"/>
  <c r="AB33"/>
  <c r="AH33"/>
  <c r="AL33"/>
  <c r="J33"/>
  <c r="N33"/>
  <c r="R33"/>
  <c r="V33"/>
  <c r="Z33"/>
  <c r="AD33"/>
  <c r="M33"/>
  <c r="Q33"/>
  <c r="U33"/>
  <c r="Y33"/>
  <c r="AC33"/>
  <c r="AG33"/>
  <c r="AK33"/>
  <c r="K33"/>
  <c r="O33"/>
  <c r="S33"/>
  <c r="W33"/>
  <c r="AA33"/>
  <c r="AE33"/>
  <c r="AI33"/>
  <c r="AM33"/>
  <c r="AG154"/>
  <c r="AK154"/>
  <c r="J154"/>
  <c r="L154"/>
  <c r="N154"/>
  <c r="P154"/>
  <c r="AH154"/>
  <c r="K154"/>
  <c r="M154"/>
  <c r="O154"/>
  <c r="Q154"/>
  <c r="S154"/>
  <c r="U154"/>
  <c r="W154"/>
  <c r="Y154"/>
  <c r="AA154"/>
  <c r="AC154"/>
  <c r="AE154"/>
  <c r="AI154"/>
  <c r="AM154"/>
  <c r="R154"/>
  <c r="T154"/>
  <c r="V154"/>
  <c r="X154"/>
  <c r="Z154"/>
  <c r="AB154"/>
  <c r="AD154"/>
  <c r="AF154"/>
  <c r="AL154"/>
  <c r="AJ154"/>
  <c r="AN154"/>
  <c r="M30"/>
  <c r="Q30"/>
  <c r="U30"/>
  <c r="Y30"/>
  <c r="AC30"/>
  <c r="AG30"/>
  <c r="AK30"/>
  <c r="K30"/>
  <c r="O30"/>
  <c r="S30"/>
  <c r="W30"/>
  <c r="AA30"/>
  <c r="AE30"/>
  <c r="AI30"/>
  <c r="AM30"/>
  <c r="J30"/>
  <c r="N30"/>
  <c r="R30"/>
  <c r="V30"/>
  <c r="Z30"/>
  <c r="AD30"/>
  <c r="AH30"/>
  <c r="AL30"/>
  <c r="L30"/>
  <c r="P30"/>
  <c r="T30"/>
  <c r="X30"/>
  <c r="AB30"/>
  <c r="AF30"/>
  <c r="AJ30"/>
  <c r="AN30"/>
  <c r="AG153"/>
  <c r="AK153"/>
  <c r="R153"/>
  <c r="T153"/>
  <c r="V153"/>
  <c r="X153"/>
  <c r="Z153"/>
  <c r="AB153"/>
  <c r="AD153"/>
  <c r="AF153"/>
  <c r="K153"/>
  <c r="M153"/>
  <c r="O153"/>
  <c r="Q153"/>
  <c r="S153"/>
  <c r="U153"/>
  <c r="W153"/>
  <c r="Y153"/>
  <c r="AA153"/>
  <c r="AC153"/>
  <c r="AE153"/>
  <c r="AI153"/>
  <c r="AM153"/>
  <c r="J153"/>
  <c r="L153"/>
  <c r="N153"/>
  <c r="P153"/>
  <c r="AH153"/>
  <c r="AJ153"/>
  <c r="AN153"/>
  <c r="AL153"/>
  <c r="AG41"/>
  <c r="AK41"/>
  <c r="J41"/>
  <c r="L41"/>
  <c r="N41"/>
  <c r="P41"/>
  <c r="R41"/>
  <c r="T41"/>
  <c r="V41"/>
  <c r="X41"/>
  <c r="Z41"/>
  <c r="AB41"/>
  <c r="AD41"/>
  <c r="AF41"/>
  <c r="K41"/>
  <c r="M41"/>
  <c r="O41"/>
  <c r="Q41"/>
  <c r="S41"/>
  <c r="U41"/>
  <c r="W41"/>
  <c r="Y41"/>
  <c r="AA41"/>
  <c r="AC41"/>
  <c r="AE41"/>
  <c r="AI41"/>
  <c r="AM41"/>
  <c r="AH41"/>
  <c r="AJ41"/>
  <c r="AN41"/>
  <c r="AL41"/>
  <c r="J27"/>
  <c r="N27"/>
  <c r="R27"/>
  <c r="V27"/>
  <c r="Z27"/>
  <c r="AD27"/>
  <c r="AH27"/>
  <c r="AL27"/>
  <c r="L27"/>
  <c r="P27"/>
  <c r="T27"/>
  <c r="X27"/>
  <c r="AB27"/>
  <c r="AF27"/>
  <c r="AJ27"/>
  <c r="AN27"/>
  <c r="K27"/>
  <c r="O27"/>
  <c r="S27"/>
  <c r="W27"/>
  <c r="AA27"/>
  <c r="AE27"/>
  <c r="AI27"/>
  <c r="AM27"/>
  <c r="M27"/>
  <c r="Q27"/>
  <c r="U27"/>
  <c r="Y27"/>
  <c r="AC27"/>
  <c r="AG27"/>
  <c r="AK27"/>
  <c r="K24"/>
  <c r="O24"/>
  <c r="S24"/>
  <c r="W24"/>
  <c r="AA24"/>
  <c r="AE24"/>
  <c r="AI24"/>
  <c r="AM24"/>
  <c r="M24"/>
  <c r="Q24"/>
  <c r="U24"/>
  <c r="Y24"/>
  <c r="AC24"/>
  <c r="AG24"/>
  <c r="AK24"/>
  <c r="L24"/>
  <c r="P24"/>
  <c r="T24"/>
  <c r="X24"/>
  <c r="AB24"/>
  <c r="AF24"/>
  <c r="AJ24"/>
  <c r="AN24"/>
  <c r="J24"/>
  <c r="N24"/>
  <c r="R24"/>
  <c r="V24"/>
  <c r="Z24"/>
  <c r="AD24"/>
  <c r="AH24"/>
  <c r="AL24"/>
  <c r="K111"/>
  <c r="O111"/>
  <c r="U111"/>
  <c r="W111"/>
  <c r="Y111"/>
  <c r="AA111"/>
  <c r="AC111"/>
  <c r="AE111"/>
  <c r="AI111"/>
  <c r="AM111"/>
  <c r="J111"/>
  <c r="L111"/>
  <c r="N111"/>
  <c r="P111"/>
  <c r="R111"/>
  <c r="T111"/>
  <c r="V111"/>
  <c r="X111"/>
  <c r="Z111"/>
  <c r="AB111"/>
  <c r="AD111"/>
  <c r="AF111"/>
  <c r="M111"/>
  <c r="Q111"/>
  <c r="S111"/>
  <c r="AG111"/>
  <c r="AK111"/>
  <c r="AH111"/>
  <c r="AJ111"/>
  <c r="AN111"/>
  <c r="AL111"/>
  <c r="AE74"/>
  <c r="AI74"/>
  <c r="AM74"/>
  <c r="J74"/>
  <c r="L74"/>
  <c r="N74"/>
  <c r="P74"/>
  <c r="R74"/>
  <c r="T74"/>
  <c r="V74"/>
  <c r="X74"/>
  <c r="Z74"/>
  <c r="AB74"/>
  <c r="AD74"/>
  <c r="AF74"/>
  <c r="AH74"/>
  <c r="K74"/>
  <c r="M74"/>
  <c r="O74"/>
  <c r="Q74"/>
  <c r="S74"/>
  <c r="U74"/>
  <c r="W74"/>
  <c r="Y74"/>
  <c r="AA74"/>
  <c r="AC74"/>
  <c r="AG74"/>
  <c r="AK74"/>
  <c r="AL74"/>
  <c r="AJ74"/>
  <c r="AN74"/>
  <c r="K151"/>
  <c r="M151"/>
  <c r="O151"/>
  <c r="Q151"/>
  <c r="S151"/>
  <c r="U151"/>
  <c r="W151"/>
  <c r="Y151"/>
  <c r="AA151"/>
  <c r="AC151"/>
  <c r="AE151"/>
  <c r="AI151"/>
  <c r="AM151"/>
  <c r="J151"/>
  <c r="N151"/>
  <c r="R151"/>
  <c r="T151"/>
  <c r="V151"/>
  <c r="X151"/>
  <c r="AH151"/>
  <c r="AG151"/>
  <c r="AK151"/>
  <c r="L151"/>
  <c r="P151"/>
  <c r="Z151"/>
  <c r="AB151"/>
  <c r="AD151"/>
  <c r="AF151"/>
  <c r="AL151"/>
  <c r="AJ151"/>
  <c r="AN151"/>
  <c r="M125"/>
  <c r="Q125"/>
  <c r="S125"/>
  <c r="AG125"/>
  <c r="AK125"/>
  <c r="AH125"/>
  <c r="K125"/>
  <c r="O125"/>
  <c r="U125"/>
  <c r="W125"/>
  <c r="Y125"/>
  <c r="AA125"/>
  <c r="AC125"/>
  <c r="AE125"/>
  <c r="AI125"/>
  <c r="AM125"/>
  <c r="J125"/>
  <c r="L125"/>
  <c r="N125"/>
  <c r="P125"/>
  <c r="R125"/>
  <c r="T125"/>
  <c r="V125"/>
  <c r="X125"/>
  <c r="Z125"/>
  <c r="AB125"/>
  <c r="AD125"/>
  <c r="AF125"/>
  <c r="AL125"/>
  <c r="AJ125"/>
  <c r="AN125"/>
  <c r="AI128"/>
  <c r="AM128"/>
  <c r="V128"/>
  <c r="Z128"/>
  <c r="AD128"/>
  <c r="K128"/>
  <c r="M128"/>
  <c r="O128"/>
  <c r="Q128"/>
  <c r="S128"/>
  <c r="U128"/>
  <c r="W128"/>
  <c r="Y128"/>
  <c r="AA128"/>
  <c r="AC128"/>
  <c r="AE128"/>
  <c r="AG128"/>
  <c r="AK128"/>
  <c r="J128"/>
  <c r="L128"/>
  <c r="N128"/>
  <c r="P128"/>
  <c r="R128"/>
  <c r="T128"/>
  <c r="X128"/>
  <c r="AB128"/>
  <c r="AF128"/>
  <c r="AH128"/>
  <c r="AJ128"/>
  <c r="AL128"/>
  <c r="AN128"/>
  <c r="AG148"/>
  <c r="AK148"/>
  <c r="Z148"/>
  <c r="AB148"/>
  <c r="AD148"/>
  <c r="AF148"/>
  <c r="K148"/>
  <c r="M148"/>
  <c r="O148"/>
  <c r="Q148"/>
  <c r="S148"/>
  <c r="U148"/>
  <c r="W148"/>
  <c r="Y148"/>
  <c r="AA148"/>
  <c r="AC148"/>
  <c r="AE148"/>
  <c r="AI148"/>
  <c r="AM148"/>
  <c r="J148"/>
  <c r="L148"/>
  <c r="N148"/>
  <c r="P148"/>
  <c r="R148"/>
  <c r="T148"/>
  <c r="V148"/>
  <c r="X148"/>
  <c r="AH148"/>
  <c r="AJ148"/>
  <c r="AN148"/>
  <c r="AL148"/>
  <c r="K146"/>
  <c r="M146"/>
  <c r="O146"/>
  <c r="Q146"/>
  <c r="S146"/>
  <c r="U146"/>
  <c r="W146"/>
  <c r="Y146"/>
  <c r="AC146"/>
  <c r="J146"/>
  <c r="L146"/>
  <c r="N146"/>
  <c r="P146"/>
  <c r="R146"/>
  <c r="T146"/>
  <c r="V146"/>
  <c r="X146"/>
  <c r="Z146"/>
  <c r="AB146"/>
  <c r="AD146"/>
  <c r="AF146"/>
  <c r="AA146"/>
  <c r="AE146"/>
  <c r="AG146"/>
  <c r="AI146"/>
  <c r="AK146"/>
  <c r="AM146"/>
  <c r="AH146"/>
  <c r="AJ146"/>
  <c r="AN146"/>
  <c r="AL146"/>
  <c r="AE50"/>
  <c r="AI50"/>
  <c r="AM50"/>
  <c r="J50"/>
  <c r="L50"/>
  <c r="N50"/>
  <c r="P50"/>
  <c r="R50"/>
  <c r="T50"/>
  <c r="V50"/>
  <c r="X50"/>
  <c r="Z50"/>
  <c r="AB50"/>
  <c r="AD50"/>
  <c r="AF50"/>
  <c r="AH50"/>
  <c r="K50"/>
  <c r="M50"/>
  <c r="O50"/>
  <c r="Q50"/>
  <c r="S50"/>
  <c r="U50"/>
  <c r="W50"/>
  <c r="Y50"/>
  <c r="AA50"/>
  <c r="AC50"/>
  <c r="AG50"/>
  <c r="AK50"/>
  <c r="AL50"/>
  <c r="AJ50"/>
  <c r="AN50"/>
  <c r="K160"/>
  <c r="M160"/>
  <c r="O160"/>
  <c r="Q160"/>
  <c r="S160"/>
  <c r="U160"/>
  <c r="W160"/>
  <c r="Y160"/>
  <c r="AA160"/>
  <c r="AC160"/>
  <c r="AE160"/>
  <c r="AI160"/>
  <c r="AM160"/>
  <c r="R160"/>
  <c r="T160"/>
  <c r="V160"/>
  <c r="X160"/>
  <c r="Z160"/>
  <c r="AB160"/>
  <c r="AD160"/>
  <c r="AF160"/>
  <c r="AG160"/>
  <c r="AK160"/>
  <c r="J160"/>
  <c r="L160"/>
  <c r="N160"/>
  <c r="P160"/>
  <c r="AH160"/>
  <c r="AJ160"/>
  <c r="AN160"/>
  <c r="AL160"/>
  <c r="AG89"/>
  <c r="AK89"/>
  <c r="J89"/>
  <c r="L89"/>
  <c r="N89"/>
  <c r="P89"/>
  <c r="R89"/>
  <c r="T89"/>
  <c r="V89"/>
  <c r="X89"/>
  <c r="Z89"/>
  <c r="AB89"/>
  <c r="AD89"/>
  <c r="AF89"/>
  <c r="K89"/>
  <c r="M89"/>
  <c r="O89"/>
  <c r="Q89"/>
  <c r="S89"/>
  <c r="U89"/>
  <c r="W89"/>
  <c r="Y89"/>
  <c r="AA89"/>
  <c r="AC89"/>
  <c r="AE89"/>
  <c r="AI89"/>
  <c r="AM89"/>
  <c r="AH89"/>
  <c r="AJ89"/>
  <c r="AN89"/>
  <c r="AL89"/>
  <c r="K127"/>
  <c r="O127"/>
  <c r="U127"/>
  <c r="W127"/>
  <c r="Y127"/>
  <c r="AA127"/>
  <c r="AC127"/>
  <c r="AE127"/>
  <c r="AI127"/>
  <c r="AM127"/>
  <c r="J127"/>
  <c r="L127"/>
  <c r="N127"/>
  <c r="P127"/>
  <c r="R127"/>
  <c r="T127"/>
  <c r="V127"/>
  <c r="X127"/>
  <c r="Z127"/>
  <c r="AB127"/>
  <c r="AD127"/>
  <c r="AF127"/>
  <c r="M127"/>
  <c r="Q127"/>
  <c r="S127"/>
  <c r="AG127"/>
  <c r="AK127"/>
  <c r="AH127"/>
  <c r="AJ127"/>
  <c r="AN127"/>
  <c r="AL127"/>
  <c r="K102"/>
  <c r="M102"/>
  <c r="O102"/>
  <c r="Q102"/>
  <c r="S102"/>
  <c r="U102"/>
  <c r="W102"/>
  <c r="Y102"/>
  <c r="AA102"/>
  <c r="AC102"/>
  <c r="AE102"/>
  <c r="AG102"/>
  <c r="AK102"/>
  <c r="J102"/>
  <c r="L102"/>
  <c r="N102"/>
  <c r="P102"/>
  <c r="R102"/>
  <c r="T102"/>
  <c r="X102"/>
  <c r="AB102"/>
  <c r="AF102"/>
  <c r="AH102"/>
  <c r="AI102"/>
  <c r="AM102"/>
  <c r="V102"/>
  <c r="Z102"/>
  <c r="AD102"/>
  <c r="AJ102"/>
  <c r="AL102"/>
  <c r="AN102"/>
  <c r="AG37"/>
  <c r="AK37"/>
  <c r="J37"/>
  <c r="L37"/>
  <c r="N37"/>
  <c r="P37"/>
  <c r="R37"/>
  <c r="T37"/>
  <c r="V37"/>
  <c r="X37"/>
  <c r="Z37"/>
  <c r="AB37"/>
  <c r="AD37"/>
  <c r="AF37"/>
  <c r="K37"/>
  <c r="M37"/>
  <c r="O37"/>
  <c r="Q37"/>
  <c r="S37"/>
  <c r="U37"/>
  <c r="W37"/>
  <c r="Y37"/>
  <c r="AA37"/>
  <c r="AC37"/>
  <c r="AE37"/>
  <c r="AI37"/>
  <c r="AM37"/>
  <c r="AJ37"/>
  <c r="AN37"/>
  <c r="AH37"/>
  <c r="AL37"/>
  <c r="K60"/>
  <c r="M60"/>
  <c r="O60"/>
  <c r="Q60"/>
  <c r="S60"/>
  <c r="U60"/>
  <c r="W60"/>
  <c r="Y60"/>
  <c r="AA60"/>
  <c r="AC60"/>
  <c r="AG60"/>
  <c r="AK60"/>
  <c r="AE60"/>
  <c r="AI60"/>
  <c r="AM60"/>
  <c r="J60"/>
  <c r="L60"/>
  <c r="N60"/>
  <c r="P60"/>
  <c r="R60"/>
  <c r="T60"/>
  <c r="V60"/>
  <c r="X60"/>
  <c r="Z60"/>
  <c r="AB60"/>
  <c r="AD60"/>
  <c r="AF60"/>
  <c r="AH60"/>
  <c r="AJ60"/>
  <c r="AN60"/>
  <c r="AL60"/>
  <c r="K48"/>
  <c r="M48"/>
  <c r="O48"/>
  <c r="Q48"/>
  <c r="S48"/>
  <c r="U48"/>
  <c r="W48"/>
  <c r="Y48"/>
  <c r="AA48"/>
  <c r="AC48"/>
  <c r="AG48"/>
  <c r="AK48"/>
  <c r="AE48"/>
  <c r="AI48"/>
  <c r="AM48"/>
  <c r="J48"/>
  <c r="L48"/>
  <c r="N48"/>
  <c r="P48"/>
  <c r="R48"/>
  <c r="T48"/>
  <c r="V48"/>
  <c r="X48"/>
  <c r="Z48"/>
  <c r="AB48"/>
  <c r="AD48"/>
  <c r="AF48"/>
  <c r="AH48"/>
  <c r="AJ48"/>
  <c r="AN48"/>
  <c r="AL48"/>
  <c r="AG93"/>
  <c r="AK93"/>
  <c r="J93"/>
  <c r="L93"/>
  <c r="N93"/>
  <c r="P93"/>
  <c r="R93"/>
  <c r="T93"/>
  <c r="V93"/>
  <c r="X93"/>
  <c r="Z93"/>
  <c r="AB93"/>
  <c r="AD93"/>
  <c r="AF93"/>
  <c r="K93"/>
  <c r="M93"/>
  <c r="O93"/>
  <c r="Q93"/>
  <c r="S93"/>
  <c r="U93"/>
  <c r="W93"/>
  <c r="Y93"/>
  <c r="AA93"/>
  <c r="AC93"/>
  <c r="AE93"/>
  <c r="AI93"/>
  <c r="AM93"/>
  <c r="AH93"/>
  <c r="AJ93"/>
  <c r="AN93"/>
  <c r="AL93"/>
  <c r="K114"/>
  <c r="M114"/>
  <c r="O114"/>
  <c r="Q114"/>
  <c r="S114"/>
  <c r="U114"/>
  <c r="W114"/>
  <c r="Y114"/>
  <c r="AA114"/>
  <c r="AC114"/>
  <c r="AE114"/>
  <c r="AG114"/>
  <c r="AK114"/>
  <c r="J114"/>
  <c r="L114"/>
  <c r="N114"/>
  <c r="P114"/>
  <c r="R114"/>
  <c r="T114"/>
  <c r="X114"/>
  <c r="AB114"/>
  <c r="AF114"/>
  <c r="AH114"/>
  <c r="AI114"/>
  <c r="AM114"/>
  <c r="V114"/>
  <c r="Z114"/>
  <c r="AD114"/>
  <c r="AJ114"/>
  <c r="AL114"/>
  <c r="AN114"/>
  <c r="K103"/>
  <c r="O103"/>
  <c r="U103"/>
  <c r="W103"/>
  <c r="Y103"/>
  <c r="AA103"/>
  <c r="AC103"/>
  <c r="AE103"/>
  <c r="AI103"/>
  <c r="AM103"/>
  <c r="J103"/>
  <c r="L103"/>
  <c r="N103"/>
  <c r="P103"/>
  <c r="R103"/>
  <c r="T103"/>
  <c r="V103"/>
  <c r="X103"/>
  <c r="Z103"/>
  <c r="AB103"/>
  <c r="AD103"/>
  <c r="AF103"/>
  <c r="M103"/>
  <c r="Q103"/>
  <c r="S103"/>
  <c r="AG103"/>
  <c r="AK103"/>
  <c r="AH103"/>
  <c r="AJ103"/>
  <c r="AN103"/>
  <c r="AL103"/>
  <c r="K99"/>
  <c r="M99"/>
  <c r="O99"/>
  <c r="Q99"/>
  <c r="S99"/>
  <c r="U99"/>
  <c r="W99"/>
  <c r="Y99"/>
  <c r="AA99"/>
  <c r="AC99"/>
  <c r="AE99"/>
  <c r="AI99"/>
  <c r="AM99"/>
  <c r="AH99"/>
  <c r="AG99"/>
  <c r="AK99"/>
  <c r="J99"/>
  <c r="L99"/>
  <c r="N99"/>
  <c r="P99"/>
  <c r="R99"/>
  <c r="T99"/>
  <c r="V99"/>
  <c r="X99"/>
  <c r="Z99"/>
  <c r="AB99"/>
  <c r="AD99"/>
  <c r="AF99"/>
  <c r="AL99"/>
  <c r="AJ99"/>
  <c r="AN99"/>
  <c r="M129"/>
  <c r="Q129"/>
  <c r="S129"/>
  <c r="AG129"/>
  <c r="AK129"/>
  <c r="AH129"/>
  <c r="K129"/>
  <c r="O129"/>
  <c r="U129"/>
  <c r="W129"/>
  <c r="Y129"/>
  <c r="AA129"/>
  <c r="AC129"/>
  <c r="AE129"/>
  <c r="AI129"/>
  <c r="AM129"/>
  <c r="J129"/>
  <c r="L129"/>
  <c r="N129"/>
  <c r="P129"/>
  <c r="R129"/>
  <c r="T129"/>
  <c r="V129"/>
  <c r="X129"/>
  <c r="Z129"/>
  <c r="AB129"/>
  <c r="AD129"/>
  <c r="AF129"/>
  <c r="AL129"/>
  <c r="AJ129"/>
  <c r="AN129"/>
  <c r="K32"/>
  <c r="O32"/>
  <c r="S32"/>
  <c r="W32"/>
  <c r="AA32"/>
  <c r="AE32"/>
  <c r="AI32"/>
  <c r="AM32"/>
  <c r="M32"/>
  <c r="Q32"/>
  <c r="U32"/>
  <c r="Y32"/>
  <c r="AC32"/>
  <c r="AG32"/>
  <c r="AK32"/>
  <c r="L32"/>
  <c r="P32"/>
  <c r="T32"/>
  <c r="X32"/>
  <c r="AB32"/>
  <c r="AF32"/>
  <c r="AJ32"/>
  <c r="AN32"/>
  <c r="V32"/>
  <c r="AH32"/>
  <c r="J32"/>
  <c r="N32"/>
  <c r="R32"/>
  <c r="Z32"/>
  <c r="AD32"/>
  <c r="AL32"/>
  <c r="K72"/>
  <c r="M72"/>
  <c r="O72"/>
  <c r="Q72"/>
  <c r="S72"/>
  <c r="U72"/>
  <c r="W72"/>
  <c r="Y72"/>
  <c r="AA72"/>
  <c r="AC72"/>
  <c r="AG72"/>
  <c r="AK72"/>
  <c r="AE72"/>
  <c r="AI72"/>
  <c r="AM72"/>
  <c r="J72"/>
  <c r="L72"/>
  <c r="N72"/>
  <c r="P72"/>
  <c r="R72"/>
  <c r="T72"/>
  <c r="V72"/>
  <c r="X72"/>
  <c r="Z72"/>
  <c r="AB72"/>
  <c r="AD72"/>
  <c r="AF72"/>
  <c r="AH72"/>
  <c r="AJ72"/>
  <c r="AN72"/>
  <c r="AL72"/>
  <c r="K122"/>
  <c r="M122"/>
  <c r="O122"/>
  <c r="Q122"/>
  <c r="S122"/>
  <c r="U122"/>
  <c r="W122"/>
  <c r="Y122"/>
  <c r="AA122"/>
  <c r="AC122"/>
  <c r="AE122"/>
  <c r="AG122"/>
  <c r="AK122"/>
  <c r="J122"/>
  <c r="L122"/>
  <c r="N122"/>
  <c r="P122"/>
  <c r="R122"/>
  <c r="T122"/>
  <c r="X122"/>
  <c r="AB122"/>
  <c r="AF122"/>
  <c r="AH122"/>
  <c r="AI122"/>
  <c r="AM122"/>
  <c r="V122"/>
  <c r="Z122"/>
  <c r="AD122"/>
  <c r="AJ122"/>
  <c r="AL122"/>
  <c r="AN122"/>
  <c r="M22"/>
  <c r="Q22"/>
  <c r="U22"/>
  <c r="Y22"/>
  <c r="AC22"/>
  <c r="AG22"/>
  <c r="AK22"/>
  <c r="K22"/>
  <c r="O22"/>
  <c r="S22"/>
  <c r="W22"/>
  <c r="AA22"/>
  <c r="AE22"/>
  <c r="AI22"/>
  <c r="AM22"/>
  <c r="J22"/>
  <c r="N22"/>
  <c r="R22"/>
  <c r="V22"/>
  <c r="Z22"/>
  <c r="AD22"/>
  <c r="AH22"/>
  <c r="AL22"/>
  <c r="L22"/>
  <c r="P22"/>
  <c r="T22"/>
  <c r="X22"/>
  <c r="AB22"/>
  <c r="AF22"/>
  <c r="AJ22"/>
  <c r="AN22"/>
  <c r="K142"/>
  <c r="M142"/>
  <c r="O142"/>
  <c r="Q142"/>
  <c r="S142"/>
  <c r="U142"/>
  <c r="W142"/>
  <c r="Y142"/>
  <c r="AC142"/>
  <c r="J142"/>
  <c r="L142"/>
  <c r="N142"/>
  <c r="P142"/>
  <c r="R142"/>
  <c r="T142"/>
  <c r="V142"/>
  <c r="X142"/>
  <c r="Z142"/>
  <c r="AB142"/>
  <c r="AD142"/>
  <c r="AF142"/>
  <c r="AA142"/>
  <c r="AE142"/>
  <c r="AG142"/>
  <c r="AI142"/>
  <c r="AK142"/>
  <c r="AM142"/>
  <c r="AH142"/>
  <c r="AJ142"/>
  <c r="AN142"/>
  <c r="AL142"/>
  <c r="AE70"/>
  <c r="AI70"/>
  <c r="AM70"/>
  <c r="J70"/>
  <c r="L70"/>
  <c r="N70"/>
  <c r="P70"/>
  <c r="R70"/>
  <c r="T70"/>
  <c r="V70"/>
  <c r="X70"/>
  <c r="Z70"/>
  <c r="AB70"/>
  <c r="AD70"/>
  <c r="AF70"/>
  <c r="AH70"/>
  <c r="K70"/>
  <c r="M70"/>
  <c r="O70"/>
  <c r="Q70"/>
  <c r="S70"/>
  <c r="U70"/>
  <c r="W70"/>
  <c r="Y70"/>
  <c r="AA70"/>
  <c r="AC70"/>
  <c r="AG70"/>
  <c r="AK70"/>
  <c r="AL70"/>
  <c r="AJ70"/>
  <c r="AN70"/>
  <c r="AG158"/>
  <c r="AK158"/>
  <c r="J158"/>
  <c r="L158"/>
  <c r="N158"/>
  <c r="P158"/>
  <c r="AH158"/>
  <c r="K158"/>
  <c r="M158"/>
  <c r="O158"/>
  <c r="Q158"/>
  <c r="S158"/>
  <c r="U158"/>
  <c r="W158"/>
  <c r="Y158"/>
  <c r="AA158"/>
  <c r="AC158"/>
  <c r="AE158"/>
  <c r="AI158"/>
  <c r="AM158"/>
  <c r="R158"/>
  <c r="T158"/>
  <c r="V158"/>
  <c r="X158"/>
  <c r="Z158"/>
  <c r="AB158"/>
  <c r="AD158"/>
  <c r="AF158"/>
  <c r="AL158"/>
  <c r="AJ158"/>
  <c r="AN158"/>
  <c r="M18"/>
  <c r="Q18"/>
  <c r="U18"/>
  <c r="Y18"/>
  <c r="AC18"/>
  <c r="AG18"/>
  <c r="AK18"/>
  <c r="K18"/>
  <c r="O18"/>
  <c r="S18"/>
  <c r="W18"/>
  <c r="AA18"/>
  <c r="AE18"/>
  <c r="AI18"/>
  <c r="AM18"/>
  <c r="J18"/>
  <c r="N18"/>
  <c r="R18"/>
  <c r="V18"/>
  <c r="Z18"/>
  <c r="AD18"/>
  <c r="AH18"/>
  <c r="AL18"/>
  <c r="L18"/>
  <c r="P18"/>
  <c r="T18"/>
  <c r="X18"/>
  <c r="AB18"/>
  <c r="AF18"/>
  <c r="AJ18"/>
  <c r="AN18"/>
  <c r="AA144"/>
  <c r="AE144"/>
  <c r="AG144"/>
  <c r="AI144"/>
  <c r="AK144"/>
  <c r="AM144"/>
  <c r="AH144"/>
  <c r="K144"/>
  <c r="M144"/>
  <c r="O144"/>
  <c r="Q144"/>
  <c r="S144"/>
  <c r="U144"/>
  <c r="W144"/>
  <c r="Y144"/>
  <c r="AC144"/>
  <c r="J144"/>
  <c r="L144"/>
  <c r="N144"/>
  <c r="P144"/>
  <c r="R144"/>
  <c r="T144"/>
  <c r="V144"/>
  <c r="X144"/>
  <c r="Z144"/>
  <c r="AB144"/>
  <c r="AD144"/>
  <c r="AF144"/>
  <c r="AL144"/>
  <c r="AJ144"/>
  <c r="AN144"/>
  <c r="K39"/>
  <c r="M39"/>
  <c r="O39"/>
  <c r="Q39"/>
  <c r="S39"/>
  <c r="U39"/>
  <c r="W39"/>
  <c r="Y39"/>
  <c r="AA39"/>
  <c r="AC39"/>
  <c r="AE39"/>
  <c r="AI39"/>
  <c r="AM39"/>
  <c r="AH39"/>
  <c r="AG39"/>
  <c r="AK39"/>
  <c r="J39"/>
  <c r="L39"/>
  <c r="N39"/>
  <c r="P39"/>
  <c r="R39"/>
  <c r="T39"/>
  <c r="V39"/>
  <c r="X39"/>
  <c r="Z39"/>
  <c r="AB39"/>
  <c r="AD39"/>
  <c r="AF39"/>
  <c r="AL39"/>
  <c r="AJ39"/>
  <c r="AN39"/>
  <c r="K4"/>
  <c r="O4"/>
  <c r="S4"/>
  <c r="W4"/>
  <c r="AA4"/>
  <c r="AE4"/>
  <c r="AI4"/>
  <c r="AM4"/>
  <c r="M4"/>
  <c r="Q4"/>
  <c r="U4"/>
  <c r="Y4"/>
  <c r="AC4"/>
  <c r="AG4"/>
  <c r="AK4"/>
  <c r="L4"/>
  <c r="P4"/>
  <c r="T4"/>
  <c r="X4"/>
  <c r="AB4"/>
  <c r="AF4"/>
  <c r="AJ4"/>
  <c r="AN4"/>
  <c r="J4"/>
  <c r="N4"/>
  <c r="R4"/>
  <c r="V4"/>
  <c r="Z4"/>
  <c r="AD4"/>
  <c r="AH4"/>
  <c r="AL4"/>
  <c r="K75"/>
  <c r="M75"/>
  <c r="O75"/>
  <c r="Q75"/>
  <c r="S75"/>
  <c r="U75"/>
  <c r="W75"/>
  <c r="Y75"/>
  <c r="AA75"/>
  <c r="AC75"/>
  <c r="AE75"/>
  <c r="AI75"/>
  <c r="AM75"/>
  <c r="AH75"/>
  <c r="AG75"/>
  <c r="AK75"/>
  <c r="J75"/>
  <c r="L75"/>
  <c r="N75"/>
  <c r="P75"/>
  <c r="R75"/>
  <c r="T75"/>
  <c r="V75"/>
  <c r="X75"/>
  <c r="Z75"/>
  <c r="AB75"/>
  <c r="AD75"/>
  <c r="AF75"/>
  <c r="AL75"/>
  <c r="AJ75"/>
  <c r="AN75"/>
  <c r="K123"/>
  <c r="O123"/>
  <c r="U123"/>
  <c r="W123"/>
  <c r="Y123"/>
  <c r="AA123"/>
  <c r="AC123"/>
  <c r="AE123"/>
  <c r="AI123"/>
  <c r="AM123"/>
  <c r="J123"/>
  <c r="L123"/>
  <c r="N123"/>
  <c r="P123"/>
  <c r="R123"/>
  <c r="T123"/>
  <c r="V123"/>
  <c r="X123"/>
  <c r="Z123"/>
  <c r="AB123"/>
  <c r="AD123"/>
  <c r="AF123"/>
  <c r="M123"/>
  <c r="Q123"/>
  <c r="S123"/>
  <c r="AG123"/>
  <c r="AK123"/>
  <c r="AH123"/>
  <c r="AJ123"/>
  <c r="AN123"/>
  <c r="AL123"/>
  <c r="U147"/>
  <c r="W147"/>
  <c r="Y147"/>
  <c r="AA147"/>
  <c r="AC147"/>
  <c r="AE147"/>
  <c r="AI147"/>
  <c r="AM147"/>
  <c r="L147"/>
  <c r="P147"/>
  <c r="Z147"/>
  <c r="AB147"/>
  <c r="AD147"/>
  <c r="AF147"/>
  <c r="K147"/>
  <c r="M147"/>
  <c r="O147"/>
  <c r="Q147"/>
  <c r="S147"/>
  <c r="AG147"/>
  <c r="AK147"/>
  <c r="J147"/>
  <c r="N147"/>
  <c r="R147"/>
  <c r="T147"/>
  <c r="V147"/>
  <c r="X147"/>
  <c r="AH147"/>
  <c r="AJ147"/>
  <c r="AN147"/>
  <c r="AL147"/>
  <c r="K40"/>
  <c r="M40"/>
  <c r="O40"/>
  <c r="Q40"/>
  <c r="S40"/>
  <c r="U40"/>
  <c r="W40"/>
  <c r="Y40"/>
  <c r="AA40"/>
  <c r="AC40"/>
  <c r="AG40"/>
  <c r="AK40"/>
  <c r="AE40"/>
  <c r="AI40"/>
  <c r="AM40"/>
  <c r="J40"/>
  <c r="L40"/>
  <c r="N40"/>
  <c r="P40"/>
  <c r="R40"/>
  <c r="T40"/>
  <c r="V40"/>
  <c r="X40"/>
  <c r="Z40"/>
  <c r="AB40"/>
  <c r="AD40"/>
  <c r="AF40"/>
  <c r="AH40"/>
  <c r="AJ40"/>
  <c r="AN40"/>
  <c r="AL40"/>
  <c r="AI108"/>
  <c r="AM108"/>
  <c r="V108"/>
  <c r="Z108"/>
  <c r="AD108"/>
  <c r="K108"/>
  <c r="M108"/>
  <c r="O108"/>
  <c r="Q108"/>
  <c r="S108"/>
  <c r="U108"/>
  <c r="W108"/>
  <c r="Y108"/>
  <c r="AA108"/>
  <c r="AC108"/>
  <c r="AE108"/>
  <c r="AG108"/>
  <c r="AK108"/>
  <c r="J108"/>
  <c r="L108"/>
  <c r="N108"/>
  <c r="P108"/>
  <c r="R108"/>
  <c r="T108"/>
  <c r="X108"/>
  <c r="AB108"/>
  <c r="AF108"/>
  <c r="AH108"/>
  <c r="AJ108"/>
  <c r="AL108"/>
  <c r="AN108"/>
  <c r="AG77"/>
  <c r="AK77"/>
  <c r="J77"/>
  <c r="L77"/>
  <c r="N77"/>
  <c r="P77"/>
  <c r="R77"/>
  <c r="T77"/>
  <c r="V77"/>
  <c r="X77"/>
  <c r="Z77"/>
  <c r="AB77"/>
  <c r="AD77"/>
  <c r="AF77"/>
  <c r="K77"/>
  <c r="M77"/>
  <c r="O77"/>
  <c r="Q77"/>
  <c r="S77"/>
  <c r="U77"/>
  <c r="W77"/>
  <c r="Y77"/>
  <c r="AA77"/>
  <c r="AC77"/>
  <c r="AE77"/>
  <c r="AI77"/>
  <c r="AM77"/>
  <c r="AH77"/>
  <c r="AJ77"/>
  <c r="AN77"/>
  <c r="AL77"/>
  <c r="AG101"/>
  <c r="AK101"/>
  <c r="J101"/>
  <c r="L101"/>
  <c r="N101"/>
  <c r="P101"/>
  <c r="R101"/>
  <c r="T101"/>
  <c r="V101"/>
  <c r="X101"/>
  <c r="Z101"/>
  <c r="AB101"/>
  <c r="AD101"/>
  <c r="AF101"/>
  <c r="AH101"/>
  <c r="K101"/>
  <c r="M101"/>
  <c r="O101"/>
  <c r="Q101"/>
  <c r="S101"/>
  <c r="U101"/>
  <c r="W101"/>
  <c r="Y101"/>
  <c r="AA101"/>
  <c r="AC101"/>
  <c r="AE101"/>
  <c r="AI101"/>
  <c r="AM101"/>
  <c r="AL101"/>
  <c r="AJ101"/>
  <c r="AN101"/>
  <c r="K67"/>
  <c r="M67"/>
  <c r="O67"/>
  <c r="Q67"/>
  <c r="S67"/>
  <c r="U67"/>
  <c r="W67"/>
  <c r="Y67"/>
  <c r="AA67"/>
  <c r="AC67"/>
  <c r="AE67"/>
  <c r="AI67"/>
  <c r="AM67"/>
  <c r="AH67"/>
  <c r="AG67"/>
  <c r="AK67"/>
  <c r="J67"/>
  <c r="L67"/>
  <c r="N67"/>
  <c r="P67"/>
  <c r="R67"/>
  <c r="T67"/>
  <c r="V67"/>
  <c r="X67"/>
  <c r="Z67"/>
  <c r="AB67"/>
  <c r="AD67"/>
  <c r="AF67"/>
  <c r="AL67"/>
  <c r="AJ67"/>
  <c r="AN67"/>
  <c r="K138"/>
  <c r="M138"/>
  <c r="O138"/>
  <c r="Q138"/>
  <c r="S138"/>
  <c r="U138"/>
  <c r="W138"/>
  <c r="Y138"/>
  <c r="AC138"/>
  <c r="J138"/>
  <c r="L138"/>
  <c r="N138"/>
  <c r="P138"/>
  <c r="R138"/>
  <c r="T138"/>
  <c r="V138"/>
  <c r="X138"/>
  <c r="Z138"/>
  <c r="AB138"/>
  <c r="AD138"/>
  <c r="AF138"/>
  <c r="AA138"/>
  <c r="AE138"/>
  <c r="AG138"/>
  <c r="AI138"/>
  <c r="AK138"/>
  <c r="AM138"/>
  <c r="AH138"/>
  <c r="AJ138"/>
  <c r="AN138"/>
  <c r="AL138"/>
  <c r="AE38"/>
  <c r="AI38"/>
  <c r="AM38"/>
  <c r="J38"/>
  <c r="L38"/>
  <c r="N38"/>
  <c r="P38"/>
  <c r="R38"/>
  <c r="T38"/>
  <c r="V38"/>
  <c r="X38"/>
  <c r="Z38"/>
  <c r="AB38"/>
  <c r="AD38"/>
  <c r="AF38"/>
  <c r="AH38"/>
  <c r="K38"/>
  <c r="M38"/>
  <c r="O38"/>
  <c r="Q38"/>
  <c r="S38"/>
  <c r="U38"/>
  <c r="W38"/>
  <c r="Y38"/>
  <c r="AA38"/>
  <c r="AC38"/>
  <c r="AG38"/>
  <c r="AK38"/>
  <c r="AL38"/>
  <c r="AJ38"/>
  <c r="AN38"/>
  <c r="AG162"/>
  <c r="AK162"/>
  <c r="J162"/>
  <c r="L162"/>
  <c r="N162"/>
  <c r="P162"/>
  <c r="AH162"/>
  <c r="K162"/>
  <c r="M162"/>
  <c r="O162"/>
  <c r="Q162"/>
  <c r="S162"/>
  <c r="U162"/>
  <c r="W162"/>
  <c r="Y162"/>
  <c r="AA162"/>
  <c r="AC162"/>
  <c r="AE162"/>
  <c r="AI162"/>
  <c r="AM162"/>
  <c r="R162"/>
  <c r="T162"/>
  <c r="V162"/>
  <c r="X162"/>
  <c r="Z162"/>
  <c r="AB162"/>
  <c r="AD162"/>
  <c r="AF162"/>
  <c r="AL162"/>
  <c r="AJ162"/>
  <c r="AN162"/>
  <c r="J7"/>
  <c r="N7"/>
  <c r="R7"/>
  <c r="V7"/>
  <c r="Z7"/>
  <c r="AD7"/>
  <c r="AH7"/>
  <c r="AL7"/>
  <c r="L7"/>
  <c r="P7"/>
  <c r="T7"/>
  <c r="X7"/>
  <c r="AB7"/>
  <c r="AF7"/>
  <c r="AJ7"/>
  <c r="AN7"/>
  <c r="K7"/>
  <c r="O7"/>
  <c r="S7"/>
  <c r="W7"/>
  <c r="AA7"/>
  <c r="AE7"/>
  <c r="AI7"/>
  <c r="AM7"/>
  <c r="M7"/>
  <c r="Q7"/>
  <c r="U7"/>
  <c r="Y7"/>
  <c r="AC7"/>
  <c r="AG7"/>
  <c r="AK7"/>
  <c r="AG65"/>
  <c r="AK65"/>
  <c r="J65"/>
  <c r="L65"/>
  <c r="N65"/>
  <c r="P65"/>
  <c r="R65"/>
  <c r="T65"/>
  <c r="V65"/>
  <c r="X65"/>
  <c r="Z65"/>
  <c r="AB65"/>
  <c r="AD65"/>
  <c r="AF65"/>
  <c r="K65"/>
  <c r="M65"/>
  <c r="O65"/>
  <c r="Q65"/>
  <c r="S65"/>
  <c r="U65"/>
  <c r="W65"/>
  <c r="Y65"/>
  <c r="AA65"/>
  <c r="AC65"/>
  <c r="AE65"/>
  <c r="AI65"/>
  <c r="AM65"/>
  <c r="AH65"/>
  <c r="AJ65"/>
  <c r="AN65"/>
  <c r="AL65"/>
  <c r="K44"/>
  <c r="M44"/>
  <c r="O44"/>
  <c r="Q44"/>
  <c r="S44"/>
  <c r="U44"/>
  <c r="W44"/>
  <c r="Y44"/>
  <c r="AA44"/>
  <c r="AC44"/>
  <c r="AG44"/>
  <c r="AK44"/>
  <c r="AE44"/>
  <c r="AI44"/>
  <c r="AM44"/>
  <c r="J44"/>
  <c r="L44"/>
  <c r="N44"/>
  <c r="P44"/>
  <c r="R44"/>
  <c r="T44"/>
  <c r="V44"/>
  <c r="X44"/>
  <c r="Z44"/>
  <c r="AB44"/>
  <c r="AD44"/>
  <c r="AF44"/>
  <c r="AH44"/>
  <c r="AJ44"/>
  <c r="AN44"/>
  <c r="AL44"/>
  <c r="K68"/>
  <c r="M68"/>
  <c r="O68"/>
  <c r="Q68"/>
  <c r="S68"/>
  <c r="U68"/>
  <c r="W68"/>
  <c r="Y68"/>
  <c r="AA68"/>
  <c r="AC68"/>
  <c r="AG68"/>
  <c r="AK68"/>
  <c r="AE68"/>
  <c r="AI68"/>
  <c r="AM68"/>
  <c r="J68"/>
  <c r="L68"/>
  <c r="N68"/>
  <c r="P68"/>
  <c r="R68"/>
  <c r="T68"/>
  <c r="V68"/>
  <c r="X68"/>
  <c r="Z68"/>
  <c r="AB68"/>
  <c r="AD68"/>
  <c r="AF68"/>
  <c r="AH68"/>
  <c r="AJ68"/>
  <c r="AN68"/>
  <c r="AL68"/>
  <c r="M14"/>
  <c r="Q14"/>
  <c r="U14"/>
  <c r="Y14"/>
  <c r="AC14"/>
  <c r="AG14"/>
  <c r="AK14"/>
  <c r="K14"/>
  <c r="O14"/>
  <c r="S14"/>
  <c r="W14"/>
  <c r="AA14"/>
  <c r="AE14"/>
  <c r="AI14"/>
  <c r="AM14"/>
  <c r="J14"/>
  <c r="N14"/>
  <c r="R14"/>
  <c r="V14"/>
  <c r="Z14"/>
  <c r="AD14"/>
  <c r="AH14"/>
  <c r="AL14"/>
  <c r="L14"/>
  <c r="P14"/>
  <c r="T14"/>
  <c r="X14"/>
  <c r="AB14"/>
  <c r="AF14"/>
  <c r="AJ14"/>
  <c r="AN14"/>
  <c r="L5"/>
  <c r="P5"/>
  <c r="T5"/>
  <c r="X5"/>
  <c r="AB5"/>
  <c r="AF5"/>
  <c r="AJ5"/>
  <c r="AN5"/>
  <c r="J5"/>
  <c r="N5"/>
  <c r="R5"/>
  <c r="V5"/>
  <c r="Z5"/>
  <c r="AD5"/>
  <c r="AH5"/>
  <c r="AL5"/>
  <c r="M5"/>
  <c r="Q5"/>
  <c r="U5"/>
  <c r="Y5"/>
  <c r="AC5"/>
  <c r="AG5"/>
  <c r="AK5"/>
  <c r="K5"/>
  <c r="O5"/>
  <c r="S5"/>
  <c r="W5"/>
  <c r="AA5"/>
  <c r="AE5"/>
  <c r="AI5"/>
  <c r="AM5"/>
  <c r="AG57"/>
  <c r="AK57"/>
  <c r="J57"/>
  <c r="L57"/>
  <c r="N57"/>
  <c r="P57"/>
  <c r="R57"/>
  <c r="T57"/>
  <c r="V57"/>
  <c r="X57"/>
  <c r="Z57"/>
  <c r="AB57"/>
  <c r="AD57"/>
  <c r="AF57"/>
  <c r="K57"/>
  <c r="M57"/>
  <c r="O57"/>
  <c r="Q57"/>
  <c r="S57"/>
  <c r="U57"/>
  <c r="W57"/>
  <c r="Y57"/>
  <c r="AA57"/>
  <c r="AC57"/>
  <c r="AE57"/>
  <c r="AI57"/>
  <c r="AM57"/>
  <c r="AH57"/>
  <c r="AJ57"/>
  <c r="AN57"/>
  <c r="AL57"/>
  <c r="AE62"/>
  <c r="AI62"/>
  <c r="AM62"/>
  <c r="J62"/>
  <c r="L62"/>
  <c r="N62"/>
  <c r="P62"/>
  <c r="R62"/>
  <c r="T62"/>
  <c r="V62"/>
  <c r="X62"/>
  <c r="Z62"/>
  <c r="AB62"/>
  <c r="AD62"/>
  <c r="AF62"/>
  <c r="AH62"/>
  <c r="K62"/>
  <c r="M62"/>
  <c r="O62"/>
  <c r="Q62"/>
  <c r="S62"/>
  <c r="U62"/>
  <c r="W62"/>
  <c r="Y62"/>
  <c r="AA62"/>
  <c r="AC62"/>
  <c r="AG62"/>
  <c r="AK62"/>
  <c r="AL62"/>
  <c r="AJ62"/>
  <c r="AN62"/>
  <c r="AE82"/>
  <c r="AI82"/>
  <c r="AM82"/>
  <c r="J82"/>
  <c r="L82"/>
  <c r="N82"/>
  <c r="P82"/>
  <c r="R82"/>
  <c r="T82"/>
  <c r="V82"/>
  <c r="X82"/>
  <c r="Z82"/>
  <c r="AB82"/>
  <c r="AD82"/>
  <c r="AF82"/>
  <c r="AH82"/>
  <c r="K82"/>
  <c r="M82"/>
  <c r="O82"/>
  <c r="Q82"/>
  <c r="S82"/>
  <c r="U82"/>
  <c r="W82"/>
  <c r="Y82"/>
  <c r="AA82"/>
  <c r="AC82"/>
  <c r="AG82"/>
  <c r="AK82"/>
  <c r="AL82"/>
  <c r="AJ82"/>
  <c r="AN82"/>
  <c r="K79"/>
  <c r="M79"/>
  <c r="O79"/>
  <c r="Q79"/>
  <c r="S79"/>
  <c r="U79"/>
  <c r="W79"/>
  <c r="Y79"/>
  <c r="AA79"/>
  <c r="AC79"/>
  <c r="AE79"/>
  <c r="AI79"/>
  <c r="AM79"/>
  <c r="AH79"/>
  <c r="AG79"/>
  <c r="AK79"/>
  <c r="J79"/>
  <c r="L79"/>
  <c r="N79"/>
  <c r="P79"/>
  <c r="R79"/>
  <c r="T79"/>
  <c r="V79"/>
  <c r="X79"/>
  <c r="Z79"/>
  <c r="AB79"/>
  <c r="AD79"/>
  <c r="AF79"/>
  <c r="AL79"/>
  <c r="AJ79"/>
  <c r="AN79"/>
  <c r="K145"/>
  <c r="M145"/>
  <c r="O145"/>
  <c r="Q145"/>
  <c r="S145"/>
  <c r="AG145"/>
  <c r="AK145"/>
  <c r="J145"/>
  <c r="N145"/>
  <c r="R145"/>
  <c r="T145"/>
  <c r="V145"/>
  <c r="X145"/>
  <c r="AH145"/>
  <c r="U145"/>
  <c r="W145"/>
  <c r="Y145"/>
  <c r="AA145"/>
  <c r="AC145"/>
  <c r="AE145"/>
  <c r="AI145"/>
  <c r="AM145"/>
  <c r="L145"/>
  <c r="P145"/>
  <c r="Z145"/>
  <c r="AB145"/>
  <c r="AD145"/>
  <c r="AF145"/>
  <c r="AL145"/>
  <c r="AJ145"/>
  <c r="AN145"/>
  <c r="M121"/>
  <c r="Q121"/>
  <c r="S121"/>
  <c r="AG121"/>
  <c r="AK121"/>
  <c r="AH121"/>
  <c r="K121"/>
  <c r="O121"/>
  <c r="U121"/>
  <c r="W121"/>
  <c r="Y121"/>
  <c r="AA121"/>
  <c r="AC121"/>
  <c r="AE121"/>
  <c r="AI121"/>
  <c r="AM121"/>
  <c r="J121"/>
  <c r="L121"/>
  <c r="N121"/>
  <c r="P121"/>
  <c r="R121"/>
  <c r="T121"/>
  <c r="V121"/>
  <c r="X121"/>
  <c r="Z121"/>
  <c r="AB121"/>
  <c r="AD121"/>
  <c r="AF121"/>
  <c r="AL121"/>
  <c r="AJ121"/>
  <c r="AN121"/>
  <c r="K8"/>
  <c r="O8"/>
  <c r="S8"/>
  <c r="W8"/>
  <c r="AA8"/>
  <c r="AE8"/>
  <c r="AI8"/>
  <c r="AM8"/>
  <c r="M8"/>
  <c r="Q8"/>
  <c r="U8"/>
  <c r="Y8"/>
  <c r="AC8"/>
  <c r="AG8"/>
  <c r="AK8"/>
  <c r="L8"/>
  <c r="P8"/>
  <c r="T8"/>
  <c r="X8"/>
  <c r="AB8"/>
  <c r="AF8"/>
  <c r="AJ8"/>
  <c r="AN8"/>
  <c r="J8"/>
  <c r="N8"/>
  <c r="R8"/>
  <c r="V8"/>
  <c r="Z8"/>
  <c r="AD8"/>
  <c r="AH8"/>
  <c r="AL8"/>
  <c r="K150"/>
  <c r="M150"/>
  <c r="O150"/>
  <c r="Q150"/>
  <c r="S150"/>
  <c r="W150"/>
  <c r="AA150"/>
  <c r="AE150"/>
  <c r="AG150"/>
  <c r="AI150"/>
  <c r="AK150"/>
  <c r="AM150"/>
  <c r="J150"/>
  <c r="L150"/>
  <c r="N150"/>
  <c r="P150"/>
  <c r="AH150"/>
  <c r="U150"/>
  <c r="Y150"/>
  <c r="AC150"/>
  <c r="R150"/>
  <c r="T150"/>
  <c r="V150"/>
  <c r="X150"/>
  <c r="Z150"/>
  <c r="AB150"/>
  <c r="AD150"/>
  <c r="AF150"/>
  <c r="AL150"/>
  <c r="AJ150"/>
  <c r="AN150"/>
  <c r="K52"/>
  <c r="M52"/>
  <c r="O52"/>
  <c r="Q52"/>
  <c r="S52"/>
  <c r="U52"/>
  <c r="W52"/>
  <c r="Y52"/>
  <c r="AA52"/>
  <c r="AC52"/>
  <c r="AG52"/>
  <c r="AK52"/>
  <c r="AE52"/>
  <c r="AI52"/>
  <c r="AM52"/>
  <c r="J52"/>
  <c r="L52"/>
  <c r="N52"/>
  <c r="P52"/>
  <c r="R52"/>
  <c r="T52"/>
  <c r="V52"/>
  <c r="X52"/>
  <c r="Z52"/>
  <c r="AB52"/>
  <c r="AD52"/>
  <c r="AF52"/>
  <c r="AH52"/>
  <c r="AJ52"/>
  <c r="AN52"/>
  <c r="AL52"/>
  <c r="AG69"/>
  <c r="AK69"/>
  <c r="J69"/>
  <c r="L69"/>
  <c r="N69"/>
  <c r="P69"/>
  <c r="R69"/>
  <c r="T69"/>
  <c r="V69"/>
  <c r="X69"/>
  <c r="Z69"/>
  <c r="AB69"/>
  <c r="AD69"/>
  <c r="AF69"/>
  <c r="K69"/>
  <c r="M69"/>
  <c r="O69"/>
  <c r="Q69"/>
  <c r="S69"/>
  <c r="U69"/>
  <c r="W69"/>
  <c r="Y69"/>
  <c r="AA69"/>
  <c r="AC69"/>
  <c r="AE69"/>
  <c r="AI69"/>
  <c r="AM69"/>
  <c r="AH69"/>
  <c r="AJ69"/>
  <c r="AN69"/>
  <c r="AL69"/>
  <c r="K88"/>
  <c r="M88"/>
  <c r="O88"/>
  <c r="Q88"/>
  <c r="S88"/>
  <c r="U88"/>
  <c r="W88"/>
  <c r="Y88"/>
  <c r="AA88"/>
  <c r="AC88"/>
  <c r="AG88"/>
  <c r="AK88"/>
  <c r="AE88"/>
  <c r="AI88"/>
  <c r="AM88"/>
  <c r="J88"/>
  <c r="L88"/>
  <c r="N88"/>
  <c r="P88"/>
  <c r="R88"/>
  <c r="T88"/>
  <c r="V88"/>
  <c r="X88"/>
  <c r="Z88"/>
  <c r="AB88"/>
  <c r="AD88"/>
  <c r="AF88"/>
  <c r="AH88"/>
  <c r="AJ88"/>
  <c r="AN88"/>
  <c r="AL88"/>
  <c r="K92"/>
  <c r="M92"/>
  <c r="O92"/>
  <c r="Q92"/>
  <c r="S92"/>
  <c r="U92"/>
  <c r="W92"/>
  <c r="Y92"/>
  <c r="AA92"/>
  <c r="AC92"/>
  <c r="AG92"/>
  <c r="AK92"/>
  <c r="AE92"/>
  <c r="AI92"/>
  <c r="AM92"/>
  <c r="J92"/>
  <c r="L92"/>
  <c r="N92"/>
  <c r="P92"/>
  <c r="R92"/>
  <c r="T92"/>
  <c r="V92"/>
  <c r="X92"/>
  <c r="Z92"/>
  <c r="AB92"/>
  <c r="AD92"/>
  <c r="AF92"/>
  <c r="AH92"/>
  <c r="AJ92"/>
  <c r="AN92"/>
  <c r="AL92"/>
  <c r="AA140"/>
  <c r="AE140"/>
  <c r="AG140"/>
  <c r="AI140"/>
  <c r="AK140"/>
  <c r="AM140"/>
  <c r="AH140"/>
  <c r="K140"/>
  <c r="M140"/>
  <c r="O140"/>
  <c r="Q140"/>
  <c r="S140"/>
  <c r="U140"/>
  <c r="W140"/>
  <c r="Y140"/>
  <c r="AC140"/>
  <c r="J140"/>
  <c r="L140"/>
  <c r="N140"/>
  <c r="P140"/>
  <c r="R140"/>
  <c r="T140"/>
  <c r="V140"/>
  <c r="X140"/>
  <c r="Z140"/>
  <c r="AB140"/>
  <c r="AD140"/>
  <c r="AF140"/>
  <c r="AL140"/>
  <c r="AJ140"/>
  <c r="AN140"/>
  <c r="L9"/>
  <c r="P9"/>
  <c r="T9"/>
  <c r="X9"/>
  <c r="AB9"/>
  <c r="AF9"/>
  <c r="AJ9"/>
  <c r="AN9"/>
  <c r="J9"/>
  <c r="N9"/>
  <c r="R9"/>
  <c r="V9"/>
  <c r="Z9"/>
  <c r="AD9"/>
  <c r="AH9"/>
  <c r="AL9"/>
  <c r="M9"/>
  <c r="Q9"/>
  <c r="U9"/>
  <c r="Y9"/>
  <c r="AC9"/>
  <c r="AG9"/>
  <c r="AK9"/>
  <c r="K9"/>
  <c r="O9"/>
  <c r="S9"/>
  <c r="W9"/>
  <c r="AA9"/>
  <c r="AE9"/>
  <c r="AI9"/>
  <c r="AM9"/>
  <c r="U139"/>
  <c r="W139"/>
  <c r="Y139"/>
  <c r="AA139"/>
  <c r="AC139"/>
  <c r="AE139"/>
  <c r="AI139"/>
  <c r="AM139"/>
  <c r="L139"/>
  <c r="P139"/>
  <c r="Z139"/>
  <c r="AB139"/>
  <c r="AD139"/>
  <c r="AF139"/>
  <c r="K139"/>
  <c r="M139"/>
  <c r="O139"/>
  <c r="Q139"/>
  <c r="S139"/>
  <c r="AG139"/>
  <c r="AK139"/>
  <c r="J139"/>
  <c r="N139"/>
  <c r="R139"/>
  <c r="T139"/>
  <c r="V139"/>
  <c r="X139"/>
  <c r="AH139"/>
  <c r="AJ139"/>
  <c r="AN139"/>
  <c r="AL139"/>
  <c r="M26"/>
  <c r="Q26"/>
  <c r="U26"/>
  <c r="Y26"/>
  <c r="AC26"/>
  <c r="AG26"/>
  <c r="AK26"/>
  <c r="K26"/>
  <c r="O26"/>
  <c r="S26"/>
  <c r="W26"/>
  <c r="AA26"/>
  <c r="AE26"/>
  <c r="AI26"/>
  <c r="AM26"/>
  <c r="J26"/>
  <c r="N26"/>
  <c r="R26"/>
  <c r="V26"/>
  <c r="Z26"/>
  <c r="AD26"/>
  <c r="AH26"/>
  <c r="AL26"/>
  <c r="L26"/>
  <c r="P26"/>
  <c r="T26"/>
  <c r="X26"/>
  <c r="AB26"/>
  <c r="AF26"/>
  <c r="AJ26"/>
  <c r="AN26"/>
  <c r="AE78"/>
  <c r="AI78"/>
  <c r="AM78"/>
  <c r="J78"/>
  <c r="L78"/>
  <c r="N78"/>
  <c r="P78"/>
  <c r="R78"/>
  <c r="T78"/>
  <c r="V78"/>
  <c r="X78"/>
  <c r="Z78"/>
  <c r="AB78"/>
  <c r="AD78"/>
  <c r="AF78"/>
  <c r="AH78"/>
  <c r="K78"/>
  <c r="M78"/>
  <c r="O78"/>
  <c r="Q78"/>
  <c r="S78"/>
  <c r="U78"/>
  <c r="W78"/>
  <c r="Y78"/>
  <c r="AA78"/>
  <c r="AC78"/>
  <c r="AG78"/>
  <c r="AK78"/>
  <c r="AL78"/>
  <c r="AJ78"/>
  <c r="AN78"/>
  <c r="AI104"/>
  <c r="AM104"/>
  <c r="V104"/>
  <c r="Z104"/>
  <c r="AD104"/>
  <c r="K104"/>
  <c r="M104"/>
  <c r="O104"/>
  <c r="Q104"/>
  <c r="S104"/>
  <c r="U104"/>
  <c r="W104"/>
  <c r="Y104"/>
  <c r="AA104"/>
  <c r="AC104"/>
  <c r="AE104"/>
  <c r="AG104"/>
  <c r="AK104"/>
  <c r="J104"/>
  <c r="L104"/>
  <c r="N104"/>
  <c r="P104"/>
  <c r="R104"/>
  <c r="T104"/>
  <c r="X104"/>
  <c r="AB104"/>
  <c r="AF104"/>
  <c r="AH104"/>
  <c r="AJ104"/>
  <c r="AL104"/>
  <c r="AN104"/>
  <c r="J3"/>
  <c r="N3"/>
  <c r="R3"/>
  <c r="V3"/>
  <c r="Z3"/>
  <c r="AD3"/>
  <c r="AH3"/>
  <c r="AL3"/>
  <c r="L3"/>
  <c r="P3"/>
  <c r="T3"/>
  <c r="X3"/>
  <c r="AB3"/>
  <c r="AF3"/>
  <c r="AJ3"/>
  <c r="AN3"/>
  <c r="K3"/>
  <c r="O3"/>
  <c r="S3"/>
  <c r="W3"/>
  <c r="AA3"/>
  <c r="AE3"/>
  <c r="AI3"/>
  <c r="AM3"/>
  <c r="M3"/>
  <c r="Q3"/>
  <c r="U3"/>
  <c r="Y3"/>
  <c r="AC3"/>
  <c r="AG3"/>
  <c r="AK3"/>
  <c r="K141"/>
  <c r="M141"/>
  <c r="O141"/>
  <c r="Q141"/>
  <c r="S141"/>
  <c r="AG141"/>
  <c r="AK141"/>
  <c r="J141"/>
  <c r="N141"/>
  <c r="R141"/>
  <c r="T141"/>
  <c r="V141"/>
  <c r="X141"/>
  <c r="AH141"/>
  <c r="U141"/>
  <c r="W141"/>
  <c r="Y141"/>
  <c r="AA141"/>
  <c r="AC141"/>
  <c r="AE141"/>
  <c r="AI141"/>
  <c r="AM141"/>
  <c r="L141"/>
  <c r="P141"/>
  <c r="Z141"/>
  <c r="AB141"/>
  <c r="AD141"/>
  <c r="AF141"/>
  <c r="AL141"/>
  <c r="AJ141"/>
  <c r="AN141"/>
  <c r="K163"/>
  <c r="M163"/>
  <c r="O163"/>
  <c r="Q163"/>
  <c r="S163"/>
  <c r="U163"/>
  <c r="W163"/>
  <c r="Y163"/>
  <c r="AA163"/>
  <c r="AC163"/>
  <c r="AE163"/>
  <c r="AI163"/>
  <c r="AM163"/>
  <c r="AH163"/>
  <c r="AG163"/>
  <c r="AK163"/>
  <c r="J163"/>
  <c r="L163"/>
  <c r="N163"/>
  <c r="P163"/>
  <c r="R163"/>
  <c r="T163"/>
  <c r="V163"/>
  <c r="X163"/>
  <c r="Z163"/>
  <c r="AB163"/>
  <c r="AD163"/>
  <c r="AF163"/>
  <c r="AL163"/>
  <c r="AJ163"/>
  <c r="AN163"/>
  <c r="AG161"/>
  <c r="AK161"/>
  <c r="J161"/>
  <c r="L161"/>
  <c r="N161"/>
  <c r="P161"/>
  <c r="R161"/>
  <c r="T161"/>
  <c r="V161"/>
  <c r="X161"/>
  <c r="Z161"/>
  <c r="AB161"/>
  <c r="AD161"/>
  <c r="AF161"/>
  <c r="K161"/>
  <c r="M161"/>
  <c r="O161"/>
  <c r="Q161"/>
  <c r="S161"/>
  <c r="U161"/>
  <c r="W161"/>
  <c r="Y161"/>
  <c r="AA161"/>
  <c r="AC161"/>
  <c r="AE161"/>
  <c r="AI161"/>
  <c r="AM161"/>
  <c r="AH161"/>
  <c r="AJ161"/>
  <c r="AN161"/>
  <c r="AL161"/>
  <c r="K100"/>
  <c r="M100"/>
  <c r="O100"/>
  <c r="Q100"/>
  <c r="S100"/>
  <c r="U100"/>
  <c r="W100"/>
  <c r="Y100"/>
  <c r="AA100"/>
  <c r="AC100"/>
  <c r="AG100"/>
  <c r="AK100"/>
  <c r="AE100"/>
  <c r="AI100"/>
  <c r="AM100"/>
  <c r="J100"/>
  <c r="L100"/>
  <c r="N100"/>
  <c r="P100"/>
  <c r="R100"/>
  <c r="T100"/>
  <c r="V100"/>
  <c r="X100"/>
  <c r="Z100"/>
  <c r="AB100"/>
  <c r="AD100"/>
  <c r="AF100"/>
  <c r="AH100"/>
  <c r="AJ100"/>
  <c r="AN100"/>
  <c r="AL100"/>
  <c r="AI3" i="3"/>
  <c r="AV3" s="1"/>
  <c r="W3"/>
  <c r="V4"/>
  <c r="AI4" s="1"/>
  <c r="I3"/>
  <c r="W74" i="7"/>
  <c r="U74"/>
  <c r="S74"/>
  <c r="Q74"/>
  <c r="O74"/>
  <c r="T74"/>
  <c r="R74"/>
  <c r="P74"/>
  <c r="X74"/>
  <c r="T107"/>
  <c r="R107"/>
  <c r="P107"/>
  <c r="W107"/>
  <c r="U107"/>
  <c r="S107"/>
  <c r="Q107"/>
  <c r="O107"/>
  <c r="X107"/>
  <c r="W161"/>
  <c r="U161"/>
  <c r="S161"/>
  <c r="Q161"/>
  <c r="O161"/>
  <c r="T161"/>
  <c r="R161"/>
  <c r="P161"/>
  <c r="X161"/>
  <c r="W118"/>
  <c r="U118"/>
  <c r="S118"/>
  <c r="Q118"/>
  <c r="O118"/>
  <c r="T118"/>
  <c r="R118"/>
  <c r="P118"/>
  <c r="X118"/>
  <c r="T27"/>
  <c r="R27"/>
  <c r="P27"/>
  <c r="W27"/>
  <c r="U27"/>
  <c r="S27"/>
  <c r="Q27"/>
  <c r="O27"/>
  <c r="X27"/>
  <c r="T13"/>
  <c r="R13"/>
  <c r="P13"/>
  <c r="W13"/>
  <c r="U13"/>
  <c r="S13"/>
  <c r="Q13"/>
  <c r="O13"/>
  <c r="X13"/>
  <c r="T31"/>
  <c r="R31"/>
  <c r="P31"/>
  <c r="W31"/>
  <c r="S31"/>
  <c r="O31"/>
  <c r="U31"/>
  <c r="Q31"/>
  <c r="X31"/>
  <c r="W135"/>
  <c r="U135"/>
  <c r="S135"/>
  <c r="Q135"/>
  <c r="O135"/>
  <c r="T135"/>
  <c r="R135"/>
  <c r="P135"/>
  <c r="X135"/>
  <c r="W115"/>
  <c r="U115"/>
  <c r="S115"/>
  <c r="Q115"/>
  <c r="O115"/>
  <c r="T115"/>
  <c r="R115"/>
  <c r="P115"/>
  <c r="X115"/>
  <c r="W121"/>
  <c r="U121"/>
  <c r="S121"/>
  <c r="Q121"/>
  <c r="O121"/>
  <c r="T121"/>
  <c r="R121"/>
  <c r="P121"/>
  <c r="X121"/>
  <c r="T18"/>
  <c r="R18"/>
  <c r="P18"/>
  <c r="W18"/>
  <c r="U18"/>
  <c r="S18"/>
  <c r="Q18"/>
  <c r="O18"/>
  <c r="X18"/>
  <c r="W63"/>
  <c r="U63"/>
  <c r="S63"/>
  <c r="Q63"/>
  <c r="O63"/>
  <c r="T63"/>
  <c r="R63"/>
  <c r="P63"/>
  <c r="X63"/>
  <c r="T6"/>
  <c r="R6"/>
  <c r="P6"/>
  <c r="W6"/>
  <c r="S6"/>
  <c r="O6"/>
  <c r="U6"/>
  <c r="Q6"/>
  <c r="X6"/>
  <c r="W116"/>
  <c r="U116"/>
  <c r="S116"/>
  <c r="Q116"/>
  <c r="O116"/>
  <c r="T116"/>
  <c r="R116"/>
  <c r="P116"/>
  <c r="X116"/>
  <c r="W153"/>
  <c r="U153"/>
  <c r="S153"/>
  <c r="Q153"/>
  <c r="O153"/>
  <c r="T153"/>
  <c r="R153"/>
  <c r="P153"/>
  <c r="X153"/>
  <c r="W81"/>
  <c r="U81"/>
  <c r="S81"/>
  <c r="Q81"/>
  <c r="O81"/>
  <c r="T81"/>
  <c r="R81"/>
  <c r="P81"/>
  <c r="X81"/>
  <c r="W157"/>
  <c r="U157"/>
  <c r="S157"/>
  <c r="Q157"/>
  <c r="O157"/>
  <c r="T157"/>
  <c r="R157"/>
  <c r="P157"/>
  <c r="X157"/>
  <c r="T11"/>
  <c r="R11"/>
  <c r="P11"/>
  <c r="W11"/>
  <c r="U11"/>
  <c r="S11"/>
  <c r="Q11"/>
  <c r="O11"/>
  <c r="X11"/>
  <c r="T41"/>
  <c r="R41"/>
  <c r="P41"/>
  <c r="W41"/>
  <c r="S41"/>
  <c r="O41"/>
  <c r="U41"/>
  <c r="Q41"/>
  <c r="X41"/>
  <c r="W77"/>
  <c r="U77"/>
  <c r="S77"/>
  <c r="Q77"/>
  <c r="O77"/>
  <c r="T77"/>
  <c r="R77"/>
  <c r="P77"/>
  <c r="X77"/>
  <c r="W134"/>
  <c r="U134"/>
  <c r="S134"/>
  <c r="Q134"/>
  <c r="O134"/>
  <c r="T134"/>
  <c r="R134"/>
  <c r="P134"/>
  <c r="X134"/>
  <c r="W164"/>
  <c r="U164"/>
  <c r="S164"/>
  <c r="Q164"/>
  <c r="O164"/>
  <c r="T164"/>
  <c r="R164"/>
  <c r="P164"/>
  <c r="X164"/>
  <c r="T43"/>
  <c r="R43"/>
  <c r="P43"/>
  <c r="W43"/>
  <c r="S43"/>
  <c r="O43"/>
  <c r="U43"/>
  <c r="Q43"/>
  <c r="X43"/>
  <c r="W122"/>
  <c r="U122"/>
  <c r="S122"/>
  <c r="Q122"/>
  <c r="O122"/>
  <c r="T122"/>
  <c r="R122"/>
  <c r="P122"/>
  <c r="X122"/>
  <c r="W54"/>
  <c r="U54"/>
  <c r="S54"/>
  <c r="Q54"/>
  <c r="O54"/>
  <c r="T54"/>
  <c r="R54"/>
  <c r="P54"/>
  <c r="X54"/>
  <c r="W136"/>
  <c r="U136"/>
  <c r="S136"/>
  <c r="Q136"/>
  <c r="O136"/>
  <c r="T136"/>
  <c r="R136"/>
  <c r="P136"/>
  <c r="X136"/>
  <c r="T5"/>
  <c r="R5"/>
  <c r="P5"/>
  <c r="W5"/>
  <c r="S5"/>
  <c r="O5"/>
  <c r="U5"/>
  <c r="Q5"/>
  <c r="X5"/>
  <c r="T104"/>
  <c r="R104"/>
  <c r="P104"/>
  <c r="W104"/>
  <c r="U104"/>
  <c r="S104"/>
  <c r="Q104"/>
  <c r="O104"/>
  <c r="X104"/>
  <c r="W79"/>
  <c r="U79"/>
  <c r="S79"/>
  <c r="Q79"/>
  <c r="O79"/>
  <c r="T79"/>
  <c r="R79"/>
  <c r="P79"/>
  <c r="X79"/>
  <c r="T32"/>
  <c r="R32"/>
  <c r="P32"/>
  <c r="W32"/>
  <c r="S32"/>
  <c r="O32"/>
  <c r="U32"/>
  <c r="Q32"/>
  <c r="X32"/>
  <c r="T16"/>
  <c r="R16"/>
  <c r="P16"/>
  <c r="W16"/>
  <c r="U16"/>
  <c r="S16"/>
  <c r="Q16"/>
  <c r="O16"/>
  <c r="X16"/>
  <c r="T30"/>
  <c r="R30"/>
  <c r="P30"/>
  <c r="W30"/>
  <c r="S30"/>
  <c r="O30"/>
  <c r="U30"/>
  <c r="Q30"/>
  <c r="X30"/>
  <c r="W144"/>
  <c r="U144"/>
  <c r="S144"/>
  <c r="Q144"/>
  <c r="O144"/>
  <c r="T144"/>
  <c r="R144"/>
  <c r="P144"/>
  <c r="X144"/>
  <c r="W111"/>
  <c r="U111"/>
  <c r="S111"/>
  <c r="Q111"/>
  <c r="O111"/>
  <c r="T111"/>
  <c r="R111"/>
  <c r="P111"/>
  <c r="X111"/>
  <c r="W52"/>
  <c r="U52"/>
  <c r="S52"/>
  <c r="Q52"/>
  <c r="O52"/>
  <c r="T52"/>
  <c r="R52"/>
  <c r="P52"/>
  <c r="X52"/>
  <c r="T96"/>
  <c r="R96"/>
  <c r="P96"/>
  <c r="W96"/>
  <c r="U96"/>
  <c r="S96"/>
  <c r="Q96"/>
  <c r="O96"/>
  <c r="X96"/>
  <c r="T100"/>
  <c r="R100"/>
  <c r="P100"/>
  <c r="W100"/>
  <c r="U100"/>
  <c r="S100"/>
  <c r="Q100"/>
  <c r="O100"/>
  <c r="X100"/>
  <c r="T93"/>
  <c r="R93"/>
  <c r="P93"/>
  <c r="W93"/>
  <c r="U93"/>
  <c r="S93"/>
  <c r="Q93"/>
  <c r="O93"/>
  <c r="X93"/>
  <c r="W131"/>
  <c r="U131"/>
  <c r="S131"/>
  <c r="Q131"/>
  <c r="O131"/>
  <c r="T131"/>
  <c r="R131"/>
  <c r="P131"/>
  <c r="X131"/>
  <c r="W113"/>
  <c r="U113"/>
  <c r="S113"/>
  <c r="Q113"/>
  <c r="O113"/>
  <c r="T113"/>
  <c r="R113"/>
  <c r="P113"/>
  <c r="X113"/>
  <c r="T89"/>
  <c r="R89"/>
  <c r="P89"/>
  <c r="W89"/>
  <c r="U89"/>
  <c r="S89"/>
  <c r="Q89"/>
  <c r="O89"/>
  <c r="X89"/>
  <c r="T20"/>
  <c r="R20"/>
  <c r="P20"/>
  <c r="W20"/>
  <c r="U20"/>
  <c r="S20"/>
  <c r="Q20"/>
  <c r="O20"/>
  <c r="X20"/>
  <c r="W78"/>
  <c r="U78"/>
  <c r="S78"/>
  <c r="Q78"/>
  <c r="O78"/>
  <c r="T78"/>
  <c r="R78"/>
  <c r="P78"/>
  <c r="X78"/>
  <c r="W51"/>
  <c r="U51"/>
  <c r="S51"/>
  <c r="Q51"/>
  <c r="O51"/>
  <c r="T51"/>
  <c r="R51"/>
  <c r="P51"/>
  <c r="X51"/>
  <c r="W56"/>
  <c r="U56"/>
  <c r="S56"/>
  <c r="Q56"/>
  <c r="O56"/>
  <c r="T56"/>
  <c r="R56"/>
  <c r="P56"/>
  <c r="X56"/>
  <c r="W159"/>
  <c r="U159"/>
  <c r="S159"/>
  <c r="Q159"/>
  <c r="O159"/>
  <c r="T159"/>
  <c r="R159"/>
  <c r="P159"/>
  <c r="X159"/>
  <c r="W60"/>
  <c r="U60"/>
  <c r="S60"/>
  <c r="Q60"/>
  <c r="O60"/>
  <c r="T60"/>
  <c r="R60"/>
  <c r="P60"/>
  <c r="X60"/>
  <c r="W147"/>
  <c r="U147"/>
  <c r="S147"/>
  <c r="Q147"/>
  <c r="O147"/>
  <c r="T147"/>
  <c r="R147"/>
  <c r="P147"/>
  <c r="X147"/>
  <c r="T87"/>
  <c r="R87"/>
  <c r="P87"/>
  <c r="U87"/>
  <c r="Q87"/>
  <c r="W87"/>
  <c r="S87"/>
  <c r="O87"/>
  <c r="X87"/>
  <c r="W141"/>
  <c r="U141"/>
  <c r="S141"/>
  <c r="Q141"/>
  <c r="O141"/>
  <c r="T141"/>
  <c r="R141"/>
  <c r="P141"/>
  <c r="X141"/>
  <c r="T92"/>
  <c r="R92"/>
  <c r="P92"/>
  <c r="W92"/>
  <c r="U92"/>
  <c r="S92"/>
  <c r="Q92"/>
  <c r="O92"/>
  <c r="X92"/>
  <c r="W125"/>
  <c r="U125"/>
  <c r="S125"/>
  <c r="Q125"/>
  <c r="O125"/>
  <c r="T125"/>
  <c r="R125"/>
  <c r="P125"/>
  <c r="X125"/>
  <c r="W50"/>
  <c r="U50"/>
  <c r="S50"/>
  <c r="Q50"/>
  <c r="O50"/>
  <c r="T50"/>
  <c r="R50"/>
  <c r="P50"/>
  <c r="X50"/>
  <c r="T9"/>
  <c r="R9"/>
  <c r="P9"/>
  <c r="W9"/>
  <c r="U9"/>
  <c r="S9"/>
  <c r="Q9"/>
  <c r="O9"/>
  <c r="X9"/>
  <c r="T12"/>
  <c r="R12"/>
  <c r="P12"/>
  <c r="W12"/>
  <c r="U12"/>
  <c r="S12"/>
  <c r="Q12"/>
  <c r="O12"/>
  <c r="X12"/>
  <c r="W124"/>
  <c r="U124"/>
  <c r="S124"/>
  <c r="Q124"/>
  <c r="O124"/>
  <c r="T124"/>
  <c r="R124"/>
  <c r="P124"/>
  <c r="X124"/>
  <c r="W71"/>
  <c r="U71"/>
  <c r="S71"/>
  <c r="Q71"/>
  <c r="O71"/>
  <c r="T71"/>
  <c r="R71"/>
  <c r="P71"/>
  <c r="X71"/>
  <c r="W150"/>
  <c r="U150"/>
  <c r="S150"/>
  <c r="Q150"/>
  <c r="O150"/>
  <c r="T150"/>
  <c r="R150"/>
  <c r="P150"/>
  <c r="X150"/>
  <c r="W143"/>
  <c r="U143"/>
  <c r="S143"/>
  <c r="Q143"/>
  <c r="O143"/>
  <c r="T143"/>
  <c r="R143"/>
  <c r="P143"/>
  <c r="X143"/>
  <c r="W128"/>
  <c r="U128"/>
  <c r="S128"/>
  <c r="Q128"/>
  <c r="O128"/>
  <c r="T128"/>
  <c r="R128"/>
  <c r="P128"/>
  <c r="X128"/>
  <c r="T103"/>
  <c r="R103"/>
  <c r="P103"/>
  <c r="W103"/>
  <c r="U103"/>
  <c r="S103"/>
  <c r="Q103"/>
  <c r="O103"/>
  <c r="X103"/>
  <c r="W112"/>
  <c r="U112"/>
  <c r="S112"/>
  <c r="Q112"/>
  <c r="O112"/>
  <c r="T112"/>
  <c r="R112"/>
  <c r="P112"/>
  <c r="X112"/>
  <c r="T7"/>
  <c r="R7"/>
  <c r="P7"/>
  <c r="W7"/>
  <c r="U7"/>
  <c r="S7"/>
  <c r="Q7"/>
  <c r="O7"/>
  <c r="X7"/>
  <c r="T14"/>
  <c r="R14"/>
  <c r="P14"/>
  <c r="W14"/>
  <c r="U14"/>
  <c r="S14"/>
  <c r="Q14"/>
  <c r="O14"/>
  <c r="X14"/>
  <c r="T23"/>
  <c r="R23"/>
  <c r="P23"/>
  <c r="W23"/>
  <c r="U23"/>
  <c r="S23"/>
  <c r="Q23"/>
  <c r="O23"/>
  <c r="X23"/>
  <c r="T109"/>
  <c r="R109"/>
  <c r="P109"/>
  <c r="W109"/>
  <c r="U109"/>
  <c r="S109"/>
  <c r="Q109"/>
  <c r="O109"/>
  <c r="X109"/>
  <c r="T19"/>
  <c r="R19"/>
  <c r="P19"/>
  <c r="W19"/>
  <c r="U19"/>
  <c r="S19"/>
  <c r="Q19"/>
  <c r="O19"/>
  <c r="X19"/>
  <c r="T98"/>
  <c r="R98"/>
  <c r="P98"/>
  <c r="W98"/>
  <c r="U98"/>
  <c r="S98"/>
  <c r="Q98"/>
  <c r="O98"/>
  <c r="X98"/>
  <c r="T35"/>
  <c r="R35"/>
  <c r="P35"/>
  <c r="W35"/>
  <c r="S35"/>
  <c r="O35"/>
  <c r="U35"/>
  <c r="Q35"/>
  <c r="X35"/>
  <c r="W117"/>
  <c r="U117"/>
  <c r="S117"/>
  <c r="Q117"/>
  <c r="O117"/>
  <c r="T117"/>
  <c r="R117"/>
  <c r="P117"/>
  <c r="X117"/>
  <c r="T83"/>
  <c r="R83"/>
  <c r="P83"/>
  <c r="U83"/>
  <c r="Q83"/>
  <c r="W83"/>
  <c r="S83"/>
  <c r="O83"/>
  <c r="X83"/>
  <c r="W68"/>
  <c r="U68"/>
  <c r="S68"/>
  <c r="Q68"/>
  <c r="O68"/>
  <c r="T68"/>
  <c r="R68"/>
  <c r="P68"/>
  <c r="X68"/>
  <c r="W61"/>
  <c r="U61"/>
  <c r="S61"/>
  <c r="Q61"/>
  <c r="O61"/>
  <c r="T61"/>
  <c r="R61"/>
  <c r="P61"/>
  <c r="X61"/>
  <c r="T99"/>
  <c r="R99"/>
  <c r="P99"/>
  <c r="W99"/>
  <c r="U99"/>
  <c r="S99"/>
  <c r="Q99"/>
  <c r="O99"/>
  <c r="X99"/>
  <c r="T21"/>
  <c r="R21"/>
  <c r="P21"/>
  <c r="W21"/>
  <c r="U21"/>
  <c r="S21"/>
  <c r="Q21"/>
  <c r="O21"/>
  <c r="X21"/>
  <c r="W57"/>
  <c r="U57"/>
  <c r="S57"/>
  <c r="Q57"/>
  <c r="O57"/>
  <c r="T57"/>
  <c r="R57"/>
  <c r="P57"/>
  <c r="X57"/>
  <c r="W75"/>
  <c r="U75"/>
  <c r="S75"/>
  <c r="Q75"/>
  <c r="O75"/>
  <c r="T75"/>
  <c r="R75"/>
  <c r="P75"/>
  <c r="X75"/>
  <c r="T105"/>
  <c r="R105"/>
  <c r="P105"/>
  <c r="W105"/>
  <c r="U105"/>
  <c r="S105"/>
  <c r="Q105"/>
  <c r="O105"/>
  <c r="X105"/>
  <c r="T86"/>
  <c r="R86"/>
  <c r="P86"/>
  <c r="U86"/>
  <c r="Q86"/>
  <c r="W86"/>
  <c r="S86"/>
  <c r="O86"/>
  <c r="X86"/>
  <c r="W123"/>
  <c r="U123"/>
  <c r="S123"/>
  <c r="Q123"/>
  <c r="O123"/>
  <c r="T123"/>
  <c r="R123"/>
  <c r="P123"/>
  <c r="X123"/>
  <c r="W127"/>
  <c r="U127"/>
  <c r="S127"/>
  <c r="Q127"/>
  <c r="O127"/>
  <c r="T127"/>
  <c r="R127"/>
  <c r="P127"/>
  <c r="X127"/>
  <c r="T28"/>
  <c r="R28"/>
  <c r="P28"/>
  <c r="W28"/>
  <c r="S28"/>
  <c r="O28"/>
  <c r="U28"/>
  <c r="Q28"/>
  <c r="X28"/>
  <c r="W162"/>
  <c r="U162"/>
  <c r="S162"/>
  <c r="Q162"/>
  <c r="O162"/>
  <c r="T162"/>
  <c r="R162"/>
  <c r="P162"/>
  <c r="X162"/>
  <c r="W149"/>
  <c r="U149"/>
  <c r="S149"/>
  <c r="Q149"/>
  <c r="O149"/>
  <c r="T149"/>
  <c r="R149"/>
  <c r="P149"/>
  <c r="X149"/>
  <c r="T97"/>
  <c r="R97"/>
  <c r="P97"/>
  <c r="W97"/>
  <c r="U97"/>
  <c r="S97"/>
  <c r="Q97"/>
  <c r="O97"/>
  <c r="X97"/>
  <c r="W67"/>
  <c r="U67"/>
  <c r="S67"/>
  <c r="Q67"/>
  <c r="O67"/>
  <c r="T67"/>
  <c r="R67"/>
  <c r="P67"/>
  <c r="X67"/>
  <c r="T29"/>
  <c r="R29"/>
  <c r="P29"/>
  <c r="W29"/>
  <c r="S29"/>
  <c r="O29"/>
  <c r="U29"/>
  <c r="Q29"/>
  <c r="X29"/>
  <c r="T37"/>
  <c r="R37"/>
  <c r="P37"/>
  <c r="W37"/>
  <c r="S37"/>
  <c r="O37"/>
  <c r="U37"/>
  <c r="Q37"/>
  <c r="X37"/>
  <c r="T90"/>
  <c r="R90"/>
  <c r="P90"/>
  <c r="W90"/>
  <c r="U90"/>
  <c r="S90"/>
  <c r="Q90"/>
  <c r="O90"/>
  <c r="X90"/>
  <c r="T25"/>
  <c r="R25"/>
  <c r="P25"/>
  <c r="W25"/>
  <c r="U25"/>
  <c r="S25"/>
  <c r="Q25"/>
  <c r="O25"/>
  <c r="X25"/>
  <c r="W165"/>
  <c r="U165"/>
  <c r="S165"/>
  <c r="Q165"/>
  <c r="O165"/>
  <c r="T165"/>
  <c r="R165"/>
  <c r="P165"/>
  <c r="X165"/>
  <c r="T39"/>
  <c r="R39"/>
  <c r="P39"/>
  <c r="W39"/>
  <c r="S39"/>
  <c r="O39"/>
  <c r="U39"/>
  <c r="Q39"/>
  <c r="X39"/>
  <c r="W69"/>
  <c r="U69"/>
  <c r="S69"/>
  <c r="Q69"/>
  <c r="O69"/>
  <c r="T69"/>
  <c r="R69"/>
  <c r="P69"/>
  <c r="X69"/>
  <c r="W155"/>
  <c r="U155"/>
  <c r="S155"/>
  <c r="Q155"/>
  <c r="O155"/>
  <c r="T155"/>
  <c r="R155"/>
  <c r="P155"/>
  <c r="X155"/>
  <c r="W59"/>
  <c r="U59"/>
  <c r="S59"/>
  <c r="Q59"/>
  <c r="O59"/>
  <c r="T59"/>
  <c r="R59"/>
  <c r="P59"/>
  <c r="X59"/>
  <c r="T38"/>
  <c r="R38"/>
  <c r="P38"/>
  <c r="W38"/>
  <c r="S38"/>
  <c r="O38"/>
  <c r="U38"/>
  <c r="Q38"/>
  <c r="X38"/>
  <c r="W72"/>
  <c r="U72"/>
  <c r="S72"/>
  <c r="Q72"/>
  <c r="O72"/>
  <c r="T72"/>
  <c r="R72"/>
  <c r="P72"/>
  <c r="X72"/>
  <c r="W65"/>
  <c r="U65"/>
  <c r="S65"/>
  <c r="Q65"/>
  <c r="O65"/>
  <c r="T65"/>
  <c r="R65"/>
  <c r="P65"/>
  <c r="X65"/>
  <c r="T88"/>
  <c r="R88"/>
  <c r="P88"/>
  <c r="W88"/>
  <c r="U88"/>
  <c r="Q88"/>
  <c r="S88"/>
  <c r="O88"/>
  <c r="X88"/>
  <c r="W158"/>
  <c r="U158"/>
  <c r="S158"/>
  <c r="Q158"/>
  <c r="O158"/>
  <c r="T158"/>
  <c r="R158"/>
  <c r="P158"/>
  <c r="X158"/>
  <c r="W66"/>
  <c r="U66"/>
  <c r="S66"/>
  <c r="Q66"/>
  <c r="O66"/>
  <c r="T66"/>
  <c r="R66"/>
  <c r="P66"/>
  <c r="X66"/>
  <c r="W132"/>
  <c r="U132"/>
  <c r="S132"/>
  <c r="Q132"/>
  <c r="O132"/>
  <c r="T132"/>
  <c r="R132"/>
  <c r="P132"/>
  <c r="X132"/>
  <c r="T34"/>
  <c r="R34"/>
  <c r="P34"/>
  <c r="W34"/>
  <c r="S34"/>
  <c r="O34"/>
  <c r="U34"/>
  <c r="Q34"/>
  <c r="X34"/>
  <c r="W76"/>
  <c r="U76"/>
  <c r="S76"/>
  <c r="Q76"/>
  <c r="O76"/>
  <c r="T76"/>
  <c r="R76"/>
  <c r="P76"/>
  <c r="X76"/>
  <c r="T85"/>
  <c r="R85"/>
  <c r="P85"/>
  <c r="U85"/>
  <c r="Q85"/>
  <c r="W85"/>
  <c r="S85"/>
  <c r="O85"/>
  <c r="X85"/>
  <c r="W146"/>
  <c r="U146"/>
  <c r="S146"/>
  <c r="Q146"/>
  <c r="O146"/>
  <c r="T146"/>
  <c r="R146"/>
  <c r="P146"/>
  <c r="X146"/>
  <c r="W139"/>
  <c r="U139"/>
  <c r="S139"/>
  <c r="Q139"/>
  <c r="O139"/>
  <c r="T139"/>
  <c r="R139"/>
  <c r="P139"/>
  <c r="X139"/>
  <c r="T8"/>
  <c r="R8"/>
  <c r="P8"/>
  <c r="W8"/>
  <c r="U8"/>
  <c r="S8"/>
  <c r="Q8"/>
  <c r="O8"/>
  <c r="X8"/>
  <c r="W44"/>
  <c r="U44"/>
  <c r="S44"/>
  <c r="T44"/>
  <c r="R44"/>
  <c r="P44"/>
  <c r="O44"/>
  <c r="Q44"/>
  <c r="X44"/>
  <c r="T17"/>
  <c r="R17"/>
  <c r="P17"/>
  <c r="W17"/>
  <c r="U17"/>
  <c r="S17"/>
  <c r="Q17"/>
  <c r="O17"/>
  <c r="X17"/>
  <c r="W138"/>
  <c r="U138"/>
  <c r="S138"/>
  <c r="Q138"/>
  <c r="O138"/>
  <c r="T138"/>
  <c r="R138"/>
  <c r="P138"/>
  <c r="X138"/>
  <c r="T10"/>
  <c r="R10"/>
  <c r="P10"/>
  <c r="W10"/>
  <c r="U10"/>
  <c r="S10"/>
  <c r="Q10"/>
  <c r="O10"/>
  <c r="X10"/>
  <c r="W73"/>
  <c r="U73"/>
  <c r="S73"/>
  <c r="Q73"/>
  <c r="O73"/>
  <c r="T73"/>
  <c r="R73"/>
  <c r="P73"/>
  <c r="X73"/>
  <c r="W80"/>
  <c r="U80"/>
  <c r="S80"/>
  <c r="Q80"/>
  <c r="O80"/>
  <c r="T80"/>
  <c r="R80"/>
  <c r="P80"/>
  <c r="X80"/>
  <c r="T91"/>
  <c r="R91"/>
  <c r="P91"/>
  <c r="W91"/>
  <c r="U91"/>
  <c r="S91"/>
  <c r="Q91"/>
  <c r="O91"/>
  <c r="X91"/>
  <c r="T42"/>
  <c r="R42"/>
  <c r="P42"/>
  <c r="W42"/>
  <c r="S42"/>
  <c r="O42"/>
  <c r="U42"/>
  <c r="Q42"/>
  <c r="X42"/>
  <c r="T95"/>
  <c r="R95"/>
  <c r="P95"/>
  <c r="W95"/>
  <c r="U95"/>
  <c r="S95"/>
  <c r="Q95"/>
  <c r="O95"/>
  <c r="X95"/>
  <c r="W46"/>
  <c r="U46"/>
  <c r="S46"/>
  <c r="Q46"/>
  <c r="O46"/>
  <c r="T46"/>
  <c r="R46"/>
  <c r="P46"/>
  <c r="X46"/>
  <c r="W120"/>
  <c r="U120"/>
  <c r="S120"/>
  <c r="Q120"/>
  <c r="O120"/>
  <c r="T120"/>
  <c r="R120"/>
  <c r="P120"/>
  <c r="X120"/>
  <c r="T24"/>
  <c r="R24"/>
  <c r="P24"/>
  <c r="W24"/>
  <c r="U24"/>
  <c r="S24"/>
  <c r="Q24"/>
  <c r="O24"/>
  <c r="X24"/>
  <c r="T94"/>
  <c r="R94"/>
  <c r="P94"/>
  <c r="W94"/>
  <c r="U94"/>
  <c r="S94"/>
  <c r="Q94"/>
  <c r="O94"/>
  <c r="X94"/>
  <c r="W148"/>
  <c r="U148"/>
  <c r="S148"/>
  <c r="Q148"/>
  <c r="O148"/>
  <c r="T148"/>
  <c r="R148"/>
  <c r="P148"/>
  <c r="X148"/>
  <c r="W163"/>
  <c r="U163"/>
  <c r="S163"/>
  <c r="Q163"/>
  <c r="O163"/>
  <c r="T163"/>
  <c r="R163"/>
  <c r="P163"/>
  <c r="X163"/>
  <c r="W58"/>
  <c r="U58"/>
  <c r="S58"/>
  <c r="Q58"/>
  <c r="O58"/>
  <c r="T58"/>
  <c r="R58"/>
  <c r="P58"/>
  <c r="X58"/>
  <c r="W140"/>
  <c r="U140"/>
  <c r="S140"/>
  <c r="Q140"/>
  <c r="O140"/>
  <c r="T140"/>
  <c r="R140"/>
  <c r="P140"/>
  <c r="X140"/>
  <c r="W55"/>
  <c r="U55"/>
  <c r="S55"/>
  <c r="Q55"/>
  <c r="O55"/>
  <c r="T55"/>
  <c r="R55"/>
  <c r="P55"/>
  <c r="X55"/>
  <c r="W64"/>
  <c r="U64"/>
  <c r="S64"/>
  <c r="Q64"/>
  <c r="O64"/>
  <c r="T64"/>
  <c r="R64"/>
  <c r="P64"/>
  <c r="X64"/>
  <c r="T22"/>
  <c r="R22"/>
  <c r="P22"/>
  <c r="W22"/>
  <c r="U22"/>
  <c r="S22"/>
  <c r="Q22"/>
  <c r="O22"/>
  <c r="X22"/>
  <c r="T15"/>
  <c r="R15"/>
  <c r="P15"/>
  <c r="W15"/>
  <c r="U15"/>
  <c r="S15"/>
  <c r="Q15"/>
  <c r="O15"/>
  <c r="X15"/>
  <c r="W45"/>
  <c r="U45"/>
  <c r="S45"/>
  <c r="Q45"/>
  <c r="O45"/>
  <c r="T45"/>
  <c r="R45"/>
  <c r="P45"/>
  <c r="X45"/>
  <c r="T82"/>
  <c r="R82"/>
  <c r="P82"/>
  <c r="U82"/>
  <c r="Q82"/>
  <c r="W82"/>
  <c r="S82"/>
  <c r="O82"/>
  <c r="X82"/>
  <c r="W49"/>
  <c r="U49"/>
  <c r="S49"/>
  <c r="Q49"/>
  <c r="O49"/>
  <c r="T49"/>
  <c r="R49"/>
  <c r="P49"/>
  <c r="X49"/>
  <c r="W156"/>
  <c r="U156"/>
  <c r="S156"/>
  <c r="Q156"/>
  <c r="O156"/>
  <c r="T156"/>
  <c r="R156"/>
  <c r="P156"/>
  <c r="X156"/>
  <c r="W47"/>
  <c r="U47"/>
  <c r="S47"/>
  <c r="Q47"/>
  <c r="O47"/>
  <c r="T47"/>
  <c r="R47"/>
  <c r="P47"/>
  <c r="X47"/>
  <c r="W126"/>
  <c r="U126"/>
  <c r="S126"/>
  <c r="Q126"/>
  <c r="O126"/>
  <c r="T126"/>
  <c r="R126"/>
  <c r="P126"/>
  <c r="X126"/>
  <c r="W133"/>
  <c r="U133"/>
  <c r="S133"/>
  <c r="Q133"/>
  <c r="O133"/>
  <c r="T133"/>
  <c r="R133"/>
  <c r="P133"/>
  <c r="X133"/>
  <c r="T36"/>
  <c r="R36"/>
  <c r="P36"/>
  <c r="W36"/>
  <c r="S36"/>
  <c r="O36"/>
  <c r="U36"/>
  <c r="Q36"/>
  <c r="X36"/>
  <c r="W53"/>
  <c r="U53"/>
  <c r="S53"/>
  <c r="Q53"/>
  <c r="O53"/>
  <c r="T53"/>
  <c r="R53"/>
  <c r="P53"/>
  <c r="X53"/>
  <c r="T108"/>
  <c r="R108"/>
  <c r="P108"/>
  <c r="W108"/>
  <c r="U108"/>
  <c r="S108"/>
  <c r="Q108"/>
  <c r="O108"/>
  <c r="X108"/>
  <c r="W145"/>
  <c r="U145"/>
  <c r="S145"/>
  <c r="Q145"/>
  <c r="O145"/>
  <c r="T145"/>
  <c r="R145"/>
  <c r="P145"/>
  <c r="X145"/>
  <c r="W154"/>
  <c r="U154"/>
  <c r="S154"/>
  <c r="Q154"/>
  <c r="O154"/>
  <c r="T154"/>
  <c r="R154"/>
  <c r="P154"/>
  <c r="X154"/>
  <c r="T101"/>
  <c r="R101"/>
  <c r="P101"/>
  <c r="W101"/>
  <c r="U101"/>
  <c r="S101"/>
  <c r="Q101"/>
  <c r="O101"/>
  <c r="X101"/>
  <c r="W137"/>
  <c r="U137"/>
  <c r="S137"/>
  <c r="Q137"/>
  <c r="O137"/>
  <c r="T137"/>
  <c r="R137"/>
  <c r="P137"/>
  <c r="X137"/>
  <c r="W152"/>
  <c r="U152"/>
  <c r="S152"/>
  <c r="Q152"/>
  <c r="O152"/>
  <c r="T152"/>
  <c r="R152"/>
  <c r="P152"/>
  <c r="X152"/>
  <c r="W130"/>
  <c r="U130"/>
  <c r="S130"/>
  <c r="Q130"/>
  <c r="O130"/>
  <c r="T130"/>
  <c r="R130"/>
  <c r="P130"/>
  <c r="X130"/>
  <c r="T106"/>
  <c r="R106"/>
  <c r="P106"/>
  <c r="W106"/>
  <c r="U106"/>
  <c r="S106"/>
  <c r="Q106"/>
  <c r="O106"/>
  <c r="X106"/>
  <c r="W129"/>
  <c r="U129"/>
  <c r="S129"/>
  <c r="Q129"/>
  <c r="O129"/>
  <c r="T129"/>
  <c r="R129"/>
  <c r="P129"/>
  <c r="X129"/>
  <c r="T110"/>
  <c r="R110"/>
  <c r="P110"/>
  <c r="U110"/>
  <c r="Q110"/>
  <c r="W110"/>
  <c r="S110"/>
  <c r="O110"/>
  <c r="X110"/>
  <c r="W119"/>
  <c r="U119"/>
  <c r="S119"/>
  <c r="Q119"/>
  <c r="O119"/>
  <c r="T119"/>
  <c r="R119"/>
  <c r="P119"/>
  <c r="X119"/>
  <c r="W70"/>
  <c r="U70"/>
  <c r="S70"/>
  <c r="Q70"/>
  <c r="O70"/>
  <c r="T70"/>
  <c r="R70"/>
  <c r="P70"/>
  <c r="X70"/>
  <c r="T26"/>
  <c r="R26"/>
  <c r="P26"/>
  <c r="W26"/>
  <c r="U26"/>
  <c r="S26"/>
  <c r="Q26"/>
  <c r="O26"/>
  <c r="X26"/>
  <c r="W48"/>
  <c r="U48"/>
  <c r="S48"/>
  <c r="Q48"/>
  <c r="O48"/>
  <c r="T48"/>
  <c r="R48"/>
  <c r="P48"/>
  <c r="X48"/>
  <c r="W142"/>
  <c r="U142"/>
  <c r="S142"/>
  <c r="Q142"/>
  <c r="O142"/>
  <c r="T142"/>
  <c r="R142"/>
  <c r="P142"/>
  <c r="X142"/>
  <c r="W151"/>
  <c r="U151"/>
  <c r="S151"/>
  <c r="Q151"/>
  <c r="O151"/>
  <c r="T151"/>
  <c r="R151"/>
  <c r="P151"/>
  <c r="X151"/>
  <c r="T102"/>
  <c r="R102"/>
  <c r="P102"/>
  <c r="W102"/>
  <c r="U102"/>
  <c r="S102"/>
  <c r="Q102"/>
  <c r="O102"/>
  <c r="X102"/>
  <c r="W62"/>
  <c r="U62"/>
  <c r="S62"/>
  <c r="Q62"/>
  <c r="O62"/>
  <c r="T62"/>
  <c r="R62"/>
  <c r="P62"/>
  <c r="X62"/>
  <c r="T40"/>
  <c r="R40"/>
  <c r="P40"/>
  <c r="W40"/>
  <c r="S40"/>
  <c r="O40"/>
  <c r="U40"/>
  <c r="Q40"/>
  <c r="X40"/>
  <c r="W114"/>
  <c r="U114"/>
  <c r="S114"/>
  <c r="Q114"/>
  <c r="O114"/>
  <c r="T114"/>
  <c r="R114"/>
  <c r="P114"/>
  <c r="X114"/>
  <c r="T84"/>
  <c r="R84"/>
  <c r="P84"/>
  <c r="U84"/>
  <c r="Q84"/>
  <c r="W84"/>
  <c r="S84"/>
  <c r="O84"/>
  <c r="X84"/>
  <c r="T33"/>
  <c r="R33"/>
  <c r="P33"/>
  <c r="W33"/>
  <c r="S33"/>
  <c r="O33"/>
  <c r="U33"/>
  <c r="Q33"/>
  <c r="X33"/>
  <c r="W160"/>
  <c r="U160"/>
  <c r="S160"/>
  <c r="Q160"/>
  <c r="O160"/>
  <c r="T160"/>
  <c r="R160"/>
  <c r="P160"/>
  <c r="X160"/>
  <c r="I152" i="5"/>
  <c r="I18"/>
  <c r="I162"/>
  <c r="I105"/>
  <c r="I110"/>
  <c r="I125"/>
  <c r="I130"/>
  <c r="I26"/>
  <c r="I99"/>
  <c r="I146"/>
  <c r="I41"/>
  <c r="I159"/>
  <c r="I5"/>
  <c r="I76"/>
  <c r="I32"/>
  <c r="I160"/>
  <c r="I135"/>
  <c r="I161"/>
  <c r="I120"/>
  <c r="I116"/>
  <c r="I12"/>
  <c r="I49"/>
  <c r="I74"/>
  <c r="I147"/>
  <c r="I150"/>
  <c r="I56"/>
  <c r="I52"/>
  <c r="I25"/>
  <c r="I21"/>
  <c r="I54"/>
  <c r="I83"/>
  <c r="I95"/>
  <c r="I128"/>
  <c r="I138"/>
  <c r="I134"/>
  <c r="I11"/>
  <c r="I107"/>
  <c r="I157"/>
  <c r="I144"/>
  <c r="I65"/>
  <c r="I104"/>
  <c r="I53"/>
  <c r="I3"/>
  <c r="I29"/>
  <c r="I17"/>
  <c r="I58"/>
  <c r="I137"/>
  <c r="I27"/>
  <c r="I127"/>
  <c r="I62"/>
  <c r="I102"/>
  <c r="I133"/>
  <c r="I96"/>
  <c r="I145"/>
  <c r="I6"/>
  <c r="I35"/>
  <c r="I108"/>
  <c r="I20"/>
  <c r="I77"/>
  <c r="I113"/>
  <c r="I33"/>
  <c r="I85"/>
  <c r="I42"/>
  <c r="I88"/>
  <c r="I117"/>
  <c r="I13"/>
  <c r="I30"/>
  <c r="I119"/>
  <c r="I115"/>
  <c r="I139"/>
  <c r="I15"/>
  <c r="I23"/>
  <c r="I68"/>
  <c r="I43"/>
  <c r="I14"/>
  <c r="I16"/>
  <c r="I81"/>
  <c r="I90"/>
  <c r="I136"/>
  <c r="I163"/>
  <c r="I24"/>
  <c r="I80"/>
  <c r="I28"/>
  <c r="I61"/>
  <c r="I66"/>
  <c r="I123"/>
  <c r="I8"/>
  <c r="I37"/>
  <c r="I46"/>
  <c r="I47"/>
  <c r="I142"/>
  <c r="I4"/>
  <c r="I59"/>
  <c r="I48"/>
  <c r="I71"/>
  <c r="I67"/>
  <c r="I140"/>
  <c r="I154"/>
  <c r="I109"/>
  <c r="I114"/>
  <c r="I97"/>
  <c r="I7"/>
  <c r="I78"/>
  <c r="I153"/>
  <c r="I149"/>
  <c r="I45"/>
  <c r="I50"/>
  <c r="I151"/>
  <c r="I19"/>
  <c r="I10"/>
  <c r="I89"/>
  <c r="I57"/>
  <c r="I100"/>
  <c r="I124"/>
  <c r="I94"/>
  <c r="I79"/>
  <c r="I55"/>
  <c r="I122"/>
  <c r="I40"/>
  <c r="I36"/>
  <c r="I60"/>
  <c r="I131"/>
  <c r="I98"/>
  <c r="I155"/>
  <c r="I73"/>
  <c r="I69"/>
  <c r="I93"/>
  <c r="I70"/>
  <c r="I38"/>
  <c r="I34"/>
  <c r="I91"/>
  <c r="I9"/>
  <c r="I103"/>
  <c r="I148"/>
  <c r="I44"/>
  <c r="I63"/>
  <c r="I112"/>
  <c r="I51"/>
  <c r="I129"/>
  <c r="I39"/>
  <c r="I84"/>
  <c r="I141"/>
  <c r="I118"/>
  <c r="I86"/>
  <c r="I82"/>
  <c r="I106"/>
  <c r="I111"/>
  <c r="I75"/>
  <c r="I121"/>
  <c r="I126"/>
  <c r="I22"/>
  <c r="I156"/>
  <c r="I31"/>
  <c r="I143"/>
  <c r="I87"/>
  <c r="I132"/>
  <c r="I72"/>
  <c r="I101"/>
  <c r="I92"/>
  <c r="I64"/>
  <c r="I158"/>
  <c r="A3" i="2"/>
  <c r="A5" i="3" s="1"/>
  <c r="Y5" s="1"/>
  <c r="AC5" l="1"/>
  <c r="AP5" s="1"/>
  <c r="AL5"/>
  <c r="AK170" i="5"/>
  <c r="AK165"/>
  <c r="AC170"/>
  <c r="AC165"/>
  <c r="U170"/>
  <c r="U165"/>
  <c r="M170"/>
  <c r="M165"/>
  <c r="AI170"/>
  <c r="AI165"/>
  <c r="AA170"/>
  <c r="AA165"/>
  <c r="S170"/>
  <c r="S165"/>
  <c r="K170"/>
  <c r="K165"/>
  <c r="AJ170"/>
  <c r="AJ165"/>
  <c r="AB170"/>
  <c r="AB165"/>
  <c r="T170"/>
  <c r="T165"/>
  <c r="L170"/>
  <c r="L165"/>
  <c r="AH170"/>
  <c r="AH165"/>
  <c r="Z170"/>
  <c r="Z165"/>
  <c r="R170"/>
  <c r="R165"/>
  <c r="J170"/>
  <c r="J165"/>
  <c r="AJ171"/>
  <c r="AJ172" s="1"/>
  <c r="AK171"/>
  <c r="AC171"/>
  <c r="AC172" s="1"/>
  <c r="Y171"/>
  <c r="U171"/>
  <c r="U172" s="1"/>
  <c r="Q171"/>
  <c r="M171"/>
  <c r="M172" s="1"/>
  <c r="AH171"/>
  <c r="AD171"/>
  <c r="Z171"/>
  <c r="V171"/>
  <c r="R171"/>
  <c r="N171"/>
  <c r="J171"/>
  <c r="AI171"/>
  <c r="AI172" s="1"/>
  <c r="AG170"/>
  <c r="AG165"/>
  <c r="Y170"/>
  <c r="Y165"/>
  <c r="Q170"/>
  <c r="Q165"/>
  <c r="AM170"/>
  <c r="AM165"/>
  <c r="AE170"/>
  <c r="AE165"/>
  <c r="W170"/>
  <c r="W165"/>
  <c r="O170"/>
  <c r="O165"/>
  <c r="AN170"/>
  <c r="AN165"/>
  <c r="AF170"/>
  <c r="AF165"/>
  <c r="X170"/>
  <c r="X165"/>
  <c r="P170"/>
  <c r="P165"/>
  <c r="AL170"/>
  <c r="AL165"/>
  <c r="AD170"/>
  <c r="AD165"/>
  <c r="V170"/>
  <c r="V165"/>
  <c r="N170"/>
  <c r="N165"/>
  <c r="AN171"/>
  <c r="AN172" s="1"/>
  <c r="AL171"/>
  <c r="AG171"/>
  <c r="AG172" s="1"/>
  <c r="AA171"/>
  <c r="AA172" s="1"/>
  <c r="W171"/>
  <c r="W172" s="1"/>
  <c r="S171"/>
  <c r="S172" s="1"/>
  <c r="O171"/>
  <c r="O172" s="1"/>
  <c r="K171"/>
  <c r="K172" s="1"/>
  <c r="AF171"/>
  <c r="AF172" s="1"/>
  <c r="AB171"/>
  <c r="AB172" s="1"/>
  <c r="X171"/>
  <c r="X172" s="1"/>
  <c r="T171"/>
  <c r="T172" s="1"/>
  <c r="P171"/>
  <c r="P172" s="1"/>
  <c r="L171"/>
  <c r="L172" s="1"/>
  <c r="AM171"/>
  <c r="AM172" s="1"/>
  <c r="AE171"/>
  <c r="S5" i="3"/>
  <c r="AF5" s="1"/>
  <c r="R5"/>
  <c r="AE5" s="1"/>
  <c r="Q5"/>
  <c r="AD5" s="1"/>
  <c r="T5"/>
  <c r="AG5" s="1"/>
  <c r="U5"/>
  <c r="AH5" s="1"/>
  <c r="V5"/>
  <c r="AI5" s="1"/>
  <c r="J3"/>
  <c r="AJ3"/>
  <c r="AW3" s="1"/>
  <c r="X3"/>
  <c r="W4"/>
  <c r="AJ4" s="1"/>
  <c r="W5"/>
  <c r="AJ5" s="1"/>
  <c r="A4" i="5"/>
  <c r="U3" i="1" s="1"/>
  <c r="J1" i="5"/>
  <c r="M13" i="7"/>
  <c r="M107"/>
  <c r="M11"/>
  <c r="M93"/>
  <c r="M96"/>
  <c r="M110"/>
  <c r="M106"/>
  <c r="M24"/>
  <c r="M10"/>
  <c r="M22"/>
  <c r="M17"/>
  <c r="M104"/>
  <c r="M5"/>
  <c r="M84"/>
  <c r="M102"/>
  <c r="M108"/>
  <c r="M82"/>
  <c r="M15"/>
  <c r="M85"/>
  <c r="M88"/>
  <c r="M90"/>
  <c r="M97"/>
  <c r="M86"/>
  <c r="M21"/>
  <c r="M83"/>
  <c r="M19"/>
  <c r="M23"/>
  <c r="M7"/>
  <c r="M103"/>
  <c r="M12"/>
  <c r="M92"/>
  <c r="M87"/>
  <c r="M89"/>
  <c r="M18"/>
  <c r="M160"/>
  <c r="M33"/>
  <c r="M142"/>
  <c r="M119"/>
  <c r="M129"/>
  <c r="M130"/>
  <c r="M137"/>
  <c r="M101"/>
  <c r="M154"/>
  <c r="M126"/>
  <c r="M156"/>
  <c r="M64"/>
  <c r="M140"/>
  <c r="M163"/>
  <c r="M120"/>
  <c r="M42"/>
  <c r="M73"/>
  <c r="M138"/>
  <c r="M44"/>
  <c r="M8"/>
  <c r="M139"/>
  <c r="M66"/>
  <c r="M72"/>
  <c r="M38"/>
  <c r="M59"/>
  <c r="M69"/>
  <c r="M39"/>
  <c r="M165"/>
  <c r="M25"/>
  <c r="M37"/>
  <c r="M162"/>
  <c r="M28"/>
  <c r="M127"/>
  <c r="M105"/>
  <c r="M75"/>
  <c r="M99"/>
  <c r="M61"/>
  <c r="M98"/>
  <c r="M109"/>
  <c r="M14"/>
  <c r="M143"/>
  <c r="M71"/>
  <c r="M9"/>
  <c r="M50"/>
  <c r="M60"/>
  <c r="M56"/>
  <c r="M78"/>
  <c r="M20"/>
  <c r="M131"/>
  <c r="M52"/>
  <c r="M144"/>
  <c r="M30"/>
  <c r="M32"/>
  <c r="M79"/>
  <c r="M54"/>
  <c r="M134"/>
  <c r="M157"/>
  <c r="M153"/>
  <c r="M115"/>
  <c r="M161"/>
  <c r="M74"/>
  <c r="M114"/>
  <c r="M40"/>
  <c r="M62"/>
  <c r="M151"/>
  <c r="M48"/>
  <c r="M26"/>
  <c r="M70"/>
  <c r="M152"/>
  <c r="M145"/>
  <c r="M53"/>
  <c r="M36"/>
  <c r="M133"/>
  <c r="M47"/>
  <c r="M49"/>
  <c r="M45"/>
  <c r="M55"/>
  <c r="M58"/>
  <c r="M148"/>
  <c r="M94"/>
  <c r="M46"/>
  <c r="M95"/>
  <c r="M91"/>
  <c r="M80"/>
  <c r="M146"/>
  <c r="M76"/>
  <c r="M34"/>
  <c r="M132"/>
  <c r="M158"/>
  <c r="M65"/>
  <c r="M155"/>
  <c r="M29"/>
  <c r="M67"/>
  <c r="M149"/>
  <c r="M123"/>
  <c r="M57"/>
  <c r="M68"/>
  <c r="M117"/>
  <c r="M35"/>
  <c r="M112"/>
  <c r="M128"/>
  <c r="M150"/>
  <c r="M124"/>
  <c r="M125"/>
  <c r="M141"/>
  <c r="M147"/>
  <c r="M159"/>
  <c r="M51"/>
  <c r="M113"/>
  <c r="M100"/>
  <c r="M111"/>
  <c r="M16"/>
  <c r="M136"/>
  <c r="M122"/>
  <c r="M43"/>
  <c r="M164"/>
  <c r="M77"/>
  <c r="M41"/>
  <c r="M81"/>
  <c r="M116"/>
  <c r="M63"/>
  <c r="M121"/>
  <c r="M135"/>
  <c r="M31"/>
  <c r="M27"/>
  <c r="M118"/>
  <c r="M6"/>
  <c r="I170" i="5"/>
  <c r="I165"/>
  <c r="I171"/>
  <c r="G150"/>
  <c r="G18"/>
  <c r="G134"/>
  <c r="G156"/>
  <c r="G140"/>
  <c r="G124"/>
  <c r="G52"/>
  <c r="G44"/>
  <c r="G28"/>
  <c r="G12"/>
  <c r="G94"/>
  <c r="G78"/>
  <c r="G70"/>
  <c r="G159"/>
  <c r="G151"/>
  <c r="G143"/>
  <c r="G135"/>
  <c r="G127"/>
  <c r="G119"/>
  <c r="G111"/>
  <c r="G103"/>
  <c r="G95"/>
  <c r="G87"/>
  <c r="G79"/>
  <c r="G71"/>
  <c r="G63"/>
  <c r="G55"/>
  <c r="G47"/>
  <c r="G39"/>
  <c r="G31"/>
  <c r="G23"/>
  <c r="G15"/>
  <c r="G7"/>
  <c r="G112"/>
  <c r="G96"/>
  <c r="G58"/>
  <c r="G158"/>
  <c r="G50"/>
  <c r="G34"/>
  <c r="G4"/>
  <c r="G155"/>
  <c r="G147"/>
  <c r="G139"/>
  <c r="G131"/>
  <c r="G123"/>
  <c r="G115"/>
  <c r="G107"/>
  <c r="G99"/>
  <c r="G91"/>
  <c r="G83"/>
  <c r="G75"/>
  <c r="G67"/>
  <c r="G59"/>
  <c r="G51"/>
  <c r="G43"/>
  <c r="G35"/>
  <c r="G27"/>
  <c r="G19"/>
  <c r="G11"/>
  <c r="G148"/>
  <c r="G132"/>
  <c r="G68"/>
  <c r="G60"/>
  <c r="G36"/>
  <c r="G20"/>
  <c r="G163"/>
  <c r="G142"/>
  <c r="G110"/>
  <c r="G120"/>
  <c r="G104"/>
  <c r="G88"/>
  <c r="G80"/>
  <c r="G42"/>
  <c r="G26"/>
  <c r="G10"/>
  <c r="G5"/>
  <c r="G146"/>
  <c r="G116"/>
  <c r="G108"/>
  <c r="G100"/>
  <c r="G92"/>
  <c r="G84"/>
  <c r="G76"/>
  <c r="G157"/>
  <c r="G149"/>
  <c r="G141"/>
  <c r="G133"/>
  <c r="G125"/>
  <c r="G117"/>
  <c r="G109"/>
  <c r="G101"/>
  <c r="G93"/>
  <c r="G85"/>
  <c r="G77"/>
  <c r="G69"/>
  <c r="G61"/>
  <c r="G53"/>
  <c r="G45"/>
  <c r="G37"/>
  <c r="G29"/>
  <c r="G21"/>
  <c r="G13"/>
  <c r="G3"/>
  <c r="G126"/>
  <c r="G118"/>
  <c r="G102"/>
  <c r="G86"/>
  <c r="G62"/>
  <c r="G54"/>
  <c r="G46"/>
  <c r="G38"/>
  <c r="G30"/>
  <c r="G22"/>
  <c r="G14"/>
  <c r="G6"/>
  <c r="G154"/>
  <c r="G138"/>
  <c r="G160"/>
  <c r="G152"/>
  <c r="G144"/>
  <c r="G136"/>
  <c r="G128"/>
  <c r="G72"/>
  <c r="G64"/>
  <c r="G56"/>
  <c r="G48"/>
  <c r="G40"/>
  <c r="G32"/>
  <c r="G24"/>
  <c r="G16"/>
  <c r="G8"/>
  <c r="G161"/>
  <c r="G153"/>
  <c r="G145"/>
  <c r="G137"/>
  <c r="G129"/>
  <c r="G121"/>
  <c r="G113"/>
  <c r="G105"/>
  <c r="G97"/>
  <c r="G89"/>
  <c r="G81"/>
  <c r="G73"/>
  <c r="G65"/>
  <c r="G57"/>
  <c r="G49"/>
  <c r="G41"/>
  <c r="G33"/>
  <c r="G25"/>
  <c r="G17"/>
  <c r="G9"/>
  <c r="F158"/>
  <c r="F162"/>
  <c r="F150"/>
  <c r="F130"/>
  <c r="F122"/>
  <c r="F114"/>
  <c r="F106"/>
  <c r="F98"/>
  <c r="F82"/>
  <c r="F74"/>
  <c r="F66"/>
  <c r="F58"/>
  <c r="F50"/>
  <c r="F42"/>
  <c r="F34"/>
  <c r="F26"/>
  <c r="F18"/>
  <c r="F10"/>
  <c r="F4"/>
  <c r="F155"/>
  <c r="F147"/>
  <c r="F139"/>
  <c r="F131"/>
  <c r="F123"/>
  <c r="F115"/>
  <c r="F107"/>
  <c r="F99"/>
  <c r="F91"/>
  <c r="F83"/>
  <c r="F75"/>
  <c r="F67"/>
  <c r="F59"/>
  <c r="F51"/>
  <c r="F43"/>
  <c r="F35"/>
  <c r="F27"/>
  <c r="F19"/>
  <c r="F11"/>
  <c r="F5"/>
  <c r="F146"/>
  <c r="F134"/>
  <c r="F156"/>
  <c r="F148"/>
  <c r="F140"/>
  <c r="F132"/>
  <c r="F124"/>
  <c r="F116"/>
  <c r="F108"/>
  <c r="F100"/>
  <c r="F92"/>
  <c r="F84"/>
  <c r="F76"/>
  <c r="F68"/>
  <c r="F60"/>
  <c r="F52"/>
  <c r="F44"/>
  <c r="F36"/>
  <c r="F28"/>
  <c r="F20"/>
  <c r="F12"/>
  <c r="F163"/>
  <c r="F157"/>
  <c r="F149"/>
  <c r="F141"/>
  <c r="F133"/>
  <c r="F125"/>
  <c r="F117"/>
  <c r="F109"/>
  <c r="F101"/>
  <c r="F93"/>
  <c r="F85"/>
  <c r="F77"/>
  <c r="F69"/>
  <c r="F61"/>
  <c r="F53"/>
  <c r="F45"/>
  <c r="F37"/>
  <c r="F29"/>
  <c r="F21"/>
  <c r="F13"/>
  <c r="M34" i="1"/>
  <c r="F142" i="5"/>
  <c r="F126"/>
  <c r="F118"/>
  <c r="F110"/>
  <c r="F102"/>
  <c r="F94"/>
  <c r="F86"/>
  <c r="F78"/>
  <c r="F70"/>
  <c r="F62"/>
  <c r="F54"/>
  <c r="F46"/>
  <c r="F38"/>
  <c r="F30"/>
  <c r="F22"/>
  <c r="F14"/>
  <c r="F6"/>
  <c r="F159"/>
  <c r="F151"/>
  <c r="F143"/>
  <c r="F135"/>
  <c r="F127"/>
  <c r="F119"/>
  <c r="F111"/>
  <c r="F103"/>
  <c r="F95"/>
  <c r="F87"/>
  <c r="F79"/>
  <c r="F71"/>
  <c r="F63"/>
  <c r="F55"/>
  <c r="F47"/>
  <c r="F39"/>
  <c r="F31"/>
  <c r="F23"/>
  <c r="F15"/>
  <c r="F7"/>
  <c r="F154"/>
  <c r="F138"/>
  <c r="F160"/>
  <c r="F152"/>
  <c r="F144"/>
  <c r="F136"/>
  <c r="F128"/>
  <c r="F120"/>
  <c r="F112"/>
  <c r="F104"/>
  <c r="F96"/>
  <c r="F88"/>
  <c r="F80"/>
  <c r="F72"/>
  <c r="F64"/>
  <c r="F56"/>
  <c r="F48"/>
  <c r="F40"/>
  <c r="F32"/>
  <c r="F24"/>
  <c r="F16"/>
  <c r="F8"/>
  <c r="F161"/>
  <c r="F153"/>
  <c r="F145"/>
  <c r="F137"/>
  <c r="F129"/>
  <c r="F121"/>
  <c r="F113"/>
  <c r="F105"/>
  <c r="F97"/>
  <c r="F89"/>
  <c r="F81"/>
  <c r="F73"/>
  <c r="F65"/>
  <c r="F57"/>
  <c r="F49"/>
  <c r="F41"/>
  <c r="F33"/>
  <c r="F25"/>
  <c r="F17"/>
  <c r="F9"/>
  <c r="G66"/>
  <c r="G74"/>
  <c r="G162"/>
  <c r="G130"/>
  <c r="G122"/>
  <c r="G114"/>
  <c r="G106"/>
  <c r="G98"/>
  <c r="G90"/>
  <c r="G82"/>
  <c r="F3"/>
  <c r="F90"/>
  <c r="A4" i="2"/>
  <c r="A6" i="3" s="1"/>
  <c r="Y6" s="1"/>
  <c r="AL6" l="1"/>
  <c r="AC6"/>
  <c r="AP6" s="1"/>
  <c r="AE172" i="5"/>
  <c r="J172"/>
  <c r="R172"/>
  <c r="Z172"/>
  <c r="AH172"/>
  <c r="AK172"/>
  <c r="AL172"/>
  <c r="N172"/>
  <c r="V172"/>
  <c r="AD172"/>
  <c r="Q172"/>
  <c r="Y172"/>
  <c r="R6" i="3"/>
  <c r="AE6" s="1"/>
  <c r="S6"/>
  <c r="AF6" s="1"/>
  <c r="Q6"/>
  <c r="AD6" s="1"/>
  <c r="T6"/>
  <c r="AG6" s="1"/>
  <c r="U6"/>
  <c r="AH6" s="1"/>
  <c r="V6"/>
  <c r="AI6" s="1"/>
  <c r="W6"/>
  <c r="AJ6" s="1"/>
  <c r="AX3"/>
  <c r="Z3"/>
  <c r="X6"/>
  <c r="AK6" s="1"/>
  <c r="X5"/>
  <c r="AK5" s="1"/>
  <c r="X4"/>
  <c r="AK4" s="1"/>
  <c r="A5" i="5"/>
  <c r="U4" i="1" s="1"/>
  <c r="K1" i="5"/>
  <c r="M2" i="7"/>
  <c r="L118" s="1"/>
  <c r="I172" i="5"/>
  <c r="F170"/>
  <c r="C170" s="1"/>
  <c r="F2"/>
  <c r="C3" s="1"/>
  <c r="F171"/>
  <c r="C171" s="1"/>
  <c r="F165"/>
  <c r="G165"/>
  <c r="G170"/>
  <c r="G171"/>
  <c r="A5" i="2"/>
  <c r="A7" i="3" s="1"/>
  <c r="Y7" s="1"/>
  <c r="AC7" l="1"/>
  <c r="AP7" s="1"/>
  <c r="AL7"/>
  <c r="S7"/>
  <c r="AF7" s="1"/>
  <c r="R7"/>
  <c r="AE7" s="1"/>
  <c r="Q7"/>
  <c r="AD7" s="1"/>
  <c r="T7"/>
  <c r="AG7" s="1"/>
  <c r="U7"/>
  <c r="AH7" s="1"/>
  <c r="V7"/>
  <c r="AI7" s="1"/>
  <c r="W7"/>
  <c r="AJ7" s="1"/>
  <c r="X7"/>
  <c r="AK7" s="1"/>
  <c r="M3"/>
  <c r="AM3"/>
  <c r="AY3" s="1"/>
  <c r="AA3"/>
  <c r="Z5"/>
  <c r="AM5" s="1"/>
  <c r="Z7"/>
  <c r="AM7" s="1"/>
  <c r="Z4"/>
  <c r="AM4" s="1"/>
  <c r="Z6"/>
  <c r="AM6" s="1"/>
  <c r="A6" i="5"/>
  <c r="U5" i="1" s="1"/>
  <c r="L1" i="5"/>
  <c r="L5" i="7"/>
  <c r="B170" i="5"/>
  <c r="L102" i="7"/>
  <c r="L85"/>
  <c r="L86"/>
  <c r="L23"/>
  <c r="L92"/>
  <c r="L160"/>
  <c r="L129"/>
  <c r="L154"/>
  <c r="L140"/>
  <c r="L73"/>
  <c r="L139"/>
  <c r="L59"/>
  <c r="L25"/>
  <c r="L127"/>
  <c r="L61"/>
  <c r="L143"/>
  <c r="L60"/>
  <c r="L131"/>
  <c r="L32"/>
  <c r="L157"/>
  <c r="L74"/>
  <c r="L151"/>
  <c r="L152"/>
  <c r="L133"/>
  <c r="L55"/>
  <c r="L46"/>
  <c r="L146"/>
  <c r="L158"/>
  <c r="L67"/>
  <c r="L68"/>
  <c r="L128"/>
  <c r="L141"/>
  <c r="L113"/>
  <c r="L136"/>
  <c r="L77"/>
  <c r="L63"/>
  <c r="L27"/>
  <c r="L108"/>
  <c r="L88"/>
  <c r="L21"/>
  <c r="L7"/>
  <c r="L87"/>
  <c r="L33"/>
  <c r="L130"/>
  <c r="L126"/>
  <c r="L163"/>
  <c r="L138"/>
  <c r="L66"/>
  <c r="L69"/>
  <c r="L37"/>
  <c r="L105"/>
  <c r="L98"/>
  <c r="L71"/>
  <c r="L56"/>
  <c r="L52"/>
  <c r="L79"/>
  <c r="L153"/>
  <c r="L114"/>
  <c r="L48"/>
  <c r="L145"/>
  <c r="L47"/>
  <c r="L58"/>
  <c r="L95"/>
  <c r="L76"/>
  <c r="L65"/>
  <c r="L149"/>
  <c r="L117"/>
  <c r="L150"/>
  <c r="L147"/>
  <c r="L100"/>
  <c r="L122"/>
  <c r="L41"/>
  <c r="L121"/>
  <c r="L6"/>
  <c r="L106"/>
  <c r="L24"/>
  <c r="L17"/>
  <c r="L96"/>
  <c r="L11"/>
  <c r="L107"/>
  <c r="L110"/>
  <c r="L22"/>
  <c r="L10"/>
  <c r="L93"/>
  <c r="L104"/>
  <c r="L13"/>
  <c r="L82"/>
  <c r="L90"/>
  <c r="L83"/>
  <c r="L103"/>
  <c r="L89"/>
  <c r="L142"/>
  <c r="L137"/>
  <c r="L156"/>
  <c r="L120"/>
  <c r="L44"/>
  <c r="L72"/>
  <c r="L39"/>
  <c r="L162"/>
  <c r="L75"/>
  <c r="L109"/>
  <c r="L9"/>
  <c r="L78"/>
  <c r="L144"/>
  <c r="L54"/>
  <c r="L115"/>
  <c r="L40"/>
  <c r="L26"/>
  <c r="L53"/>
  <c r="L49"/>
  <c r="L148"/>
  <c r="L91"/>
  <c r="L34"/>
  <c r="L155"/>
  <c r="L123"/>
  <c r="L35"/>
  <c r="L124"/>
  <c r="L159"/>
  <c r="L111"/>
  <c r="L43"/>
  <c r="L81"/>
  <c r="L135"/>
  <c r="L84"/>
  <c r="L15"/>
  <c r="L97"/>
  <c r="L19"/>
  <c r="L12"/>
  <c r="L18"/>
  <c r="L119"/>
  <c r="L101"/>
  <c r="L64"/>
  <c r="L42"/>
  <c r="L8"/>
  <c r="L38"/>
  <c r="L165"/>
  <c r="L28"/>
  <c r="L99"/>
  <c r="L14"/>
  <c r="L50"/>
  <c r="L20"/>
  <c r="L30"/>
  <c r="L134"/>
  <c r="L161"/>
  <c r="L62"/>
  <c r="L70"/>
  <c r="L36"/>
  <c r="L45"/>
  <c r="L94"/>
  <c r="L80"/>
  <c r="L132"/>
  <c r="L29"/>
  <c r="L57"/>
  <c r="L112"/>
  <c r="L125"/>
  <c r="L51"/>
  <c r="L16"/>
  <c r="L164"/>
  <c r="L116"/>
  <c r="L31"/>
  <c r="V2" i="1"/>
  <c r="B3" i="5"/>
  <c r="D170"/>
  <c r="C133"/>
  <c r="B171"/>
  <c r="M183"/>
  <c r="C45"/>
  <c r="D3"/>
  <c r="C101"/>
  <c r="C151"/>
  <c r="C149"/>
  <c r="C117"/>
  <c r="C77"/>
  <c r="C9"/>
  <c r="C79"/>
  <c r="C157"/>
  <c r="C141"/>
  <c r="C125"/>
  <c r="C109"/>
  <c r="C93"/>
  <c r="C61"/>
  <c r="C29"/>
  <c r="C112"/>
  <c r="C119"/>
  <c r="C162"/>
  <c r="C161"/>
  <c r="C153"/>
  <c r="C145"/>
  <c r="C137"/>
  <c r="C129"/>
  <c r="C121"/>
  <c r="C113"/>
  <c r="C105"/>
  <c r="C97"/>
  <c r="C85"/>
  <c r="C69"/>
  <c r="C53"/>
  <c r="C37"/>
  <c r="C21"/>
  <c r="C142"/>
  <c r="C78"/>
  <c r="C135"/>
  <c r="C103"/>
  <c r="C47"/>
  <c r="C12"/>
  <c r="C89"/>
  <c r="C81"/>
  <c r="C73"/>
  <c r="C65"/>
  <c r="C57"/>
  <c r="C49"/>
  <c r="C41"/>
  <c r="C33"/>
  <c r="C25"/>
  <c r="C17"/>
  <c r="C158"/>
  <c r="C126"/>
  <c r="C96"/>
  <c r="C159"/>
  <c r="C143"/>
  <c r="C127"/>
  <c r="C111"/>
  <c r="C95"/>
  <c r="C63"/>
  <c r="C31"/>
  <c r="C100"/>
  <c r="C110"/>
  <c r="C13"/>
  <c r="C5"/>
  <c r="C150"/>
  <c r="C134"/>
  <c r="C120"/>
  <c r="C104"/>
  <c r="C88"/>
  <c r="C4"/>
  <c r="C155"/>
  <c r="C147"/>
  <c r="C139"/>
  <c r="C131"/>
  <c r="C123"/>
  <c r="C115"/>
  <c r="C107"/>
  <c r="C99"/>
  <c r="C87"/>
  <c r="C71"/>
  <c r="C55"/>
  <c r="C39"/>
  <c r="C19"/>
  <c r="C130"/>
  <c r="C68"/>
  <c r="C76"/>
  <c r="C86"/>
  <c r="C91"/>
  <c r="C83"/>
  <c r="C75"/>
  <c r="C67"/>
  <c r="C59"/>
  <c r="C51"/>
  <c r="C43"/>
  <c r="C35"/>
  <c r="C27"/>
  <c r="C11"/>
  <c r="C146"/>
  <c r="C116"/>
  <c r="C84"/>
  <c r="C44"/>
  <c r="C140"/>
  <c r="C10"/>
  <c r="C54"/>
  <c r="F172"/>
  <c r="C172" s="1"/>
  <c r="D5" i="1" s="1"/>
  <c r="K36" s="1"/>
  <c r="M40" s="1"/>
  <c r="C23" i="5"/>
  <c r="C15"/>
  <c r="C7"/>
  <c r="C154"/>
  <c r="C138"/>
  <c r="C122"/>
  <c r="C108"/>
  <c r="C92"/>
  <c r="C74"/>
  <c r="C58"/>
  <c r="C28"/>
  <c r="C156"/>
  <c r="C106"/>
  <c r="C42"/>
  <c r="C16"/>
  <c r="C46"/>
  <c r="C152"/>
  <c r="C22"/>
  <c r="M176"/>
  <c r="C50"/>
  <c r="C36"/>
  <c r="C20"/>
  <c r="C163"/>
  <c r="C148"/>
  <c r="C124"/>
  <c r="C90"/>
  <c r="C60"/>
  <c r="C26"/>
  <c r="C48"/>
  <c r="C144"/>
  <c r="C80"/>
  <c r="C14"/>
  <c r="C24"/>
  <c r="C118"/>
  <c r="C56"/>
  <c r="D171"/>
  <c r="C132"/>
  <c r="C114"/>
  <c r="C98"/>
  <c r="C82"/>
  <c r="C66"/>
  <c r="C52"/>
  <c r="C34"/>
  <c r="C18"/>
  <c r="C64"/>
  <c r="C30"/>
  <c r="C160"/>
  <c r="C128"/>
  <c r="C94"/>
  <c r="C62"/>
  <c r="C32"/>
  <c r="C72"/>
  <c r="C40"/>
  <c r="C8"/>
  <c r="C136"/>
  <c r="C102"/>
  <c r="C70"/>
  <c r="C38"/>
  <c r="C6"/>
  <c r="G172"/>
  <c r="L36" i="1" s="1"/>
  <c r="A6" i="2"/>
  <c r="A8" i="3" s="1"/>
  <c r="Y8" s="1"/>
  <c r="AL8" l="1"/>
  <c r="AC8"/>
  <c r="AP8" s="1"/>
  <c r="R8"/>
  <c r="AE8" s="1"/>
  <c r="S8"/>
  <c r="AF8" s="1"/>
  <c r="Q8"/>
  <c r="AD8" s="1"/>
  <c r="T8"/>
  <c r="AG8" s="1"/>
  <c r="U8"/>
  <c r="AH8" s="1"/>
  <c r="V8"/>
  <c r="AI8" s="1"/>
  <c r="W8"/>
  <c r="AJ8" s="1"/>
  <c r="X8"/>
  <c r="AK8" s="1"/>
  <c r="Z8"/>
  <c r="AM8" s="1"/>
  <c r="C2"/>
  <c r="C1" s="1"/>
  <c r="B38" i="5"/>
  <c r="B8"/>
  <c r="D62"/>
  <c r="B30"/>
  <c r="V17" i="1"/>
  <c r="V51"/>
  <c r="V81"/>
  <c r="V113"/>
  <c r="V117"/>
  <c r="D14" i="5"/>
  <c r="V143" i="1"/>
  <c r="V25"/>
  <c r="V89"/>
  <c r="V147"/>
  <c r="V19"/>
  <c r="V49"/>
  <c r="B22" i="5"/>
  <c r="B46"/>
  <c r="V41" i="1"/>
  <c r="V155"/>
  <c r="V57"/>
  <c r="V91"/>
  <c r="V121"/>
  <c r="V153"/>
  <c r="V14"/>
  <c r="V9"/>
  <c r="V43"/>
  <c r="V115"/>
  <c r="V10"/>
  <c r="V34"/>
  <c r="V50"/>
  <c r="V66"/>
  <c r="V82"/>
  <c r="V85"/>
  <c r="V67"/>
  <c r="V18"/>
  <c r="V54"/>
  <c r="V86"/>
  <c r="V106"/>
  <c r="V122"/>
  <c r="V138"/>
  <c r="V154"/>
  <c r="V87"/>
  <c r="V119"/>
  <c r="V149"/>
  <c r="V12"/>
  <c r="V99"/>
  <c r="V62"/>
  <c r="V110"/>
  <c r="V142"/>
  <c r="V95"/>
  <c r="V157"/>
  <c r="V24"/>
  <c r="V40"/>
  <c r="V56"/>
  <c r="V72"/>
  <c r="V88"/>
  <c r="V46"/>
  <c r="V134"/>
  <c r="V141"/>
  <c r="V36"/>
  <c r="V68"/>
  <c r="V96"/>
  <c r="V112"/>
  <c r="V128"/>
  <c r="V144"/>
  <c r="V160"/>
  <c r="V118"/>
  <c r="V28"/>
  <c r="V92"/>
  <c r="V124"/>
  <c r="V156"/>
  <c r="V8"/>
  <c r="V116"/>
  <c r="V150"/>
  <c r="V132"/>
  <c r="B102" i="5"/>
  <c r="B72"/>
  <c r="B128"/>
  <c r="B6"/>
  <c r="D70"/>
  <c r="B136"/>
  <c r="B40"/>
  <c r="B32"/>
  <c r="B94"/>
  <c r="B160"/>
  <c r="B64"/>
  <c r="V33" i="1"/>
  <c r="V65"/>
  <c r="V97"/>
  <c r="V131"/>
  <c r="V55"/>
  <c r="V23"/>
  <c r="B80" i="5"/>
  <c r="V47" i="1"/>
  <c r="V59"/>
  <c r="V123"/>
  <c r="V162"/>
  <c r="V35"/>
  <c r="V151"/>
  <c r="V15"/>
  <c r="V105"/>
  <c r="V27"/>
  <c r="V73"/>
  <c r="V107"/>
  <c r="V137"/>
  <c r="V6"/>
  <c r="V22"/>
  <c r="V53"/>
  <c r="V139"/>
  <c r="V83"/>
  <c r="V145"/>
  <c r="V26"/>
  <c r="V42"/>
  <c r="V58"/>
  <c r="V74"/>
  <c r="V90"/>
  <c r="V75"/>
  <c r="V129"/>
  <c r="V38"/>
  <c r="V70"/>
  <c r="V98"/>
  <c r="V114"/>
  <c r="V130"/>
  <c r="V146"/>
  <c r="V3"/>
  <c r="V103"/>
  <c r="V133"/>
  <c r="V4"/>
  <c r="V109"/>
  <c r="V30"/>
  <c r="V94"/>
  <c r="V126"/>
  <c r="V158"/>
  <c r="V125"/>
  <c r="V16"/>
  <c r="V32"/>
  <c r="V48"/>
  <c r="V64"/>
  <c r="V80"/>
  <c r="V11"/>
  <c r="V102"/>
  <c r="V77"/>
  <c r="V20"/>
  <c r="V52"/>
  <c r="V84"/>
  <c r="V104"/>
  <c r="V120"/>
  <c r="V136"/>
  <c r="V152"/>
  <c r="V161"/>
  <c r="V111"/>
  <c r="V60"/>
  <c r="V108"/>
  <c r="V140"/>
  <c r="V78"/>
  <c r="V76"/>
  <c r="V148"/>
  <c r="V100"/>
  <c r="V44"/>
  <c r="AN3" i="3"/>
  <c r="AZ3" s="1"/>
  <c r="AB3"/>
  <c r="AA8"/>
  <c r="AN8" s="1"/>
  <c r="AA7"/>
  <c r="AN7" s="1"/>
  <c r="AA6"/>
  <c r="AN6" s="1"/>
  <c r="AA5"/>
  <c r="AN5" s="1"/>
  <c r="AA4"/>
  <c r="AN4" s="1"/>
  <c r="N3"/>
  <c r="M1" i="5"/>
  <c r="A7"/>
  <c r="U6" i="1" s="1"/>
  <c r="D48" i="5"/>
  <c r="M177"/>
  <c r="M178" s="1"/>
  <c r="M179" s="1"/>
  <c r="M180" s="1"/>
  <c r="M181" s="1"/>
  <c r="M182" s="1"/>
  <c r="D4"/>
  <c r="B19"/>
  <c r="B126"/>
  <c r="B74"/>
  <c r="D153"/>
  <c r="D93"/>
  <c r="B103"/>
  <c r="B81"/>
  <c r="D85"/>
  <c r="B34"/>
  <c r="B84"/>
  <c r="D59"/>
  <c r="D29"/>
  <c r="D125"/>
  <c r="B71"/>
  <c r="B127"/>
  <c r="B49"/>
  <c r="D121"/>
  <c r="D21"/>
  <c r="D133"/>
  <c r="D115"/>
  <c r="D5"/>
  <c r="D140"/>
  <c r="D31"/>
  <c r="B159"/>
  <c r="B17"/>
  <c r="D56"/>
  <c r="D82"/>
  <c r="B146"/>
  <c r="D27"/>
  <c r="D91"/>
  <c r="D147"/>
  <c r="D134"/>
  <c r="B29"/>
  <c r="B93"/>
  <c r="B125"/>
  <c r="D76"/>
  <c r="D12"/>
  <c r="D23"/>
  <c r="D39"/>
  <c r="B95"/>
  <c r="B119"/>
  <c r="B151"/>
  <c r="B78"/>
  <c r="B9"/>
  <c r="B33"/>
  <c r="B65"/>
  <c r="D105"/>
  <c r="D137"/>
  <c r="D104"/>
  <c r="D53"/>
  <c r="D117"/>
  <c r="D157"/>
  <c r="B54"/>
  <c r="B149"/>
  <c r="B47"/>
  <c r="B89"/>
  <c r="D163"/>
  <c r="B130"/>
  <c r="D43"/>
  <c r="D75"/>
  <c r="D99"/>
  <c r="D131"/>
  <c r="B60"/>
  <c r="B124"/>
  <c r="B138"/>
  <c r="V101" i="1"/>
  <c r="B152" i="5"/>
  <c r="D16"/>
  <c r="B18"/>
  <c r="D52"/>
  <c r="D114"/>
  <c r="D36"/>
  <c r="D84"/>
  <c r="D130"/>
  <c r="D146"/>
  <c r="B27"/>
  <c r="B43"/>
  <c r="B59"/>
  <c r="B75"/>
  <c r="B91"/>
  <c r="B99"/>
  <c r="B115"/>
  <c r="B131"/>
  <c r="B147"/>
  <c r="B4"/>
  <c r="B134"/>
  <c r="B5"/>
  <c r="B76"/>
  <c r="B106"/>
  <c r="B140"/>
  <c r="B12"/>
  <c r="B28"/>
  <c r="B108"/>
  <c r="B23"/>
  <c r="B31"/>
  <c r="B39"/>
  <c r="D71"/>
  <c r="D95"/>
  <c r="D103"/>
  <c r="D119"/>
  <c r="D127"/>
  <c r="D151"/>
  <c r="D159"/>
  <c r="D78"/>
  <c r="D126"/>
  <c r="D9"/>
  <c r="D17"/>
  <c r="D33"/>
  <c r="D49"/>
  <c r="D65"/>
  <c r="D81"/>
  <c r="B105"/>
  <c r="B121"/>
  <c r="B137"/>
  <c r="B153"/>
  <c r="B104"/>
  <c r="B21"/>
  <c r="B53"/>
  <c r="B85"/>
  <c r="B117"/>
  <c r="B133"/>
  <c r="B157"/>
  <c r="V79" i="1"/>
  <c r="V127"/>
  <c r="B110" i="5"/>
  <c r="B24"/>
  <c r="D110"/>
  <c r="D54"/>
  <c r="B155"/>
  <c r="B96"/>
  <c r="B37"/>
  <c r="B7"/>
  <c r="D18"/>
  <c r="B52"/>
  <c r="B82"/>
  <c r="B114"/>
  <c r="B163"/>
  <c r="B36"/>
  <c r="D60"/>
  <c r="D106"/>
  <c r="D124"/>
  <c r="D28"/>
  <c r="D74"/>
  <c r="D108"/>
  <c r="D138"/>
  <c r="D7"/>
  <c r="D80"/>
  <c r="V71" i="1"/>
  <c r="D30" i="5"/>
  <c r="B16"/>
  <c r="B48"/>
  <c r="B56"/>
  <c r="D152"/>
  <c r="B100"/>
  <c r="B83"/>
  <c r="B61"/>
  <c r="B44"/>
  <c r="B87"/>
  <c r="B25"/>
  <c r="B145"/>
  <c r="V13" i="1"/>
  <c r="V159"/>
  <c r="V37"/>
  <c r="V7"/>
  <c r="V61"/>
  <c r="D24" i="5"/>
  <c r="D38"/>
  <c r="D102"/>
  <c r="D8"/>
  <c r="D72"/>
  <c r="B62"/>
  <c r="D128"/>
  <c r="V29" i="1"/>
  <c r="B148" i="5"/>
  <c r="B162"/>
  <c r="B51"/>
  <c r="B123"/>
  <c r="B120"/>
  <c r="B109"/>
  <c r="B90"/>
  <c r="B154"/>
  <c r="B63"/>
  <c r="B135"/>
  <c r="B142"/>
  <c r="B57"/>
  <c r="B113"/>
  <c r="B150"/>
  <c r="B101"/>
  <c r="V135" i="1"/>
  <c r="B92" i="5"/>
  <c r="B98"/>
  <c r="B50"/>
  <c r="B26"/>
  <c r="V5" i="1"/>
  <c r="V31"/>
  <c r="C165" i="5"/>
  <c r="B144"/>
  <c r="B66"/>
  <c r="B132"/>
  <c r="B20"/>
  <c r="B68"/>
  <c r="B116"/>
  <c r="B11"/>
  <c r="B35"/>
  <c r="B67"/>
  <c r="B107"/>
  <c r="B139"/>
  <c r="B88"/>
  <c r="B45"/>
  <c r="B77"/>
  <c r="B141"/>
  <c r="B10"/>
  <c r="B42"/>
  <c r="B156"/>
  <c r="B58"/>
  <c r="B122"/>
  <c r="B15"/>
  <c r="B55"/>
  <c r="B79"/>
  <c r="B111"/>
  <c r="B143"/>
  <c r="B112"/>
  <c r="B158"/>
  <c r="B41"/>
  <c r="B73"/>
  <c r="B97"/>
  <c r="B129"/>
  <c r="B161"/>
  <c r="B13"/>
  <c r="B69"/>
  <c r="V21" i="1"/>
  <c r="V45"/>
  <c r="V69"/>
  <c r="V39"/>
  <c r="V93"/>
  <c r="V63"/>
  <c r="B172" i="5"/>
  <c r="C5" i="1" s="1"/>
  <c r="D118" i="5"/>
  <c r="D34"/>
  <c r="D66"/>
  <c r="D98"/>
  <c r="D132"/>
  <c r="D148"/>
  <c r="D20"/>
  <c r="D50"/>
  <c r="D68"/>
  <c r="D100"/>
  <c r="D116"/>
  <c r="D162"/>
  <c r="D11"/>
  <c r="D19"/>
  <c r="D35"/>
  <c r="D51"/>
  <c r="D67"/>
  <c r="D83"/>
  <c r="D107"/>
  <c r="D123"/>
  <c r="D139"/>
  <c r="D155"/>
  <c r="D88"/>
  <c r="D120"/>
  <c r="D45"/>
  <c r="D61"/>
  <c r="D77"/>
  <c r="D109"/>
  <c r="D141"/>
  <c r="D149"/>
  <c r="D10"/>
  <c r="D26"/>
  <c r="D42"/>
  <c r="D90"/>
  <c r="D156"/>
  <c r="D44"/>
  <c r="D58"/>
  <c r="D92"/>
  <c r="D122"/>
  <c r="D154"/>
  <c r="D15"/>
  <c r="D47"/>
  <c r="D55"/>
  <c r="D63"/>
  <c r="D79"/>
  <c r="D87"/>
  <c r="D111"/>
  <c r="D135"/>
  <c r="D143"/>
  <c r="D96"/>
  <c r="D112"/>
  <c r="D142"/>
  <c r="D158"/>
  <c r="D25"/>
  <c r="D41"/>
  <c r="D57"/>
  <c r="D73"/>
  <c r="D89"/>
  <c r="D97"/>
  <c r="D113"/>
  <c r="D129"/>
  <c r="D145"/>
  <c r="D161"/>
  <c r="D150"/>
  <c r="D13"/>
  <c r="D37"/>
  <c r="D69"/>
  <c r="D101"/>
  <c r="D22"/>
  <c r="B14"/>
  <c r="D46"/>
  <c r="D6"/>
  <c r="B70"/>
  <c r="D136"/>
  <c r="D40"/>
  <c r="D32"/>
  <c r="D94"/>
  <c r="D160"/>
  <c r="D64"/>
  <c r="D172"/>
  <c r="E5" i="1" s="1"/>
  <c r="B86" i="5"/>
  <c r="B118"/>
  <c r="D86"/>
  <c r="D144"/>
  <c r="A7" i="2"/>
  <c r="A9" i="3" s="1"/>
  <c r="Y9" s="1"/>
  <c r="N180" i="5"/>
  <c r="N181"/>
  <c r="N183"/>
  <c r="N177"/>
  <c r="N179"/>
  <c r="N182"/>
  <c r="N176"/>
  <c r="N178"/>
  <c r="AC9" i="3" l="1"/>
  <c r="AP9" s="1"/>
  <c r="AL9"/>
  <c r="S9"/>
  <c r="AF9" s="1"/>
  <c r="R9"/>
  <c r="AE9" s="1"/>
  <c r="Q9"/>
  <c r="AD9" s="1"/>
  <c r="T9"/>
  <c r="AG9" s="1"/>
  <c r="U9"/>
  <c r="AH9" s="1"/>
  <c r="V9"/>
  <c r="AI9" s="1"/>
  <c r="W9"/>
  <c r="AJ9" s="1"/>
  <c r="X9"/>
  <c r="AK9" s="1"/>
  <c r="Z9"/>
  <c r="AM9" s="1"/>
  <c r="AA9"/>
  <c r="AN9" s="1"/>
  <c r="C4"/>
  <c r="C39"/>
  <c r="C9"/>
  <c r="C63"/>
  <c r="C31"/>
  <c r="C19"/>
  <c r="C53"/>
  <c r="C83"/>
  <c r="C115"/>
  <c r="C119"/>
  <c r="C15"/>
  <c r="C145"/>
  <c r="C27"/>
  <c r="C91"/>
  <c r="C149"/>
  <c r="C21"/>
  <c r="C51"/>
  <c r="C23"/>
  <c r="C47"/>
  <c r="C43"/>
  <c r="C157"/>
  <c r="C59"/>
  <c r="C93"/>
  <c r="C123"/>
  <c r="C155"/>
  <c r="C16"/>
  <c r="C11"/>
  <c r="C45"/>
  <c r="C117"/>
  <c r="C12"/>
  <c r="C36"/>
  <c r="C52"/>
  <c r="C68"/>
  <c r="C84"/>
  <c r="C87"/>
  <c r="C69"/>
  <c r="C20"/>
  <c r="C56"/>
  <c r="C88"/>
  <c r="C108"/>
  <c r="C124"/>
  <c r="C140"/>
  <c r="C156"/>
  <c r="C89"/>
  <c r="C121"/>
  <c r="C151"/>
  <c r="C14"/>
  <c r="C101"/>
  <c r="C64"/>
  <c r="C112"/>
  <c r="C144"/>
  <c r="C97"/>
  <c r="C159"/>
  <c r="C26"/>
  <c r="C42"/>
  <c r="C58"/>
  <c r="C74"/>
  <c r="C90"/>
  <c r="C48"/>
  <c r="C136"/>
  <c r="C143"/>
  <c r="C38"/>
  <c r="C70"/>
  <c r="C98"/>
  <c r="C114"/>
  <c r="C130"/>
  <c r="C146"/>
  <c r="C162"/>
  <c r="C120"/>
  <c r="C30"/>
  <c r="C94"/>
  <c r="C126"/>
  <c r="C158"/>
  <c r="C10"/>
  <c r="C118"/>
  <c r="C152"/>
  <c r="C134"/>
  <c r="C103"/>
  <c r="C73"/>
  <c r="C129"/>
  <c r="C7"/>
  <c r="C71"/>
  <c r="C137"/>
  <c r="C41"/>
  <c r="C33"/>
  <c r="C95"/>
  <c r="C161"/>
  <c r="C65"/>
  <c r="C35"/>
  <c r="C67"/>
  <c r="C99"/>
  <c r="C133"/>
  <c r="C57"/>
  <c r="C25"/>
  <c r="C81"/>
  <c r="C49"/>
  <c r="C61"/>
  <c r="C125"/>
  <c r="C164"/>
  <c r="C37"/>
  <c r="C153"/>
  <c r="C17"/>
  <c r="C107"/>
  <c r="C29"/>
  <c r="C75"/>
  <c r="C109"/>
  <c r="C139"/>
  <c r="C8"/>
  <c r="C24"/>
  <c r="C55"/>
  <c r="C141"/>
  <c r="C85"/>
  <c r="C147"/>
  <c r="C28"/>
  <c r="C44"/>
  <c r="C60"/>
  <c r="C76"/>
  <c r="C92"/>
  <c r="C77"/>
  <c r="C131"/>
  <c r="C40"/>
  <c r="C72"/>
  <c r="C100"/>
  <c r="C116"/>
  <c r="C132"/>
  <c r="C148"/>
  <c r="C5"/>
  <c r="C105"/>
  <c r="C135"/>
  <c r="C6"/>
  <c r="C111"/>
  <c r="C32"/>
  <c r="C96"/>
  <c r="C128"/>
  <c r="C160"/>
  <c r="C127"/>
  <c r="C18"/>
  <c r="C34"/>
  <c r="C50"/>
  <c r="C66"/>
  <c r="C82"/>
  <c r="C13"/>
  <c r="C104"/>
  <c r="C79"/>
  <c r="C22"/>
  <c r="C54"/>
  <c r="C86"/>
  <c r="C106"/>
  <c r="C122"/>
  <c r="C138"/>
  <c r="C154"/>
  <c r="C163"/>
  <c r="C113"/>
  <c r="C62"/>
  <c r="C110"/>
  <c r="C142"/>
  <c r="C80"/>
  <c r="C78"/>
  <c r="C150"/>
  <c r="C102"/>
  <c r="C46"/>
  <c r="O3"/>
  <c r="AO3"/>
  <c r="BA3" s="1"/>
  <c r="AB8"/>
  <c r="AO8" s="1"/>
  <c r="AB5"/>
  <c r="AO5" s="1"/>
  <c r="AB9"/>
  <c r="AO9" s="1"/>
  <c r="AB6"/>
  <c r="AO6" s="1"/>
  <c r="AB4"/>
  <c r="AO4" s="1"/>
  <c r="AB7"/>
  <c r="AO7" s="1"/>
  <c r="N6"/>
  <c r="D9"/>
  <c r="N1" i="5"/>
  <c r="A8"/>
  <c r="U7" i="1" s="1"/>
  <c r="D165" i="5"/>
  <c r="B165"/>
  <c r="A8" i="2"/>
  <c r="A10" i="3" s="1"/>
  <c r="Y10" s="1"/>
  <c r="AL10" l="1"/>
  <c r="AC10"/>
  <c r="AP10" s="1"/>
  <c r="K5"/>
  <c r="L5"/>
  <c r="K7"/>
  <c r="L7"/>
  <c r="K9"/>
  <c r="L9"/>
  <c r="K4"/>
  <c r="L4"/>
  <c r="K6"/>
  <c r="L6"/>
  <c r="K8"/>
  <c r="L8"/>
  <c r="L10"/>
  <c r="N5"/>
  <c r="E6"/>
  <c r="G8"/>
  <c r="P10"/>
  <c r="O7"/>
  <c r="F8"/>
  <c r="O8"/>
  <c r="H6"/>
  <c r="J8"/>
  <c r="P5"/>
  <c r="N7"/>
  <c r="P7"/>
  <c r="P9"/>
  <c r="N4"/>
  <c r="P4"/>
  <c r="P6"/>
  <c r="N8"/>
  <c r="P8"/>
  <c r="J4"/>
  <c r="I9"/>
  <c r="G4"/>
  <c r="M9"/>
  <c r="F7"/>
  <c r="H5"/>
  <c r="F4"/>
  <c r="O4"/>
  <c r="H9"/>
  <c r="E9"/>
  <c r="N9"/>
  <c r="J7"/>
  <c r="G7"/>
  <c r="E5"/>
  <c r="D4"/>
  <c r="H4"/>
  <c r="M4"/>
  <c r="E4"/>
  <c r="I4"/>
  <c r="F9"/>
  <c r="J9"/>
  <c r="O9"/>
  <c r="G9"/>
  <c r="D7"/>
  <c r="H7"/>
  <c r="M7"/>
  <c r="E7"/>
  <c r="I7"/>
  <c r="D5"/>
  <c r="M5"/>
  <c r="I5"/>
  <c r="F5"/>
  <c r="J5"/>
  <c r="O5"/>
  <c r="G5"/>
  <c r="D8"/>
  <c r="H8"/>
  <c r="M8"/>
  <c r="E8"/>
  <c r="I8"/>
  <c r="D6"/>
  <c r="M6"/>
  <c r="I6"/>
  <c r="R10"/>
  <c r="S10"/>
  <c r="Q10"/>
  <c r="T10"/>
  <c r="U10"/>
  <c r="V10"/>
  <c r="W10"/>
  <c r="X10"/>
  <c r="AK10" s="1"/>
  <c r="Z10"/>
  <c r="AA10"/>
  <c r="AB10"/>
  <c r="F6"/>
  <c r="J6"/>
  <c r="O6"/>
  <c r="G6"/>
  <c r="O1" i="5"/>
  <c r="A9"/>
  <c r="U8" i="1" s="1"/>
  <c r="A9" i="2"/>
  <c r="A11" i="3" s="1"/>
  <c r="Y11" s="1"/>
  <c r="L11" s="1"/>
  <c r="AC11" l="1"/>
  <c r="AL11"/>
  <c r="K10"/>
  <c r="S11"/>
  <c r="R11"/>
  <c r="Q11"/>
  <c r="T11"/>
  <c r="U11"/>
  <c r="V11"/>
  <c r="W11"/>
  <c r="X11"/>
  <c r="Z11"/>
  <c r="AA11"/>
  <c r="AB11"/>
  <c r="AO10"/>
  <c r="O10"/>
  <c r="AM10"/>
  <c r="M10"/>
  <c r="AJ10"/>
  <c r="J10"/>
  <c r="AH10"/>
  <c r="H10"/>
  <c r="AD10"/>
  <c r="D10"/>
  <c r="AE10"/>
  <c r="E10"/>
  <c r="AN10"/>
  <c r="N10"/>
  <c r="AI10"/>
  <c r="I10"/>
  <c r="AG10"/>
  <c r="G10"/>
  <c r="AF10"/>
  <c r="F10"/>
  <c r="P1" i="5"/>
  <c r="A10"/>
  <c r="U9" i="1" s="1"/>
  <c r="A10" i="2"/>
  <c r="A12" i="3" s="1"/>
  <c r="Y12" s="1"/>
  <c r="AL12" l="1"/>
  <c r="AC12"/>
  <c r="L12"/>
  <c r="AK11"/>
  <c r="K11"/>
  <c r="AP11"/>
  <c r="P11"/>
  <c r="R12"/>
  <c r="S12"/>
  <c r="Q12"/>
  <c r="T12"/>
  <c r="U12"/>
  <c r="V12"/>
  <c r="W12"/>
  <c r="X12"/>
  <c r="Z12"/>
  <c r="AA12"/>
  <c r="AB12"/>
  <c r="AO11"/>
  <c r="O11"/>
  <c r="AM11"/>
  <c r="M11"/>
  <c r="AJ11"/>
  <c r="J11"/>
  <c r="AH11"/>
  <c r="H11"/>
  <c r="AD11"/>
  <c r="D11"/>
  <c r="AF11"/>
  <c r="F11"/>
  <c r="AN11"/>
  <c r="N11"/>
  <c r="AI11"/>
  <c r="I11"/>
  <c r="AG11"/>
  <c r="G11"/>
  <c r="AE11"/>
  <c r="E11"/>
  <c r="Q1" i="5"/>
  <c r="A11"/>
  <c r="U10" i="1" s="1"/>
  <c r="A11" i="2"/>
  <c r="A13" i="3" s="1"/>
  <c r="Y13" s="1"/>
  <c r="AK12" l="1"/>
  <c r="K12"/>
  <c r="AC13"/>
  <c r="AL13"/>
  <c r="L13"/>
  <c r="AP12"/>
  <c r="P12"/>
  <c r="AO12"/>
  <c r="O12"/>
  <c r="AM12"/>
  <c r="M12"/>
  <c r="AJ12"/>
  <c r="J12"/>
  <c r="AH12"/>
  <c r="H12"/>
  <c r="AD12"/>
  <c r="D12"/>
  <c r="AE12"/>
  <c r="E12"/>
  <c r="S13"/>
  <c r="R13"/>
  <c r="Q13"/>
  <c r="T13"/>
  <c r="U13"/>
  <c r="V13"/>
  <c r="W13"/>
  <c r="X13"/>
  <c r="Z13"/>
  <c r="AA13"/>
  <c r="AB13"/>
  <c r="AN12"/>
  <c r="N12"/>
  <c r="AI12"/>
  <c r="I12"/>
  <c r="AG12"/>
  <c r="G12"/>
  <c r="AF12"/>
  <c r="F12"/>
  <c r="A12" i="5"/>
  <c r="U11" i="1" s="1"/>
  <c r="R1" i="5"/>
  <c r="A12" i="2"/>
  <c r="A14" i="3" s="1"/>
  <c r="Y14" s="1"/>
  <c r="AK13" l="1"/>
  <c r="K13"/>
  <c r="AL14"/>
  <c r="AC14"/>
  <c r="L14"/>
  <c r="AP13"/>
  <c r="P13"/>
  <c r="R14"/>
  <c r="S14"/>
  <c r="Q14"/>
  <c r="T14"/>
  <c r="U14"/>
  <c r="V14"/>
  <c r="W14"/>
  <c r="X14"/>
  <c r="Z14"/>
  <c r="AA14"/>
  <c r="AB14"/>
  <c r="AO13"/>
  <c r="O13"/>
  <c r="AM13"/>
  <c r="M13"/>
  <c r="AJ13"/>
  <c r="J13"/>
  <c r="AH13"/>
  <c r="H13"/>
  <c r="AD13"/>
  <c r="D13"/>
  <c r="AF13"/>
  <c r="F13"/>
  <c r="AN13"/>
  <c r="N13"/>
  <c r="AI13"/>
  <c r="I13"/>
  <c r="AG13"/>
  <c r="G13"/>
  <c r="AE13"/>
  <c r="E13"/>
  <c r="S1" i="5"/>
  <c r="A13"/>
  <c r="U12" i="1" s="1"/>
  <c r="A13" i="2"/>
  <c r="A15" i="3" s="1"/>
  <c r="Y15" s="1"/>
  <c r="AC15" l="1"/>
  <c r="AL15"/>
  <c r="L15"/>
  <c r="AP14"/>
  <c r="P14"/>
  <c r="AK14"/>
  <c r="K14"/>
  <c r="AO14"/>
  <c r="O14"/>
  <c r="AM14"/>
  <c r="M14"/>
  <c r="AJ14"/>
  <c r="J14"/>
  <c r="AH14"/>
  <c r="H14"/>
  <c r="AD14"/>
  <c r="D14"/>
  <c r="AE14"/>
  <c r="E14"/>
  <c r="S15"/>
  <c r="R15"/>
  <c r="Q15"/>
  <c r="T15"/>
  <c r="U15"/>
  <c r="V15"/>
  <c r="W15"/>
  <c r="X15"/>
  <c r="Z15"/>
  <c r="AA15"/>
  <c r="AB15"/>
  <c r="AN14"/>
  <c r="N14"/>
  <c r="AI14"/>
  <c r="I14"/>
  <c r="AG14"/>
  <c r="G14"/>
  <c r="AF14"/>
  <c r="F14"/>
  <c r="T1" i="5"/>
  <c r="A14"/>
  <c r="U13" i="1" s="1"/>
  <c r="A14" i="2"/>
  <c r="A16" i="3" s="1"/>
  <c r="Y16" s="1"/>
  <c r="AL16" l="1"/>
  <c r="AC16"/>
  <c r="L16"/>
  <c r="AK15"/>
  <c r="K15"/>
  <c r="AP15"/>
  <c r="P15"/>
  <c r="R16"/>
  <c r="S16"/>
  <c r="Q16"/>
  <c r="T16"/>
  <c r="U16"/>
  <c r="V16"/>
  <c r="W16"/>
  <c r="X16"/>
  <c r="Z16"/>
  <c r="AA16"/>
  <c r="AB16"/>
  <c r="AO15"/>
  <c r="O15"/>
  <c r="AM15"/>
  <c r="M15"/>
  <c r="AJ15"/>
  <c r="J15"/>
  <c r="AH15"/>
  <c r="H15"/>
  <c r="AD15"/>
  <c r="D15"/>
  <c r="AF15"/>
  <c r="F15"/>
  <c r="AN15"/>
  <c r="N15"/>
  <c r="AI15"/>
  <c r="I15"/>
  <c r="AG15"/>
  <c r="G15"/>
  <c r="AE15"/>
  <c r="E15"/>
  <c r="U1" i="5"/>
  <c r="A15"/>
  <c r="U14" i="1" s="1"/>
  <c r="A15" i="2"/>
  <c r="A17" i="3" s="1"/>
  <c r="Y17" s="1"/>
  <c r="AK16" l="1"/>
  <c r="K16"/>
  <c r="AP16"/>
  <c r="P16"/>
  <c r="AC17"/>
  <c r="AL17"/>
  <c r="L17"/>
  <c r="AO16"/>
  <c r="O16"/>
  <c r="AM16"/>
  <c r="M16"/>
  <c r="AJ16"/>
  <c r="J16"/>
  <c r="AH16"/>
  <c r="H16"/>
  <c r="AD16"/>
  <c r="D16"/>
  <c r="AE16"/>
  <c r="E16"/>
  <c r="S17"/>
  <c r="R17"/>
  <c r="Q17"/>
  <c r="T17"/>
  <c r="U17"/>
  <c r="V17"/>
  <c r="W17"/>
  <c r="X17"/>
  <c r="Z17"/>
  <c r="AA17"/>
  <c r="AB17"/>
  <c r="AN16"/>
  <c r="N16"/>
  <c r="AI16"/>
  <c r="I16"/>
  <c r="AG16"/>
  <c r="G16"/>
  <c r="AF16"/>
  <c r="F16"/>
  <c r="A16" i="5"/>
  <c r="U15" i="1" s="1"/>
  <c r="V1" i="5"/>
  <c r="A16" i="2"/>
  <c r="A18" i="3" s="1"/>
  <c r="Y18" s="1"/>
  <c r="AL18" l="1"/>
  <c r="AC18"/>
  <c r="L18"/>
  <c r="AK17"/>
  <c r="K17"/>
  <c r="AP17"/>
  <c r="P17"/>
  <c r="AO17"/>
  <c r="O17"/>
  <c r="AM17"/>
  <c r="M17"/>
  <c r="AJ17"/>
  <c r="J17"/>
  <c r="AH17"/>
  <c r="H17"/>
  <c r="AD17"/>
  <c r="D17"/>
  <c r="AF17"/>
  <c r="F17"/>
  <c r="R18"/>
  <c r="S18"/>
  <c r="Q18"/>
  <c r="T18"/>
  <c r="U18"/>
  <c r="V18"/>
  <c r="W18"/>
  <c r="X18"/>
  <c r="Z18"/>
  <c r="AA18"/>
  <c r="AB18"/>
  <c r="AN17"/>
  <c r="N17"/>
  <c r="AI17"/>
  <c r="I17"/>
  <c r="AG17"/>
  <c r="G17"/>
  <c r="AE17"/>
  <c r="E17"/>
  <c r="A17" i="5"/>
  <c r="U16" i="1" s="1"/>
  <c r="W1" i="5"/>
  <c r="A17" i="2"/>
  <c r="A19" i="3" s="1"/>
  <c r="Y19" s="1"/>
  <c r="AC19" l="1"/>
  <c r="AL19"/>
  <c r="L19"/>
  <c r="AK18"/>
  <c r="K18"/>
  <c r="AP18"/>
  <c r="P18"/>
  <c r="S19"/>
  <c r="R19"/>
  <c r="Q19"/>
  <c r="T19"/>
  <c r="U19"/>
  <c r="V19"/>
  <c r="W19"/>
  <c r="X19"/>
  <c r="Z19"/>
  <c r="AA19"/>
  <c r="AB19"/>
  <c r="AO18"/>
  <c r="O18"/>
  <c r="AM18"/>
  <c r="M18"/>
  <c r="AJ18"/>
  <c r="J18"/>
  <c r="AH18"/>
  <c r="H18"/>
  <c r="AD18"/>
  <c r="D18"/>
  <c r="AE18"/>
  <c r="E18"/>
  <c r="AN18"/>
  <c r="N18"/>
  <c r="AI18"/>
  <c r="I18"/>
  <c r="AG18"/>
  <c r="G18"/>
  <c r="AF18"/>
  <c r="F18"/>
  <c r="A18" i="5"/>
  <c r="U17" i="1" s="1"/>
  <c r="X1" i="5"/>
  <c r="A18" i="2"/>
  <c r="A20" i="3" s="1"/>
  <c r="Y20" s="1"/>
  <c r="AL20" l="1"/>
  <c r="AC20"/>
  <c r="L20"/>
  <c r="AP19"/>
  <c r="P19"/>
  <c r="AK19"/>
  <c r="K19"/>
  <c r="R20"/>
  <c r="S20"/>
  <c r="Q20"/>
  <c r="T20"/>
  <c r="U20"/>
  <c r="V20"/>
  <c r="W20"/>
  <c r="X20"/>
  <c r="Z20"/>
  <c r="AA20"/>
  <c r="AB20"/>
  <c r="AO19"/>
  <c r="O19"/>
  <c r="AM19"/>
  <c r="M19"/>
  <c r="AJ19"/>
  <c r="J19"/>
  <c r="AH19"/>
  <c r="H19"/>
  <c r="AD19"/>
  <c r="D19"/>
  <c r="AF19"/>
  <c r="F19"/>
  <c r="AN19"/>
  <c r="N19"/>
  <c r="AI19"/>
  <c r="I19"/>
  <c r="AG19"/>
  <c r="G19"/>
  <c r="AE19"/>
  <c r="E19"/>
  <c r="A19" i="5"/>
  <c r="U18" i="1" s="1"/>
  <c r="Y1" i="5"/>
  <c r="A19" i="2"/>
  <c r="A21" i="3" s="1"/>
  <c r="Y21" s="1"/>
  <c r="AC21" l="1"/>
  <c r="AL21"/>
  <c r="L21"/>
  <c r="AK20"/>
  <c r="K20"/>
  <c r="AP20"/>
  <c r="P20"/>
  <c r="S21"/>
  <c r="R21"/>
  <c r="Q21"/>
  <c r="T21"/>
  <c r="U21"/>
  <c r="V21"/>
  <c r="W21"/>
  <c r="X21"/>
  <c r="Z21"/>
  <c r="AA21"/>
  <c r="AB21"/>
  <c r="AO20"/>
  <c r="O20"/>
  <c r="AM20"/>
  <c r="M20"/>
  <c r="AJ20"/>
  <c r="J20"/>
  <c r="AH20"/>
  <c r="H20"/>
  <c r="AD20"/>
  <c r="D20"/>
  <c r="AE20"/>
  <c r="E20"/>
  <c r="AN20"/>
  <c r="N20"/>
  <c r="AI20"/>
  <c r="I20"/>
  <c r="AG20"/>
  <c r="G20"/>
  <c r="AF20"/>
  <c r="F20"/>
  <c r="Z1" i="5"/>
  <c r="A20"/>
  <c r="U19" i="1" s="1"/>
  <c r="A20" i="2"/>
  <c r="A22" i="3" s="1"/>
  <c r="Y22" s="1"/>
  <c r="AL22" l="1"/>
  <c r="AC22"/>
  <c r="L22"/>
  <c r="AP21"/>
  <c r="P21"/>
  <c r="AK21"/>
  <c r="K21"/>
  <c r="R22"/>
  <c r="S22"/>
  <c r="Q22"/>
  <c r="T22"/>
  <c r="U22"/>
  <c r="V22"/>
  <c r="W22"/>
  <c r="X22"/>
  <c r="Z22"/>
  <c r="AA22"/>
  <c r="AB22"/>
  <c r="AO21"/>
  <c r="O21"/>
  <c r="AM21"/>
  <c r="M21"/>
  <c r="AJ21"/>
  <c r="J21"/>
  <c r="AH21"/>
  <c r="H21"/>
  <c r="AD21"/>
  <c r="D21"/>
  <c r="AF21"/>
  <c r="F21"/>
  <c r="AN21"/>
  <c r="N21"/>
  <c r="AI21"/>
  <c r="I21"/>
  <c r="AG21"/>
  <c r="G21"/>
  <c r="AE21"/>
  <c r="E21"/>
  <c r="AA1" i="5"/>
  <c r="A21"/>
  <c r="U20" i="1" s="1"/>
  <c r="A21" i="2"/>
  <c r="A23" i="3" s="1"/>
  <c r="Y23" s="1"/>
  <c r="AC23" l="1"/>
  <c r="AL23"/>
  <c r="L23"/>
  <c r="AK22"/>
  <c r="K22"/>
  <c r="AP22"/>
  <c r="P22"/>
  <c r="S23"/>
  <c r="R23"/>
  <c r="Q23"/>
  <c r="T23"/>
  <c r="U23"/>
  <c r="V23"/>
  <c r="W23"/>
  <c r="X23"/>
  <c r="Z23"/>
  <c r="AA23"/>
  <c r="AB23"/>
  <c r="AO22"/>
  <c r="O22"/>
  <c r="AM22"/>
  <c r="M22"/>
  <c r="AJ22"/>
  <c r="J22"/>
  <c r="AH22"/>
  <c r="H22"/>
  <c r="AD22"/>
  <c r="D22"/>
  <c r="AE22"/>
  <c r="E22"/>
  <c r="AN22"/>
  <c r="N22"/>
  <c r="AI22"/>
  <c r="I22"/>
  <c r="AG22"/>
  <c r="G22"/>
  <c r="AF22"/>
  <c r="F22"/>
  <c r="A22" i="5"/>
  <c r="U21" i="1" s="1"/>
  <c r="AB1" i="5"/>
  <c r="A22" i="2"/>
  <c r="A24" i="3" s="1"/>
  <c r="Y24" s="1"/>
  <c r="AL24" l="1"/>
  <c r="AC24"/>
  <c r="L24"/>
  <c r="AP23"/>
  <c r="P23"/>
  <c r="AK23"/>
  <c r="K23"/>
  <c r="R24"/>
  <c r="S24"/>
  <c r="Q24"/>
  <c r="T24"/>
  <c r="U24"/>
  <c r="V24"/>
  <c r="W24"/>
  <c r="X24"/>
  <c r="Z24"/>
  <c r="AA24"/>
  <c r="AB24"/>
  <c r="AO23"/>
  <c r="O23"/>
  <c r="AM23"/>
  <c r="M23"/>
  <c r="AJ23"/>
  <c r="J23"/>
  <c r="AH23"/>
  <c r="H23"/>
  <c r="AD23"/>
  <c r="D23"/>
  <c r="AF23"/>
  <c r="F23"/>
  <c r="AN23"/>
  <c r="N23"/>
  <c r="AI23"/>
  <c r="I23"/>
  <c r="AG23"/>
  <c r="G23"/>
  <c r="AE23"/>
  <c r="E23"/>
  <c r="A23" i="5"/>
  <c r="U22" i="1" s="1"/>
  <c r="AC1" i="5"/>
  <c r="A23" i="2"/>
  <c r="A25" i="3" s="1"/>
  <c r="Y25" s="1"/>
  <c r="AC25" l="1"/>
  <c r="AL25"/>
  <c r="L25"/>
  <c r="AK24"/>
  <c r="K24"/>
  <c r="AP24"/>
  <c r="P24"/>
  <c r="S25"/>
  <c r="R25"/>
  <c r="Q25"/>
  <c r="T25"/>
  <c r="U25"/>
  <c r="V25"/>
  <c r="W25"/>
  <c r="X25"/>
  <c r="Z25"/>
  <c r="AA25"/>
  <c r="AB25"/>
  <c r="AO24"/>
  <c r="O24"/>
  <c r="AM24"/>
  <c r="M24"/>
  <c r="AJ24"/>
  <c r="J24"/>
  <c r="AH24"/>
  <c r="H24"/>
  <c r="AD24"/>
  <c r="D24"/>
  <c r="AE24"/>
  <c r="E24"/>
  <c r="AN24"/>
  <c r="N24"/>
  <c r="AI24"/>
  <c r="I24"/>
  <c r="AG24"/>
  <c r="G24"/>
  <c r="AF24"/>
  <c r="F24"/>
  <c r="A24" i="5"/>
  <c r="U23" i="1" s="1"/>
  <c r="AD1" i="5"/>
  <c r="A24" i="2"/>
  <c r="A26" i="3" s="1"/>
  <c r="Y26" s="1"/>
  <c r="AL26" l="1"/>
  <c r="AC26"/>
  <c r="L26"/>
  <c r="AP25"/>
  <c r="P25"/>
  <c r="AK25"/>
  <c r="K25"/>
  <c r="R26"/>
  <c r="S26"/>
  <c r="Q26"/>
  <c r="T26"/>
  <c r="U26"/>
  <c r="V26"/>
  <c r="W26"/>
  <c r="X26"/>
  <c r="Z26"/>
  <c r="AA26"/>
  <c r="AB26"/>
  <c r="AO25"/>
  <c r="O25"/>
  <c r="AM25"/>
  <c r="M25"/>
  <c r="AJ25"/>
  <c r="J25"/>
  <c r="AH25"/>
  <c r="H25"/>
  <c r="AD25"/>
  <c r="D25"/>
  <c r="AF25"/>
  <c r="F25"/>
  <c r="AN25"/>
  <c r="N25"/>
  <c r="AI25"/>
  <c r="I25"/>
  <c r="AG25"/>
  <c r="G25"/>
  <c r="AE25"/>
  <c r="E25"/>
  <c r="A25" i="5"/>
  <c r="U24" i="1" s="1"/>
  <c r="AE1" i="5"/>
  <c r="A25" i="2"/>
  <c r="A27" i="3" s="1"/>
  <c r="Y27" s="1"/>
  <c r="AC27" l="1"/>
  <c r="AL27"/>
  <c r="L27"/>
  <c r="AK26"/>
  <c r="K26"/>
  <c r="AP26"/>
  <c r="P26"/>
  <c r="S27"/>
  <c r="R27"/>
  <c r="Q27"/>
  <c r="T27"/>
  <c r="U27"/>
  <c r="V27"/>
  <c r="W27"/>
  <c r="X27"/>
  <c r="Z27"/>
  <c r="AA27"/>
  <c r="AB27"/>
  <c r="AO26"/>
  <c r="O26"/>
  <c r="AM26"/>
  <c r="M26"/>
  <c r="AJ26"/>
  <c r="J26"/>
  <c r="AH26"/>
  <c r="H26"/>
  <c r="AD26"/>
  <c r="D26"/>
  <c r="AE26"/>
  <c r="E26"/>
  <c r="AN26"/>
  <c r="N26"/>
  <c r="AI26"/>
  <c r="I26"/>
  <c r="AG26"/>
  <c r="G26"/>
  <c r="AF26"/>
  <c r="F26"/>
  <c r="AF1" i="5"/>
  <c r="A26"/>
  <c r="U25" i="1" s="1"/>
  <c r="A26" i="2"/>
  <c r="A28" i="3" s="1"/>
  <c r="Y28" s="1"/>
  <c r="AL28" l="1"/>
  <c r="AC28"/>
  <c r="L28"/>
  <c r="AP27"/>
  <c r="P27"/>
  <c r="AK27"/>
  <c r="K27"/>
  <c r="R28"/>
  <c r="S28"/>
  <c r="Q28"/>
  <c r="T28"/>
  <c r="U28"/>
  <c r="V28"/>
  <c r="W28"/>
  <c r="X28"/>
  <c r="Z28"/>
  <c r="AA28"/>
  <c r="AB28"/>
  <c r="AO27"/>
  <c r="O27"/>
  <c r="AM27"/>
  <c r="M27"/>
  <c r="AJ27"/>
  <c r="J27"/>
  <c r="AH27"/>
  <c r="H27"/>
  <c r="AD27"/>
  <c r="D27"/>
  <c r="AF27"/>
  <c r="F27"/>
  <c r="AN27"/>
  <c r="N27"/>
  <c r="AI27"/>
  <c r="I27"/>
  <c r="AG27"/>
  <c r="G27"/>
  <c r="AE27"/>
  <c r="E27"/>
  <c r="AG1" i="5"/>
  <c r="A27"/>
  <c r="U26" i="1" s="1"/>
  <c r="A27" i="2"/>
  <c r="A29" i="3" s="1"/>
  <c r="Y29" s="1"/>
  <c r="AC29" l="1"/>
  <c r="AL29"/>
  <c r="L29"/>
  <c r="AK28"/>
  <c r="K28"/>
  <c r="AP28"/>
  <c r="P28"/>
  <c r="S29"/>
  <c r="R29"/>
  <c r="Q29"/>
  <c r="T29"/>
  <c r="U29"/>
  <c r="V29"/>
  <c r="W29"/>
  <c r="X29"/>
  <c r="Z29"/>
  <c r="AA29"/>
  <c r="AB29"/>
  <c r="AO28"/>
  <c r="O28"/>
  <c r="AM28"/>
  <c r="M28"/>
  <c r="AJ28"/>
  <c r="J28"/>
  <c r="AH28"/>
  <c r="H28"/>
  <c r="AD28"/>
  <c r="D28"/>
  <c r="AE28"/>
  <c r="E28"/>
  <c r="AN28"/>
  <c r="N28"/>
  <c r="AI28"/>
  <c r="I28"/>
  <c r="AG28"/>
  <c r="G28"/>
  <c r="AF28"/>
  <c r="F28"/>
  <c r="A28" i="5"/>
  <c r="U27" i="1" s="1"/>
  <c r="AH1" i="5"/>
  <c r="A28" i="2"/>
  <c r="A30" i="3" s="1"/>
  <c r="Y30" s="1"/>
  <c r="AL30" l="1"/>
  <c r="AC30"/>
  <c r="L30"/>
  <c r="AP29"/>
  <c r="P29"/>
  <c r="AK29"/>
  <c r="K29"/>
  <c r="R30"/>
  <c r="S30"/>
  <c r="Q30"/>
  <c r="T30"/>
  <c r="U30"/>
  <c r="V30"/>
  <c r="W30"/>
  <c r="X30"/>
  <c r="Z30"/>
  <c r="AA30"/>
  <c r="AB30"/>
  <c r="AO29"/>
  <c r="O29"/>
  <c r="AM29"/>
  <c r="M29"/>
  <c r="AJ29"/>
  <c r="J29"/>
  <c r="AH29"/>
  <c r="H29"/>
  <c r="AD29"/>
  <c r="D29"/>
  <c r="AF29"/>
  <c r="F29"/>
  <c r="AN29"/>
  <c r="N29"/>
  <c r="AI29"/>
  <c r="I29"/>
  <c r="AG29"/>
  <c r="G29"/>
  <c r="AE29"/>
  <c r="E29"/>
  <c r="A29" i="5"/>
  <c r="U28" i="1" s="1"/>
  <c r="AI1" i="5"/>
  <c r="A29" i="2"/>
  <c r="A31" i="3" s="1"/>
  <c r="Y31" s="1"/>
  <c r="AC31" l="1"/>
  <c r="AL31"/>
  <c r="L31"/>
  <c r="AK30"/>
  <c r="K30"/>
  <c r="AP30"/>
  <c r="P30"/>
  <c r="AO30"/>
  <c r="O30"/>
  <c r="AM30"/>
  <c r="M30"/>
  <c r="AJ30"/>
  <c r="J30"/>
  <c r="AH30"/>
  <c r="H30"/>
  <c r="AD30"/>
  <c r="D30"/>
  <c r="AE30"/>
  <c r="E30"/>
  <c r="S31"/>
  <c r="R31"/>
  <c r="Q31"/>
  <c r="T31"/>
  <c r="U31"/>
  <c r="V31"/>
  <c r="W31"/>
  <c r="X31"/>
  <c r="Z31"/>
  <c r="AA31"/>
  <c r="AB31"/>
  <c r="AN30"/>
  <c r="N30"/>
  <c r="AI30"/>
  <c r="I30"/>
  <c r="AG30"/>
  <c r="G30"/>
  <c r="AF30"/>
  <c r="F30"/>
  <c r="A30" i="5"/>
  <c r="U29" i="1" s="1"/>
  <c r="AJ1" i="5"/>
  <c r="A30" i="2"/>
  <c r="A32" i="3" s="1"/>
  <c r="Y32" s="1"/>
  <c r="AL32" l="1"/>
  <c r="AC32"/>
  <c r="L32"/>
  <c r="AP31"/>
  <c r="P31"/>
  <c r="AK31"/>
  <c r="K31"/>
  <c r="R32"/>
  <c r="S32"/>
  <c r="Q32"/>
  <c r="T32"/>
  <c r="U32"/>
  <c r="V32"/>
  <c r="W32"/>
  <c r="X32"/>
  <c r="Z32"/>
  <c r="AA32"/>
  <c r="AB32"/>
  <c r="AO31"/>
  <c r="O31"/>
  <c r="AM31"/>
  <c r="M31"/>
  <c r="AJ31"/>
  <c r="J31"/>
  <c r="AH31"/>
  <c r="H31"/>
  <c r="AD31"/>
  <c r="D31"/>
  <c r="AF31"/>
  <c r="F31"/>
  <c r="AN31"/>
  <c r="N31"/>
  <c r="AI31"/>
  <c r="I31"/>
  <c r="AG31"/>
  <c r="G31"/>
  <c r="AE31"/>
  <c r="E31"/>
  <c r="A31" i="5"/>
  <c r="U30" i="1" s="1"/>
  <c r="AK1" i="5"/>
  <c r="A31" i="2"/>
  <c r="A33" i="3" s="1"/>
  <c r="Y33" s="1"/>
  <c r="AC33" l="1"/>
  <c r="AL33"/>
  <c r="L33"/>
  <c r="AK32"/>
  <c r="K32"/>
  <c r="AP32"/>
  <c r="P32"/>
  <c r="S33"/>
  <c r="R33"/>
  <c r="Q33"/>
  <c r="T33"/>
  <c r="U33"/>
  <c r="V33"/>
  <c r="W33"/>
  <c r="X33"/>
  <c r="Z33"/>
  <c r="AA33"/>
  <c r="AB33"/>
  <c r="AO32"/>
  <c r="O32"/>
  <c r="AM32"/>
  <c r="M32"/>
  <c r="AJ32"/>
  <c r="J32"/>
  <c r="AH32"/>
  <c r="H32"/>
  <c r="AD32"/>
  <c r="D32"/>
  <c r="AE32"/>
  <c r="E32"/>
  <c r="AN32"/>
  <c r="N32"/>
  <c r="AI32"/>
  <c r="I32"/>
  <c r="AG32"/>
  <c r="G32"/>
  <c r="AF32"/>
  <c r="F32"/>
  <c r="AL1" i="5"/>
  <c r="A32"/>
  <c r="U31" i="1" s="1"/>
  <c r="A32" i="2"/>
  <c r="A34" i="3" s="1"/>
  <c r="Y34" s="1"/>
  <c r="AL34" l="1"/>
  <c r="AC34"/>
  <c r="L34"/>
  <c r="AP33"/>
  <c r="P33"/>
  <c r="AK33"/>
  <c r="K33"/>
  <c r="R34"/>
  <c r="S34"/>
  <c r="Q34"/>
  <c r="T34"/>
  <c r="U34"/>
  <c r="V34"/>
  <c r="W34"/>
  <c r="X34"/>
  <c r="Z34"/>
  <c r="AA34"/>
  <c r="AB34"/>
  <c r="AO33"/>
  <c r="O33"/>
  <c r="AM33"/>
  <c r="M33"/>
  <c r="AJ33"/>
  <c r="J33"/>
  <c r="AH33"/>
  <c r="H33"/>
  <c r="AD33"/>
  <c r="D33"/>
  <c r="AF33"/>
  <c r="F33"/>
  <c r="AN33"/>
  <c r="N33"/>
  <c r="AI33"/>
  <c r="I33"/>
  <c r="AG33"/>
  <c r="G33"/>
  <c r="AE33"/>
  <c r="E33"/>
  <c r="AM1" i="5"/>
  <c r="A33"/>
  <c r="U32" i="1" s="1"/>
  <c r="A33" i="2"/>
  <c r="A35" i="3" s="1"/>
  <c r="Y35" s="1"/>
  <c r="AC35" l="1"/>
  <c r="AL35"/>
  <c r="L35"/>
  <c r="AK34"/>
  <c r="K34"/>
  <c r="AP34"/>
  <c r="P34"/>
  <c r="S35"/>
  <c r="R35"/>
  <c r="Q35"/>
  <c r="T35"/>
  <c r="U35"/>
  <c r="V35"/>
  <c r="W35"/>
  <c r="X35"/>
  <c r="Z35"/>
  <c r="AA35"/>
  <c r="AB35"/>
  <c r="AO34"/>
  <c r="O34"/>
  <c r="AM34"/>
  <c r="M34"/>
  <c r="AJ34"/>
  <c r="J34"/>
  <c r="AH34"/>
  <c r="H34"/>
  <c r="AD34"/>
  <c r="D34"/>
  <c r="AE34"/>
  <c r="E34"/>
  <c r="AN34"/>
  <c r="N34"/>
  <c r="AI34"/>
  <c r="I34"/>
  <c r="AG34"/>
  <c r="G34"/>
  <c r="AF34"/>
  <c r="F34"/>
  <c r="A34" i="5"/>
  <c r="U33" i="1" s="1"/>
  <c r="AN1" i="5"/>
  <c r="A34" i="2"/>
  <c r="A36" i="3" s="1"/>
  <c r="Y36" s="1"/>
  <c r="AL36" l="1"/>
  <c r="AC36"/>
  <c r="L36"/>
  <c r="AP35"/>
  <c r="P35"/>
  <c r="AK35"/>
  <c r="K35"/>
  <c r="AO35"/>
  <c r="O35"/>
  <c r="AM35"/>
  <c r="M35"/>
  <c r="AJ35"/>
  <c r="J35"/>
  <c r="AH35"/>
  <c r="H35"/>
  <c r="AD35"/>
  <c r="D35"/>
  <c r="AF35"/>
  <c r="F35"/>
  <c r="R36"/>
  <c r="S36"/>
  <c r="Q36"/>
  <c r="T36"/>
  <c r="U36"/>
  <c r="V36"/>
  <c r="W36"/>
  <c r="X36"/>
  <c r="Z36"/>
  <c r="AA36"/>
  <c r="AB36"/>
  <c r="AN35"/>
  <c r="N35"/>
  <c r="AI35"/>
  <c r="I35"/>
  <c r="AG35"/>
  <c r="G35"/>
  <c r="AE35"/>
  <c r="E35"/>
  <c r="A35" i="5"/>
  <c r="U34" i="1" s="1"/>
  <c r="A35" i="2"/>
  <c r="A37" i="3" s="1"/>
  <c r="Y37" s="1"/>
  <c r="AC37" l="1"/>
  <c r="AL37"/>
  <c r="L37"/>
  <c r="AK36"/>
  <c r="K36"/>
  <c r="AP36"/>
  <c r="P36"/>
  <c r="S37"/>
  <c r="R37"/>
  <c r="Q37"/>
  <c r="T37"/>
  <c r="U37"/>
  <c r="V37"/>
  <c r="W37"/>
  <c r="X37"/>
  <c r="Z37"/>
  <c r="AA37"/>
  <c r="AB37"/>
  <c r="AO36"/>
  <c r="O36"/>
  <c r="AM36"/>
  <c r="M36"/>
  <c r="AJ36"/>
  <c r="J36"/>
  <c r="AH36"/>
  <c r="H36"/>
  <c r="AD36"/>
  <c r="D36"/>
  <c r="AE36"/>
  <c r="E36"/>
  <c r="AN36"/>
  <c r="N36"/>
  <c r="AI36"/>
  <c r="I36"/>
  <c r="AG36"/>
  <c r="G36"/>
  <c r="AF36"/>
  <c r="F36"/>
  <c r="A36" i="5"/>
  <c r="U35" i="1" s="1"/>
  <c r="A36" i="2"/>
  <c r="A38" i="3" s="1"/>
  <c r="Y38" s="1"/>
  <c r="AL38" l="1"/>
  <c r="AC38"/>
  <c r="L38"/>
  <c r="AP37"/>
  <c r="P37"/>
  <c r="AK37"/>
  <c r="K37"/>
  <c r="R38"/>
  <c r="S38"/>
  <c r="Q38"/>
  <c r="T38"/>
  <c r="U38"/>
  <c r="V38"/>
  <c r="W38"/>
  <c r="X38"/>
  <c r="Z38"/>
  <c r="AA38"/>
  <c r="AB38"/>
  <c r="AO37"/>
  <c r="O37"/>
  <c r="AM37"/>
  <c r="M37"/>
  <c r="AJ37"/>
  <c r="J37"/>
  <c r="AH37"/>
  <c r="H37"/>
  <c r="AD37"/>
  <c r="D37"/>
  <c r="AF37"/>
  <c r="F37"/>
  <c r="AN37"/>
  <c r="N37"/>
  <c r="AI37"/>
  <c r="I37"/>
  <c r="AG37"/>
  <c r="G37"/>
  <c r="AE37"/>
  <c r="E37"/>
  <c r="A37" i="5"/>
  <c r="U36" i="1" s="1"/>
  <c r="A37" i="2"/>
  <c r="A39" i="3" s="1"/>
  <c r="Y39" s="1"/>
  <c r="AC39" l="1"/>
  <c r="AL39"/>
  <c r="L39"/>
  <c r="AK38"/>
  <c r="K38"/>
  <c r="AP38"/>
  <c r="P38"/>
  <c r="S39"/>
  <c r="R39"/>
  <c r="Q39"/>
  <c r="T39"/>
  <c r="U39"/>
  <c r="V39"/>
  <c r="W39"/>
  <c r="X39"/>
  <c r="Z39"/>
  <c r="AA39"/>
  <c r="AB39"/>
  <c r="AO38"/>
  <c r="O38"/>
  <c r="AM38"/>
  <c r="M38"/>
  <c r="AJ38"/>
  <c r="J38"/>
  <c r="AH38"/>
  <c r="H38"/>
  <c r="AD38"/>
  <c r="D38"/>
  <c r="AE38"/>
  <c r="E38"/>
  <c r="AN38"/>
  <c r="N38"/>
  <c r="AI38"/>
  <c r="I38"/>
  <c r="AG38"/>
  <c r="G38"/>
  <c r="AF38"/>
  <c r="F38"/>
  <c r="A38" i="5"/>
  <c r="U37" i="1" s="1"/>
  <c r="A38" i="2"/>
  <c r="A40" i="3" s="1"/>
  <c r="Y40" s="1"/>
  <c r="AL40" l="1"/>
  <c r="AC40"/>
  <c r="L40"/>
  <c r="AP39"/>
  <c r="P39"/>
  <c r="AK39"/>
  <c r="K39"/>
  <c r="R40"/>
  <c r="S40"/>
  <c r="Q40"/>
  <c r="T40"/>
  <c r="U40"/>
  <c r="V40"/>
  <c r="W40"/>
  <c r="X40"/>
  <c r="Z40"/>
  <c r="AA40"/>
  <c r="AB40"/>
  <c r="AO39"/>
  <c r="O39"/>
  <c r="AM39"/>
  <c r="M39"/>
  <c r="AJ39"/>
  <c r="J39"/>
  <c r="AH39"/>
  <c r="H39"/>
  <c r="AD39"/>
  <c r="D39"/>
  <c r="AF39"/>
  <c r="F39"/>
  <c r="AN39"/>
  <c r="N39"/>
  <c r="AI39"/>
  <c r="I39"/>
  <c r="AG39"/>
  <c r="G39"/>
  <c r="AE39"/>
  <c r="E39"/>
  <c r="A39" i="5"/>
  <c r="U38" i="1" s="1"/>
  <c r="A39" i="2"/>
  <c r="A41" i="3" s="1"/>
  <c r="Y41" s="1"/>
  <c r="AC41" l="1"/>
  <c r="AL41"/>
  <c r="L41"/>
  <c r="AK40"/>
  <c r="K40"/>
  <c r="AP40"/>
  <c r="P40"/>
  <c r="S41"/>
  <c r="R41"/>
  <c r="Q41"/>
  <c r="T41"/>
  <c r="U41"/>
  <c r="V41"/>
  <c r="W41"/>
  <c r="X41"/>
  <c r="Z41"/>
  <c r="AA41"/>
  <c r="AB41"/>
  <c r="AO40"/>
  <c r="O40"/>
  <c r="AM40"/>
  <c r="M40"/>
  <c r="AJ40"/>
  <c r="J40"/>
  <c r="AH40"/>
  <c r="H40"/>
  <c r="AD40"/>
  <c r="D40"/>
  <c r="AE40"/>
  <c r="E40"/>
  <c r="AN40"/>
  <c r="N40"/>
  <c r="AI40"/>
  <c r="I40"/>
  <c r="AG40"/>
  <c r="G40"/>
  <c r="AF40"/>
  <c r="F40"/>
  <c r="A40" i="5"/>
  <c r="U39" i="1" s="1"/>
  <c r="A40" i="2"/>
  <c r="A42" i="3" s="1"/>
  <c r="Y42" s="1"/>
  <c r="AL42" l="1"/>
  <c r="AC42"/>
  <c r="L42"/>
  <c r="AP41"/>
  <c r="P41"/>
  <c r="AK41"/>
  <c r="K41"/>
  <c r="R42"/>
  <c r="S42"/>
  <c r="Q42"/>
  <c r="T42"/>
  <c r="U42"/>
  <c r="V42"/>
  <c r="W42"/>
  <c r="X42"/>
  <c r="Z42"/>
  <c r="AA42"/>
  <c r="AB42"/>
  <c r="AO41"/>
  <c r="O41"/>
  <c r="AM41"/>
  <c r="M41"/>
  <c r="AJ41"/>
  <c r="J41"/>
  <c r="AH41"/>
  <c r="H41"/>
  <c r="AD41"/>
  <c r="D41"/>
  <c r="AF41"/>
  <c r="F41"/>
  <c r="AN41"/>
  <c r="N41"/>
  <c r="AI41"/>
  <c r="I41"/>
  <c r="AG41"/>
  <c r="G41"/>
  <c r="AE41"/>
  <c r="E41"/>
  <c r="A41" i="5"/>
  <c r="U40" i="1" s="1"/>
  <c r="A41" i="2"/>
  <c r="A43" i="3" s="1"/>
  <c r="Y43" s="1"/>
  <c r="AC43" l="1"/>
  <c r="AL43"/>
  <c r="L43"/>
  <c r="AK42"/>
  <c r="K42"/>
  <c r="AP42"/>
  <c r="P42"/>
  <c r="AO42"/>
  <c r="O42"/>
  <c r="AM42"/>
  <c r="M42"/>
  <c r="AJ42"/>
  <c r="J42"/>
  <c r="AH42"/>
  <c r="H42"/>
  <c r="AD42"/>
  <c r="D42"/>
  <c r="AE42"/>
  <c r="E42"/>
  <c r="S43"/>
  <c r="R43"/>
  <c r="Q43"/>
  <c r="T43"/>
  <c r="U43"/>
  <c r="V43"/>
  <c r="W43"/>
  <c r="X43"/>
  <c r="Z43"/>
  <c r="AA43"/>
  <c r="AB43"/>
  <c r="AN42"/>
  <c r="N42"/>
  <c r="AI42"/>
  <c r="I42"/>
  <c r="AG42"/>
  <c r="G42"/>
  <c r="AF42"/>
  <c r="F42"/>
  <c r="A42" i="5"/>
  <c r="U41" i="1" s="1"/>
  <c r="A42" i="2"/>
  <c r="A44" i="3" s="1"/>
  <c r="Y44" s="1"/>
  <c r="AL44" l="1"/>
  <c r="AC44"/>
  <c r="L44"/>
  <c r="AP43"/>
  <c r="P43"/>
  <c r="AK43"/>
  <c r="K43"/>
  <c r="R44"/>
  <c r="S44"/>
  <c r="Q44"/>
  <c r="T44"/>
  <c r="U44"/>
  <c r="V44"/>
  <c r="W44"/>
  <c r="X44"/>
  <c r="Z44"/>
  <c r="AA44"/>
  <c r="AB44"/>
  <c r="AO43"/>
  <c r="O43"/>
  <c r="AM43"/>
  <c r="M43"/>
  <c r="AJ43"/>
  <c r="J43"/>
  <c r="AH43"/>
  <c r="H43"/>
  <c r="AD43"/>
  <c r="D43"/>
  <c r="AF43"/>
  <c r="F43"/>
  <c r="AN43"/>
  <c r="N43"/>
  <c r="AI43"/>
  <c r="I43"/>
  <c r="AG43"/>
  <c r="G43"/>
  <c r="AE43"/>
  <c r="E43"/>
  <c r="A43" i="5"/>
  <c r="U42" i="1" s="1"/>
  <c r="A43" i="2"/>
  <c r="A45" i="3" s="1"/>
  <c r="Y45" s="1"/>
  <c r="AC45" l="1"/>
  <c r="AL45"/>
  <c r="L45"/>
  <c r="AK44"/>
  <c r="K44"/>
  <c r="AP44"/>
  <c r="P44"/>
  <c r="R45"/>
  <c r="Q45"/>
  <c r="S45"/>
  <c r="T45"/>
  <c r="U45"/>
  <c r="V45"/>
  <c r="W45"/>
  <c r="X45"/>
  <c r="Z45"/>
  <c r="AA45"/>
  <c r="AB45"/>
  <c r="AO44"/>
  <c r="O44"/>
  <c r="AM44"/>
  <c r="M44"/>
  <c r="AJ44"/>
  <c r="J44"/>
  <c r="AH44"/>
  <c r="H44"/>
  <c r="AD44"/>
  <c r="D44"/>
  <c r="AE44"/>
  <c r="E44"/>
  <c r="AN44"/>
  <c r="N44"/>
  <c r="AI44"/>
  <c r="I44"/>
  <c r="AG44"/>
  <c r="G44"/>
  <c r="AF44"/>
  <c r="F44"/>
  <c r="A44" i="5"/>
  <c r="U43" i="1" s="1"/>
  <c r="A44" i="2"/>
  <c r="A46" i="3" s="1"/>
  <c r="Y46" s="1"/>
  <c r="AL46" l="1"/>
  <c r="AC46"/>
  <c r="L46"/>
  <c r="AP45"/>
  <c r="P45"/>
  <c r="AK45"/>
  <c r="K45"/>
  <c r="S46"/>
  <c r="Q46"/>
  <c r="R46"/>
  <c r="T46"/>
  <c r="U46"/>
  <c r="V46"/>
  <c r="W46"/>
  <c r="X46"/>
  <c r="Z46"/>
  <c r="AA46"/>
  <c r="AB46"/>
  <c r="AO45"/>
  <c r="O45"/>
  <c r="AM45"/>
  <c r="M45"/>
  <c r="AJ45"/>
  <c r="J45"/>
  <c r="AH45"/>
  <c r="H45"/>
  <c r="AF45"/>
  <c r="F45"/>
  <c r="AE45"/>
  <c r="E45"/>
  <c r="AN45"/>
  <c r="N45"/>
  <c r="AI45"/>
  <c r="I45"/>
  <c r="AG45"/>
  <c r="G45"/>
  <c r="AD45"/>
  <c r="D45"/>
  <c r="A45" i="5"/>
  <c r="U44" i="1" s="1"/>
  <c r="A45" i="2"/>
  <c r="A47" i="3" s="1"/>
  <c r="Y47" s="1"/>
  <c r="AC47" l="1"/>
  <c r="AL47"/>
  <c r="L47"/>
  <c r="AK46"/>
  <c r="K46"/>
  <c r="AP46"/>
  <c r="P46"/>
  <c r="S47"/>
  <c r="R47"/>
  <c r="Q47"/>
  <c r="T47"/>
  <c r="U47"/>
  <c r="V47"/>
  <c r="W47"/>
  <c r="X47"/>
  <c r="Z47"/>
  <c r="AA47"/>
  <c r="AB47"/>
  <c r="AO46"/>
  <c r="O46"/>
  <c r="AM46"/>
  <c r="M46"/>
  <c r="AJ46"/>
  <c r="J46"/>
  <c r="AH46"/>
  <c r="H46"/>
  <c r="AE46"/>
  <c r="E46"/>
  <c r="AF46"/>
  <c r="F46"/>
  <c r="AN46"/>
  <c r="N46"/>
  <c r="AI46"/>
  <c r="I46"/>
  <c r="AG46"/>
  <c r="G46"/>
  <c r="AD46"/>
  <c r="D46"/>
  <c r="A46" i="5"/>
  <c r="U45" i="1" s="1"/>
  <c r="A46" i="2"/>
  <c r="A48" i="3" s="1"/>
  <c r="Y48" s="1"/>
  <c r="AL48" l="1"/>
  <c r="AC48"/>
  <c r="L48"/>
  <c r="AP47"/>
  <c r="P47"/>
  <c r="AK47"/>
  <c r="K47"/>
  <c r="S48"/>
  <c r="Q48"/>
  <c r="R48"/>
  <c r="T48"/>
  <c r="U48"/>
  <c r="V48"/>
  <c r="W48"/>
  <c r="X48"/>
  <c r="Z48"/>
  <c r="AA48"/>
  <c r="AB48"/>
  <c r="AO47"/>
  <c r="O47"/>
  <c r="AM47"/>
  <c r="M47"/>
  <c r="AJ47"/>
  <c r="J47"/>
  <c r="AH47"/>
  <c r="H47"/>
  <c r="AD47"/>
  <c r="D47"/>
  <c r="AF47"/>
  <c r="F47"/>
  <c r="AN47"/>
  <c r="N47"/>
  <c r="AI47"/>
  <c r="I47"/>
  <c r="AG47"/>
  <c r="G47"/>
  <c r="AE47"/>
  <c r="E47"/>
  <c r="A47" i="5"/>
  <c r="U46" i="1" s="1"/>
  <c r="A47" i="2"/>
  <c r="A49" i="3" s="1"/>
  <c r="Y49" s="1"/>
  <c r="AC49" l="1"/>
  <c r="AL49"/>
  <c r="L49"/>
  <c r="AK48"/>
  <c r="K48"/>
  <c r="AP48"/>
  <c r="P48"/>
  <c r="S49"/>
  <c r="R49"/>
  <c r="Q49"/>
  <c r="T49"/>
  <c r="U49"/>
  <c r="V49"/>
  <c r="W49"/>
  <c r="X49"/>
  <c r="Z49"/>
  <c r="AA49"/>
  <c r="AB49"/>
  <c r="AO48"/>
  <c r="O48"/>
  <c r="AM48"/>
  <c r="M48"/>
  <c r="AJ48"/>
  <c r="J48"/>
  <c r="AH48"/>
  <c r="H48"/>
  <c r="AE48"/>
  <c r="E48"/>
  <c r="AF48"/>
  <c r="F48"/>
  <c r="AN48"/>
  <c r="N48"/>
  <c r="AI48"/>
  <c r="I48"/>
  <c r="AG48"/>
  <c r="G48"/>
  <c r="AD48"/>
  <c r="D48"/>
  <c r="A48" i="5"/>
  <c r="U47" i="1" s="1"/>
  <c r="A48" i="2"/>
  <c r="A50" i="3" s="1"/>
  <c r="Y50" s="1"/>
  <c r="AL50" l="1"/>
  <c r="AC50"/>
  <c r="L50"/>
  <c r="AP49"/>
  <c r="P49"/>
  <c r="AK49"/>
  <c r="K49"/>
  <c r="S50"/>
  <c r="Q50"/>
  <c r="R50"/>
  <c r="T50"/>
  <c r="U50"/>
  <c r="V50"/>
  <c r="W50"/>
  <c r="X50"/>
  <c r="Z50"/>
  <c r="AA50"/>
  <c r="AB50"/>
  <c r="AO49"/>
  <c r="O49"/>
  <c r="AM49"/>
  <c r="M49"/>
  <c r="AJ49"/>
  <c r="J49"/>
  <c r="AH49"/>
  <c r="H49"/>
  <c r="AD49"/>
  <c r="D49"/>
  <c r="AF49"/>
  <c r="F49"/>
  <c r="AN49"/>
  <c r="N49"/>
  <c r="AI49"/>
  <c r="I49"/>
  <c r="AG49"/>
  <c r="G49"/>
  <c r="AE49"/>
  <c r="E49"/>
  <c r="A49" i="5"/>
  <c r="U48" i="1" s="1"/>
  <c r="A49" i="2"/>
  <c r="A51" i="3" s="1"/>
  <c r="Y51" s="1"/>
  <c r="AC51" l="1"/>
  <c r="AL51"/>
  <c r="L51"/>
  <c r="AK50"/>
  <c r="K50"/>
  <c r="AP50"/>
  <c r="P50"/>
  <c r="S51"/>
  <c r="R51"/>
  <c r="Q51"/>
  <c r="T51"/>
  <c r="U51"/>
  <c r="V51"/>
  <c r="W51"/>
  <c r="X51"/>
  <c r="Z51"/>
  <c r="AA51"/>
  <c r="AB51"/>
  <c r="AO50"/>
  <c r="O50"/>
  <c r="AM50"/>
  <c r="M50"/>
  <c r="AJ50"/>
  <c r="J50"/>
  <c r="AH50"/>
  <c r="H50"/>
  <c r="AE50"/>
  <c r="E50"/>
  <c r="AF50"/>
  <c r="F50"/>
  <c r="AN50"/>
  <c r="N50"/>
  <c r="AI50"/>
  <c r="I50"/>
  <c r="AG50"/>
  <c r="G50"/>
  <c r="AD50"/>
  <c r="D50"/>
  <c r="A50" i="5"/>
  <c r="U49" i="1" s="1"/>
  <c r="A50" i="2"/>
  <c r="A52" i="3" s="1"/>
  <c r="Y52" s="1"/>
  <c r="AL52" l="1"/>
  <c r="AC52"/>
  <c r="L52"/>
  <c r="AP51"/>
  <c r="P51"/>
  <c r="AK51"/>
  <c r="K51"/>
  <c r="S52"/>
  <c r="Q52"/>
  <c r="R52"/>
  <c r="T52"/>
  <c r="U52"/>
  <c r="V52"/>
  <c r="W52"/>
  <c r="X52"/>
  <c r="Z52"/>
  <c r="AA52"/>
  <c r="AB52"/>
  <c r="AO51"/>
  <c r="O51"/>
  <c r="AM51"/>
  <c r="M51"/>
  <c r="AJ51"/>
  <c r="J51"/>
  <c r="AH51"/>
  <c r="H51"/>
  <c r="AD51"/>
  <c r="D51"/>
  <c r="AF51"/>
  <c r="F51"/>
  <c r="AN51"/>
  <c r="N51"/>
  <c r="AI51"/>
  <c r="I51"/>
  <c r="AG51"/>
  <c r="G51"/>
  <c r="AE51"/>
  <c r="E51"/>
  <c r="A51" i="5"/>
  <c r="U50" i="1" s="1"/>
  <c r="A51" i="2"/>
  <c r="A53" i="3" s="1"/>
  <c r="Y53" s="1"/>
  <c r="AC53" l="1"/>
  <c r="AL53"/>
  <c r="L53"/>
  <c r="AK52"/>
  <c r="K52"/>
  <c r="AP52"/>
  <c r="P52"/>
  <c r="S53"/>
  <c r="R53"/>
  <c r="Q53"/>
  <c r="T53"/>
  <c r="U53"/>
  <c r="V53"/>
  <c r="W53"/>
  <c r="X53"/>
  <c r="Z53"/>
  <c r="AA53"/>
  <c r="AB53"/>
  <c r="AO52"/>
  <c r="O52"/>
  <c r="AM52"/>
  <c r="M52"/>
  <c r="AJ52"/>
  <c r="J52"/>
  <c r="AH52"/>
  <c r="H52"/>
  <c r="AE52"/>
  <c r="E52"/>
  <c r="AF52"/>
  <c r="F52"/>
  <c r="AN52"/>
  <c r="N52"/>
  <c r="AI52"/>
  <c r="I52"/>
  <c r="AG52"/>
  <c r="G52"/>
  <c r="AD52"/>
  <c r="D52"/>
  <c r="A52" i="5"/>
  <c r="U51" i="1" s="1"/>
  <c r="A52" i="2"/>
  <c r="A54" i="3" s="1"/>
  <c r="Y54" s="1"/>
  <c r="AL54" l="1"/>
  <c r="AC54"/>
  <c r="L54"/>
  <c r="AP53"/>
  <c r="P53"/>
  <c r="AK53"/>
  <c r="K53"/>
  <c r="S54"/>
  <c r="Q54"/>
  <c r="R54"/>
  <c r="T54"/>
  <c r="U54"/>
  <c r="V54"/>
  <c r="W54"/>
  <c r="X54"/>
  <c r="Z54"/>
  <c r="AA54"/>
  <c r="AB54"/>
  <c r="AO53"/>
  <c r="O53"/>
  <c r="AM53"/>
  <c r="M53"/>
  <c r="AJ53"/>
  <c r="J53"/>
  <c r="AH53"/>
  <c r="H53"/>
  <c r="AD53"/>
  <c r="D53"/>
  <c r="AF53"/>
  <c r="F53"/>
  <c r="AN53"/>
  <c r="N53"/>
  <c r="AI53"/>
  <c r="I53"/>
  <c r="AG53"/>
  <c r="G53"/>
  <c r="AE53"/>
  <c r="E53"/>
  <c r="A53" i="5"/>
  <c r="U52" i="1" s="1"/>
  <c r="A53" i="2"/>
  <c r="A55" i="3" s="1"/>
  <c r="Y55" s="1"/>
  <c r="AC55" l="1"/>
  <c r="AL55"/>
  <c r="L55"/>
  <c r="AK54"/>
  <c r="K54"/>
  <c r="AP54"/>
  <c r="P54"/>
  <c r="S55"/>
  <c r="R55"/>
  <c r="Q55"/>
  <c r="T55"/>
  <c r="U55"/>
  <c r="V55"/>
  <c r="W55"/>
  <c r="X55"/>
  <c r="Z55"/>
  <c r="AA55"/>
  <c r="AB55"/>
  <c r="AO54"/>
  <c r="O54"/>
  <c r="AM54"/>
  <c r="M54"/>
  <c r="AJ54"/>
  <c r="J54"/>
  <c r="AH54"/>
  <c r="H54"/>
  <c r="AE54"/>
  <c r="E54"/>
  <c r="AF54"/>
  <c r="F54"/>
  <c r="AN54"/>
  <c r="N54"/>
  <c r="AI54"/>
  <c r="I54"/>
  <c r="AG54"/>
  <c r="G54"/>
  <c r="AD54"/>
  <c r="D54"/>
  <c r="A54" i="5"/>
  <c r="U53" i="1" s="1"/>
  <c r="A54" i="2"/>
  <c r="A56" i="3" s="1"/>
  <c r="Y56" s="1"/>
  <c r="AL56" l="1"/>
  <c r="AC56"/>
  <c r="L56"/>
  <c r="AP55"/>
  <c r="P55"/>
  <c r="AK55"/>
  <c r="K55"/>
  <c r="S56"/>
  <c r="Q56"/>
  <c r="R56"/>
  <c r="T56"/>
  <c r="U56"/>
  <c r="V56"/>
  <c r="W56"/>
  <c r="X56"/>
  <c r="Z56"/>
  <c r="AA56"/>
  <c r="AB56"/>
  <c r="AO55"/>
  <c r="O55"/>
  <c r="AM55"/>
  <c r="M55"/>
  <c r="AJ55"/>
  <c r="J55"/>
  <c r="AH55"/>
  <c r="H55"/>
  <c r="AD55"/>
  <c r="D55"/>
  <c r="AF55"/>
  <c r="F55"/>
  <c r="AN55"/>
  <c r="N55"/>
  <c r="AI55"/>
  <c r="I55"/>
  <c r="AG55"/>
  <c r="G55"/>
  <c r="AE55"/>
  <c r="E55"/>
  <c r="A55" i="5"/>
  <c r="U54" i="1" s="1"/>
  <c r="A55" i="2"/>
  <c r="A57" i="3" s="1"/>
  <c r="Y57" s="1"/>
  <c r="AC57" l="1"/>
  <c r="AL57"/>
  <c r="L57"/>
  <c r="AK56"/>
  <c r="K56"/>
  <c r="AP56"/>
  <c r="P56"/>
  <c r="S57"/>
  <c r="R57"/>
  <c r="Q57"/>
  <c r="T57"/>
  <c r="U57"/>
  <c r="V57"/>
  <c r="W57"/>
  <c r="X57"/>
  <c r="Z57"/>
  <c r="AA57"/>
  <c r="AB57"/>
  <c r="AO56"/>
  <c r="O56"/>
  <c r="AM56"/>
  <c r="M56"/>
  <c r="AJ56"/>
  <c r="J56"/>
  <c r="AH56"/>
  <c r="H56"/>
  <c r="AE56"/>
  <c r="E56"/>
  <c r="AF56"/>
  <c r="F56"/>
  <c r="AN56"/>
  <c r="N56"/>
  <c r="AI56"/>
  <c r="I56"/>
  <c r="AG56"/>
  <c r="G56"/>
  <c r="AD56"/>
  <c r="D56"/>
  <c r="A56" i="5"/>
  <c r="U55" i="1" s="1"/>
  <c r="A56" i="2"/>
  <c r="A58" i="3" s="1"/>
  <c r="Y58" s="1"/>
  <c r="AL58" l="1"/>
  <c r="AC58"/>
  <c r="L58"/>
  <c r="AP57"/>
  <c r="P57"/>
  <c r="AK57"/>
  <c r="K57"/>
  <c r="S58"/>
  <c r="Q58"/>
  <c r="R58"/>
  <c r="T58"/>
  <c r="U58"/>
  <c r="V58"/>
  <c r="W58"/>
  <c r="X58"/>
  <c r="Z58"/>
  <c r="AA58"/>
  <c r="AB58"/>
  <c r="AO57"/>
  <c r="O57"/>
  <c r="AM57"/>
  <c r="M57"/>
  <c r="AJ57"/>
  <c r="J57"/>
  <c r="AH57"/>
  <c r="H57"/>
  <c r="AD57"/>
  <c r="D57"/>
  <c r="AF57"/>
  <c r="F57"/>
  <c r="AN57"/>
  <c r="N57"/>
  <c r="AI57"/>
  <c r="I57"/>
  <c r="AG57"/>
  <c r="G57"/>
  <c r="AE57"/>
  <c r="E57"/>
  <c r="A57" i="5"/>
  <c r="U56" i="1" s="1"/>
  <c r="A57" i="2"/>
  <c r="A59" i="3" s="1"/>
  <c r="Y59" s="1"/>
  <c r="AC59" l="1"/>
  <c r="AL59"/>
  <c r="L59"/>
  <c r="AK58"/>
  <c r="K58"/>
  <c r="AP58"/>
  <c r="P58"/>
  <c r="S59"/>
  <c r="R59"/>
  <c r="Q59"/>
  <c r="T59"/>
  <c r="U59"/>
  <c r="V59"/>
  <c r="W59"/>
  <c r="X59"/>
  <c r="Z59"/>
  <c r="AA59"/>
  <c r="AB59"/>
  <c r="AO58"/>
  <c r="O58"/>
  <c r="AM58"/>
  <c r="M58"/>
  <c r="AJ58"/>
  <c r="J58"/>
  <c r="AH58"/>
  <c r="H58"/>
  <c r="AE58"/>
  <c r="E58"/>
  <c r="AF58"/>
  <c r="F58"/>
  <c r="AN58"/>
  <c r="N58"/>
  <c r="AI58"/>
  <c r="I58"/>
  <c r="AG58"/>
  <c r="G58"/>
  <c r="AD58"/>
  <c r="D58"/>
  <c r="A58" i="5"/>
  <c r="U57" i="1" s="1"/>
  <c r="A58" i="2"/>
  <c r="A60" i="3" s="1"/>
  <c r="Y60" s="1"/>
  <c r="AL60" l="1"/>
  <c r="AC60"/>
  <c r="L60"/>
  <c r="AP59"/>
  <c r="P59"/>
  <c r="AK59"/>
  <c r="K59"/>
  <c r="S60"/>
  <c r="Q60"/>
  <c r="R60"/>
  <c r="T60"/>
  <c r="U60"/>
  <c r="V60"/>
  <c r="W60"/>
  <c r="X60"/>
  <c r="Z60"/>
  <c r="AA60"/>
  <c r="AB60"/>
  <c r="AO59"/>
  <c r="O59"/>
  <c r="AM59"/>
  <c r="M59"/>
  <c r="AJ59"/>
  <c r="J59"/>
  <c r="AH59"/>
  <c r="H59"/>
  <c r="AD59"/>
  <c r="D59"/>
  <c r="AF59"/>
  <c r="F59"/>
  <c r="AN59"/>
  <c r="N59"/>
  <c r="AI59"/>
  <c r="I59"/>
  <c r="AG59"/>
  <c r="G59"/>
  <c r="AE59"/>
  <c r="E59"/>
  <c r="A59" i="5"/>
  <c r="U58" i="1" s="1"/>
  <c r="A59" i="2"/>
  <c r="A61" i="3" s="1"/>
  <c r="Y61" s="1"/>
  <c r="AC61" l="1"/>
  <c r="AL61"/>
  <c r="L61"/>
  <c r="AK60"/>
  <c r="K60"/>
  <c r="AP60"/>
  <c r="P60"/>
  <c r="S61"/>
  <c r="R61"/>
  <c r="Q61"/>
  <c r="T61"/>
  <c r="U61"/>
  <c r="V61"/>
  <c r="W61"/>
  <c r="X61"/>
  <c r="Z61"/>
  <c r="AA61"/>
  <c r="AB61"/>
  <c r="AO60"/>
  <c r="O60"/>
  <c r="AM60"/>
  <c r="M60"/>
  <c r="AJ60"/>
  <c r="J60"/>
  <c r="AH60"/>
  <c r="H60"/>
  <c r="AE60"/>
  <c r="E60"/>
  <c r="AF60"/>
  <c r="F60"/>
  <c r="AN60"/>
  <c r="N60"/>
  <c r="AI60"/>
  <c r="I60"/>
  <c r="AG60"/>
  <c r="G60"/>
  <c r="AD60"/>
  <c r="D60"/>
  <c r="A60" i="5"/>
  <c r="U59" i="1" s="1"/>
  <c r="A60" i="2"/>
  <c r="A62" i="3" s="1"/>
  <c r="Y62" s="1"/>
  <c r="AL62" l="1"/>
  <c r="AC62"/>
  <c r="L62"/>
  <c r="AP61"/>
  <c r="P61"/>
  <c r="AK61"/>
  <c r="K61"/>
  <c r="S62"/>
  <c r="Q62"/>
  <c r="R62"/>
  <c r="T62"/>
  <c r="U62"/>
  <c r="V62"/>
  <c r="W62"/>
  <c r="X62"/>
  <c r="Z62"/>
  <c r="AA62"/>
  <c r="AB62"/>
  <c r="AO61"/>
  <c r="O61"/>
  <c r="AM61"/>
  <c r="M61"/>
  <c r="AJ61"/>
  <c r="J61"/>
  <c r="AH61"/>
  <c r="H61"/>
  <c r="AD61"/>
  <c r="D61"/>
  <c r="AF61"/>
  <c r="F61"/>
  <c r="AN61"/>
  <c r="N61"/>
  <c r="AI61"/>
  <c r="I61"/>
  <c r="AG61"/>
  <c r="G61"/>
  <c r="AE61"/>
  <c r="E61"/>
  <c r="A61" i="5"/>
  <c r="U60" i="1" s="1"/>
  <c r="A61" i="2"/>
  <c r="A63" i="3" s="1"/>
  <c r="Y63" s="1"/>
  <c r="AC63" l="1"/>
  <c r="AL63"/>
  <c r="L63"/>
  <c r="AK62"/>
  <c r="K62"/>
  <c r="AP62"/>
  <c r="P62"/>
  <c r="S63"/>
  <c r="R63"/>
  <c r="Q63"/>
  <c r="T63"/>
  <c r="U63"/>
  <c r="V63"/>
  <c r="W63"/>
  <c r="X63"/>
  <c r="Z63"/>
  <c r="AA63"/>
  <c r="AB63"/>
  <c r="AO62"/>
  <c r="O62"/>
  <c r="AM62"/>
  <c r="M62"/>
  <c r="AJ62"/>
  <c r="J62"/>
  <c r="AH62"/>
  <c r="H62"/>
  <c r="AE62"/>
  <c r="E62"/>
  <c r="AF62"/>
  <c r="F62"/>
  <c r="AN62"/>
  <c r="N62"/>
  <c r="AI62"/>
  <c r="I62"/>
  <c r="AG62"/>
  <c r="G62"/>
  <c r="AD62"/>
  <c r="D62"/>
  <c r="A62" i="5"/>
  <c r="U61" i="1" s="1"/>
  <c r="A62" i="2"/>
  <c r="A64" i="3" s="1"/>
  <c r="Y64" s="1"/>
  <c r="AL64" l="1"/>
  <c r="AC64"/>
  <c r="L64"/>
  <c r="AP63"/>
  <c r="P63"/>
  <c r="AK63"/>
  <c r="K63"/>
  <c r="S64"/>
  <c r="Q64"/>
  <c r="R64"/>
  <c r="T64"/>
  <c r="U64"/>
  <c r="V64"/>
  <c r="W64"/>
  <c r="X64"/>
  <c r="Z64"/>
  <c r="AA64"/>
  <c r="AB64"/>
  <c r="AO63"/>
  <c r="O63"/>
  <c r="AM63"/>
  <c r="M63"/>
  <c r="AJ63"/>
  <c r="J63"/>
  <c r="AH63"/>
  <c r="H63"/>
  <c r="AD63"/>
  <c r="D63"/>
  <c r="AF63"/>
  <c r="F63"/>
  <c r="AN63"/>
  <c r="N63"/>
  <c r="AI63"/>
  <c r="I63"/>
  <c r="AG63"/>
  <c r="G63"/>
  <c r="AE63"/>
  <c r="E63"/>
  <c r="A63" i="5"/>
  <c r="U62" i="1" s="1"/>
  <c r="A63" i="2"/>
  <c r="A65" i="3" s="1"/>
  <c r="Y65" s="1"/>
  <c r="AC65" l="1"/>
  <c r="AL65"/>
  <c r="L65"/>
  <c r="AK64"/>
  <c r="K64"/>
  <c r="AP64"/>
  <c r="P64"/>
  <c r="S65"/>
  <c r="R65"/>
  <c r="Q65"/>
  <c r="T65"/>
  <c r="U65"/>
  <c r="V65"/>
  <c r="W65"/>
  <c r="X65"/>
  <c r="Z65"/>
  <c r="AA65"/>
  <c r="AB65"/>
  <c r="AO64"/>
  <c r="O64"/>
  <c r="AM64"/>
  <c r="M64"/>
  <c r="AJ64"/>
  <c r="J64"/>
  <c r="AH64"/>
  <c r="H64"/>
  <c r="AE64"/>
  <c r="E64"/>
  <c r="AF64"/>
  <c r="F64"/>
  <c r="AN64"/>
  <c r="N64"/>
  <c r="AI64"/>
  <c r="I64"/>
  <c r="AG64"/>
  <c r="G64"/>
  <c r="AD64"/>
  <c r="D64"/>
  <c r="A64" i="5"/>
  <c r="U63" i="1" s="1"/>
  <c r="A64" i="2"/>
  <c r="A66" i="3" s="1"/>
  <c r="Y66" s="1"/>
  <c r="AL66" l="1"/>
  <c r="AC66"/>
  <c r="L66"/>
  <c r="AP65"/>
  <c r="P65"/>
  <c r="AK65"/>
  <c r="K65"/>
  <c r="S66"/>
  <c r="Q66"/>
  <c r="R66"/>
  <c r="T66"/>
  <c r="U66"/>
  <c r="V66"/>
  <c r="W66"/>
  <c r="X66"/>
  <c r="Z66"/>
  <c r="AA66"/>
  <c r="AB66"/>
  <c r="AO65"/>
  <c r="O65"/>
  <c r="AM65"/>
  <c r="M65"/>
  <c r="AJ65"/>
  <c r="J65"/>
  <c r="AH65"/>
  <c r="H65"/>
  <c r="AD65"/>
  <c r="D65"/>
  <c r="AF65"/>
  <c r="F65"/>
  <c r="AN65"/>
  <c r="N65"/>
  <c r="AI65"/>
  <c r="I65"/>
  <c r="AG65"/>
  <c r="G65"/>
  <c r="AE65"/>
  <c r="E65"/>
  <c r="A65" i="5"/>
  <c r="U64" i="1" s="1"/>
  <c r="A65" i="2"/>
  <c r="A67" i="3" s="1"/>
  <c r="Y67" s="1"/>
  <c r="AC67" l="1"/>
  <c r="AL67"/>
  <c r="L67"/>
  <c r="AK66"/>
  <c r="K66"/>
  <c r="AP66"/>
  <c r="P66"/>
  <c r="S67"/>
  <c r="R67"/>
  <c r="Q67"/>
  <c r="T67"/>
  <c r="U67"/>
  <c r="V67"/>
  <c r="W67"/>
  <c r="X67"/>
  <c r="Z67"/>
  <c r="AA67"/>
  <c r="AB67"/>
  <c r="AO66"/>
  <c r="O66"/>
  <c r="AM66"/>
  <c r="M66"/>
  <c r="AJ66"/>
  <c r="J66"/>
  <c r="AH66"/>
  <c r="H66"/>
  <c r="AE66"/>
  <c r="E66"/>
  <c r="AF66"/>
  <c r="F66"/>
  <c r="AN66"/>
  <c r="N66"/>
  <c r="AI66"/>
  <c r="I66"/>
  <c r="AG66"/>
  <c r="G66"/>
  <c r="AD66"/>
  <c r="D66"/>
  <c r="A66" i="5"/>
  <c r="U65" i="1" s="1"/>
  <c r="A66" i="2"/>
  <c r="A68" i="3" s="1"/>
  <c r="Y68" s="1"/>
  <c r="AL68" l="1"/>
  <c r="AC68"/>
  <c r="L68"/>
  <c r="AP67"/>
  <c r="P67"/>
  <c r="AK67"/>
  <c r="K67"/>
  <c r="S68"/>
  <c r="Q68"/>
  <c r="R68"/>
  <c r="T68"/>
  <c r="U68"/>
  <c r="V68"/>
  <c r="W68"/>
  <c r="X68"/>
  <c r="Z68"/>
  <c r="AA68"/>
  <c r="AB68"/>
  <c r="AO67"/>
  <c r="O67"/>
  <c r="AM67"/>
  <c r="M67"/>
  <c r="AJ67"/>
  <c r="J67"/>
  <c r="AH67"/>
  <c r="H67"/>
  <c r="AD67"/>
  <c r="D67"/>
  <c r="AF67"/>
  <c r="F67"/>
  <c r="AN67"/>
  <c r="N67"/>
  <c r="AI67"/>
  <c r="I67"/>
  <c r="AG67"/>
  <c r="G67"/>
  <c r="AE67"/>
  <c r="E67"/>
  <c r="A67" i="5"/>
  <c r="U66" i="1" s="1"/>
  <c r="A67" i="2"/>
  <c r="A69" i="3" s="1"/>
  <c r="Y69" s="1"/>
  <c r="AK68" l="1"/>
  <c r="K68"/>
  <c r="AC69"/>
  <c r="AL69"/>
  <c r="L69"/>
  <c r="AP68"/>
  <c r="P68"/>
  <c r="S69"/>
  <c r="R69"/>
  <c r="Q69"/>
  <c r="T69"/>
  <c r="U69"/>
  <c r="V69"/>
  <c r="W69"/>
  <c r="X69"/>
  <c r="Z69"/>
  <c r="AA69"/>
  <c r="AB69"/>
  <c r="AO68"/>
  <c r="O68"/>
  <c r="AM68"/>
  <c r="M68"/>
  <c r="AJ68"/>
  <c r="J68"/>
  <c r="AH68"/>
  <c r="H68"/>
  <c r="AE68"/>
  <c r="E68"/>
  <c r="AF68"/>
  <c r="F68"/>
  <c r="AN68"/>
  <c r="N68"/>
  <c r="AI68"/>
  <c r="I68"/>
  <c r="AG68"/>
  <c r="G68"/>
  <c r="AD68"/>
  <c r="D68"/>
  <c r="A68" i="5"/>
  <c r="U67" i="1" s="1"/>
  <c r="A68" i="2"/>
  <c r="A70" i="3" s="1"/>
  <c r="Y70" s="1"/>
  <c r="AK69" l="1"/>
  <c r="K69"/>
  <c r="AL70"/>
  <c r="AC70"/>
  <c r="L70"/>
  <c r="AP69"/>
  <c r="P69"/>
  <c r="S70"/>
  <c r="Q70"/>
  <c r="R70"/>
  <c r="T70"/>
  <c r="U70"/>
  <c r="V70"/>
  <c r="W70"/>
  <c r="X70"/>
  <c r="Z70"/>
  <c r="AA70"/>
  <c r="AB70"/>
  <c r="AO69"/>
  <c r="O69"/>
  <c r="AM69"/>
  <c r="M69"/>
  <c r="AJ69"/>
  <c r="J69"/>
  <c r="AH69"/>
  <c r="H69"/>
  <c r="AD69"/>
  <c r="D69"/>
  <c r="AF69"/>
  <c r="F69"/>
  <c r="AN69"/>
  <c r="N69"/>
  <c r="AI69"/>
  <c r="I69"/>
  <c r="AG69"/>
  <c r="G69"/>
  <c r="AE69"/>
  <c r="E69"/>
  <c r="A69" i="5"/>
  <c r="U68" i="1" s="1"/>
  <c r="A69" i="2"/>
  <c r="A71" i="3" s="1"/>
  <c r="Y71" s="1"/>
  <c r="AC71" l="1"/>
  <c r="AL71"/>
  <c r="L71"/>
  <c r="AK70"/>
  <c r="K70"/>
  <c r="AP70"/>
  <c r="P70"/>
  <c r="S71"/>
  <c r="R71"/>
  <c r="Q71"/>
  <c r="T71"/>
  <c r="U71"/>
  <c r="V71"/>
  <c r="W71"/>
  <c r="X71"/>
  <c r="Z71"/>
  <c r="AA71"/>
  <c r="AB71"/>
  <c r="AO70"/>
  <c r="O70"/>
  <c r="AM70"/>
  <c r="M70"/>
  <c r="AJ70"/>
  <c r="J70"/>
  <c r="AH70"/>
  <c r="H70"/>
  <c r="AE70"/>
  <c r="E70"/>
  <c r="AF70"/>
  <c r="F70"/>
  <c r="AN70"/>
  <c r="N70"/>
  <c r="AI70"/>
  <c r="I70"/>
  <c r="AG70"/>
  <c r="G70"/>
  <c r="AD70"/>
  <c r="D70"/>
  <c r="A70" i="5"/>
  <c r="U69" i="1" s="1"/>
  <c r="A70" i="2"/>
  <c r="A72" i="3" s="1"/>
  <c r="Y72" s="1"/>
  <c r="AL72" l="1"/>
  <c r="AC72"/>
  <c r="L72"/>
  <c r="AP71"/>
  <c r="P71"/>
  <c r="AK71"/>
  <c r="K71"/>
  <c r="S72"/>
  <c r="Q72"/>
  <c r="R72"/>
  <c r="T72"/>
  <c r="U72"/>
  <c r="V72"/>
  <c r="W72"/>
  <c r="X72"/>
  <c r="Z72"/>
  <c r="AA72"/>
  <c r="AB72"/>
  <c r="AO71"/>
  <c r="O71"/>
  <c r="AM71"/>
  <c r="M71"/>
  <c r="AJ71"/>
  <c r="J71"/>
  <c r="AH71"/>
  <c r="H71"/>
  <c r="AD71"/>
  <c r="D71"/>
  <c r="AF71"/>
  <c r="F71"/>
  <c r="AN71"/>
  <c r="N71"/>
  <c r="AI71"/>
  <c r="I71"/>
  <c r="AG71"/>
  <c r="G71"/>
  <c r="AE71"/>
  <c r="E71"/>
  <c r="A71" i="5"/>
  <c r="U70" i="1" s="1"/>
  <c r="A71" i="2"/>
  <c r="A73" i="3" s="1"/>
  <c r="Y73" s="1"/>
  <c r="AC73" l="1"/>
  <c r="AL73"/>
  <c r="L73"/>
  <c r="AK72"/>
  <c r="K72"/>
  <c r="AP72"/>
  <c r="P72"/>
  <c r="S73"/>
  <c r="R73"/>
  <c r="Q73"/>
  <c r="T73"/>
  <c r="U73"/>
  <c r="V73"/>
  <c r="W73"/>
  <c r="X73"/>
  <c r="Z73"/>
  <c r="AA73"/>
  <c r="AB73"/>
  <c r="AO72"/>
  <c r="O72"/>
  <c r="AM72"/>
  <c r="M72"/>
  <c r="AJ72"/>
  <c r="J72"/>
  <c r="AH72"/>
  <c r="H72"/>
  <c r="AE72"/>
  <c r="E72"/>
  <c r="AF72"/>
  <c r="F72"/>
  <c r="AN72"/>
  <c r="N72"/>
  <c r="AI72"/>
  <c r="I72"/>
  <c r="AG72"/>
  <c r="G72"/>
  <c r="AD72"/>
  <c r="D72"/>
  <c r="A72" i="5"/>
  <c r="U71" i="1" s="1"/>
  <c r="A72" i="2"/>
  <c r="A74" i="3" s="1"/>
  <c r="Y74" s="1"/>
  <c r="AL74" l="1"/>
  <c r="AC74"/>
  <c r="L74"/>
  <c r="AP73"/>
  <c r="P73"/>
  <c r="AK73"/>
  <c r="K73"/>
  <c r="S74"/>
  <c r="Q74"/>
  <c r="R74"/>
  <c r="T74"/>
  <c r="U74"/>
  <c r="V74"/>
  <c r="W74"/>
  <c r="X74"/>
  <c r="Z74"/>
  <c r="AA74"/>
  <c r="AB74"/>
  <c r="AO73"/>
  <c r="O73"/>
  <c r="AM73"/>
  <c r="M73"/>
  <c r="AJ73"/>
  <c r="J73"/>
  <c r="AH73"/>
  <c r="H73"/>
  <c r="AD73"/>
  <c r="D73"/>
  <c r="AF73"/>
  <c r="F73"/>
  <c r="AN73"/>
  <c r="N73"/>
  <c r="AI73"/>
  <c r="I73"/>
  <c r="AG73"/>
  <c r="G73"/>
  <c r="AE73"/>
  <c r="E73"/>
  <c r="A73" i="5"/>
  <c r="U72" i="1" s="1"/>
  <c r="A73" i="2"/>
  <c r="A75" i="3" s="1"/>
  <c r="Y75" s="1"/>
  <c r="AC75" l="1"/>
  <c r="AL75"/>
  <c r="L75"/>
  <c r="AK74"/>
  <c r="K74"/>
  <c r="AP74"/>
  <c r="P74"/>
  <c r="S75"/>
  <c r="R75"/>
  <c r="Q75"/>
  <c r="T75"/>
  <c r="U75"/>
  <c r="V75"/>
  <c r="W75"/>
  <c r="X75"/>
  <c r="Z75"/>
  <c r="AA75"/>
  <c r="AB75"/>
  <c r="AO74"/>
  <c r="O74"/>
  <c r="AM74"/>
  <c r="M74"/>
  <c r="AJ74"/>
  <c r="J74"/>
  <c r="AH74"/>
  <c r="H74"/>
  <c r="AE74"/>
  <c r="E74"/>
  <c r="AF74"/>
  <c r="F74"/>
  <c r="AN74"/>
  <c r="N74"/>
  <c r="AI74"/>
  <c r="I74"/>
  <c r="AG74"/>
  <c r="G74"/>
  <c r="AD74"/>
  <c r="D74"/>
  <c r="A74" i="5"/>
  <c r="U73" i="1" s="1"/>
  <c r="A74" i="2"/>
  <c r="A76" i="3" s="1"/>
  <c r="Y76" s="1"/>
  <c r="AL76" l="1"/>
  <c r="AC76"/>
  <c r="L76"/>
  <c r="AP75"/>
  <c r="P75"/>
  <c r="AK75"/>
  <c r="K75"/>
  <c r="S76"/>
  <c r="Q76"/>
  <c r="R76"/>
  <c r="T76"/>
  <c r="U76"/>
  <c r="V76"/>
  <c r="W76"/>
  <c r="X76"/>
  <c r="Z76"/>
  <c r="AA76"/>
  <c r="AB76"/>
  <c r="AO75"/>
  <c r="O75"/>
  <c r="AM75"/>
  <c r="M75"/>
  <c r="AJ75"/>
  <c r="J75"/>
  <c r="AH75"/>
  <c r="H75"/>
  <c r="AD75"/>
  <c r="D75"/>
  <c r="AF75"/>
  <c r="F75"/>
  <c r="AN75"/>
  <c r="N75"/>
  <c r="AI75"/>
  <c r="I75"/>
  <c r="AG75"/>
  <c r="G75"/>
  <c r="AE75"/>
  <c r="E75"/>
  <c r="A75" i="5"/>
  <c r="U74" i="1" s="1"/>
  <c r="A75" i="2"/>
  <c r="A77" i="3" s="1"/>
  <c r="Y77" s="1"/>
  <c r="AC77" l="1"/>
  <c r="AL77"/>
  <c r="L77"/>
  <c r="AK76"/>
  <c r="K76"/>
  <c r="AP76"/>
  <c r="P76"/>
  <c r="S77"/>
  <c r="R77"/>
  <c r="Q77"/>
  <c r="T77"/>
  <c r="U77"/>
  <c r="V77"/>
  <c r="W77"/>
  <c r="X77"/>
  <c r="Z77"/>
  <c r="AA77"/>
  <c r="AB77"/>
  <c r="AO76"/>
  <c r="O76"/>
  <c r="AM76"/>
  <c r="M76"/>
  <c r="AJ76"/>
  <c r="J76"/>
  <c r="AH76"/>
  <c r="H76"/>
  <c r="AE76"/>
  <c r="E76"/>
  <c r="AF76"/>
  <c r="F76"/>
  <c r="AN76"/>
  <c r="N76"/>
  <c r="AI76"/>
  <c r="I76"/>
  <c r="AG76"/>
  <c r="G76"/>
  <c r="AD76"/>
  <c r="D76"/>
  <c r="A76" i="5"/>
  <c r="U75" i="1" s="1"/>
  <c r="A76" i="2"/>
  <c r="A78" i="3" s="1"/>
  <c r="Y78" s="1"/>
  <c r="AL78" l="1"/>
  <c r="AC78"/>
  <c r="L78"/>
  <c r="AP77"/>
  <c r="P77"/>
  <c r="AK77"/>
  <c r="K77"/>
  <c r="S78"/>
  <c r="Q78"/>
  <c r="R78"/>
  <c r="T78"/>
  <c r="U78"/>
  <c r="V78"/>
  <c r="W78"/>
  <c r="X78"/>
  <c r="Z78"/>
  <c r="AA78"/>
  <c r="AB78"/>
  <c r="AO77"/>
  <c r="O77"/>
  <c r="AM77"/>
  <c r="M77"/>
  <c r="AJ77"/>
  <c r="J77"/>
  <c r="AH77"/>
  <c r="H77"/>
  <c r="AD77"/>
  <c r="D77"/>
  <c r="AF77"/>
  <c r="F77"/>
  <c r="AN77"/>
  <c r="N77"/>
  <c r="AI77"/>
  <c r="I77"/>
  <c r="AG77"/>
  <c r="G77"/>
  <c r="AE77"/>
  <c r="E77"/>
  <c r="A77" i="5"/>
  <c r="U76" i="1" s="1"/>
  <c r="A77" i="2"/>
  <c r="A79" i="3" s="1"/>
  <c r="Y79" s="1"/>
  <c r="AC79" l="1"/>
  <c r="AL79"/>
  <c r="L79"/>
  <c r="AK78"/>
  <c r="K78"/>
  <c r="AP78"/>
  <c r="P78"/>
  <c r="S79"/>
  <c r="R79"/>
  <c r="Q79"/>
  <c r="T79"/>
  <c r="U79"/>
  <c r="V79"/>
  <c r="W79"/>
  <c r="X79"/>
  <c r="Z79"/>
  <c r="AA79"/>
  <c r="AB79"/>
  <c r="AO78"/>
  <c r="O78"/>
  <c r="AM78"/>
  <c r="M78"/>
  <c r="AJ78"/>
  <c r="J78"/>
  <c r="AH78"/>
  <c r="H78"/>
  <c r="AE78"/>
  <c r="E78"/>
  <c r="AF78"/>
  <c r="F78"/>
  <c r="AN78"/>
  <c r="N78"/>
  <c r="AI78"/>
  <c r="I78"/>
  <c r="AG78"/>
  <c r="G78"/>
  <c r="AD78"/>
  <c r="D78"/>
  <c r="A78" i="5"/>
  <c r="U77" i="1" s="1"/>
  <c r="A78" i="2"/>
  <c r="A80" i="3" s="1"/>
  <c r="Y80" s="1"/>
  <c r="AL80" l="1"/>
  <c r="AC80"/>
  <c r="L80"/>
  <c r="AP79"/>
  <c r="P79"/>
  <c r="AK79"/>
  <c r="K79"/>
  <c r="S80"/>
  <c r="Q80"/>
  <c r="R80"/>
  <c r="T80"/>
  <c r="U80"/>
  <c r="V80"/>
  <c r="W80"/>
  <c r="X80"/>
  <c r="Z80"/>
  <c r="AA80"/>
  <c r="AB80"/>
  <c r="AO79"/>
  <c r="O79"/>
  <c r="AM79"/>
  <c r="M79"/>
  <c r="AJ79"/>
  <c r="J79"/>
  <c r="AH79"/>
  <c r="H79"/>
  <c r="AD79"/>
  <c r="D79"/>
  <c r="AF79"/>
  <c r="F79"/>
  <c r="AN79"/>
  <c r="N79"/>
  <c r="AI79"/>
  <c r="I79"/>
  <c r="AG79"/>
  <c r="G79"/>
  <c r="AE79"/>
  <c r="E79"/>
  <c r="A79" i="5"/>
  <c r="U78" i="1" s="1"/>
  <c r="A79" i="2"/>
  <c r="A81" i="3" s="1"/>
  <c r="Y81" s="1"/>
  <c r="AC81" l="1"/>
  <c r="AL81"/>
  <c r="L81"/>
  <c r="AK80"/>
  <c r="K80"/>
  <c r="AP80"/>
  <c r="P80"/>
  <c r="S81"/>
  <c r="R81"/>
  <c r="Q81"/>
  <c r="T81"/>
  <c r="U81"/>
  <c r="V81"/>
  <c r="W81"/>
  <c r="X81"/>
  <c r="Z81"/>
  <c r="AA81"/>
  <c r="AB81"/>
  <c r="AO80"/>
  <c r="O80"/>
  <c r="AM80"/>
  <c r="M80"/>
  <c r="AJ80"/>
  <c r="J80"/>
  <c r="AH80"/>
  <c r="H80"/>
  <c r="AE80"/>
  <c r="E80"/>
  <c r="AF80"/>
  <c r="F80"/>
  <c r="AN80"/>
  <c r="N80"/>
  <c r="AI80"/>
  <c r="I80"/>
  <c r="AG80"/>
  <c r="G80"/>
  <c r="AD80"/>
  <c r="D80"/>
  <c r="A80" i="5"/>
  <c r="U79" i="1" s="1"/>
  <c r="A80" i="2"/>
  <c r="A82" i="3" s="1"/>
  <c r="Y82" s="1"/>
  <c r="AL82" l="1"/>
  <c r="AC82"/>
  <c r="L82"/>
  <c r="AP81"/>
  <c r="P81"/>
  <c r="AK81"/>
  <c r="K81"/>
  <c r="S82"/>
  <c r="Q82"/>
  <c r="R82"/>
  <c r="T82"/>
  <c r="U82"/>
  <c r="V82"/>
  <c r="W82"/>
  <c r="X82"/>
  <c r="Z82"/>
  <c r="AA82"/>
  <c r="AB82"/>
  <c r="AO81"/>
  <c r="O81"/>
  <c r="AM81"/>
  <c r="M81"/>
  <c r="AJ81"/>
  <c r="J81"/>
  <c r="AH81"/>
  <c r="H81"/>
  <c r="AD81"/>
  <c r="D81"/>
  <c r="AF81"/>
  <c r="F81"/>
  <c r="AN81"/>
  <c r="N81"/>
  <c r="AI81"/>
  <c r="I81"/>
  <c r="AG81"/>
  <c r="G81"/>
  <c r="AE81"/>
  <c r="E81"/>
  <c r="A81" i="5"/>
  <c r="U80" i="1" s="1"/>
  <c r="A81" i="2"/>
  <c r="A83" i="3" s="1"/>
  <c r="Y83" s="1"/>
  <c r="AC83" l="1"/>
  <c r="AL83"/>
  <c r="L83"/>
  <c r="AK82"/>
  <c r="K82"/>
  <c r="AP82"/>
  <c r="P82"/>
  <c r="S83"/>
  <c r="R83"/>
  <c r="Q83"/>
  <c r="T83"/>
  <c r="U83"/>
  <c r="V83"/>
  <c r="W83"/>
  <c r="X83"/>
  <c r="Z83"/>
  <c r="AA83"/>
  <c r="AB83"/>
  <c r="AO82"/>
  <c r="O82"/>
  <c r="AM82"/>
  <c r="M82"/>
  <c r="AJ82"/>
  <c r="J82"/>
  <c r="AH82"/>
  <c r="H82"/>
  <c r="AE82"/>
  <c r="E82"/>
  <c r="AF82"/>
  <c r="F82"/>
  <c r="AN82"/>
  <c r="N82"/>
  <c r="AI82"/>
  <c r="I82"/>
  <c r="AG82"/>
  <c r="G82"/>
  <c r="AD82"/>
  <c r="D82"/>
  <c r="A82" i="5"/>
  <c r="U81" i="1" s="1"/>
  <c r="A82" i="2"/>
  <c r="A84" i="3" s="1"/>
  <c r="Y84" s="1"/>
  <c r="AL84" l="1"/>
  <c r="AC84"/>
  <c r="L84"/>
  <c r="AP83"/>
  <c r="P83"/>
  <c r="AK83"/>
  <c r="K83"/>
  <c r="S84"/>
  <c r="Q84"/>
  <c r="R84"/>
  <c r="T84"/>
  <c r="U84"/>
  <c r="V84"/>
  <c r="W84"/>
  <c r="X84"/>
  <c r="Z84"/>
  <c r="AA84"/>
  <c r="AB84"/>
  <c r="AO83"/>
  <c r="O83"/>
  <c r="AM83"/>
  <c r="M83"/>
  <c r="AJ83"/>
  <c r="J83"/>
  <c r="AH83"/>
  <c r="H83"/>
  <c r="AD83"/>
  <c r="D83"/>
  <c r="AF83"/>
  <c r="F83"/>
  <c r="AN83"/>
  <c r="N83"/>
  <c r="AI83"/>
  <c r="I83"/>
  <c r="AG83"/>
  <c r="G83"/>
  <c r="AE83"/>
  <c r="E83"/>
  <c r="A83" i="5"/>
  <c r="U82" i="1" s="1"/>
  <c r="A83" i="2"/>
  <c r="A85" i="3" s="1"/>
  <c r="Y85" s="1"/>
  <c r="AC85" l="1"/>
  <c r="AL85"/>
  <c r="L85"/>
  <c r="AK84"/>
  <c r="K84"/>
  <c r="AP84"/>
  <c r="P84"/>
  <c r="S85"/>
  <c r="R85"/>
  <c r="Q85"/>
  <c r="T85"/>
  <c r="U85"/>
  <c r="V85"/>
  <c r="W85"/>
  <c r="X85"/>
  <c r="Z85"/>
  <c r="AA85"/>
  <c r="AB85"/>
  <c r="AO84"/>
  <c r="O84"/>
  <c r="AM84"/>
  <c r="M84"/>
  <c r="AJ84"/>
  <c r="J84"/>
  <c r="AH84"/>
  <c r="H84"/>
  <c r="AE84"/>
  <c r="E84"/>
  <c r="AF84"/>
  <c r="F84"/>
  <c r="AN84"/>
  <c r="N84"/>
  <c r="AI84"/>
  <c r="I84"/>
  <c r="AG84"/>
  <c r="G84"/>
  <c r="AD84"/>
  <c r="D84"/>
  <c r="A84" i="5"/>
  <c r="U83" i="1" s="1"/>
  <c r="A84" i="2"/>
  <c r="A86" i="3" s="1"/>
  <c r="Y86" s="1"/>
  <c r="AL86" l="1"/>
  <c r="AC86"/>
  <c r="L86"/>
  <c r="AP85"/>
  <c r="P85"/>
  <c r="AK85"/>
  <c r="K85"/>
  <c r="S86"/>
  <c r="Q86"/>
  <c r="R86"/>
  <c r="T86"/>
  <c r="U86"/>
  <c r="V86"/>
  <c r="W86"/>
  <c r="X86"/>
  <c r="Z86"/>
  <c r="AA86"/>
  <c r="AB86"/>
  <c r="AO85"/>
  <c r="O85"/>
  <c r="AM85"/>
  <c r="M85"/>
  <c r="AJ85"/>
  <c r="J85"/>
  <c r="AH85"/>
  <c r="H85"/>
  <c r="AD85"/>
  <c r="D85"/>
  <c r="AF85"/>
  <c r="F85"/>
  <c r="AN85"/>
  <c r="N85"/>
  <c r="AI85"/>
  <c r="I85"/>
  <c r="AG85"/>
  <c r="G85"/>
  <c r="AE85"/>
  <c r="E85"/>
  <c r="A85" i="5"/>
  <c r="U84" i="1" s="1"/>
  <c r="A85" i="2"/>
  <c r="A87" i="3" s="1"/>
  <c r="Y87" s="1"/>
  <c r="AC87" l="1"/>
  <c r="AL87"/>
  <c r="L87"/>
  <c r="AK86"/>
  <c r="K86"/>
  <c r="AP86"/>
  <c r="P86"/>
  <c r="S87"/>
  <c r="R87"/>
  <c r="Q87"/>
  <c r="T87"/>
  <c r="U87"/>
  <c r="V87"/>
  <c r="W87"/>
  <c r="X87"/>
  <c r="Z87"/>
  <c r="AA87"/>
  <c r="AB87"/>
  <c r="AO86"/>
  <c r="O86"/>
  <c r="AM86"/>
  <c r="M86"/>
  <c r="AJ86"/>
  <c r="J86"/>
  <c r="AH86"/>
  <c r="H86"/>
  <c r="AE86"/>
  <c r="E86"/>
  <c r="AF86"/>
  <c r="F86"/>
  <c r="AN86"/>
  <c r="N86"/>
  <c r="AI86"/>
  <c r="I86"/>
  <c r="AG86"/>
  <c r="G86"/>
  <c r="AD86"/>
  <c r="D86"/>
  <c r="A86" i="5"/>
  <c r="U85" i="1" s="1"/>
  <c r="A86" i="2"/>
  <c r="A88" i="3" s="1"/>
  <c r="Y88" s="1"/>
  <c r="AL88" l="1"/>
  <c r="AC88"/>
  <c r="L88"/>
  <c r="AP87"/>
  <c r="P87"/>
  <c r="AK87"/>
  <c r="K87"/>
  <c r="AO87"/>
  <c r="O87"/>
  <c r="AM87"/>
  <c r="M87"/>
  <c r="AJ87"/>
  <c r="J87"/>
  <c r="AH87"/>
  <c r="H87"/>
  <c r="AD87"/>
  <c r="D87"/>
  <c r="AF87"/>
  <c r="F87"/>
  <c r="S88"/>
  <c r="Q88"/>
  <c r="R88"/>
  <c r="T88"/>
  <c r="U88"/>
  <c r="V88"/>
  <c r="W88"/>
  <c r="X88"/>
  <c r="Z88"/>
  <c r="AA88"/>
  <c r="AB88"/>
  <c r="AN87"/>
  <c r="N87"/>
  <c r="AI87"/>
  <c r="I87"/>
  <c r="AG87"/>
  <c r="G87"/>
  <c r="AE87"/>
  <c r="E87"/>
  <c r="A87" i="5"/>
  <c r="U86" i="1" s="1"/>
  <c r="A87" i="2"/>
  <c r="A89" i="3" s="1"/>
  <c r="Y89" s="1"/>
  <c r="AC89" l="1"/>
  <c r="AL89"/>
  <c r="L89"/>
  <c r="AK88"/>
  <c r="K88"/>
  <c r="AP88"/>
  <c r="P88"/>
  <c r="S89"/>
  <c r="R89"/>
  <c r="Q89"/>
  <c r="T89"/>
  <c r="U89"/>
  <c r="V89"/>
  <c r="W89"/>
  <c r="X89"/>
  <c r="Z89"/>
  <c r="AA89"/>
  <c r="AB89"/>
  <c r="AO88"/>
  <c r="O88"/>
  <c r="AM88"/>
  <c r="M88"/>
  <c r="AJ88"/>
  <c r="J88"/>
  <c r="AH88"/>
  <c r="H88"/>
  <c r="AE88"/>
  <c r="E88"/>
  <c r="AF88"/>
  <c r="F88"/>
  <c r="AN88"/>
  <c r="N88"/>
  <c r="AI88"/>
  <c r="I88"/>
  <c r="AG88"/>
  <c r="G88"/>
  <c r="AD88"/>
  <c r="D88"/>
  <c r="A88" i="5"/>
  <c r="U87" i="1" s="1"/>
  <c r="A88" i="2"/>
  <c r="A90" i="3" s="1"/>
  <c r="Y90" s="1"/>
  <c r="AL90" l="1"/>
  <c r="AC90"/>
  <c r="L90"/>
  <c r="AP89"/>
  <c r="P89"/>
  <c r="AK89"/>
  <c r="K89"/>
  <c r="S90"/>
  <c r="Q90"/>
  <c r="R90"/>
  <c r="T90"/>
  <c r="U90"/>
  <c r="V90"/>
  <c r="W90"/>
  <c r="X90"/>
  <c r="Z90"/>
  <c r="AA90"/>
  <c r="AB90"/>
  <c r="AO89"/>
  <c r="O89"/>
  <c r="AM89"/>
  <c r="M89"/>
  <c r="AJ89"/>
  <c r="J89"/>
  <c r="AH89"/>
  <c r="H89"/>
  <c r="AD89"/>
  <c r="D89"/>
  <c r="AF89"/>
  <c r="F89"/>
  <c r="AN89"/>
  <c r="N89"/>
  <c r="AI89"/>
  <c r="I89"/>
  <c r="AG89"/>
  <c r="G89"/>
  <c r="AE89"/>
  <c r="E89"/>
  <c r="A89" i="5"/>
  <c r="U88" i="1" s="1"/>
  <c r="A89" i="2"/>
  <c r="A91" i="3" s="1"/>
  <c r="Y91" s="1"/>
  <c r="AC91" l="1"/>
  <c r="AL91"/>
  <c r="L91"/>
  <c r="AK90"/>
  <c r="K90"/>
  <c r="AP90"/>
  <c r="P90"/>
  <c r="S91"/>
  <c r="R91"/>
  <c r="Q91"/>
  <c r="T91"/>
  <c r="U91"/>
  <c r="V91"/>
  <c r="W91"/>
  <c r="X91"/>
  <c r="Z91"/>
  <c r="AA91"/>
  <c r="AB91"/>
  <c r="AO90"/>
  <c r="O90"/>
  <c r="AM90"/>
  <c r="M90"/>
  <c r="AJ90"/>
  <c r="J90"/>
  <c r="AH90"/>
  <c r="H90"/>
  <c r="AE90"/>
  <c r="E90"/>
  <c r="AF90"/>
  <c r="F90"/>
  <c r="AN90"/>
  <c r="N90"/>
  <c r="AI90"/>
  <c r="I90"/>
  <c r="AG90"/>
  <c r="G90"/>
  <c r="AD90"/>
  <c r="D90"/>
  <c r="A90" i="5"/>
  <c r="U89" i="1" s="1"/>
  <c r="A90" i="2"/>
  <c r="A92" i="3" s="1"/>
  <c r="Y92" s="1"/>
  <c r="AL92" l="1"/>
  <c r="AC92"/>
  <c r="L92"/>
  <c r="AP91"/>
  <c r="P91"/>
  <c r="AK91"/>
  <c r="K91"/>
  <c r="S92"/>
  <c r="Q92"/>
  <c r="R92"/>
  <c r="T92"/>
  <c r="U92"/>
  <c r="V92"/>
  <c r="W92"/>
  <c r="X92"/>
  <c r="Z92"/>
  <c r="AA92"/>
  <c r="AB92"/>
  <c r="AO91"/>
  <c r="O91"/>
  <c r="AM91"/>
  <c r="M91"/>
  <c r="AJ91"/>
  <c r="J91"/>
  <c r="AH91"/>
  <c r="H91"/>
  <c r="AD91"/>
  <c r="D91"/>
  <c r="AF91"/>
  <c r="F91"/>
  <c r="AN91"/>
  <c r="N91"/>
  <c r="AI91"/>
  <c r="I91"/>
  <c r="AG91"/>
  <c r="G91"/>
  <c r="AE91"/>
  <c r="E91"/>
  <c r="A91" i="5"/>
  <c r="U90" i="1" s="1"/>
  <c r="A91" i="2"/>
  <c r="A93" i="3" s="1"/>
  <c r="Y93" s="1"/>
  <c r="AC93" l="1"/>
  <c r="AL93"/>
  <c r="L93"/>
  <c r="AK92"/>
  <c r="K92"/>
  <c r="AP92"/>
  <c r="P92"/>
  <c r="S93"/>
  <c r="R93"/>
  <c r="Q93"/>
  <c r="T93"/>
  <c r="U93"/>
  <c r="V93"/>
  <c r="W93"/>
  <c r="X93"/>
  <c r="Z93"/>
  <c r="AA93"/>
  <c r="AB93"/>
  <c r="AO92"/>
  <c r="O92"/>
  <c r="AM92"/>
  <c r="M92"/>
  <c r="AJ92"/>
  <c r="J92"/>
  <c r="AH92"/>
  <c r="H92"/>
  <c r="AE92"/>
  <c r="E92"/>
  <c r="AF92"/>
  <c r="F92"/>
  <c r="AN92"/>
  <c r="N92"/>
  <c r="AI92"/>
  <c r="I92"/>
  <c r="AG92"/>
  <c r="G92"/>
  <c r="AD92"/>
  <c r="D92"/>
  <c r="A92" i="5"/>
  <c r="U91" i="1" s="1"/>
  <c r="A92" i="2"/>
  <c r="A94" i="3" s="1"/>
  <c r="Y94" s="1"/>
  <c r="AL94" l="1"/>
  <c r="AC94"/>
  <c r="L94"/>
  <c r="AP93"/>
  <c r="P93"/>
  <c r="AK93"/>
  <c r="K93"/>
  <c r="AO93"/>
  <c r="O93"/>
  <c r="AM93"/>
  <c r="M93"/>
  <c r="AJ93"/>
  <c r="J93"/>
  <c r="AH93"/>
  <c r="H93"/>
  <c r="AD93"/>
  <c r="D93"/>
  <c r="AF93"/>
  <c r="F93"/>
  <c r="S94"/>
  <c r="Q94"/>
  <c r="R94"/>
  <c r="T94"/>
  <c r="U94"/>
  <c r="V94"/>
  <c r="W94"/>
  <c r="X94"/>
  <c r="Z94"/>
  <c r="AA94"/>
  <c r="AB94"/>
  <c r="AN93"/>
  <c r="N93"/>
  <c r="AI93"/>
  <c r="I93"/>
  <c r="AG93"/>
  <c r="G93"/>
  <c r="AE93"/>
  <c r="E93"/>
  <c r="A93" i="5"/>
  <c r="U92" i="1" s="1"/>
  <c r="A93" i="2"/>
  <c r="A95" i="3" s="1"/>
  <c r="Y95" s="1"/>
  <c r="AC95" l="1"/>
  <c r="AL95"/>
  <c r="L95"/>
  <c r="AK94"/>
  <c r="K94"/>
  <c r="AP94"/>
  <c r="P94"/>
  <c r="S95"/>
  <c r="R95"/>
  <c r="Q95"/>
  <c r="T95"/>
  <c r="U95"/>
  <c r="V95"/>
  <c r="W95"/>
  <c r="X95"/>
  <c r="Z95"/>
  <c r="AA95"/>
  <c r="AB95"/>
  <c r="AO94"/>
  <c r="O94"/>
  <c r="AM94"/>
  <c r="M94"/>
  <c r="AJ94"/>
  <c r="J94"/>
  <c r="AH94"/>
  <c r="H94"/>
  <c r="AE94"/>
  <c r="E94"/>
  <c r="AF94"/>
  <c r="F94"/>
  <c r="AN94"/>
  <c r="N94"/>
  <c r="AI94"/>
  <c r="I94"/>
  <c r="AG94"/>
  <c r="G94"/>
  <c r="AD94"/>
  <c r="D94"/>
  <c r="A94" i="5"/>
  <c r="U93" i="1" s="1"/>
  <c r="A94" i="2"/>
  <c r="A96" i="3" s="1"/>
  <c r="Y96" s="1"/>
  <c r="AL96" l="1"/>
  <c r="AC96"/>
  <c r="L96"/>
  <c r="AP95"/>
  <c r="P95"/>
  <c r="AK95"/>
  <c r="K95"/>
  <c r="S96"/>
  <c r="Q96"/>
  <c r="R96"/>
  <c r="T96"/>
  <c r="U96"/>
  <c r="V96"/>
  <c r="W96"/>
  <c r="X96"/>
  <c r="Z96"/>
  <c r="AA96"/>
  <c r="AB96"/>
  <c r="AO95"/>
  <c r="O95"/>
  <c r="AM95"/>
  <c r="M95"/>
  <c r="AJ95"/>
  <c r="J95"/>
  <c r="AH95"/>
  <c r="H95"/>
  <c r="AD95"/>
  <c r="D95"/>
  <c r="AF95"/>
  <c r="F95"/>
  <c r="AN95"/>
  <c r="N95"/>
  <c r="AI95"/>
  <c r="I95"/>
  <c r="AG95"/>
  <c r="G95"/>
  <c r="AE95"/>
  <c r="E95"/>
  <c r="A95" i="5"/>
  <c r="U94" i="1" s="1"/>
  <c r="A95" i="2"/>
  <c r="A97" i="3" s="1"/>
  <c r="Y97" s="1"/>
  <c r="AC97" l="1"/>
  <c r="AL97"/>
  <c r="L97"/>
  <c r="AK96"/>
  <c r="K96"/>
  <c r="AP96"/>
  <c r="P96"/>
  <c r="S97"/>
  <c r="R97"/>
  <c r="Q97"/>
  <c r="T97"/>
  <c r="U97"/>
  <c r="V97"/>
  <c r="W97"/>
  <c r="X97"/>
  <c r="Z97"/>
  <c r="AA97"/>
  <c r="AB97"/>
  <c r="AO96"/>
  <c r="O96"/>
  <c r="AM96"/>
  <c r="M96"/>
  <c r="AJ96"/>
  <c r="J96"/>
  <c r="AH96"/>
  <c r="H96"/>
  <c r="AE96"/>
  <c r="E96"/>
  <c r="AF96"/>
  <c r="F96"/>
  <c r="AN96"/>
  <c r="N96"/>
  <c r="AI96"/>
  <c r="I96"/>
  <c r="AG96"/>
  <c r="G96"/>
  <c r="AD96"/>
  <c r="D96"/>
  <c r="A96" i="5"/>
  <c r="U95" i="1" s="1"/>
  <c r="A96" i="2"/>
  <c r="A98" i="3" s="1"/>
  <c r="Y98" s="1"/>
  <c r="AL98" l="1"/>
  <c r="AC98"/>
  <c r="L98"/>
  <c r="AP97"/>
  <c r="P97"/>
  <c r="AK97"/>
  <c r="K97"/>
  <c r="S98"/>
  <c r="Q98"/>
  <c r="R98"/>
  <c r="T98"/>
  <c r="U98"/>
  <c r="V98"/>
  <c r="W98"/>
  <c r="X98"/>
  <c r="Z98"/>
  <c r="AA98"/>
  <c r="AB98"/>
  <c r="AO97"/>
  <c r="O97"/>
  <c r="AM97"/>
  <c r="M97"/>
  <c r="AJ97"/>
  <c r="J97"/>
  <c r="AH97"/>
  <c r="H97"/>
  <c r="AD97"/>
  <c r="D97"/>
  <c r="AF97"/>
  <c r="F97"/>
  <c r="AN97"/>
  <c r="N97"/>
  <c r="AI97"/>
  <c r="I97"/>
  <c r="AG97"/>
  <c r="G97"/>
  <c r="AE97"/>
  <c r="E97"/>
  <c r="A97" i="5"/>
  <c r="U96" i="1" s="1"/>
  <c r="A97" i="2"/>
  <c r="A99" i="3" s="1"/>
  <c r="Y99" s="1"/>
  <c r="AC99" l="1"/>
  <c r="AL99"/>
  <c r="L99"/>
  <c r="AK98"/>
  <c r="K98"/>
  <c r="AP98"/>
  <c r="P98"/>
  <c r="S99"/>
  <c r="R99"/>
  <c r="Q99"/>
  <c r="T99"/>
  <c r="U99"/>
  <c r="V99"/>
  <c r="W99"/>
  <c r="X99"/>
  <c r="Z99"/>
  <c r="AA99"/>
  <c r="AB99"/>
  <c r="AO98"/>
  <c r="O98"/>
  <c r="AM98"/>
  <c r="M98"/>
  <c r="AJ98"/>
  <c r="J98"/>
  <c r="AH98"/>
  <c r="H98"/>
  <c r="AE98"/>
  <c r="E98"/>
  <c r="AF98"/>
  <c r="F98"/>
  <c r="AN98"/>
  <c r="N98"/>
  <c r="AI98"/>
  <c r="I98"/>
  <c r="AG98"/>
  <c r="G98"/>
  <c r="AD98"/>
  <c r="D98"/>
  <c r="A98" i="5"/>
  <c r="U97" i="1" s="1"/>
  <c r="A98" i="2"/>
  <c r="A100" i="3" s="1"/>
  <c r="Y100" s="1"/>
  <c r="AL100" l="1"/>
  <c r="AC100"/>
  <c r="L100"/>
  <c r="AP99"/>
  <c r="P99"/>
  <c r="AK99"/>
  <c r="K99"/>
  <c r="S100"/>
  <c r="Q100"/>
  <c r="R100"/>
  <c r="T100"/>
  <c r="U100"/>
  <c r="V100"/>
  <c r="W100"/>
  <c r="X100"/>
  <c r="Z100"/>
  <c r="AA100"/>
  <c r="AB100"/>
  <c r="AO99"/>
  <c r="O99"/>
  <c r="AM99"/>
  <c r="M99"/>
  <c r="AJ99"/>
  <c r="J99"/>
  <c r="AH99"/>
  <c r="H99"/>
  <c r="AD99"/>
  <c r="D99"/>
  <c r="AF99"/>
  <c r="F99"/>
  <c r="AN99"/>
  <c r="N99"/>
  <c r="AI99"/>
  <c r="I99"/>
  <c r="AG99"/>
  <c r="G99"/>
  <c r="AE99"/>
  <c r="E99"/>
  <c r="A99" i="5"/>
  <c r="U98" i="1" s="1"/>
  <c r="A99" i="2"/>
  <c r="A101" i="3" s="1"/>
  <c r="Y101" s="1"/>
  <c r="AC101" l="1"/>
  <c r="AL101"/>
  <c r="L101"/>
  <c r="AK100"/>
  <c r="K100"/>
  <c r="AP100"/>
  <c r="P100"/>
  <c r="S101"/>
  <c r="R101"/>
  <c r="Q101"/>
  <c r="T101"/>
  <c r="U101"/>
  <c r="V101"/>
  <c r="W101"/>
  <c r="X101"/>
  <c r="Z101"/>
  <c r="AA101"/>
  <c r="AB101"/>
  <c r="AO100"/>
  <c r="O100"/>
  <c r="AM100"/>
  <c r="M100"/>
  <c r="AJ100"/>
  <c r="J100"/>
  <c r="AH100"/>
  <c r="H100"/>
  <c r="AE100"/>
  <c r="E100"/>
  <c r="AF100"/>
  <c r="F100"/>
  <c r="AN100"/>
  <c r="N100"/>
  <c r="AI100"/>
  <c r="I100"/>
  <c r="AG100"/>
  <c r="G100"/>
  <c r="AD100"/>
  <c r="D100"/>
  <c r="A100" i="5"/>
  <c r="U99" i="1" s="1"/>
  <c r="A100" i="2"/>
  <c r="A102" i="3" s="1"/>
  <c r="Y102" s="1"/>
  <c r="AL102" l="1"/>
  <c r="AC102"/>
  <c r="L102"/>
  <c r="AP101"/>
  <c r="P101"/>
  <c r="AK101"/>
  <c r="K101"/>
  <c r="S102"/>
  <c r="Q102"/>
  <c r="R102"/>
  <c r="T102"/>
  <c r="U102"/>
  <c r="V102"/>
  <c r="W102"/>
  <c r="X102"/>
  <c r="Z102"/>
  <c r="AA102"/>
  <c r="AB102"/>
  <c r="AO101"/>
  <c r="O101"/>
  <c r="AM101"/>
  <c r="M101"/>
  <c r="AJ101"/>
  <c r="J101"/>
  <c r="AH101"/>
  <c r="H101"/>
  <c r="AD101"/>
  <c r="D101"/>
  <c r="AF101"/>
  <c r="F101"/>
  <c r="AN101"/>
  <c r="N101"/>
  <c r="AI101"/>
  <c r="I101"/>
  <c r="AG101"/>
  <c r="G101"/>
  <c r="AE101"/>
  <c r="E101"/>
  <c r="A101" i="5"/>
  <c r="U100" i="1" s="1"/>
  <c r="A101" i="2"/>
  <c r="A103" i="3" s="1"/>
  <c r="Y103" s="1"/>
  <c r="AC103" l="1"/>
  <c r="AL103"/>
  <c r="L103"/>
  <c r="AK102"/>
  <c r="K102"/>
  <c r="AP102"/>
  <c r="P102"/>
  <c r="Q103"/>
  <c r="R103"/>
  <c r="S103"/>
  <c r="T103"/>
  <c r="U103"/>
  <c r="V103"/>
  <c r="W103"/>
  <c r="X103"/>
  <c r="Z103"/>
  <c r="AA103"/>
  <c r="AB103"/>
  <c r="AO102"/>
  <c r="O102"/>
  <c r="AM102"/>
  <c r="M102"/>
  <c r="AJ102"/>
  <c r="J102"/>
  <c r="AH102"/>
  <c r="H102"/>
  <c r="AE102"/>
  <c r="E102"/>
  <c r="AF102"/>
  <c r="F102"/>
  <c r="AN102"/>
  <c r="N102"/>
  <c r="AI102"/>
  <c r="I102"/>
  <c r="AG102"/>
  <c r="G102"/>
  <c r="AD102"/>
  <c r="D102"/>
  <c r="A102" i="5"/>
  <c r="U101" i="1" s="1"/>
  <c r="A102" i="2"/>
  <c r="A104" i="3" s="1"/>
  <c r="Y104" s="1"/>
  <c r="AL104" l="1"/>
  <c r="AC104"/>
  <c r="L104"/>
  <c r="AP103"/>
  <c r="P103"/>
  <c r="AK103"/>
  <c r="K103"/>
  <c r="R104"/>
  <c r="Q104"/>
  <c r="S104"/>
  <c r="T104"/>
  <c r="U104"/>
  <c r="V104"/>
  <c r="W104"/>
  <c r="X104"/>
  <c r="Z104"/>
  <c r="AA104"/>
  <c r="AB104"/>
  <c r="AO103"/>
  <c r="O103"/>
  <c r="AM103"/>
  <c r="M103"/>
  <c r="AJ103"/>
  <c r="J103"/>
  <c r="AH103"/>
  <c r="H103"/>
  <c r="AF103"/>
  <c r="F103"/>
  <c r="AD103"/>
  <c r="D103"/>
  <c r="AN103"/>
  <c r="N103"/>
  <c r="AI103"/>
  <c r="I103"/>
  <c r="AG103"/>
  <c r="G103"/>
  <c r="AE103"/>
  <c r="E103"/>
  <c r="A103" i="5"/>
  <c r="U102" i="1" s="1"/>
  <c r="A103" i="2"/>
  <c r="A105" i="3" s="1"/>
  <c r="Y105" s="1"/>
  <c r="AC105" l="1"/>
  <c r="AL105"/>
  <c r="L105"/>
  <c r="AK104"/>
  <c r="K104"/>
  <c r="AP104"/>
  <c r="P104"/>
  <c r="Q105"/>
  <c r="R105"/>
  <c r="S105"/>
  <c r="T105"/>
  <c r="U105"/>
  <c r="V105"/>
  <c r="W105"/>
  <c r="X105"/>
  <c r="Z105"/>
  <c r="AA105"/>
  <c r="AB105"/>
  <c r="AO104"/>
  <c r="O104"/>
  <c r="AM104"/>
  <c r="M104"/>
  <c r="AJ104"/>
  <c r="J104"/>
  <c r="AH104"/>
  <c r="H104"/>
  <c r="AF104"/>
  <c r="F104"/>
  <c r="AE104"/>
  <c r="E104"/>
  <c r="AN104"/>
  <c r="N104"/>
  <c r="AI104"/>
  <c r="I104"/>
  <c r="AG104"/>
  <c r="G104"/>
  <c r="AD104"/>
  <c r="D104"/>
  <c r="A104" i="5"/>
  <c r="U103" i="1" s="1"/>
  <c r="A104" i="2"/>
  <c r="A106" i="3" s="1"/>
  <c r="Y106" s="1"/>
  <c r="AL106" l="1"/>
  <c r="AC106"/>
  <c r="L106"/>
  <c r="AP105"/>
  <c r="P105"/>
  <c r="AK105"/>
  <c r="K105"/>
  <c r="R106"/>
  <c r="Q106"/>
  <c r="S106"/>
  <c r="T106"/>
  <c r="U106"/>
  <c r="V106"/>
  <c r="W106"/>
  <c r="X106"/>
  <c r="Z106"/>
  <c r="AA106"/>
  <c r="AB106"/>
  <c r="AO105"/>
  <c r="O105"/>
  <c r="AM105"/>
  <c r="M105"/>
  <c r="AJ105"/>
  <c r="J105"/>
  <c r="AH105"/>
  <c r="H105"/>
  <c r="AF105"/>
  <c r="F105"/>
  <c r="AD105"/>
  <c r="D105"/>
  <c r="AN105"/>
  <c r="N105"/>
  <c r="AI105"/>
  <c r="I105"/>
  <c r="AG105"/>
  <c r="G105"/>
  <c r="AE105"/>
  <c r="E105"/>
  <c r="A105" i="5"/>
  <c r="U104" i="1" s="1"/>
  <c r="A105" i="2"/>
  <c r="A107" i="3" s="1"/>
  <c r="Y107" s="1"/>
  <c r="AC107" l="1"/>
  <c r="AL107"/>
  <c r="L107"/>
  <c r="AK106"/>
  <c r="K106"/>
  <c r="AP106"/>
  <c r="P106"/>
  <c r="Q107"/>
  <c r="R107"/>
  <c r="S107"/>
  <c r="T107"/>
  <c r="U107"/>
  <c r="V107"/>
  <c r="W107"/>
  <c r="X107"/>
  <c r="Z107"/>
  <c r="AA107"/>
  <c r="AB107"/>
  <c r="AO106"/>
  <c r="O106"/>
  <c r="AM106"/>
  <c r="M106"/>
  <c r="AJ106"/>
  <c r="J106"/>
  <c r="AH106"/>
  <c r="H106"/>
  <c r="AF106"/>
  <c r="F106"/>
  <c r="AE106"/>
  <c r="E106"/>
  <c r="AN106"/>
  <c r="N106"/>
  <c r="AI106"/>
  <c r="I106"/>
  <c r="AG106"/>
  <c r="G106"/>
  <c r="AD106"/>
  <c r="D106"/>
  <c r="A106" i="5"/>
  <c r="U105" i="1" s="1"/>
  <c r="A106" i="2"/>
  <c r="A108" i="3" s="1"/>
  <c r="Y108" s="1"/>
  <c r="AL108" l="1"/>
  <c r="AC108"/>
  <c r="L108"/>
  <c r="AP107"/>
  <c r="P107"/>
  <c r="AK107"/>
  <c r="K107"/>
  <c r="R108"/>
  <c r="Q108"/>
  <c r="S108"/>
  <c r="T108"/>
  <c r="U108"/>
  <c r="V108"/>
  <c r="W108"/>
  <c r="X108"/>
  <c r="Z108"/>
  <c r="AA108"/>
  <c r="AB108"/>
  <c r="AO107"/>
  <c r="O107"/>
  <c r="AM107"/>
  <c r="M107"/>
  <c r="AJ107"/>
  <c r="J107"/>
  <c r="AH107"/>
  <c r="H107"/>
  <c r="AF107"/>
  <c r="F107"/>
  <c r="AD107"/>
  <c r="D107"/>
  <c r="AN107"/>
  <c r="N107"/>
  <c r="AI107"/>
  <c r="I107"/>
  <c r="AG107"/>
  <c r="G107"/>
  <c r="AE107"/>
  <c r="E107"/>
  <c r="A107" i="5"/>
  <c r="U106" i="1" s="1"/>
  <c r="A107" i="2"/>
  <c r="A109" i="3" s="1"/>
  <c r="Y109" s="1"/>
  <c r="AC109" l="1"/>
  <c r="AL109"/>
  <c r="L109"/>
  <c r="AK108"/>
  <c r="K108"/>
  <c r="AP108"/>
  <c r="P108"/>
  <c r="Q109"/>
  <c r="R109"/>
  <c r="S109"/>
  <c r="T109"/>
  <c r="U109"/>
  <c r="V109"/>
  <c r="W109"/>
  <c r="X109"/>
  <c r="Z109"/>
  <c r="AA109"/>
  <c r="AB109"/>
  <c r="AO108"/>
  <c r="O108"/>
  <c r="AM108"/>
  <c r="M108"/>
  <c r="AJ108"/>
  <c r="J108"/>
  <c r="AH108"/>
  <c r="H108"/>
  <c r="AF108"/>
  <c r="F108"/>
  <c r="AE108"/>
  <c r="E108"/>
  <c r="AN108"/>
  <c r="N108"/>
  <c r="AI108"/>
  <c r="I108"/>
  <c r="AG108"/>
  <c r="G108"/>
  <c r="AD108"/>
  <c r="D108"/>
  <c r="A108" i="5"/>
  <c r="U107" i="1" s="1"/>
  <c r="A108" i="2"/>
  <c r="A110" i="3" s="1"/>
  <c r="Y110" s="1"/>
  <c r="AL110" l="1"/>
  <c r="AC110"/>
  <c r="L110"/>
  <c r="AP109"/>
  <c r="P109"/>
  <c r="AK109"/>
  <c r="K109"/>
  <c r="R110"/>
  <c r="Q110"/>
  <c r="S110"/>
  <c r="T110"/>
  <c r="U110"/>
  <c r="V110"/>
  <c r="W110"/>
  <c r="X110"/>
  <c r="Z110"/>
  <c r="AA110"/>
  <c r="AB110"/>
  <c r="AO109"/>
  <c r="O109"/>
  <c r="AM109"/>
  <c r="M109"/>
  <c r="AJ109"/>
  <c r="J109"/>
  <c r="AH109"/>
  <c r="H109"/>
  <c r="AF109"/>
  <c r="F109"/>
  <c r="AD109"/>
  <c r="D109"/>
  <c r="AN109"/>
  <c r="N109"/>
  <c r="AI109"/>
  <c r="I109"/>
  <c r="AG109"/>
  <c r="G109"/>
  <c r="AE109"/>
  <c r="E109"/>
  <c r="A109" i="5"/>
  <c r="U108" i="1" s="1"/>
  <c r="A109" i="2"/>
  <c r="A111" i="3" s="1"/>
  <c r="Y111" s="1"/>
  <c r="AC111" l="1"/>
  <c r="AL111"/>
  <c r="L111"/>
  <c r="AK110"/>
  <c r="K110"/>
  <c r="AP110"/>
  <c r="P110"/>
  <c r="Q111"/>
  <c r="R111"/>
  <c r="S111"/>
  <c r="T111"/>
  <c r="U111"/>
  <c r="V111"/>
  <c r="W111"/>
  <c r="X111"/>
  <c r="Z111"/>
  <c r="AA111"/>
  <c r="AB111"/>
  <c r="AO110"/>
  <c r="O110"/>
  <c r="AM110"/>
  <c r="M110"/>
  <c r="AJ110"/>
  <c r="J110"/>
  <c r="AH110"/>
  <c r="H110"/>
  <c r="AF110"/>
  <c r="F110"/>
  <c r="AE110"/>
  <c r="E110"/>
  <c r="AN110"/>
  <c r="N110"/>
  <c r="AI110"/>
  <c r="I110"/>
  <c r="AG110"/>
  <c r="G110"/>
  <c r="AD110"/>
  <c r="D110"/>
  <c r="A110" i="5"/>
  <c r="U109" i="1" s="1"/>
  <c r="A110" i="2"/>
  <c r="A112" i="3" s="1"/>
  <c r="Y112" s="1"/>
  <c r="AL112" l="1"/>
  <c r="AC112"/>
  <c r="L112"/>
  <c r="AP111"/>
  <c r="P111"/>
  <c r="AK111"/>
  <c r="K111"/>
  <c r="R112"/>
  <c r="Q112"/>
  <c r="S112"/>
  <c r="T112"/>
  <c r="U112"/>
  <c r="V112"/>
  <c r="W112"/>
  <c r="X112"/>
  <c r="Z112"/>
  <c r="AA112"/>
  <c r="AB112"/>
  <c r="AO111"/>
  <c r="O111"/>
  <c r="AM111"/>
  <c r="M111"/>
  <c r="AJ111"/>
  <c r="J111"/>
  <c r="AH111"/>
  <c r="H111"/>
  <c r="AF111"/>
  <c r="F111"/>
  <c r="AD111"/>
  <c r="D111"/>
  <c r="AN111"/>
  <c r="N111"/>
  <c r="AI111"/>
  <c r="I111"/>
  <c r="AG111"/>
  <c r="G111"/>
  <c r="AE111"/>
  <c r="E111"/>
  <c r="A111" i="5"/>
  <c r="U110" i="1" s="1"/>
  <c r="A111" i="2"/>
  <c r="A113" i="3" s="1"/>
  <c r="Y113" s="1"/>
  <c r="AC113" l="1"/>
  <c r="AL113"/>
  <c r="L113"/>
  <c r="AK112"/>
  <c r="K112"/>
  <c r="AP112"/>
  <c r="P112"/>
  <c r="Q113"/>
  <c r="R113"/>
  <c r="S113"/>
  <c r="T113"/>
  <c r="U113"/>
  <c r="V113"/>
  <c r="W113"/>
  <c r="X113"/>
  <c r="Z113"/>
  <c r="AA113"/>
  <c r="AB113"/>
  <c r="AO112"/>
  <c r="O112"/>
  <c r="AM112"/>
  <c r="M112"/>
  <c r="AJ112"/>
  <c r="J112"/>
  <c r="AH112"/>
  <c r="H112"/>
  <c r="AF112"/>
  <c r="F112"/>
  <c r="AE112"/>
  <c r="E112"/>
  <c r="AN112"/>
  <c r="N112"/>
  <c r="AI112"/>
  <c r="I112"/>
  <c r="AG112"/>
  <c r="G112"/>
  <c r="AD112"/>
  <c r="D112"/>
  <c r="A112" i="5"/>
  <c r="U111" i="1" s="1"/>
  <c r="A112" i="2"/>
  <c r="A114" i="3" s="1"/>
  <c r="Y114" s="1"/>
  <c r="AL114" l="1"/>
  <c r="AC114"/>
  <c r="L114"/>
  <c r="AP113"/>
  <c r="P113"/>
  <c r="AK113"/>
  <c r="K113"/>
  <c r="R114"/>
  <c r="Q114"/>
  <c r="S114"/>
  <c r="T114"/>
  <c r="U114"/>
  <c r="V114"/>
  <c r="W114"/>
  <c r="X114"/>
  <c r="Z114"/>
  <c r="AA114"/>
  <c r="AB114"/>
  <c r="AO113"/>
  <c r="O113"/>
  <c r="AM113"/>
  <c r="M113"/>
  <c r="AJ113"/>
  <c r="J113"/>
  <c r="AH113"/>
  <c r="H113"/>
  <c r="AF113"/>
  <c r="F113"/>
  <c r="AD113"/>
  <c r="D113"/>
  <c r="AN113"/>
  <c r="N113"/>
  <c r="AI113"/>
  <c r="I113"/>
  <c r="AG113"/>
  <c r="G113"/>
  <c r="AE113"/>
  <c r="E113"/>
  <c r="A113" i="5"/>
  <c r="U112" i="1" s="1"/>
  <c r="A113" i="2"/>
  <c r="A115" i="3" s="1"/>
  <c r="Y115" s="1"/>
  <c r="AC115" l="1"/>
  <c r="AL115"/>
  <c r="L115"/>
  <c r="AK114"/>
  <c r="K114"/>
  <c r="AP114"/>
  <c r="P114"/>
  <c r="Q115"/>
  <c r="R115"/>
  <c r="S115"/>
  <c r="T115"/>
  <c r="U115"/>
  <c r="V115"/>
  <c r="W115"/>
  <c r="X115"/>
  <c r="Z115"/>
  <c r="AA115"/>
  <c r="AB115"/>
  <c r="AO114"/>
  <c r="O114"/>
  <c r="AM114"/>
  <c r="M114"/>
  <c r="AJ114"/>
  <c r="J114"/>
  <c r="AH114"/>
  <c r="H114"/>
  <c r="AF114"/>
  <c r="F114"/>
  <c r="AE114"/>
  <c r="E114"/>
  <c r="AN114"/>
  <c r="N114"/>
  <c r="AI114"/>
  <c r="I114"/>
  <c r="AG114"/>
  <c r="G114"/>
  <c r="AD114"/>
  <c r="D114"/>
  <c r="A114" i="5"/>
  <c r="U113" i="1" s="1"/>
  <c r="A114" i="2"/>
  <c r="A116" i="3" s="1"/>
  <c r="Y116" s="1"/>
  <c r="AL116" l="1"/>
  <c r="AC116"/>
  <c r="L116"/>
  <c r="AP115"/>
  <c r="P115"/>
  <c r="AK115"/>
  <c r="K115"/>
  <c r="R116"/>
  <c r="Q116"/>
  <c r="S116"/>
  <c r="T116"/>
  <c r="U116"/>
  <c r="V116"/>
  <c r="W116"/>
  <c r="X116"/>
  <c r="Z116"/>
  <c r="AA116"/>
  <c r="AB116"/>
  <c r="AO115"/>
  <c r="O115"/>
  <c r="AM115"/>
  <c r="M115"/>
  <c r="AJ115"/>
  <c r="J115"/>
  <c r="AH115"/>
  <c r="H115"/>
  <c r="AF115"/>
  <c r="F115"/>
  <c r="AD115"/>
  <c r="D115"/>
  <c r="AN115"/>
  <c r="N115"/>
  <c r="AI115"/>
  <c r="I115"/>
  <c r="AG115"/>
  <c r="G115"/>
  <c r="AE115"/>
  <c r="E115"/>
  <c r="A115" i="5"/>
  <c r="U114" i="1" s="1"/>
  <c r="A115" i="2"/>
  <c r="A117" i="3" s="1"/>
  <c r="Y117" s="1"/>
  <c r="AC117" l="1"/>
  <c r="AL117"/>
  <c r="L117"/>
  <c r="AK116"/>
  <c r="K116"/>
  <c r="AP116"/>
  <c r="P116"/>
  <c r="Q117"/>
  <c r="R117"/>
  <c r="S117"/>
  <c r="T117"/>
  <c r="U117"/>
  <c r="V117"/>
  <c r="W117"/>
  <c r="X117"/>
  <c r="Z117"/>
  <c r="AA117"/>
  <c r="AB117"/>
  <c r="AO116"/>
  <c r="O116"/>
  <c r="AM116"/>
  <c r="M116"/>
  <c r="AJ116"/>
  <c r="J116"/>
  <c r="AH116"/>
  <c r="H116"/>
  <c r="AF116"/>
  <c r="F116"/>
  <c r="AE116"/>
  <c r="E116"/>
  <c r="AN116"/>
  <c r="N116"/>
  <c r="AI116"/>
  <c r="I116"/>
  <c r="AG116"/>
  <c r="G116"/>
  <c r="AD116"/>
  <c r="D116"/>
  <c r="A116" i="5"/>
  <c r="U115" i="1" s="1"/>
  <c r="A116" i="2"/>
  <c r="A118" i="3" s="1"/>
  <c r="Y118" s="1"/>
  <c r="AL118" l="1"/>
  <c r="AC118"/>
  <c r="L118"/>
  <c r="AP117"/>
  <c r="P117"/>
  <c r="AK117"/>
  <c r="K117"/>
  <c r="R118"/>
  <c r="Q118"/>
  <c r="S118"/>
  <c r="T118"/>
  <c r="U118"/>
  <c r="V118"/>
  <c r="W118"/>
  <c r="X118"/>
  <c r="Z118"/>
  <c r="AA118"/>
  <c r="AB118"/>
  <c r="AO117"/>
  <c r="O117"/>
  <c r="AM117"/>
  <c r="M117"/>
  <c r="AJ117"/>
  <c r="J117"/>
  <c r="AH117"/>
  <c r="H117"/>
  <c r="AF117"/>
  <c r="F117"/>
  <c r="AD117"/>
  <c r="D117"/>
  <c r="AN117"/>
  <c r="N117"/>
  <c r="AI117"/>
  <c r="I117"/>
  <c r="AG117"/>
  <c r="G117"/>
  <c r="AE117"/>
  <c r="E117"/>
  <c r="A117" i="5"/>
  <c r="U116" i="1" s="1"/>
  <c r="A117" i="2"/>
  <c r="A119" i="3" s="1"/>
  <c r="Y119" s="1"/>
  <c r="AC119" l="1"/>
  <c r="AL119"/>
  <c r="L119"/>
  <c r="AK118"/>
  <c r="K118"/>
  <c r="AP118"/>
  <c r="P118"/>
  <c r="Q119"/>
  <c r="R119"/>
  <c r="S119"/>
  <c r="T119"/>
  <c r="U119"/>
  <c r="V119"/>
  <c r="W119"/>
  <c r="X119"/>
  <c r="Z119"/>
  <c r="AA119"/>
  <c r="AB119"/>
  <c r="AO118"/>
  <c r="O118"/>
  <c r="AM118"/>
  <c r="M118"/>
  <c r="AJ118"/>
  <c r="J118"/>
  <c r="AH118"/>
  <c r="H118"/>
  <c r="AF118"/>
  <c r="F118"/>
  <c r="AE118"/>
  <c r="E118"/>
  <c r="AN118"/>
  <c r="N118"/>
  <c r="AI118"/>
  <c r="I118"/>
  <c r="AG118"/>
  <c r="G118"/>
  <c r="AD118"/>
  <c r="D118"/>
  <c r="A118" i="5"/>
  <c r="U117" i="1" s="1"/>
  <c r="A118" i="2"/>
  <c r="A120" i="3" s="1"/>
  <c r="Y120" s="1"/>
  <c r="AL120" l="1"/>
  <c r="AC120"/>
  <c r="L120"/>
  <c r="AP119"/>
  <c r="P119"/>
  <c r="AK119"/>
  <c r="K119"/>
  <c r="R120"/>
  <c r="Q120"/>
  <c r="S120"/>
  <c r="T120"/>
  <c r="U120"/>
  <c r="V120"/>
  <c r="W120"/>
  <c r="X120"/>
  <c r="Z120"/>
  <c r="AA120"/>
  <c r="AB120"/>
  <c r="AO119"/>
  <c r="O119"/>
  <c r="AM119"/>
  <c r="M119"/>
  <c r="AJ119"/>
  <c r="J119"/>
  <c r="AH119"/>
  <c r="H119"/>
  <c r="AF119"/>
  <c r="F119"/>
  <c r="AD119"/>
  <c r="D119"/>
  <c r="AN119"/>
  <c r="N119"/>
  <c r="AI119"/>
  <c r="I119"/>
  <c r="AG119"/>
  <c r="G119"/>
  <c r="AE119"/>
  <c r="E119"/>
  <c r="A119" i="5"/>
  <c r="U118" i="1" s="1"/>
  <c r="A119" i="2"/>
  <c r="A121" i="3" s="1"/>
  <c r="Y121" s="1"/>
  <c r="AC121" l="1"/>
  <c r="AL121"/>
  <c r="L121"/>
  <c r="AK120"/>
  <c r="K120"/>
  <c r="AP120"/>
  <c r="P120"/>
  <c r="Q121"/>
  <c r="R121"/>
  <c r="S121"/>
  <c r="T121"/>
  <c r="U121"/>
  <c r="V121"/>
  <c r="W121"/>
  <c r="X121"/>
  <c r="Z121"/>
  <c r="AA121"/>
  <c r="AB121"/>
  <c r="AO120"/>
  <c r="O120"/>
  <c r="AM120"/>
  <c r="M120"/>
  <c r="AJ120"/>
  <c r="J120"/>
  <c r="AH120"/>
  <c r="H120"/>
  <c r="AF120"/>
  <c r="F120"/>
  <c r="AE120"/>
  <c r="E120"/>
  <c r="AN120"/>
  <c r="N120"/>
  <c r="AI120"/>
  <c r="I120"/>
  <c r="AG120"/>
  <c r="G120"/>
  <c r="AD120"/>
  <c r="D120"/>
  <c r="A120" i="5"/>
  <c r="U119" i="1" s="1"/>
  <c r="A120" i="2"/>
  <c r="A122" i="3" s="1"/>
  <c r="Y122" s="1"/>
  <c r="AL122" l="1"/>
  <c r="AC122"/>
  <c r="L122"/>
  <c r="AP121"/>
  <c r="P121"/>
  <c r="AK121"/>
  <c r="K121"/>
  <c r="R122"/>
  <c r="Q122"/>
  <c r="S122"/>
  <c r="T122"/>
  <c r="U122"/>
  <c r="V122"/>
  <c r="W122"/>
  <c r="X122"/>
  <c r="Z122"/>
  <c r="AA122"/>
  <c r="AB122"/>
  <c r="AO121"/>
  <c r="O121"/>
  <c r="AM121"/>
  <c r="M121"/>
  <c r="AJ121"/>
  <c r="J121"/>
  <c r="AH121"/>
  <c r="H121"/>
  <c r="AF121"/>
  <c r="F121"/>
  <c r="AD121"/>
  <c r="D121"/>
  <c r="AN121"/>
  <c r="N121"/>
  <c r="AI121"/>
  <c r="I121"/>
  <c r="AG121"/>
  <c r="G121"/>
  <c r="AE121"/>
  <c r="E121"/>
  <c r="A121" i="5"/>
  <c r="U120" i="1" s="1"/>
  <c r="A121" i="2"/>
  <c r="A123" i="3" s="1"/>
  <c r="Y123" s="1"/>
  <c r="AC123" l="1"/>
  <c r="AL123"/>
  <c r="L123"/>
  <c r="AK122"/>
  <c r="K122"/>
  <c r="AP122"/>
  <c r="P122"/>
  <c r="Q123"/>
  <c r="R123"/>
  <c r="S123"/>
  <c r="T123"/>
  <c r="U123"/>
  <c r="V123"/>
  <c r="W123"/>
  <c r="X123"/>
  <c r="Z123"/>
  <c r="AA123"/>
  <c r="AB123"/>
  <c r="AO122"/>
  <c r="O122"/>
  <c r="AM122"/>
  <c r="M122"/>
  <c r="AJ122"/>
  <c r="J122"/>
  <c r="AH122"/>
  <c r="H122"/>
  <c r="AF122"/>
  <c r="F122"/>
  <c r="AE122"/>
  <c r="E122"/>
  <c r="AN122"/>
  <c r="N122"/>
  <c r="AI122"/>
  <c r="I122"/>
  <c r="AG122"/>
  <c r="G122"/>
  <c r="AD122"/>
  <c r="D122"/>
  <c r="A122" i="5"/>
  <c r="U121" i="1" s="1"/>
  <c r="A122" i="2"/>
  <c r="A124" i="3" s="1"/>
  <c r="Y124" s="1"/>
  <c r="AL124" l="1"/>
  <c r="AC124"/>
  <c r="L124"/>
  <c r="AP123"/>
  <c r="P123"/>
  <c r="AK123"/>
  <c r="K123"/>
  <c r="R124"/>
  <c r="Q124"/>
  <c r="S124"/>
  <c r="T124"/>
  <c r="U124"/>
  <c r="V124"/>
  <c r="W124"/>
  <c r="X124"/>
  <c r="Z124"/>
  <c r="AA124"/>
  <c r="AB124"/>
  <c r="AO123"/>
  <c r="O123"/>
  <c r="AM123"/>
  <c r="M123"/>
  <c r="AJ123"/>
  <c r="J123"/>
  <c r="AH123"/>
  <c r="H123"/>
  <c r="AF123"/>
  <c r="F123"/>
  <c r="AD123"/>
  <c r="D123"/>
  <c r="AN123"/>
  <c r="N123"/>
  <c r="AI123"/>
  <c r="I123"/>
  <c r="AG123"/>
  <c r="G123"/>
  <c r="AE123"/>
  <c r="E123"/>
  <c r="A123" i="5"/>
  <c r="U122" i="1" s="1"/>
  <c r="A123" i="2"/>
  <c r="A125" i="3" s="1"/>
  <c r="Y125" s="1"/>
  <c r="AC125" l="1"/>
  <c r="AL125"/>
  <c r="L125"/>
  <c r="AK124"/>
  <c r="K124"/>
  <c r="AP124"/>
  <c r="P124"/>
  <c r="Q125"/>
  <c r="R125"/>
  <c r="S125"/>
  <c r="T125"/>
  <c r="U125"/>
  <c r="V125"/>
  <c r="W125"/>
  <c r="X125"/>
  <c r="Z125"/>
  <c r="AA125"/>
  <c r="AB125"/>
  <c r="AO124"/>
  <c r="O124"/>
  <c r="AM124"/>
  <c r="M124"/>
  <c r="AJ124"/>
  <c r="J124"/>
  <c r="AH124"/>
  <c r="H124"/>
  <c r="AF124"/>
  <c r="F124"/>
  <c r="AE124"/>
  <c r="E124"/>
  <c r="AN124"/>
  <c r="N124"/>
  <c r="AI124"/>
  <c r="I124"/>
  <c r="AG124"/>
  <c r="G124"/>
  <c r="AD124"/>
  <c r="D124"/>
  <c r="A124" i="5"/>
  <c r="U123" i="1" s="1"/>
  <c r="A124" i="2"/>
  <c r="A126" i="3" s="1"/>
  <c r="Y126" s="1"/>
  <c r="AL126" l="1"/>
  <c r="AC126"/>
  <c r="L126"/>
  <c r="AP125"/>
  <c r="P125"/>
  <c r="AK125"/>
  <c r="K125"/>
  <c r="R126"/>
  <c r="Q126"/>
  <c r="S126"/>
  <c r="T126"/>
  <c r="U126"/>
  <c r="V126"/>
  <c r="W126"/>
  <c r="X126"/>
  <c r="Z126"/>
  <c r="AA126"/>
  <c r="AB126"/>
  <c r="AO125"/>
  <c r="O125"/>
  <c r="AM125"/>
  <c r="M125"/>
  <c r="AJ125"/>
  <c r="J125"/>
  <c r="AH125"/>
  <c r="H125"/>
  <c r="AF125"/>
  <c r="F125"/>
  <c r="AD125"/>
  <c r="D125"/>
  <c r="AN125"/>
  <c r="N125"/>
  <c r="AI125"/>
  <c r="I125"/>
  <c r="AG125"/>
  <c r="G125"/>
  <c r="AE125"/>
  <c r="E125"/>
  <c r="A125" i="5"/>
  <c r="U124" i="1" s="1"/>
  <c r="A125" i="2"/>
  <c r="A127" i="3" s="1"/>
  <c r="Y127" s="1"/>
  <c r="AC127" l="1"/>
  <c r="AL127"/>
  <c r="L127"/>
  <c r="AK126"/>
  <c r="K126"/>
  <c r="AP126"/>
  <c r="P126"/>
  <c r="S127"/>
  <c r="R127"/>
  <c r="Q127"/>
  <c r="T127"/>
  <c r="U127"/>
  <c r="V127"/>
  <c r="W127"/>
  <c r="X127"/>
  <c r="Z127"/>
  <c r="AA127"/>
  <c r="AB127"/>
  <c r="AO126"/>
  <c r="O126"/>
  <c r="AM126"/>
  <c r="M126"/>
  <c r="AJ126"/>
  <c r="J126"/>
  <c r="AH126"/>
  <c r="H126"/>
  <c r="AF126"/>
  <c r="F126"/>
  <c r="AE126"/>
  <c r="E126"/>
  <c r="AN126"/>
  <c r="N126"/>
  <c r="AI126"/>
  <c r="I126"/>
  <c r="AG126"/>
  <c r="G126"/>
  <c r="AD126"/>
  <c r="D126"/>
  <c r="A126" i="5"/>
  <c r="U125" i="1" s="1"/>
  <c r="A126" i="2"/>
  <c r="A128" i="3" s="1"/>
  <c r="Y128" s="1"/>
  <c r="AL128" l="1"/>
  <c r="AC128"/>
  <c r="L128"/>
  <c r="AP127"/>
  <c r="P127"/>
  <c r="AK127"/>
  <c r="K127"/>
  <c r="Q128"/>
  <c r="R128"/>
  <c r="S128"/>
  <c r="T128"/>
  <c r="U128"/>
  <c r="V128"/>
  <c r="W128"/>
  <c r="X128"/>
  <c r="Z128"/>
  <c r="AA128"/>
  <c r="AB128"/>
  <c r="AO127"/>
  <c r="O127"/>
  <c r="AM127"/>
  <c r="M127"/>
  <c r="AJ127"/>
  <c r="J127"/>
  <c r="AH127"/>
  <c r="H127"/>
  <c r="AD127"/>
  <c r="D127"/>
  <c r="AF127"/>
  <c r="F127"/>
  <c r="AN127"/>
  <c r="N127"/>
  <c r="AI127"/>
  <c r="I127"/>
  <c r="AG127"/>
  <c r="G127"/>
  <c r="AE127"/>
  <c r="E127"/>
  <c r="A127" i="5"/>
  <c r="U126" i="1" s="1"/>
  <c r="A127" i="2"/>
  <c r="A129" i="3" s="1"/>
  <c r="Y129" s="1"/>
  <c r="AC129" l="1"/>
  <c r="AL129"/>
  <c r="L129"/>
  <c r="AK128"/>
  <c r="K128"/>
  <c r="AP128"/>
  <c r="P128"/>
  <c r="R129"/>
  <c r="Q129"/>
  <c r="S129"/>
  <c r="T129"/>
  <c r="U129"/>
  <c r="V129"/>
  <c r="W129"/>
  <c r="X129"/>
  <c r="Z129"/>
  <c r="AA129"/>
  <c r="AB129"/>
  <c r="AO128"/>
  <c r="O128"/>
  <c r="AM128"/>
  <c r="M128"/>
  <c r="AJ128"/>
  <c r="J128"/>
  <c r="AH128"/>
  <c r="H128"/>
  <c r="AF128"/>
  <c r="F128"/>
  <c r="AD128"/>
  <c r="D128"/>
  <c r="AN128"/>
  <c r="N128"/>
  <c r="AI128"/>
  <c r="I128"/>
  <c r="AG128"/>
  <c r="G128"/>
  <c r="AE128"/>
  <c r="E128"/>
  <c r="A128" i="5"/>
  <c r="U127" i="1" s="1"/>
  <c r="A128" i="2"/>
  <c r="A130" i="3" s="1"/>
  <c r="Y130" s="1"/>
  <c r="AL130" l="1"/>
  <c r="AC130"/>
  <c r="L130"/>
  <c r="AP129"/>
  <c r="P129"/>
  <c r="AK129"/>
  <c r="K129"/>
  <c r="Q130"/>
  <c r="R130"/>
  <c r="S130"/>
  <c r="T130"/>
  <c r="U130"/>
  <c r="V130"/>
  <c r="W130"/>
  <c r="X130"/>
  <c r="Z130"/>
  <c r="AA130"/>
  <c r="AB130"/>
  <c r="AO129"/>
  <c r="O129"/>
  <c r="AM129"/>
  <c r="M129"/>
  <c r="AJ129"/>
  <c r="J129"/>
  <c r="AH129"/>
  <c r="H129"/>
  <c r="AF129"/>
  <c r="F129"/>
  <c r="AE129"/>
  <c r="E129"/>
  <c r="AN129"/>
  <c r="N129"/>
  <c r="AI129"/>
  <c r="I129"/>
  <c r="AG129"/>
  <c r="G129"/>
  <c r="AD129"/>
  <c r="D129"/>
  <c r="A129" i="5"/>
  <c r="U128" i="1" s="1"/>
  <c r="A129" i="2"/>
  <c r="A131" i="3" s="1"/>
  <c r="Y131" s="1"/>
  <c r="AC131" l="1"/>
  <c r="AL131"/>
  <c r="L131"/>
  <c r="AK130"/>
  <c r="K130"/>
  <c r="AP130"/>
  <c r="P130"/>
  <c r="R131"/>
  <c r="Q131"/>
  <c r="S131"/>
  <c r="T131"/>
  <c r="U131"/>
  <c r="V131"/>
  <c r="W131"/>
  <c r="X131"/>
  <c r="Z131"/>
  <c r="AA131"/>
  <c r="AB131"/>
  <c r="AO130"/>
  <c r="O130"/>
  <c r="AM130"/>
  <c r="M130"/>
  <c r="AJ130"/>
  <c r="J130"/>
  <c r="AH130"/>
  <c r="H130"/>
  <c r="AF130"/>
  <c r="F130"/>
  <c r="AD130"/>
  <c r="D130"/>
  <c r="AN130"/>
  <c r="N130"/>
  <c r="AI130"/>
  <c r="I130"/>
  <c r="AG130"/>
  <c r="G130"/>
  <c r="AE130"/>
  <c r="E130"/>
  <c r="A130" i="5"/>
  <c r="U129" i="1" s="1"/>
  <c r="A130" i="2"/>
  <c r="A132" i="3" s="1"/>
  <c r="Y132" s="1"/>
  <c r="AL132" l="1"/>
  <c r="AC132"/>
  <c r="L132"/>
  <c r="AP131"/>
  <c r="P131"/>
  <c r="AK131"/>
  <c r="K131"/>
  <c r="Q132"/>
  <c r="R132"/>
  <c r="S132"/>
  <c r="T132"/>
  <c r="U132"/>
  <c r="V132"/>
  <c r="W132"/>
  <c r="X132"/>
  <c r="Z132"/>
  <c r="AA132"/>
  <c r="AB132"/>
  <c r="AO131"/>
  <c r="O131"/>
  <c r="AM131"/>
  <c r="M131"/>
  <c r="AJ131"/>
  <c r="J131"/>
  <c r="AH131"/>
  <c r="H131"/>
  <c r="AF131"/>
  <c r="F131"/>
  <c r="AE131"/>
  <c r="E131"/>
  <c r="AN131"/>
  <c r="N131"/>
  <c r="AI131"/>
  <c r="I131"/>
  <c r="AG131"/>
  <c r="G131"/>
  <c r="AD131"/>
  <c r="D131"/>
  <c r="A131" i="5"/>
  <c r="U130" i="1" s="1"/>
  <c r="A131" i="2"/>
  <c r="A133" i="3" s="1"/>
  <c r="Y133" s="1"/>
  <c r="AC133" l="1"/>
  <c r="AL133"/>
  <c r="L133"/>
  <c r="AK132"/>
  <c r="K132"/>
  <c r="AP132"/>
  <c r="P132"/>
  <c r="R133"/>
  <c r="Q133"/>
  <c r="S133"/>
  <c r="T133"/>
  <c r="U133"/>
  <c r="V133"/>
  <c r="W133"/>
  <c r="X133"/>
  <c r="Z133"/>
  <c r="AA133"/>
  <c r="AB133"/>
  <c r="AO132"/>
  <c r="O132"/>
  <c r="AM132"/>
  <c r="M132"/>
  <c r="AJ132"/>
  <c r="J132"/>
  <c r="AH132"/>
  <c r="H132"/>
  <c r="AF132"/>
  <c r="F132"/>
  <c r="AD132"/>
  <c r="D132"/>
  <c r="AN132"/>
  <c r="N132"/>
  <c r="AI132"/>
  <c r="I132"/>
  <c r="AG132"/>
  <c r="G132"/>
  <c r="AE132"/>
  <c r="E132"/>
  <c r="A132" i="5"/>
  <c r="U131" i="1" s="1"/>
  <c r="A132" i="2"/>
  <c r="A134" i="3" s="1"/>
  <c r="Y134" s="1"/>
  <c r="AL134" l="1"/>
  <c r="AC134"/>
  <c r="L134"/>
  <c r="AP133"/>
  <c r="P133"/>
  <c r="AK133"/>
  <c r="K133"/>
  <c r="Q134"/>
  <c r="R134"/>
  <c r="S134"/>
  <c r="T134"/>
  <c r="U134"/>
  <c r="V134"/>
  <c r="W134"/>
  <c r="X134"/>
  <c r="Z134"/>
  <c r="AA134"/>
  <c r="AB134"/>
  <c r="AO133"/>
  <c r="O133"/>
  <c r="AM133"/>
  <c r="M133"/>
  <c r="AJ133"/>
  <c r="J133"/>
  <c r="AH133"/>
  <c r="H133"/>
  <c r="AF133"/>
  <c r="F133"/>
  <c r="AE133"/>
  <c r="E133"/>
  <c r="AN133"/>
  <c r="N133"/>
  <c r="AI133"/>
  <c r="I133"/>
  <c r="AG133"/>
  <c r="G133"/>
  <c r="AD133"/>
  <c r="D133"/>
  <c r="A133" i="5"/>
  <c r="U132" i="1" s="1"/>
  <c r="A133" i="2"/>
  <c r="A135" i="3" s="1"/>
  <c r="Y135" s="1"/>
  <c r="AC135" l="1"/>
  <c r="AL135"/>
  <c r="L135"/>
  <c r="AK134"/>
  <c r="K134"/>
  <c r="AP134"/>
  <c r="P134"/>
  <c r="R135"/>
  <c r="Q135"/>
  <c r="S135"/>
  <c r="T135"/>
  <c r="U135"/>
  <c r="V135"/>
  <c r="W135"/>
  <c r="X135"/>
  <c r="Z135"/>
  <c r="AA135"/>
  <c r="AB135"/>
  <c r="AO134"/>
  <c r="O134"/>
  <c r="AM134"/>
  <c r="M134"/>
  <c r="AJ134"/>
  <c r="J134"/>
  <c r="AH134"/>
  <c r="H134"/>
  <c r="AF134"/>
  <c r="F134"/>
  <c r="AD134"/>
  <c r="D134"/>
  <c r="AN134"/>
  <c r="N134"/>
  <c r="AI134"/>
  <c r="I134"/>
  <c r="AG134"/>
  <c r="G134"/>
  <c r="AE134"/>
  <c r="E134"/>
  <c r="A134" i="5"/>
  <c r="U133" i="1" s="1"/>
  <c r="A134" i="2"/>
  <c r="A136" i="3" s="1"/>
  <c r="Y136" s="1"/>
  <c r="AL136" l="1"/>
  <c r="AC136"/>
  <c r="L136"/>
  <c r="AP135"/>
  <c r="P135"/>
  <c r="AK135"/>
  <c r="K135"/>
  <c r="Q136"/>
  <c r="R136"/>
  <c r="S136"/>
  <c r="T136"/>
  <c r="U136"/>
  <c r="V136"/>
  <c r="W136"/>
  <c r="X136"/>
  <c r="Z136"/>
  <c r="AA136"/>
  <c r="AB136"/>
  <c r="AO135"/>
  <c r="O135"/>
  <c r="AM135"/>
  <c r="M135"/>
  <c r="AJ135"/>
  <c r="J135"/>
  <c r="AH135"/>
  <c r="H135"/>
  <c r="AF135"/>
  <c r="F135"/>
  <c r="AE135"/>
  <c r="E135"/>
  <c r="AN135"/>
  <c r="N135"/>
  <c r="AI135"/>
  <c r="I135"/>
  <c r="AG135"/>
  <c r="G135"/>
  <c r="AD135"/>
  <c r="D135"/>
  <c r="A135" i="5"/>
  <c r="U134" i="1" s="1"/>
  <c r="A135" i="2"/>
  <c r="A137" i="3" s="1"/>
  <c r="Y137" s="1"/>
  <c r="AC137" l="1"/>
  <c r="AL137"/>
  <c r="L137"/>
  <c r="AK136"/>
  <c r="K136"/>
  <c r="AP136"/>
  <c r="P136"/>
  <c r="R137"/>
  <c r="Q137"/>
  <c r="S137"/>
  <c r="T137"/>
  <c r="U137"/>
  <c r="V137"/>
  <c r="W137"/>
  <c r="X137"/>
  <c r="Z137"/>
  <c r="AA137"/>
  <c r="AB137"/>
  <c r="AO136"/>
  <c r="O136"/>
  <c r="AM136"/>
  <c r="M136"/>
  <c r="AJ136"/>
  <c r="J136"/>
  <c r="AH136"/>
  <c r="H136"/>
  <c r="AF136"/>
  <c r="F136"/>
  <c r="AD136"/>
  <c r="D136"/>
  <c r="AN136"/>
  <c r="N136"/>
  <c r="AI136"/>
  <c r="I136"/>
  <c r="AG136"/>
  <c r="G136"/>
  <c r="AE136"/>
  <c r="E136"/>
  <c r="A136" i="5"/>
  <c r="U135" i="1" s="1"/>
  <c r="A136" i="2"/>
  <c r="A138" i="3" s="1"/>
  <c r="Y138" s="1"/>
  <c r="AL138" l="1"/>
  <c r="AC138"/>
  <c r="L138"/>
  <c r="AP137"/>
  <c r="P137"/>
  <c r="AK137"/>
  <c r="K137"/>
  <c r="Q138"/>
  <c r="R138"/>
  <c r="S138"/>
  <c r="T138"/>
  <c r="U138"/>
  <c r="V138"/>
  <c r="W138"/>
  <c r="X138"/>
  <c r="Z138"/>
  <c r="AA138"/>
  <c r="AB138"/>
  <c r="AO137"/>
  <c r="O137"/>
  <c r="AM137"/>
  <c r="M137"/>
  <c r="AJ137"/>
  <c r="J137"/>
  <c r="AH137"/>
  <c r="H137"/>
  <c r="AF137"/>
  <c r="F137"/>
  <c r="AE137"/>
  <c r="E137"/>
  <c r="AN137"/>
  <c r="N137"/>
  <c r="AI137"/>
  <c r="I137"/>
  <c r="AG137"/>
  <c r="G137"/>
  <c r="AD137"/>
  <c r="D137"/>
  <c r="A137" i="5"/>
  <c r="U136" i="1" s="1"/>
  <c r="A137" i="2"/>
  <c r="A139" i="3" s="1"/>
  <c r="Y139" s="1"/>
  <c r="AC139" l="1"/>
  <c r="AL139"/>
  <c r="L139"/>
  <c r="AK138"/>
  <c r="K138"/>
  <c r="AP138"/>
  <c r="P138"/>
  <c r="R139"/>
  <c r="Q139"/>
  <c r="S139"/>
  <c r="T139"/>
  <c r="U139"/>
  <c r="V139"/>
  <c r="W139"/>
  <c r="X139"/>
  <c r="Z139"/>
  <c r="AA139"/>
  <c r="AB139"/>
  <c r="AO138"/>
  <c r="O138"/>
  <c r="AM138"/>
  <c r="M138"/>
  <c r="AJ138"/>
  <c r="J138"/>
  <c r="AH138"/>
  <c r="H138"/>
  <c r="AF138"/>
  <c r="F138"/>
  <c r="AD138"/>
  <c r="D138"/>
  <c r="AN138"/>
  <c r="N138"/>
  <c r="AI138"/>
  <c r="I138"/>
  <c r="AG138"/>
  <c r="G138"/>
  <c r="AE138"/>
  <c r="E138"/>
  <c r="A138" i="5"/>
  <c r="U137" i="1" s="1"/>
  <c r="A138" i="2"/>
  <c r="A140" i="3" s="1"/>
  <c r="Y140" s="1"/>
  <c r="AL140" l="1"/>
  <c r="AC140"/>
  <c r="L140"/>
  <c r="AP139"/>
  <c r="P139"/>
  <c r="AK139"/>
  <c r="K139"/>
  <c r="Q140"/>
  <c r="R140"/>
  <c r="S140"/>
  <c r="T140"/>
  <c r="U140"/>
  <c r="V140"/>
  <c r="W140"/>
  <c r="X140"/>
  <c r="Z140"/>
  <c r="AA140"/>
  <c r="AB140"/>
  <c r="AO139"/>
  <c r="O139"/>
  <c r="AM139"/>
  <c r="M139"/>
  <c r="AJ139"/>
  <c r="J139"/>
  <c r="AH139"/>
  <c r="H139"/>
  <c r="AF139"/>
  <c r="F139"/>
  <c r="AE139"/>
  <c r="E139"/>
  <c r="AN139"/>
  <c r="N139"/>
  <c r="AI139"/>
  <c r="I139"/>
  <c r="AG139"/>
  <c r="G139"/>
  <c r="AD139"/>
  <c r="D139"/>
  <c r="A139" i="5"/>
  <c r="U138" i="1" s="1"/>
  <c r="A139" i="2"/>
  <c r="A141" i="3" s="1"/>
  <c r="Y141" s="1"/>
  <c r="AC141" l="1"/>
  <c r="AL141"/>
  <c r="L141"/>
  <c r="AK140"/>
  <c r="K140"/>
  <c r="AP140"/>
  <c r="P140"/>
  <c r="R141"/>
  <c r="Q141"/>
  <c r="S141"/>
  <c r="T141"/>
  <c r="U141"/>
  <c r="V141"/>
  <c r="W141"/>
  <c r="X141"/>
  <c r="Z141"/>
  <c r="AA141"/>
  <c r="AB141"/>
  <c r="AO140"/>
  <c r="O140"/>
  <c r="AM140"/>
  <c r="M140"/>
  <c r="AJ140"/>
  <c r="J140"/>
  <c r="AH140"/>
  <c r="H140"/>
  <c r="AF140"/>
  <c r="F140"/>
  <c r="AD140"/>
  <c r="D140"/>
  <c r="AN140"/>
  <c r="N140"/>
  <c r="AI140"/>
  <c r="I140"/>
  <c r="AG140"/>
  <c r="G140"/>
  <c r="AE140"/>
  <c r="E140"/>
  <c r="A140" i="5"/>
  <c r="U139" i="1" s="1"/>
  <c r="A140" i="2"/>
  <c r="A142" i="3" s="1"/>
  <c r="Y142" s="1"/>
  <c r="AL142" l="1"/>
  <c r="AC142"/>
  <c r="L142"/>
  <c r="AP141"/>
  <c r="P141"/>
  <c r="AK141"/>
  <c r="K141"/>
  <c r="Q142"/>
  <c r="R142"/>
  <c r="S142"/>
  <c r="T142"/>
  <c r="U142"/>
  <c r="V142"/>
  <c r="W142"/>
  <c r="X142"/>
  <c r="Z142"/>
  <c r="AA142"/>
  <c r="AB142"/>
  <c r="AO141"/>
  <c r="O141"/>
  <c r="AM141"/>
  <c r="M141"/>
  <c r="AJ141"/>
  <c r="J141"/>
  <c r="AH141"/>
  <c r="H141"/>
  <c r="AF141"/>
  <c r="F141"/>
  <c r="AE141"/>
  <c r="E141"/>
  <c r="AN141"/>
  <c r="N141"/>
  <c r="AI141"/>
  <c r="I141"/>
  <c r="AG141"/>
  <c r="G141"/>
  <c r="AD141"/>
  <c r="D141"/>
  <c r="A141" i="5"/>
  <c r="U140" i="1" s="1"/>
  <c r="A141" i="2"/>
  <c r="A143" i="3" s="1"/>
  <c r="Y143" s="1"/>
  <c r="AC143" l="1"/>
  <c r="AL143"/>
  <c r="L143"/>
  <c r="AK142"/>
  <c r="K142"/>
  <c r="AP142"/>
  <c r="P142"/>
  <c r="R143"/>
  <c r="Q143"/>
  <c r="S143"/>
  <c r="T143"/>
  <c r="U143"/>
  <c r="V143"/>
  <c r="W143"/>
  <c r="X143"/>
  <c r="Z143"/>
  <c r="AA143"/>
  <c r="AB143"/>
  <c r="AO142"/>
  <c r="O142"/>
  <c r="AM142"/>
  <c r="M142"/>
  <c r="AJ142"/>
  <c r="J142"/>
  <c r="AH142"/>
  <c r="H142"/>
  <c r="AF142"/>
  <c r="F142"/>
  <c r="AD142"/>
  <c r="D142"/>
  <c r="AN142"/>
  <c r="N142"/>
  <c r="AI142"/>
  <c r="I142"/>
  <c r="AG142"/>
  <c r="G142"/>
  <c r="AE142"/>
  <c r="E142"/>
  <c r="A142" i="5"/>
  <c r="U141" i="1" s="1"/>
  <c r="A142" i="2"/>
  <c r="A144" i="3" s="1"/>
  <c r="Y144" s="1"/>
  <c r="AL144" l="1"/>
  <c r="AC144"/>
  <c r="L144"/>
  <c r="AP143"/>
  <c r="P143"/>
  <c r="AK143"/>
  <c r="K143"/>
  <c r="AO143"/>
  <c r="O143"/>
  <c r="AJ143"/>
  <c r="J143"/>
  <c r="AH143"/>
  <c r="H143"/>
  <c r="AF143"/>
  <c r="F143"/>
  <c r="AE143"/>
  <c r="E143"/>
  <c r="Q144"/>
  <c r="R144"/>
  <c r="S144"/>
  <c r="T144"/>
  <c r="U144"/>
  <c r="V144"/>
  <c r="W144"/>
  <c r="X144"/>
  <c r="Z144"/>
  <c r="AA144"/>
  <c r="AB144"/>
  <c r="AM143"/>
  <c r="M143"/>
  <c r="AN143"/>
  <c r="N143"/>
  <c r="AI143"/>
  <c r="I143"/>
  <c r="AG143"/>
  <c r="G143"/>
  <c r="AD143"/>
  <c r="D143"/>
  <c r="A143" i="5"/>
  <c r="U142" i="1" s="1"/>
  <c r="A143" i="2"/>
  <c r="A145" i="3" s="1"/>
  <c r="Y145" s="1"/>
  <c r="AC145" l="1"/>
  <c r="AL145"/>
  <c r="L145"/>
  <c r="AK144"/>
  <c r="K144"/>
  <c r="AP144"/>
  <c r="P144"/>
  <c r="R145"/>
  <c r="Q145"/>
  <c r="S145"/>
  <c r="T145"/>
  <c r="U145"/>
  <c r="V145"/>
  <c r="W145"/>
  <c r="X145"/>
  <c r="Z145"/>
  <c r="AA145"/>
  <c r="AB145"/>
  <c r="AO144"/>
  <c r="O144"/>
  <c r="AM144"/>
  <c r="M144"/>
  <c r="AJ144"/>
  <c r="J144"/>
  <c r="AH144"/>
  <c r="H144"/>
  <c r="AF144"/>
  <c r="F144"/>
  <c r="AD144"/>
  <c r="D144"/>
  <c r="AN144"/>
  <c r="N144"/>
  <c r="AI144"/>
  <c r="I144"/>
  <c r="AG144"/>
  <c r="G144"/>
  <c r="AE144"/>
  <c r="E144"/>
  <c r="A144" i="5"/>
  <c r="U143" i="1" s="1"/>
  <c r="A144" i="2"/>
  <c r="A146" i="3" s="1"/>
  <c r="Y146" s="1"/>
  <c r="AL146" l="1"/>
  <c r="AC146"/>
  <c r="L146"/>
  <c r="AP145"/>
  <c r="P145"/>
  <c r="AK145"/>
  <c r="K145"/>
  <c r="Q146"/>
  <c r="R146"/>
  <c r="S146"/>
  <c r="T146"/>
  <c r="U146"/>
  <c r="V146"/>
  <c r="W146"/>
  <c r="X146"/>
  <c r="Z146"/>
  <c r="AA146"/>
  <c r="AB146"/>
  <c r="AO145"/>
  <c r="O145"/>
  <c r="AM145"/>
  <c r="M145"/>
  <c r="AJ145"/>
  <c r="J145"/>
  <c r="AH145"/>
  <c r="H145"/>
  <c r="AF145"/>
  <c r="F145"/>
  <c r="AE145"/>
  <c r="E145"/>
  <c r="AN145"/>
  <c r="N145"/>
  <c r="AI145"/>
  <c r="I145"/>
  <c r="AG145"/>
  <c r="G145"/>
  <c r="AD145"/>
  <c r="D145"/>
  <c r="A145" i="5"/>
  <c r="U144" i="1" s="1"/>
  <c r="A145" i="2"/>
  <c r="A147" i="3" s="1"/>
  <c r="Y147" s="1"/>
  <c r="AC147" l="1"/>
  <c r="AL147"/>
  <c r="L147"/>
  <c r="AK146"/>
  <c r="K146"/>
  <c r="AP146"/>
  <c r="P146"/>
  <c r="R147"/>
  <c r="Q147"/>
  <c r="S147"/>
  <c r="T147"/>
  <c r="U147"/>
  <c r="V147"/>
  <c r="W147"/>
  <c r="X147"/>
  <c r="Z147"/>
  <c r="AA147"/>
  <c r="AB147"/>
  <c r="AO146"/>
  <c r="O146"/>
  <c r="AM146"/>
  <c r="M146"/>
  <c r="AJ146"/>
  <c r="J146"/>
  <c r="AH146"/>
  <c r="H146"/>
  <c r="AF146"/>
  <c r="F146"/>
  <c r="AD146"/>
  <c r="D146"/>
  <c r="AN146"/>
  <c r="N146"/>
  <c r="AI146"/>
  <c r="I146"/>
  <c r="AG146"/>
  <c r="G146"/>
  <c r="AE146"/>
  <c r="E146"/>
  <c r="A146" i="5"/>
  <c r="U145" i="1" s="1"/>
  <c r="A146" i="2"/>
  <c r="A148" i="3" s="1"/>
  <c r="Y148" s="1"/>
  <c r="AL148" l="1"/>
  <c r="AC148"/>
  <c r="L148"/>
  <c r="AP147"/>
  <c r="P147"/>
  <c r="AK147"/>
  <c r="K147"/>
  <c r="Q148"/>
  <c r="R148"/>
  <c r="S148"/>
  <c r="T148"/>
  <c r="U148"/>
  <c r="V148"/>
  <c r="W148"/>
  <c r="X148"/>
  <c r="Z148"/>
  <c r="AA148"/>
  <c r="AB148"/>
  <c r="AO147"/>
  <c r="O147"/>
  <c r="AM147"/>
  <c r="M147"/>
  <c r="AJ147"/>
  <c r="J147"/>
  <c r="AH147"/>
  <c r="H147"/>
  <c r="AF147"/>
  <c r="F147"/>
  <c r="AE147"/>
  <c r="E147"/>
  <c r="AN147"/>
  <c r="N147"/>
  <c r="AI147"/>
  <c r="I147"/>
  <c r="AG147"/>
  <c r="G147"/>
  <c r="AD147"/>
  <c r="D147"/>
  <c r="A147" i="5"/>
  <c r="U146" i="1" s="1"/>
  <c r="A147" i="2"/>
  <c r="A149" i="3" s="1"/>
  <c r="Y149" s="1"/>
  <c r="AC149" l="1"/>
  <c r="AL149"/>
  <c r="L149"/>
  <c r="AK148"/>
  <c r="K148"/>
  <c r="AP148"/>
  <c r="P148"/>
  <c r="R149"/>
  <c r="Q149"/>
  <c r="S149"/>
  <c r="T149"/>
  <c r="U149"/>
  <c r="V149"/>
  <c r="W149"/>
  <c r="X149"/>
  <c r="Z149"/>
  <c r="AA149"/>
  <c r="AB149"/>
  <c r="AO148"/>
  <c r="O148"/>
  <c r="AM148"/>
  <c r="M148"/>
  <c r="AJ148"/>
  <c r="J148"/>
  <c r="AH148"/>
  <c r="H148"/>
  <c r="AF148"/>
  <c r="F148"/>
  <c r="AD148"/>
  <c r="D148"/>
  <c r="AN148"/>
  <c r="N148"/>
  <c r="AI148"/>
  <c r="I148"/>
  <c r="AG148"/>
  <c r="G148"/>
  <c r="AE148"/>
  <c r="E148"/>
  <c r="A148" i="5"/>
  <c r="U147" i="1" s="1"/>
  <c r="A148" i="2"/>
  <c r="A150" i="3" s="1"/>
  <c r="Y150" s="1"/>
  <c r="AL150" l="1"/>
  <c r="AC150"/>
  <c r="L150"/>
  <c r="AP149"/>
  <c r="P149"/>
  <c r="AK149"/>
  <c r="K149"/>
  <c r="Q150"/>
  <c r="R150"/>
  <c r="S150"/>
  <c r="T150"/>
  <c r="U150"/>
  <c r="V150"/>
  <c r="W150"/>
  <c r="X150"/>
  <c r="Z150"/>
  <c r="AA150"/>
  <c r="AB150"/>
  <c r="AO149"/>
  <c r="O149"/>
  <c r="AM149"/>
  <c r="M149"/>
  <c r="AJ149"/>
  <c r="J149"/>
  <c r="AH149"/>
  <c r="H149"/>
  <c r="AF149"/>
  <c r="F149"/>
  <c r="AE149"/>
  <c r="E149"/>
  <c r="AN149"/>
  <c r="N149"/>
  <c r="AI149"/>
  <c r="I149"/>
  <c r="AG149"/>
  <c r="G149"/>
  <c r="AD149"/>
  <c r="D149"/>
  <c r="A149" i="5"/>
  <c r="U148" i="1" s="1"/>
  <c r="A149" i="2"/>
  <c r="A151" i="3" s="1"/>
  <c r="Y151" s="1"/>
  <c r="AC151" l="1"/>
  <c r="AL151"/>
  <c r="L151"/>
  <c r="AK150"/>
  <c r="K150"/>
  <c r="AP150"/>
  <c r="P150"/>
  <c r="R151"/>
  <c r="Q151"/>
  <c r="S151"/>
  <c r="T151"/>
  <c r="U151"/>
  <c r="V151"/>
  <c r="W151"/>
  <c r="X151"/>
  <c r="Z151"/>
  <c r="AA151"/>
  <c r="AB151"/>
  <c r="AO150"/>
  <c r="O150"/>
  <c r="AM150"/>
  <c r="M150"/>
  <c r="AJ150"/>
  <c r="J150"/>
  <c r="AH150"/>
  <c r="H150"/>
  <c r="AF150"/>
  <c r="F150"/>
  <c r="AD150"/>
  <c r="D150"/>
  <c r="AN150"/>
  <c r="N150"/>
  <c r="AI150"/>
  <c r="I150"/>
  <c r="AG150"/>
  <c r="G150"/>
  <c r="AE150"/>
  <c r="E150"/>
  <c r="A150" i="5"/>
  <c r="U149" i="1" s="1"/>
  <c r="A150" i="2"/>
  <c r="A152" i="3" s="1"/>
  <c r="Y152" s="1"/>
  <c r="AL152" l="1"/>
  <c r="AC152"/>
  <c r="L152"/>
  <c r="AP151"/>
  <c r="P151"/>
  <c r="AK151"/>
  <c r="K151"/>
  <c r="Q152"/>
  <c r="R152"/>
  <c r="S152"/>
  <c r="T152"/>
  <c r="U152"/>
  <c r="V152"/>
  <c r="W152"/>
  <c r="X152"/>
  <c r="Z152"/>
  <c r="AA152"/>
  <c r="AB152"/>
  <c r="AO151"/>
  <c r="O151"/>
  <c r="AM151"/>
  <c r="M151"/>
  <c r="AJ151"/>
  <c r="J151"/>
  <c r="AH151"/>
  <c r="H151"/>
  <c r="AF151"/>
  <c r="F151"/>
  <c r="AE151"/>
  <c r="E151"/>
  <c r="AN151"/>
  <c r="N151"/>
  <c r="AI151"/>
  <c r="I151"/>
  <c r="AG151"/>
  <c r="G151"/>
  <c r="AD151"/>
  <c r="D151"/>
  <c r="A151" i="5"/>
  <c r="U150" i="1" s="1"/>
  <c r="A151" i="2"/>
  <c r="A153" i="3" s="1"/>
  <c r="Y153" s="1"/>
  <c r="AC153" l="1"/>
  <c r="AL153"/>
  <c r="L153"/>
  <c r="AK152"/>
  <c r="K152"/>
  <c r="AP152"/>
  <c r="P152"/>
  <c r="R153"/>
  <c r="Q153"/>
  <c r="S153"/>
  <c r="T153"/>
  <c r="U153"/>
  <c r="V153"/>
  <c r="W153"/>
  <c r="X153"/>
  <c r="Z153"/>
  <c r="AA153"/>
  <c r="AB153"/>
  <c r="AO152"/>
  <c r="O152"/>
  <c r="AM152"/>
  <c r="M152"/>
  <c r="AJ152"/>
  <c r="J152"/>
  <c r="AH152"/>
  <c r="H152"/>
  <c r="AF152"/>
  <c r="F152"/>
  <c r="AD152"/>
  <c r="D152"/>
  <c r="AN152"/>
  <c r="N152"/>
  <c r="AI152"/>
  <c r="I152"/>
  <c r="AG152"/>
  <c r="G152"/>
  <c r="AE152"/>
  <c r="E152"/>
  <c r="A152" i="5"/>
  <c r="U151" i="1" s="1"/>
  <c r="A152" i="2"/>
  <c r="A154" i="3" s="1"/>
  <c r="Y154" s="1"/>
  <c r="AL154" l="1"/>
  <c r="AC154"/>
  <c r="L154"/>
  <c r="AP153"/>
  <c r="P153"/>
  <c r="AK153"/>
  <c r="K153"/>
  <c r="Q154"/>
  <c r="R154"/>
  <c r="S154"/>
  <c r="T154"/>
  <c r="U154"/>
  <c r="V154"/>
  <c r="W154"/>
  <c r="X154"/>
  <c r="Z154"/>
  <c r="AA154"/>
  <c r="AB154"/>
  <c r="AO153"/>
  <c r="O153"/>
  <c r="AM153"/>
  <c r="M153"/>
  <c r="AJ153"/>
  <c r="J153"/>
  <c r="AH153"/>
  <c r="H153"/>
  <c r="AF153"/>
  <c r="F153"/>
  <c r="AE153"/>
  <c r="E153"/>
  <c r="AN153"/>
  <c r="N153"/>
  <c r="AI153"/>
  <c r="I153"/>
  <c r="AG153"/>
  <c r="G153"/>
  <c r="AD153"/>
  <c r="D153"/>
  <c r="A153" i="5"/>
  <c r="U152" i="1" s="1"/>
  <c r="A153" i="2"/>
  <c r="A155" i="3" s="1"/>
  <c r="Y155" s="1"/>
  <c r="AC155" l="1"/>
  <c r="AL155"/>
  <c r="L155"/>
  <c r="AK154"/>
  <c r="K154"/>
  <c r="AP154"/>
  <c r="P154"/>
  <c r="Q155"/>
  <c r="R155"/>
  <c r="S155"/>
  <c r="T155"/>
  <c r="U155"/>
  <c r="V155"/>
  <c r="W155"/>
  <c r="X155"/>
  <c r="Z155"/>
  <c r="AA155"/>
  <c r="AB155"/>
  <c r="AO154"/>
  <c r="O154"/>
  <c r="AM154"/>
  <c r="M154"/>
  <c r="AJ154"/>
  <c r="J154"/>
  <c r="AH154"/>
  <c r="H154"/>
  <c r="AF154"/>
  <c r="F154"/>
  <c r="AD154"/>
  <c r="D154"/>
  <c r="AN154"/>
  <c r="N154"/>
  <c r="AI154"/>
  <c r="I154"/>
  <c r="AG154"/>
  <c r="G154"/>
  <c r="AE154"/>
  <c r="E154"/>
  <c r="A154" i="5"/>
  <c r="U153" i="1" s="1"/>
  <c r="A154" i="2"/>
  <c r="A156" i="3" s="1"/>
  <c r="Y156" s="1"/>
  <c r="AL156" l="1"/>
  <c r="AC156"/>
  <c r="L156"/>
  <c r="AP155"/>
  <c r="P155"/>
  <c r="AK155"/>
  <c r="K155"/>
  <c r="Q156"/>
  <c r="S156"/>
  <c r="R156"/>
  <c r="T156"/>
  <c r="U156"/>
  <c r="V156"/>
  <c r="W156"/>
  <c r="X156"/>
  <c r="Z156"/>
  <c r="AA156"/>
  <c r="AB156"/>
  <c r="AO155"/>
  <c r="O155"/>
  <c r="AM155"/>
  <c r="M155"/>
  <c r="AJ155"/>
  <c r="J155"/>
  <c r="AH155"/>
  <c r="H155"/>
  <c r="AF155"/>
  <c r="F155"/>
  <c r="AD155"/>
  <c r="D155"/>
  <c r="AN155"/>
  <c r="N155"/>
  <c r="AI155"/>
  <c r="I155"/>
  <c r="AG155"/>
  <c r="G155"/>
  <c r="AE155"/>
  <c r="E155"/>
  <c r="A155" i="5"/>
  <c r="U154" i="1" s="1"/>
  <c r="A155" i="2"/>
  <c r="A157" i="3" s="1"/>
  <c r="Y157" s="1"/>
  <c r="AC157" l="1"/>
  <c r="AL157"/>
  <c r="L157"/>
  <c r="AK156"/>
  <c r="K156"/>
  <c r="AP156"/>
  <c r="P156"/>
  <c r="R157"/>
  <c r="Q157"/>
  <c r="S157"/>
  <c r="T157"/>
  <c r="U157"/>
  <c r="V157"/>
  <c r="W157"/>
  <c r="X157"/>
  <c r="Z157"/>
  <c r="AA157"/>
  <c r="AB157"/>
  <c r="AO156"/>
  <c r="O156"/>
  <c r="AM156"/>
  <c r="M156"/>
  <c r="AJ156"/>
  <c r="J156"/>
  <c r="AH156"/>
  <c r="H156"/>
  <c r="AE156"/>
  <c r="E156"/>
  <c r="AD156"/>
  <c r="D156"/>
  <c r="AN156"/>
  <c r="N156"/>
  <c r="AI156"/>
  <c r="I156"/>
  <c r="AG156"/>
  <c r="G156"/>
  <c r="AF156"/>
  <c r="F156"/>
  <c r="A156" i="5"/>
  <c r="U155" i="1" s="1"/>
  <c r="A156" i="2"/>
  <c r="A158" i="3" s="1"/>
  <c r="Y158" s="1"/>
  <c r="AL158" l="1"/>
  <c r="AC158"/>
  <c r="L158"/>
  <c r="AP157"/>
  <c r="P157"/>
  <c r="AK157"/>
  <c r="K157"/>
  <c r="Q158"/>
  <c r="S158"/>
  <c r="R158"/>
  <c r="T158"/>
  <c r="U158"/>
  <c r="V158"/>
  <c r="W158"/>
  <c r="X158"/>
  <c r="Z158"/>
  <c r="AA158"/>
  <c r="AB158"/>
  <c r="AO157"/>
  <c r="O157"/>
  <c r="AM157"/>
  <c r="M157"/>
  <c r="AJ157"/>
  <c r="J157"/>
  <c r="AH157"/>
  <c r="H157"/>
  <c r="AF157"/>
  <c r="F157"/>
  <c r="AE157"/>
  <c r="E157"/>
  <c r="AN157"/>
  <c r="N157"/>
  <c r="AI157"/>
  <c r="I157"/>
  <c r="AG157"/>
  <c r="G157"/>
  <c r="AD157"/>
  <c r="D157"/>
  <c r="A157" i="5"/>
  <c r="U156" i="1" s="1"/>
  <c r="A157" i="2"/>
  <c r="A159" i="3" s="1"/>
  <c r="Y159" s="1"/>
  <c r="AC159" l="1"/>
  <c r="AL159"/>
  <c r="L159"/>
  <c r="AK158"/>
  <c r="K158"/>
  <c r="AP158"/>
  <c r="P158"/>
  <c r="Q159"/>
  <c r="R159"/>
  <c r="S159"/>
  <c r="T159"/>
  <c r="U159"/>
  <c r="V159"/>
  <c r="W159"/>
  <c r="X159"/>
  <c r="Z159"/>
  <c r="AA159"/>
  <c r="AB159"/>
  <c r="AO158"/>
  <c r="O158"/>
  <c r="AM158"/>
  <c r="M158"/>
  <c r="AJ158"/>
  <c r="J158"/>
  <c r="AH158"/>
  <c r="H158"/>
  <c r="AE158"/>
  <c r="E158"/>
  <c r="AD158"/>
  <c r="D158"/>
  <c r="AN158"/>
  <c r="N158"/>
  <c r="AI158"/>
  <c r="I158"/>
  <c r="AG158"/>
  <c r="G158"/>
  <c r="AF158"/>
  <c r="F158"/>
  <c r="A158" i="5"/>
  <c r="U157" i="1" s="1"/>
  <c r="A158" i="2"/>
  <c r="A160" i="3" s="1"/>
  <c r="Y160" s="1"/>
  <c r="AL160" l="1"/>
  <c r="AC160"/>
  <c r="L160"/>
  <c r="AP159"/>
  <c r="P159"/>
  <c r="AK159"/>
  <c r="K159"/>
  <c r="Q160"/>
  <c r="S160"/>
  <c r="R160"/>
  <c r="T160"/>
  <c r="U160"/>
  <c r="V160"/>
  <c r="W160"/>
  <c r="X160"/>
  <c r="Z160"/>
  <c r="AA160"/>
  <c r="AB160"/>
  <c r="AO159"/>
  <c r="O159"/>
  <c r="AM159"/>
  <c r="M159"/>
  <c r="AJ159"/>
  <c r="J159"/>
  <c r="AH159"/>
  <c r="H159"/>
  <c r="AF159"/>
  <c r="F159"/>
  <c r="AD159"/>
  <c r="D159"/>
  <c r="AN159"/>
  <c r="N159"/>
  <c r="AI159"/>
  <c r="I159"/>
  <c r="AG159"/>
  <c r="G159"/>
  <c r="AE159"/>
  <c r="E159"/>
  <c r="A159" i="5"/>
  <c r="U158" i="1" s="1"/>
  <c r="A159" i="2"/>
  <c r="A161" i="3" s="1"/>
  <c r="Y161" s="1"/>
  <c r="AC161" l="1"/>
  <c r="AL161"/>
  <c r="L161"/>
  <c r="AK160"/>
  <c r="K160"/>
  <c r="AP160"/>
  <c r="P160"/>
  <c r="R161"/>
  <c r="Q161"/>
  <c r="S161"/>
  <c r="T161"/>
  <c r="U161"/>
  <c r="V161"/>
  <c r="W161"/>
  <c r="X161"/>
  <c r="Z161"/>
  <c r="AA161"/>
  <c r="AB161"/>
  <c r="AO160"/>
  <c r="O160"/>
  <c r="AM160"/>
  <c r="M160"/>
  <c r="AJ160"/>
  <c r="J160"/>
  <c r="AH160"/>
  <c r="H160"/>
  <c r="AE160"/>
  <c r="E160"/>
  <c r="AD160"/>
  <c r="D160"/>
  <c r="AN160"/>
  <c r="N160"/>
  <c r="AI160"/>
  <c r="I160"/>
  <c r="AG160"/>
  <c r="G160"/>
  <c r="AF160"/>
  <c r="F160"/>
  <c r="A160" i="5"/>
  <c r="U159" i="1" s="1"/>
  <c r="A160" i="2"/>
  <c r="A162" i="3" s="1"/>
  <c r="Y162" s="1"/>
  <c r="AL162" l="1"/>
  <c r="AC162"/>
  <c r="L162"/>
  <c r="AP161"/>
  <c r="P161"/>
  <c r="AK161"/>
  <c r="K161"/>
  <c r="Q162"/>
  <c r="S162"/>
  <c r="R162"/>
  <c r="T162"/>
  <c r="U162"/>
  <c r="V162"/>
  <c r="W162"/>
  <c r="X162"/>
  <c r="Z162"/>
  <c r="AA162"/>
  <c r="AB162"/>
  <c r="AO161"/>
  <c r="O161"/>
  <c r="AM161"/>
  <c r="M161"/>
  <c r="AJ161"/>
  <c r="J161"/>
  <c r="AH161"/>
  <c r="H161"/>
  <c r="AF161"/>
  <c r="F161"/>
  <c r="AE161"/>
  <c r="E161"/>
  <c r="AN161"/>
  <c r="N161"/>
  <c r="AI161"/>
  <c r="I161"/>
  <c r="AG161"/>
  <c r="G161"/>
  <c r="AD161"/>
  <c r="D161"/>
  <c r="A161" i="5"/>
  <c r="U160" i="1" s="1"/>
  <c r="A161" i="2"/>
  <c r="A163" i="3" s="1"/>
  <c r="Y163" s="1"/>
  <c r="AC163" l="1"/>
  <c r="AL163"/>
  <c r="L163"/>
  <c r="AK162"/>
  <c r="K162"/>
  <c r="AP162"/>
  <c r="P162"/>
  <c r="Q163"/>
  <c r="R163"/>
  <c r="S163"/>
  <c r="T163"/>
  <c r="U163"/>
  <c r="V163"/>
  <c r="W163"/>
  <c r="X163"/>
  <c r="Z163"/>
  <c r="AA163"/>
  <c r="AB163"/>
  <c r="AO162"/>
  <c r="O162"/>
  <c r="AM162"/>
  <c r="M162"/>
  <c r="AJ162"/>
  <c r="J162"/>
  <c r="AH162"/>
  <c r="H162"/>
  <c r="AE162"/>
  <c r="E162"/>
  <c r="AD162"/>
  <c r="D162"/>
  <c r="AN162"/>
  <c r="N162"/>
  <c r="AI162"/>
  <c r="I162"/>
  <c r="AG162"/>
  <c r="G162"/>
  <c r="AF162"/>
  <c r="F162"/>
  <c r="A162" i="5"/>
  <c r="U161" i="1" s="1"/>
  <c r="A162" i="2"/>
  <c r="A164" i="3" s="1"/>
  <c r="Y164" s="1"/>
  <c r="AL164" l="1"/>
  <c r="AL2" s="1"/>
  <c r="AC164"/>
  <c r="L164"/>
  <c r="L2" s="1"/>
  <c r="L1" s="1"/>
  <c r="AP163"/>
  <c r="P163"/>
  <c r="AK163"/>
  <c r="K163"/>
  <c r="AO163"/>
  <c r="O163"/>
  <c r="AM163"/>
  <c r="M163"/>
  <c r="AJ163"/>
  <c r="J163"/>
  <c r="AH163"/>
  <c r="H163"/>
  <c r="AF163"/>
  <c r="F163"/>
  <c r="AD163"/>
  <c r="D163"/>
  <c r="S164"/>
  <c r="Q164"/>
  <c r="R164"/>
  <c r="T164"/>
  <c r="U164"/>
  <c r="V164"/>
  <c r="W164"/>
  <c r="X164"/>
  <c r="Z164"/>
  <c r="AA164"/>
  <c r="AB164"/>
  <c r="AN163"/>
  <c r="N163"/>
  <c r="AI163"/>
  <c r="I163"/>
  <c r="AG163"/>
  <c r="G163"/>
  <c r="AE163"/>
  <c r="E163"/>
  <c r="A163" i="5"/>
  <c r="AL167"/>
  <c r="AM167"/>
  <c r="L167"/>
  <c r="M167"/>
  <c r="V166"/>
  <c r="W166"/>
  <c r="T166"/>
  <c r="U166"/>
  <c r="P167"/>
  <c r="Q167"/>
  <c r="T167"/>
  <c r="U167"/>
  <c r="R166"/>
  <c r="S166"/>
  <c r="P166"/>
  <c r="Q166"/>
  <c r="V167"/>
  <c r="W167"/>
  <c r="Z167"/>
  <c r="AA167"/>
  <c r="AD166"/>
  <c r="AE166"/>
  <c r="AB166"/>
  <c r="AC166"/>
  <c r="AD167"/>
  <c r="AE167"/>
  <c r="AH167"/>
  <c r="AI167"/>
  <c r="Z166"/>
  <c r="AA166"/>
  <c r="X166"/>
  <c r="Y166"/>
  <c r="J166"/>
  <c r="AK166"/>
  <c r="AN167"/>
  <c r="J167"/>
  <c r="K167"/>
  <c r="AN166"/>
  <c r="AG166"/>
  <c r="AJ166"/>
  <c r="AH166"/>
  <c r="N167"/>
  <c r="O167"/>
  <c r="R167"/>
  <c r="S167"/>
  <c r="AL166"/>
  <c r="AM166"/>
  <c r="AF166"/>
  <c r="AI166"/>
  <c r="I167"/>
  <c r="X167"/>
  <c r="Y167"/>
  <c r="AB167"/>
  <c r="AC167"/>
  <c r="N166"/>
  <c r="O166"/>
  <c r="L166"/>
  <c r="M166"/>
  <c r="AF167"/>
  <c r="AG167"/>
  <c r="AJ167"/>
  <c r="AK167"/>
  <c r="K166"/>
  <c r="I166"/>
  <c r="AK164" i="3" l="1"/>
  <c r="AK2" s="1"/>
  <c r="K164"/>
  <c r="K2" s="1"/>
  <c r="K1" s="1"/>
  <c r="AP164"/>
  <c r="P164"/>
  <c r="P2" s="1"/>
  <c r="AK169" i="5"/>
  <c r="AK168"/>
  <c r="AC169"/>
  <c r="AC168"/>
  <c r="U169"/>
  <c r="U168"/>
  <c r="M169"/>
  <c r="M168"/>
  <c r="AI168"/>
  <c r="AI169"/>
  <c r="AA168"/>
  <c r="AA169"/>
  <c r="S168"/>
  <c r="S169"/>
  <c r="K168"/>
  <c r="K169"/>
  <c r="AJ169"/>
  <c r="AJ168"/>
  <c r="AB169"/>
  <c r="AB168"/>
  <c r="T169"/>
  <c r="T168"/>
  <c r="L169"/>
  <c r="L168"/>
  <c r="AH169"/>
  <c r="AH168"/>
  <c r="Z168"/>
  <c r="Z169"/>
  <c r="R168"/>
  <c r="R169"/>
  <c r="J168"/>
  <c r="J169"/>
  <c r="AG169"/>
  <c r="AG168"/>
  <c r="Y169"/>
  <c r="Y168"/>
  <c r="Q169"/>
  <c r="Q168"/>
  <c r="AM168"/>
  <c r="AM169"/>
  <c r="AE168"/>
  <c r="AE169"/>
  <c r="W168"/>
  <c r="W169"/>
  <c r="O168"/>
  <c r="O169"/>
  <c r="AN169"/>
  <c r="AN168"/>
  <c r="AF168"/>
  <c r="AF169"/>
  <c r="X169"/>
  <c r="X168"/>
  <c r="P169"/>
  <c r="P168"/>
  <c r="AL169"/>
  <c r="AL168"/>
  <c r="AD169"/>
  <c r="AD168"/>
  <c r="V168"/>
  <c r="V169"/>
  <c r="N168"/>
  <c r="N169"/>
  <c r="AO164" i="3"/>
  <c r="O164"/>
  <c r="O2" s="1"/>
  <c r="AM164"/>
  <c r="M164"/>
  <c r="M2" s="1"/>
  <c r="AJ164"/>
  <c r="J164"/>
  <c r="J2" s="1"/>
  <c r="AH164"/>
  <c r="H164"/>
  <c r="H2" s="1"/>
  <c r="AE164"/>
  <c r="E164"/>
  <c r="E2" s="1"/>
  <c r="AF164"/>
  <c r="F164"/>
  <c r="F2" s="1"/>
  <c r="AN164"/>
  <c r="N164"/>
  <c r="N2" s="1"/>
  <c r="AI164"/>
  <c r="I164"/>
  <c r="I2" s="1"/>
  <c r="AG164"/>
  <c r="G164"/>
  <c r="G2" s="1"/>
  <c r="AD164"/>
  <c r="D164"/>
  <c r="D2" s="1"/>
  <c r="F166" i="5"/>
  <c r="C166" s="1"/>
  <c r="G166"/>
  <c r="I169"/>
  <c r="F167"/>
  <c r="C167" s="1"/>
  <c r="I168"/>
  <c r="G167"/>
  <c r="U162" i="1"/>
  <c r="AP2" i="3" l="1"/>
  <c r="BB164" s="1"/>
  <c r="AD2"/>
  <c r="AG2"/>
  <c r="AI2"/>
  <c r="AN2"/>
  <c r="AF2"/>
  <c r="AE2"/>
  <c r="E1" s="1"/>
  <c r="AH2"/>
  <c r="AJ2"/>
  <c r="J1" s="1"/>
  <c r="AM2"/>
  <c r="AO2"/>
  <c r="O1" s="1"/>
  <c r="D1"/>
  <c r="G1"/>
  <c r="N1"/>
  <c r="F1"/>
  <c r="H1"/>
  <c r="I1"/>
  <c r="F168" i="5"/>
  <c r="C168" s="1"/>
  <c r="G168"/>
  <c r="L34" i="1" s="1"/>
  <c r="I183" i="5"/>
  <c r="I176"/>
  <c r="K183"/>
  <c r="K176"/>
  <c r="G169"/>
  <c r="L35" i="1" s="1"/>
  <c r="F169" i="5"/>
  <c r="C169" s="1"/>
  <c r="D166"/>
  <c r="B166"/>
  <c r="D167"/>
  <c r="B167"/>
  <c r="P1" i="3" l="1"/>
  <c r="A1" s="1"/>
  <c r="K37" i="1" s="1"/>
  <c r="BB163" i="3"/>
  <c r="AC2"/>
  <c r="BB4"/>
  <c r="BB5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49"/>
  <c r="BB50"/>
  <c r="BB51"/>
  <c r="BB52"/>
  <c r="BB53"/>
  <c r="BB54"/>
  <c r="BB55"/>
  <c r="BB56"/>
  <c r="BB57"/>
  <c r="BB58"/>
  <c r="BB59"/>
  <c r="BB60"/>
  <c r="BB61"/>
  <c r="BB62"/>
  <c r="BB63"/>
  <c r="BB64"/>
  <c r="BB65"/>
  <c r="BB66"/>
  <c r="BB67"/>
  <c r="BB68"/>
  <c r="BB69"/>
  <c r="BB70"/>
  <c r="BB71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B152"/>
  <c r="BB153"/>
  <c r="BB154"/>
  <c r="BB155"/>
  <c r="BB156"/>
  <c r="BB157"/>
  <c r="BB158"/>
  <c r="BB159"/>
  <c r="BB160"/>
  <c r="BB161"/>
  <c r="BB162"/>
  <c r="Y2"/>
  <c r="M1"/>
  <c r="AY7"/>
  <c r="AY5"/>
  <c r="AY6"/>
  <c r="AY4"/>
  <c r="AY8"/>
  <c r="AY9"/>
  <c r="AY10"/>
  <c r="AY11"/>
  <c r="AY12"/>
  <c r="AY13"/>
  <c r="AY14"/>
  <c r="AY15"/>
  <c r="AY16"/>
  <c r="AY17"/>
  <c r="AY18"/>
  <c r="AY19"/>
  <c r="AY20"/>
  <c r="AY21"/>
  <c r="AY22"/>
  <c r="AY23"/>
  <c r="AY24"/>
  <c r="AY25"/>
  <c r="AY26"/>
  <c r="AY27"/>
  <c r="AY28"/>
  <c r="AY29"/>
  <c r="AY30"/>
  <c r="AY31"/>
  <c r="AY32"/>
  <c r="AY33"/>
  <c r="AY34"/>
  <c r="AY35"/>
  <c r="AY36"/>
  <c r="AY37"/>
  <c r="AY38"/>
  <c r="AY39"/>
  <c r="AY40"/>
  <c r="AY41"/>
  <c r="AY42"/>
  <c r="AY43"/>
  <c r="AY44"/>
  <c r="AY45"/>
  <c r="AY46"/>
  <c r="AY47"/>
  <c r="AY48"/>
  <c r="AY49"/>
  <c r="AY50"/>
  <c r="AY51"/>
  <c r="AY52"/>
  <c r="AY53"/>
  <c r="AY54"/>
  <c r="AY55"/>
  <c r="AY56"/>
  <c r="AY57"/>
  <c r="AY58"/>
  <c r="AY59"/>
  <c r="AY60"/>
  <c r="AY61"/>
  <c r="AY62"/>
  <c r="AY63"/>
  <c r="AY64"/>
  <c r="AY65"/>
  <c r="AY66"/>
  <c r="AY67"/>
  <c r="AY68"/>
  <c r="AY69"/>
  <c r="AY70"/>
  <c r="AY71"/>
  <c r="AY72"/>
  <c r="AY73"/>
  <c r="AY74"/>
  <c r="AY75"/>
  <c r="AY76"/>
  <c r="AY77"/>
  <c r="AY78"/>
  <c r="AY79"/>
  <c r="AY80"/>
  <c r="AY81"/>
  <c r="AY82"/>
  <c r="AY83"/>
  <c r="AY84"/>
  <c r="AY85"/>
  <c r="AY86"/>
  <c r="AY87"/>
  <c r="AY88"/>
  <c r="AY89"/>
  <c r="AY90"/>
  <c r="AY91"/>
  <c r="AY92"/>
  <c r="AY93"/>
  <c r="AY94"/>
  <c r="AY95"/>
  <c r="AY96"/>
  <c r="AY97"/>
  <c r="AY98"/>
  <c r="AY99"/>
  <c r="AY100"/>
  <c r="AY101"/>
  <c r="AY102"/>
  <c r="AY103"/>
  <c r="AY104"/>
  <c r="AY105"/>
  <c r="AY106"/>
  <c r="AY107"/>
  <c r="AY108"/>
  <c r="AY109"/>
  <c r="AY110"/>
  <c r="AY111"/>
  <c r="AY112"/>
  <c r="AY113"/>
  <c r="AY114"/>
  <c r="AY115"/>
  <c r="AY116"/>
  <c r="AY117"/>
  <c r="AY118"/>
  <c r="AY119"/>
  <c r="AY120"/>
  <c r="AY121"/>
  <c r="AY122"/>
  <c r="AY123"/>
  <c r="AY124"/>
  <c r="AY125"/>
  <c r="AY126"/>
  <c r="AY127"/>
  <c r="AY128"/>
  <c r="AY129"/>
  <c r="AY130"/>
  <c r="AY131"/>
  <c r="AY132"/>
  <c r="AY133"/>
  <c r="AY134"/>
  <c r="AY135"/>
  <c r="AY136"/>
  <c r="AY137"/>
  <c r="AY138"/>
  <c r="AY139"/>
  <c r="AY140"/>
  <c r="AY141"/>
  <c r="AY142"/>
  <c r="AY143"/>
  <c r="AY144"/>
  <c r="AY145"/>
  <c r="AY146"/>
  <c r="AY147"/>
  <c r="AY148"/>
  <c r="AY149"/>
  <c r="AY150"/>
  <c r="AY151"/>
  <c r="AY152"/>
  <c r="AY153"/>
  <c r="AY154"/>
  <c r="AY155"/>
  <c r="AY156"/>
  <c r="AY157"/>
  <c r="AY158"/>
  <c r="AY159"/>
  <c r="AY160"/>
  <c r="AY161"/>
  <c r="AY162"/>
  <c r="AY163"/>
  <c r="AU4"/>
  <c r="AU5"/>
  <c r="AU6"/>
  <c r="AU7"/>
  <c r="AU8"/>
  <c r="AU9"/>
  <c r="AU1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U81"/>
  <c r="AU82"/>
  <c r="AU83"/>
  <c r="AU84"/>
  <c r="AU85"/>
  <c r="AU86"/>
  <c r="AU87"/>
  <c r="AU88"/>
  <c r="AU89"/>
  <c r="AU90"/>
  <c r="AU91"/>
  <c r="AU92"/>
  <c r="AU93"/>
  <c r="AU94"/>
  <c r="AU95"/>
  <c r="AU96"/>
  <c r="AU97"/>
  <c r="AU98"/>
  <c r="AU99"/>
  <c r="AU100"/>
  <c r="AU101"/>
  <c r="AU102"/>
  <c r="AU103"/>
  <c r="AU104"/>
  <c r="AU105"/>
  <c r="AU106"/>
  <c r="AU107"/>
  <c r="AU108"/>
  <c r="AU109"/>
  <c r="AU110"/>
  <c r="AU111"/>
  <c r="AU112"/>
  <c r="AU113"/>
  <c r="AU114"/>
  <c r="AU115"/>
  <c r="AU116"/>
  <c r="AU117"/>
  <c r="AU118"/>
  <c r="AU119"/>
  <c r="AU120"/>
  <c r="AU121"/>
  <c r="AU122"/>
  <c r="AU123"/>
  <c r="AU124"/>
  <c r="AU125"/>
  <c r="AU126"/>
  <c r="AU127"/>
  <c r="AU128"/>
  <c r="AU129"/>
  <c r="AU130"/>
  <c r="AU131"/>
  <c r="AU132"/>
  <c r="AU133"/>
  <c r="AU134"/>
  <c r="AU135"/>
  <c r="AU136"/>
  <c r="AU137"/>
  <c r="AU138"/>
  <c r="AU139"/>
  <c r="AU140"/>
  <c r="AU141"/>
  <c r="AU142"/>
  <c r="AU143"/>
  <c r="AU144"/>
  <c r="AU145"/>
  <c r="AU146"/>
  <c r="AU147"/>
  <c r="AU148"/>
  <c r="AU149"/>
  <c r="AU150"/>
  <c r="AU151"/>
  <c r="AU152"/>
  <c r="AU153"/>
  <c r="AU154"/>
  <c r="AU155"/>
  <c r="AU156"/>
  <c r="AU157"/>
  <c r="AU158"/>
  <c r="AU159"/>
  <c r="AU160"/>
  <c r="AU161"/>
  <c r="AU162"/>
  <c r="AU163"/>
  <c r="R2"/>
  <c r="AR4"/>
  <c r="AR5"/>
  <c r="AR6"/>
  <c r="AR7"/>
  <c r="AR8"/>
  <c r="AR9"/>
  <c r="AR10"/>
  <c r="AR11"/>
  <c r="AR12"/>
  <c r="AR13"/>
  <c r="AR14"/>
  <c r="AR15"/>
  <c r="AR16"/>
  <c r="AR17"/>
  <c r="AR18"/>
  <c r="AR19"/>
  <c r="AR20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X6"/>
  <c r="AX5"/>
  <c r="AX4"/>
  <c r="AX7"/>
  <c r="AX8"/>
  <c r="AX9"/>
  <c r="AX10"/>
  <c r="AX11"/>
  <c r="AX12"/>
  <c r="AX13"/>
  <c r="AX14"/>
  <c r="AX15"/>
  <c r="AX16"/>
  <c r="AX17"/>
  <c r="AX18"/>
  <c r="AX19"/>
  <c r="AX20"/>
  <c r="AX21"/>
  <c r="AX22"/>
  <c r="AX23"/>
  <c r="AX24"/>
  <c r="AX25"/>
  <c r="AX26"/>
  <c r="AX27"/>
  <c r="AX28"/>
  <c r="AX29"/>
  <c r="AX30"/>
  <c r="AX31"/>
  <c r="AX32"/>
  <c r="AX33"/>
  <c r="AX34"/>
  <c r="AX35"/>
  <c r="AX36"/>
  <c r="AX37"/>
  <c r="AX38"/>
  <c r="AX39"/>
  <c r="AX40"/>
  <c r="AX41"/>
  <c r="AX42"/>
  <c r="AX43"/>
  <c r="AX44"/>
  <c r="AX45"/>
  <c r="AX46"/>
  <c r="AX47"/>
  <c r="AX48"/>
  <c r="AX49"/>
  <c r="AX50"/>
  <c r="AX51"/>
  <c r="AX52"/>
  <c r="AX53"/>
  <c r="AX54"/>
  <c r="AX55"/>
  <c r="AX56"/>
  <c r="AX57"/>
  <c r="AX58"/>
  <c r="AX59"/>
  <c r="AX60"/>
  <c r="AX61"/>
  <c r="AX62"/>
  <c r="AX63"/>
  <c r="AX64"/>
  <c r="AX65"/>
  <c r="AX66"/>
  <c r="AX67"/>
  <c r="AX68"/>
  <c r="AX69"/>
  <c r="AX70"/>
  <c r="AX71"/>
  <c r="AX72"/>
  <c r="AX73"/>
  <c r="AX74"/>
  <c r="AX75"/>
  <c r="AX76"/>
  <c r="AX77"/>
  <c r="AX78"/>
  <c r="AX79"/>
  <c r="AX80"/>
  <c r="AX81"/>
  <c r="AX82"/>
  <c r="AX83"/>
  <c r="AX84"/>
  <c r="AX85"/>
  <c r="AX86"/>
  <c r="AX87"/>
  <c r="AX88"/>
  <c r="AX89"/>
  <c r="AX90"/>
  <c r="AX91"/>
  <c r="AX92"/>
  <c r="AX93"/>
  <c r="AX94"/>
  <c r="AX95"/>
  <c r="AX96"/>
  <c r="AX97"/>
  <c r="AX98"/>
  <c r="AX99"/>
  <c r="AX100"/>
  <c r="AX101"/>
  <c r="AX102"/>
  <c r="AX103"/>
  <c r="AX104"/>
  <c r="AX105"/>
  <c r="AX106"/>
  <c r="AX107"/>
  <c r="AX108"/>
  <c r="AX109"/>
  <c r="AX110"/>
  <c r="AX111"/>
  <c r="AX112"/>
  <c r="AX113"/>
  <c r="AX114"/>
  <c r="AX115"/>
  <c r="AX116"/>
  <c r="AX117"/>
  <c r="AX118"/>
  <c r="AX119"/>
  <c r="AX120"/>
  <c r="AX121"/>
  <c r="AX122"/>
  <c r="AX123"/>
  <c r="AX124"/>
  <c r="AX125"/>
  <c r="AX126"/>
  <c r="AX127"/>
  <c r="AX128"/>
  <c r="AX129"/>
  <c r="AX130"/>
  <c r="AX131"/>
  <c r="AX132"/>
  <c r="AX133"/>
  <c r="AX134"/>
  <c r="AX135"/>
  <c r="AX136"/>
  <c r="AX137"/>
  <c r="AX138"/>
  <c r="AX139"/>
  <c r="AX140"/>
  <c r="AX141"/>
  <c r="AX142"/>
  <c r="AX143"/>
  <c r="AX144"/>
  <c r="AX145"/>
  <c r="AX146"/>
  <c r="AX147"/>
  <c r="AX148"/>
  <c r="AX149"/>
  <c r="AX150"/>
  <c r="AX151"/>
  <c r="AX152"/>
  <c r="AX153"/>
  <c r="AX154"/>
  <c r="AX155"/>
  <c r="AX156"/>
  <c r="AX157"/>
  <c r="AX158"/>
  <c r="AX159"/>
  <c r="AX160"/>
  <c r="AX161"/>
  <c r="AX162"/>
  <c r="AX163"/>
  <c r="AV4"/>
  <c r="AV5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5"/>
  <c r="AV56"/>
  <c r="AV57"/>
  <c r="AV58"/>
  <c r="AV59"/>
  <c r="AV60"/>
  <c r="AV61"/>
  <c r="AV62"/>
  <c r="AV63"/>
  <c r="AV64"/>
  <c r="AV65"/>
  <c r="AV66"/>
  <c r="AV67"/>
  <c r="AV68"/>
  <c r="AV69"/>
  <c r="AV70"/>
  <c r="AV71"/>
  <c r="AV72"/>
  <c r="AV73"/>
  <c r="AV74"/>
  <c r="AV75"/>
  <c r="AV76"/>
  <c r="AV77"/>
  <c r="AV78"/>
  <c r="AV79"/>
  <c r="AV80"/>
  <c r="AV81"/>
  <c r="AV82"/>
  <c r="AV83"/>
  <c r="AV84"/>
  <c r="AV85"/>
  <c r="AV86"/>
  <c r="AV87"/>
  <c r="AV88"/>
  <c r="AV89"/>
  <c r="AV90"/>
  <c r="AV91"/>
  <c r="AV92"/>
  <c r="AV93"/>
  <c r="AV94"/>
  <c r="AV95"/>
  <c r="AV96"/>
  <c r="AV97"/>
  <c r="AV98"/>
  <c r="AV99"/>
  <c r="AV100"/>
  <c r="AV101"/>
  <c r="AV102"/>
  <c r="AV103"/>
  <c r="AV104"/>
  <c r="AV105"/>
  <c r="AV106"/>
  <c r="AV107"/>
  <c r="AV108"/>
  <c r="AV109"/>
  <c r="AV110"/>
  <c r="AV111"/>
  <c r="AV112"/>
  <c r="AV113"/>
  <c r="AV114"/>
  <c r="AV115"/>
  <c r="AV116"/>
  <c r="AV117"/>
  <c r="AV118"/>
  <c r="AV119"/>
  <c r="AV120"/>
  <c r="AV121"/>
  <c r="AV122"/>
  <c r="AV123"/>
  <c r="AV124"/>
  <c r="AV125"/>
  <c r="AV126"/>
  <c r="AV127"/>
  <c r="AV128"/>
  <c r="AV129"/>
  <c r="AV130"/>
  <c r="AV131"/>
  <c r="AV132"/>
  <c r="AV133"/>
  <c r="AV134"/>
  <c r="AV135"/>
  <c r="AV136"/>
  <c r="AV137"/>
  <c r="AV138"/>
  <c r="AV139"/>
  <c r="AV140"/>
  <c r="AV141"/>
  <c r="AV142"/>
  <c r="AV143"/>
  <c r="AV144"/>
  <c r="AV145"/>
  <c r="AV146"/>
  <c r="AV147"/>
  <c r="AV148"/>
  <c r="AV149"/>
  <c r="AV150"/>
  <c r="AV151"/>
  <c r="AV152"/>
  <c r="AV153"/>
  <c r="AV154"/>
  <c r="AV155"/>
  <c r="AV156"/>
  <c r="AV157"/>
  <c r="AV158"/>
  <c r="AV159"/>
  <c r="AV160"/>
  <c r="AV161"/>
  <c r="AV162"/>
  <c r="AV163"/>
  <c r="AQ4"/>
  <c r="AQ5"/>
  <c r="AQ6"/>
  <c r="AQ7"/>
  <c r="AQ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BA6"/>
  <c r="BA9"/>
  <c r="BA7"/>
  <c r="BA5"/>
  <c r="BA4"/>
  <c r="BA8"/>
  <c r="BA10"/>
  <c r="BA11"/>
  <c r="BA12"/>
  <c r="BA13"/>
  <c r="BA14"/>
  <c r="BA15"/>
  <c r="BA16"/>
  <c r="BA17"/>
  <c r="BA18"/>
  <c r="BA19"/>
  <c r="BA20"/>
  <c r="BA21"/>
  <c r="BA22"/>
  <c r="BA23"/>
  <c r="BA24"/>
  <c r="BA25"/>
  <c r="BA26"/>
  <c r="BA27"/>
  <c r="BA28"/>
  <c r="BA29"/>
  <c r="BA30"/>
  <c r="BA31"/>
  <c r="BA32"/>
  <c r="BA33"/>
  <c r="BA34"/>
  <c r="BA35"/>
  <c r="BA36"/>
  <c r="BA37"/>
  <c r="BA38"/>
  <c r="BA39"/>
  <c r="BA40"/>
  <c r="BA41"/>
  <c r="BA42"/>
  <c r="BA43"/>
  <c r="BA44"/>
  <c r="BA45"/>
  <c r="BA46"/>
  <c r="BA47"/>
  <c r="BA48"/>
  <c r="BA49"/>
  <c r="BA50"/>
  <c r="BA51"/>
  <c r="BA52"/>
  <c r="BA53"/>
  <c r="BA54"/>
  <c r="BA55"/>
  <c r="BA56"/>
  <c r="BA57"/>
  <c r="BA58"/>
  <c r="BA59"/>
  <c r="BA60"/>
  <c r="BA61"/>
  <c r="BA62"/>
  <c r="BA63"/>
  <c r="BA64"/>
  <c r="BA65"/>
  <c r="BA66"/>
  <c r="BA67"/>
  <c r="BA68"/>
  <c r="BA69"/>
  <c r="BA70"/>
  <c r="BA71"/>
  <c r="BA72"/>
  <c r="BA73"/>
  <c r="BA74"/>
  <c r="BA75"/>
  <c r="BA76"/>
  <c r="BA77"/>
  <c r="BA78"/>
  <c r="BA79"/>
  <c r="BA80"/>
  <c r="BA81"/>
  <c r="BA82"/>
  <c r="BA83"/>
  <c r="BA84"/>
  <c r="BA85"/>
  <c r="BA86"/>
  <c r="BA87"/>
  <c r="BA88"/>
  <c r="BA89"/>
  <c r="BA90"/>
  <c r="BA91"/>
  <c r="BA92"/>
  <c r="BA93"/>
  <c r="BA94"/>
  <c r="BA95"/>
  <c r="BA96"/>
  <c r="BA97"/>
  <c r="BA98"/>
  <c r="BA99"/>
  <c r="BA100"/>
  <c r="BA101"/>
  <c r="BA102"/>
  <c r="BA103"/>
  <c r="BA104"/>
  <c r="BA105"/>
  <c r="BA106"/>
  <c r="BA107"/>
  <c r="BA108"/>
  <c r="BA109"/>
  <c r="BA110"/>
  <c r="BA111"/>
  <c r="BA112"/>
  <c r="BA113"/>
  <c r="BA114"/>
  <c r="BA115"/>
  <c r="BA116"/>
  <c r="BA117"/>
  <c r="BA118"/>
  <c r="BA119"/>
  <c r="BA120"/>
  <c r="BA121"/>
  <c r="BA122"/>
  <c r="BA123"/>
  <c r="BA124"/>
  <c r="BA125"/>
  <c r="BA126"/>
  <c r="BA127"/>
  <c r="BA128"/>
  <c r="BA129"/>
  <c r="BA130"/>
  <c r="BA131"/>
  <c r="BA132"/>
  <c r="BA133"/>
  <c r="BA134"/>
  <c r="BA135"/>
  <c r="BA136"/>
  <c r="BA137"/>
  <c r="BA138"/>
  <c r="BA139"/>
  <c r="BA140"/>
  <c r="BA141"/>
  <c r="BA142"/>
  <c r="BA143"/>
  <c r="BA144"/>
  <c r="BA145"/>
  <c r="BA146"/>
  <c r="BA147"/>
  <c r="BA148"/>
  <c r="BA149"/>
  <c r="BA150"/>
  <c r="BA151"/>
  <c r="BA152"/>
  <c r="BA153"/>
  <c r="BA154"/>
  <c r="BA155"/>
  <c r="BA156"/>
  <c r="BA157"/>
  <c r="BA158"/>
  <c r="BA159"/>
  <c r="BA160"/>
  <c r="BA161"/>
  <c r="BA162"/>
  <c r="BA163"/>
  <c r="AW5"/>
  <c r="AW4"/>
  <c r="AW6"/>
  <c r="AW7"/>
  <c r="AW8"/>
  <c r="AW9"/>
  <c r="AW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53"/>
  <c r="AW54"/>
  <c r="AW55"/>
  <c r="AW56"/>
  <c r="AW57"/>
  <c r="AW58"/>
  <c r="AW59"/>
  <c r="AW60"/>
  <c r="AW61"/>
  <c r="AW62"/>
  <c r="AW63"/>
  <c r="AW64"/>
  <c r="AW65"/>
  <c r="AW66"/>
  <c r="AW67"/>
  <c r="AW68"/>
  <c r="AW69"/>
  <c r="AW70"/>
  <c r="AW71"/>
  <c r="AW72"/>
  <c r="AW73"/>
  <c r="AW74"/>
  <c r="AW75"/>
  <c r="AW76"/>
  <c r="AW77"/>
  <c r="AW78"/>
  <c r="AW79"/>
  <c r="AW80"/>
  <c r="AW81"/>
  <c r="AW82"/>
  <c r="AW83"/>
  <c r="AW84"/>
  <c r="AW85"/>
  <c r="AW86"/>
  <c r="AW87"/>
  <c r="AW88"/>
  <c r="AW89"/>
  <c r="AW90"/>
  <c r="AW91"/>
  <c r="AW92"/>
  <c r="AW93"/>
  <c r="AW94"/>
  <c r="AW95"/>
  <c r="AW96"/>
  <c r="AW97"/>
  <c r="AW98"/>
  <c r="AW99"/>
  <c r="AW100"/>
  <c r="AW101"/>
  <c r="AW102"/>
  <c r="AW103"/>
  <c r="AW104"/>
  <c r="AW105"/>
  <c r="AW106"/>
  <c r="AW107"/>
  <c r="AW108"/>
  <c r="AW109"/>
  <c r="AW110"/>
  <c r="AW111"/>
  <c r="AW112"/>
  <c r="AW113"/>
  <c r="AW114"/>
  <c r="AW115"/>
  <c r="AW116"/>
  <c r="AW117"/>
  <c r="AW118"/>
  <c r="AW119"/>
  <c r="AW120"/>
  <c r="AW121"/>
  <c r="AW122"/>
  <c r="AW123"/>
  <c r="AW124"/>
  <c r="AW125"/>
  <c r="AW126"/>
  <c r="AW127"/>
  <c r="AW128"/>
  <c r="AW129"/>
  <c r="AW130"/>
  <c r="AW131"/>
  <c r="AW132"/>
  <c r="AW133"/>
  <c r="AW134"/>
  <c r="AW135"/>
  <c r="AW136"/>
  <c r="AW137"/>
  <c r="AW138"/>
  <c r="AW139"/>
  <c r="AW140"/>
  <c r="AW141"/>
  <c r="AW142"/>
  <c r="AW143"/>
  <c r="AW144"/>
  <c r="AW145"/>
  <c r="AW146"/>
  <c r="AW147"/>
  <c r="AW148"/>
  <c r="AW149"/>
  <c r="AW150"/>
  <c r="AW151"/>
  <c r="AW152"/>
  <c r="AW153"/>
  <c r="AW154"/>
  <c r="AW155"/>
  <c r="AW156"/>
  <c r="AW157"/>
  <c r="AW158"/>
  <c r="AW159"/>
  <c r="AW160"/>
  <c r="AW161"/>
  <c r="AW162"/>
  <c r="AW163"/>
  <c r="AS4"/>
  <c r="AS5"/>
  <c r="AS6"/>
  <c r="AS7"/>
  <c r="AS8"/>
  <c r="AS9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09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S140"/>
  <c r="AS141"/>
  <c r="AS142"/>
  <c r="AS143"/>
  <c r="AS144"/>
  <c r="AS145"/>
  <c r="AS146"/>
  <c r="AS147"/>
  <c r="AS148"/>
  <c r="AS149"/>
  <c r="AS150"/>
  <c r="AS151"/>
  <c r="AS152"/>
  <c r="AS153"/>
  <c r="AS154"/>
  <c r="AS155"/>
  <c r="AS156"/>
  <c r="AS157"/>
  <c r="AS158"/>
  <c r="AS159"/>
  <c r="AS160"/>
  <c r="AS161"/>
  <c r="AS162"/>
  <c r="AS163"/>
  <c r="AZ6"/>
  <c r="AZ7"/>
  <c r="AZ4"/>
  <c r="AZ8"/>
  <c r="AZ5"/>
  <c r="AZ9"/>
  <c r="AZ10"/>
  <c r="AZ11"/>
  <c r="AZ12"/>
  <c r="AZ13"/>
  <c r="AZ14"/>
  <c r="AZ15"/>
  <c r="AZ16"/>
  <c r="AZ17"/>
  <c r="AZ18"/>
  <c r="AZ19"/>
  <c r="AZ20"/>
  <c r="AZ21"/>
  <c r="AZ22"/>
  <c r="AZ23"/>
  <c r="AZ24"/>
  <c r="AZ25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Z48"/>
  <c r="AZ49"/>
  <c r="AZ50"/>
  <c r="AZ51"/>
  <c r="AZ52"/>
  <c r="AZ53"/>
  <c r="AZ54"/>
  <c r="AZ55"/>
  <c r="AZ56"/>
  <c r="AZ57"/>
  <c r="AZ58"/>
  <c r="AZ59"/>
  <c r="AZ60"/>
  <c r="AZ61"/>
  <c r="AZ62"/>
  <c r="AZ63"/>
  <c r="AZ64"/>
  <c r="AZ65"/>
  <c r="AZ66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8"/>
  <c r="AZ89"/>
  <c r="AZ90"/>
  <c r="AZ91"/>
  <c r="AZ92"/>
  <c r="AZ93"/>
  <c r="AZ94"/>
  <c r="AZ95"/>
  <c r="AZ96"/>
  <c r="AZ97"/>
  <c r="AZ98"/>
  <c r="AZ99"/>
  <c r="AZ100"/>
  <c r="AZ101"/>
  <c r="AZ102"/>
  <c r="AZ103"/>
  <c r="AZ104"/>
  <c r="AZ105"/>
  <c r="AZ106"/>
  <c r="AZ107"/>
  <c r="AZ108"/>
  <c r="AZ109"/>
  <c r="AZ110"/>
  <c r="AZ111"/>
  <c r="AZ112"/>
  <c r="AZ113"/>
  <c r="AZ114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3"/>
  <c r="AZ134"/>
  <c r="AZ135"/>
  <c r="AZ136"/>
  <c r="AZ137"/>
  <c r="AZ138"/>
  <c r="AZ139"/>
  <c r="AZ140"/>
  <c r="AZ141"/>
  <c r="AZ142"/>
  <c r="AZ143"/>
  <c r="AZ144"/>
  <c r="AZ145"/>
  <c r="AZ146"/>
  <c r="AZ147"/>
  <c r="AZ148"/>
  <c r="AZ149"/>
  <c r="AZ150"/>
  <c r="AZ151"/>
  <c r="AZ152"/>
  <c r="AZ153"/>
  <c r="AZ154"/>
  <c r="AZ155"/>
  <c r="AZ156"/>
  <c r="AZ157"/>
  <c r="AZ158"/>
  <c r="AZ159"/>
  <c r="AZ160"/>
  <c r="AZ161"/>
  <c r="AZ162"/>
  <c r="AZ163"/>
  <c r="AT4"/>
  <c r="AT5"/>
  <c r="AT6"/>
  <c r="AT7"/>
  <c r="AT8"/>
  <c r="AT9"/>
  <c r="AT1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T81"/>
  <c r="AT82"/>
  <c r="AT83"/>
  <c r="AT84"/>
  <c r="AT85"/>
  <c r="AT86"/>
  <c r="AT87"/>
  <c r="AT88"/>
  <c r="AT89"/>
  <c r="AT90"/>
  <c r="AT91"/>
  <c r="AT92"/>
  <c r="AT93"/>
  <c r="AT94"/>
  <c r="AT95"/>
  <c r="AT96"/>
  <c r="AT97"/>
  <c r="AT98"/>
  <c r="AT99"/>
  <c r="AT100"/>
  <c r="AT101"/>
  <c r="AT102"/>
  <c r="AT103"/>
  <c r="AT104"/>
  <c r="AT105"/>
  <c r="AT106"/>
  <c r="AT107"/>
  <c r="AT108"/>
  <c r="AT109"/>
  <c r="AT110"/>
  <c r="AT111"/>
  <c r="AT112"/>
  <c r="AT113"/>
  <c r="AT114"/>
  <c r="AT115"/>
  <c r="AT116"/>
  <c r="AT117"/>
  <c r="AT118"/>
  <c r="AT119"/>
  <c r="AT120"/>
  <c r="AT121"/>
  <c r="AT122"/>
  <c r="AT123"/>
  <c r="AT124"/>
  <c r="AT125"/>
  <c r="AT126"/>
  <c r="AT127"/>
  <c r="AT128"/>
  <c r="AT129"/>
  <c r="AT130"/>
  <c r="AT131"/>
  <c r="AT132"/>
  <c r="AT133"/>
  <c r="AT134"/>
  <c r="AT135"/>
  <c r="AT136"/>
  <c r="AT137"/>
  <c r="AT138"/>
  <c r="AT139"/>
  <c r="AT140"/>
  <c r="AT141"/>
  <c r="AT142"/>
  <c r="AT143"/>
  <c r="AT144"/>
  <c r="AT145"/>
  <c r="AT146"/>
  <c r="AT147"/>
  <c r="AT148"/>
  <c r="AT149"/>
  <c r="AT150"/>
  <c r="AT151"/>
  <c r="AT152"/>
  <c r="AT153"/>
  <c r="AT154"/>
  <c r="AT155"/>
  <c r="AT156"/>
  <c r="AT157"/>
  <c r="AT158"/>
  <c r="AT159"/>
  <c r="AT160"/>
  <c r="AT161"/>
  <c r="AT162"/>
  <c r="AT163"/>
  <c r="Z2"/>
  <c r="W2"/>
  <c r="X2"/>
  <c r="V2"/>
  <c r="AB2"/>
  <c r="U2"/>
  <c r="S2"/>
  <c r="AA2"/>
  <c r="T2"/>
  <c r="Q2"/>
  <c r="BA164"/>
  <c r="AY164"/>
  <c r="AW164"/>
  <c r="AU164"/>
  <c r="AR164"/>
  <c r="AS164"/>
  <c r="AZ164"/>
  <c r="AX164"/>
  <c r="AV164"/>
  <c r="AT164"/>
  <c r="AQ164"/>
  <c r="D3" i="1"/>
  <c r="K34" s="1"/>
  <c r="K40" s="1"/>
  <c r="B168" i="5"/>
  <c r="C3" i="1" s="1"/>
  <c r="D168" i="5"/>
  <c r="E3" i="1" s="1"/>
  <c r="D4"/>
  <c r="K35" s="1"/>
  <c r="L40" s="1"/>
  <c r="B169" i="5"/>
  <c r="C4" i="1" s="1"/>
  <c r="D169" i="5"/>
  <c r="E4" i="1" s="1"/>
  <c r="K177" i="5"/>
  <c r="K178" s="1"/>
  <c r="K179" s="1"/>
  <c r="K180" s="1"/>
  <c r="K181" s="1"/>
  <c r="K182" s="1"/>
  <c r="I177"/>
  <c r="I178" s="1"/>
  <c r="I179" s="1"/>
  <c r="I180" s="1"/>
  <c r="I181" s="1"/>
  <c r="I182" s="1"/>
  <c r="L180"/>
  <c r="J182"/>
  <c r="L179"/>
  <c r="J177"/>
  <c r="L178"/>
  <c r="J183"/>
  <c r="L177"/>
  <c r="J178"/>
  <c r="L182"/>
  <c r="J181"/>
  <c r="L181"/>
  <c r="J176"/>
  <c r="L176"/>
  <c r="J179"/>
  <c r="L183"/>
  <c r="J180"/>
  <c r="BB2" i="3" l="1"/>
  <c r="AW2"/>
  <c r="AU2"/>
  <c r="AT2"/>
  <c r="AZ2"/>
  <c r="AS2"/>
  <c r="BA2"/>
  <c r="AQ2"/>
  <c r="AV2"/>
  <c r="AX2"/>
  <c r="AR2"/>
  <c r="AY2"/>
</calcChain>
</file>

<file path=xl/sharedStrings.xml><?xml version="1.0" encoding="utf-8"?>
<sst xmlns="http://schemas.openxmlformats.org/spreadsheetml/2006/main" count="51" uniqueCount="43">
  <si>
    <t>#</t>
  </si>
  <si>
    <t>Label</t>
  </si>
  <si>
    <t>6s Min</t>
  </si>
  <si>
    <t>Mean</t>
  </si>
  <si>
    <t>6s Max</t>
  </si>
  <si>
    <t>Unit</t>
  </si>
  <si>
    <t>Width</t>
  </si>
  <si>
    <t>nm</t>
  </si>
  <si>
    <t>Center Wave Length</t>
  </si>
  <si>
    <t>+</t>
  </si>
  <si>
    <t>-</t>
  </si>
  <si>
    <t>Cen</t>
  </si>
  <si>
    <t>Wid</t>
  </si>
  <si>
    <t>%IR</t>
  </si>
  <si>
    <t>Sum</t>
  </si>
  <si>
    <t>IR</t>
  </si>
  <si>
    <t>%</t>
  </si>
  <si>
    <t>IR Leakage (&gt;730nm)</t>
  </si>
  <si>
    <t>W</t>
  </si>
  <si>
    <t>Squelch=</t>
  </si>
  <si>
    <t>mean</t>
  </si>
  <si>
    <t>X+1.5s</t>
  </si>
  <si>
    <t>X-1.5s</t>
  </si>
  <si>
    <t>Cal Squelch=</t>
  </si>
  <si>
    <t>Sigma</t>
  </si>
  <si>
    <t>6 Sigma</t>
  </si>
  <si>
    <t>Stdev</t>
  </si>
  <si>
    <t>Center</t>
  </si>
  <si>
    <t>Export</t>
  </si>
  <si>
    <t>min</t>
  </si>
  <si>
    <t>count</t>
  </si>
  <si>
    <t>sum</t>
  </si>
  <si>
    <t>Error</t>
  </si>
  <si>
    <t>Black Body</t>
  </si>
  <si>
    <t>Black Body * Photopic</t>
  </si>
  <si>
    <t>Photo</t>
  </si>
  <si>
    <t>Result</t>
  </si>
  <si>
    <t>%IR Leakage Histogram</t>
  </si>
  <si>
    <t>Passband Width Histogram</t>
  </si>
  <si>
    <t>Passband Center Histogram</t>
  </si>
  <si>
    <t>Black Body * Photopic Scaled</t>
  </si>
  <si>
    <t>ALS Response</t>
  </si>
  <si>
    <t>LS2LS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</si>
</sst>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0"/>
  </numFmts>
  <fonts count="4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164" fontId="0" fillId="0" borderId="0" xfId="0" applyNumberFormat="1"/>
    <xf numFmtId="10" fontId="0" fillId="0" borderId="0" xfId="0" applyNumberFormat="1"/>
    <xf numFmtId="2" fontId="0" fillId="0" borderId="0" xfId="0" applyNumberFormat="1"/>
    <xf numFmtId="9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/>
    <xf numFmtId="0" fontId="0" fillId="2" borderId="0" xfId="0" applyFill="1"/>
    <xf numFmtId="2" fontId="0" fillId="2" borderId="0" xfId="0" applyNumberFormat="1" applyFill="1"/>
    <xf numFmtId="0" fontId="0" fillId="0" borderId="0" xfId="0" applyBorder="1"/>
    <xf numFmtId="165" fontId="0" fillId="0" borderId="0" xfId="0" applyNumberFormat="1" applyBorder="1"/>
    <xf numFmtId="11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Fill="1" applyBorder="1"/>
    <xf numFmtId="165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1" xfId="0" applyNumberForma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9" fontId="0" fillId="0" borderId="0" xfId="0" applyNumberFormat="1" applyAlignment="1">
      <alignment horizontal="left"/>
    </xf>
    <xf numFmtId="166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 applyBorder="1" applyAlignment="1">
      <alignment horizontal="center"/>
    </xf>
    <xf numFmtId="10" fontId="0" fillId="0" borderId="0" xfId="0" applyNumberFormat="1" applyBorder="1" applyAlignment="1"/>
    <xf numFmtId="2" fontId="0" fillId="0" borderId="0" xfId="0" applyNumberFormat="1" applyBorder="1"/>
    <xf numFmtId="9" fontId="0" fillId="0" borderId="6" xfId="0" applyNumberForma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16" xfId="0" applyNumberForma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22" xfId="0" applyBorder="1"/>
    <xf numFmtId="0" fontId="0" fillId="0" borderId="3" xfId="0" applyBorder="1"/>
    <xf numFmtId="165" fontId="0" fillId="0" borderId="22" xfId="0" applyNumberFormat="1" applyBorder="1"/>
    <xf numFmtId="165" fontId="0" fillId="0" borderId="5" xfId="0" applyNumberFormat="1" applyBorder="1"/>
    <xf numFmtId="0" fontId="0" fillId="0" borderId="6" xfId="0" applyBorder="1"/>
    <xf numFmtId="10" fontId="0" fillId="0" borderId="22" xfId="0" applyNumberFormat="1" applyBorder="1"/>
    <xf numFmtId="10" fontId="0" fillId="0" borderId="5" xfId="0" applyNumberFormat="1" applyBorder="1"/>
    <xf numFmtId="0" fontId="3" fillId="0" borderId="13" xfId="0" applyFont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9" fontId="0" fillId="0" borderId="0" xfId="0" applyNumberForma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0" fillId="3" borderId="0" xfId="0" applyNumberFormat="1" applyFill="1"/>
    <xf numFmtId="0" fontId="0" fillId="3" borderId="0" xfId="0" applyFill="1" applyAlignment="1">
      <alignment horizontal="center"/>
    </xf>
    <xf numFmtId="10" fontId="0" fillId="0" borderId="0" xfId="0" applyNumberFormat="1" applyBorder="1"/>
    <xf numFmtId="165" fontId="0" fillId="0" borderId="18" xfId="0" applyNumberFormat="1" applyFill="1" applyBorder="1"/>
    <xf numFmtId="0" fontId="0" fillId="0" borderId="19" xfId="0" applyBorder="1"/>
    <xf numFmtId="9" fontId="0" fillId="0" borderId="19" xfId="0" applyNumberFormat="1" applyBorder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5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ALS Spectral Response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Summary!$B$8</c:f>
              <c:strCache>
                <c:ptCount val="1"/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Summary!$U$2:$U$162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Summary!$V$2:$V$162</c:f>
              <c:numCache>
                <c:formatCode>0.0%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tx>
            <c:v>vl1924e</c:v>
          </c:tx>
          <c:spPr>
            <a:ln w="15875"/>
          </c:spPr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vl1924e!$B$4:$B$164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0.00E+00">
                  <c:v>3.8999999999999999E-5</c:v>
                </c:pt>
                <c:pt idx="17" formatCode="0.00E+00">
                  <c:v>6.3999999999999997E-5</c:v>
                </c:pt>
                <c:pt idx="18" formatCode="0.00E+00">
                  <c:v>1.2E-4</c:v>
                </c:pt>
                <c:pt idx="19" formatCode="0.00E+00">
                  <c:v>2.1699999999999999E-4</c:v>
                </c:pt>
                <c:pt idx="20" formatCode="0.00E+00">
                  <c:v>3.9599999999999998E-4</c:v>
                </c:pt>
                <c:pt idx="21" formatCode="0.00E+00">
                  <c:v>6.4000000000000005E-4</c:v>
                </c:pt>
                <c:pt idx="22" formatCode="0.00E+00">
                  <c:v>1.2099999999999999E-3</c:v>
                </c:pt>
                <c:pt idx="23" formatCode="0.00E+00">
                  <c:v>2.1800000000000001E-3</c:v>
                </c:pt>
                <c:pt idx="24" formatCode="0.00E+00">
                  <c:v>4.0000000000000001E-3</c:v>
                </c:pt>
                <c:pt idx="25" formatCode="0.00E+00">
                  <c:v>7.3000000000000001E-3</c:v>
                </c:pt>
                <c:pt idx="26" formatCode="0.00E+00">
                  <c:v>1.1599999999999999E-2</c:v>
                </c:pt>
                <c:pt idx="27" formatCode="0.00E+00">
                  <c:v>1.6840000000000001E-2</c:v>
                </c:pt>
                <c:pt idx="28" formatCode="0.00E+00">
                  <c:v>2.3E-2</c:v>
                </c:pt>
                <c:pt idx="29" formatCode="0.00E+00">
                  <c:v>2.98E-2</c:v>
                </c:pt>
                <c:pt idx="30" formatCode="0.00E+00">
                  <c:v>3.7999999999999999E-2</c:v>
                </c:pt>
                <c:pt idx="31" formatCode="0.00E+00">
                  <c:v>4.8000000000000001E-2</c:v>
                </c:pt>
                <c:pt idx="32" formatCode="0.00E+00">
                  <c:v>0.06</c:v>
                </c:pt>
                <c:pt idx="33" formatCode="0.00E+00">
                  <c:v>7.3899999999999993E-2</c:v>
                </c:pt>
                <c:pt idx="34" formatCode="0.00E+00">
                  <c:v>9.0980000000000005E-2</c:v>
                </c:pt>
                <c:pt idx="35" formatCode="0.00E+00">
                  <c:v>0.11260000000000001</c:v>
                </c:pt>
                <c:pt idx="36" formatCode="0.00E+00">
                  <c:v>0.13902</c:v>
                </c:pt>
                <c:pt idx="37" formatCode="0.00E+00">
                  <c:v>0.16930000000000001</c:v>
                </c:pt>
                <c:pt idx="38" formatCode="0.00E+00">
                  <c:v>0.20802000000000001</c:v>
                </c:pt>
                <c:pt idx="39" formatCode="0.00E+00">
                  <c:v>0.2586</c:v>
                </c:pt>
                <c:pt idx="40" formatCode="0.00E+00">
                  <c:v>0.32300000000000001</c:v>
                </c:pt>
                <c:pt idx="41" formatCode="0.00E+00">
                  <c:v>0.4073</c:v>
                </c:pt>
                <c:pt idx="42" formatCode="0.00E+00">
                  <c:v>0.503</c:v>
                </c:pt>
                <c:pt idx="43" formatCode="0.00E+00">
                  <c:v>0.60819999999999996</c:v>
                </c:pt>
                <c:pt idx="44" formatCode="0.00E+00">
                  <c:v>0.71</c:v>
                </c:pt>
                <c:pt idx="45" formatCode="0.00E+00">
                  <c:v>0.79320000000000002</c:v>
                </c:pt>
                <c:pt idx="46" formatCode="0.00E+00">
                  <c:v>0.86199999999999999</c:v>
                </c:pt>
                <c:pt idx="47" formatCode="0.00E+00">
                  <c:v>0.91485000000000005</c:v>
                </c:pt>
                <c:pt idx="48" formatCode="0.00E+00">
                  <c:v>0.95399999999999996</c:v>
                </c:pt>
                <c:pt idx="49" formatCode="0.00E+00">
                  <c:v>0.98029999999999995</c:v>
                </c:pt>
                <c:pt idx="50" formatCode="0.00E+00">
                  <c:v>0.99495</c:v>
                </c:pt>
                <c:pt idx="51" formatCode="0.00E+00">
                  <c:v>1</c:v>
                </c:pt>
                <c:pt idx="52" formatCode="0.00E+00">
                  <c:v>0.995</c:v>
                </c:pt>
                <c:pt idx="53" formatCode="0.00E+00">
                  <c:v>0.97860000000000003</c:v>
                </c:pt>
                <c:pt idx="54" formatCode="0.00E+00">
                  <c:v>0.95199999999999996</c:v>
                </c:pt>
                <c:pt idx="55" formatCode="0.00E+00">
                  <c:v>0.91539999999999999</c:v>
                </c:pt>
                <c:pt idx="56" formatCode="0.00E+00">
                  <c:v>0.87</c:v>
                </c:pt>
                <c:pt idx="57" formatCode="0.00E+00">
                  <c:v>0.81630000000000003</c:v>
                </c:pt>
                <c:pt idx="58" formatCode="0.00E+00">
                  <c:v>0.75700000000000001</c:v>
                </c:pt>
                <c:pt idx="59" formatCode="0.00E+00">
                  <c:v>0.69489999999999996</c:v>
                </c:pt>
                <c:pt idx="60" formatCode="0.00E+00">
                  <c:v>0.63100000000000001</c:v>
                </c:pt>
                <c:pt idx="61" formatCode="0.00E+00">
                  <c:v>0.56679999999999997</c:v>
                </c:pt>
                <c:pt idx="62" formatCode="0.00E+00">
                  <c:v>0.503</c:v>
                </c:pt>
                <c:pt idx="63" formatCode="0.00E+00">
                  <c:v>0.44119999999999998</c:v>
                </c:pt>
                <c:pt idx="64" formatCode="0.00E+00">
                  <c:v>0.38100000000000001</c:v>
                </c:pt>
                <c:pt idx="65" formatCode="0.00E+00">
                  <c:v>0.32100000000000001</c:v>
                </c:pt>
                <c:pt idx="66" formatCode="0.00E+00">
                  <c:v>0.26500000000000001</c:v>
                </c:pt>
                <c:pt idx="67" formatCode="0.00E+00">
                  <c:v>0.217</c:v>
                </c:pt>
                <c:pt idx="68" formatCode="0.00E+00">
                  <c:v>0.17499999999999999</c:v>
                </c:pt>
                <c:pt idx="69" formatCode="0.00E+00">
                  <c:v>0.13819999999999999</c:v>
                </c:pt>
                <c:pt idx="70" formatCode="0.00E+00">
                  <c:v>0.107</c:v>
                </c:pt>
                <c:pt idx="71" formatCode="0.00E+00">
                  <c:v>8.1600000000000006E-2</c:v>
                </c:pt>
                <c:pt idx="72" formatCode="0.00E+00">
                  <c:v>6.0999999999999999E-2</c:v>
                </c:pt>
                <c:pt idx="73" formatCode="0.00E+00">
                  <c:v>4.4580000000000002E-2</c:v>
                </c:pt>
                <c:pt idx="74" formatCode="0.00E+00">
                  <c:v>3.2000000000000001E-2</c:v>
                </c:pt>
                <c:pt idx="75" formatCode="0.00E+00">
                  <c:v>2.3199999999999998E-2</c:v>
                </c:pt>
                <c:pt idx="76" formatCode="0.00E+00">
                  <c:v>1.7000000000000001E-2</c:v>
                </c:pt>
                <c:pt idx="77" formatCode="0.00E+00">
                  <c:v>1.192E-2</c:v>
                </c:pt>
                <c:pt idx="78" formatCode="0.00E+00">
                  <c:v>8.2100000000000003E-3</c:v>
                </c:pt>
                <c:pt idx="79" formatCode="0.00E+00">
                  <c:v>5.7229999999999998E-3</c:v>
                </c:pt>
                <c:pt idx="80" formatCode="0.00E+00">
                  <c:v>4.1019999999999997E-3</c:v>
                </c:pt>
                <c:pt idx="81" formatCode="0.00E+00">
                  <c:v>2.9290000000000002E-3</c:v>
                </c:pt>
                <c:pt idx="82" formatCode="0.00E+00">
                  <c:v>2.091E-3</c:v>
                </c:pt>
                <c:pt idx="83" formatCode="0.00E+00">
                  <c:v>1.4840000000000001E-3</c:v>
                </c:pt>
                <c:pt idx="84" formatCode="0.00E+00">
                  <c:v>1.047E-3</c:v>
                </c:pt>
                <c:pt idx="85" formatCode="0.00E+00">
                  <c:v>7.3999999999999999E-4</c:v>
                </c:pt>
                <c:pt idx="86" formatCode="0.00E+00">
                  <c:v>5.1999999999999995E-4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70949888"/>
        <c:axId val="70956544"/>
      </c:scatterChart>
      <c:valAx>
        <c:axId val="70949888"/>
        <c:scaling>
          <c:orientation val="minMax"/>
          <c:max val="1100"/>
          <c:min val="30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</c:title>
        <c:numFmt formatCode="General" sourceLinked="1"/>
        <c:minorTickMark val="in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70956544"/>
        <c:crosses val="autoZero"/>
        <c:crossBetween val="midCat"/>
        <c:majorUnit val="50"/>
        <c:minorUnit val="10"/>
      </c:valAx>
      <c:valAx>
        <c:axId val="70956544"/>
        <c:scaling>
          <c:orientation val="minMax"/>
          <c:max val="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FSR (%)</a:t>
                </a:r>
              </a:p>
            </c:rich>
          </c:tx>
          <c:layout/>
        </c:title>
        <c:numFmt formatCode="0%" sourceLinked="0"/>
        <c:minorTickMark val="in"/>
        <c:tickLblPos val="nextTo"/>
        <c:crossAx val="70949888"/>
        <c:crosses val="autoZero"/>
        <c:crossBetween val="midCat"/>
        <c:majorUnit val="0.1"/>
        <c:minorUnit val="0.05"/>
      </c:valAx>
    </c:plotArea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Calculations!$I$176:$I$183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Calculations!$J$176:$J$183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70860800"/>
        <c:axId val="70862720"/>
      </c:barChart>
      <c:catAx>
        <c:axId val="70860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70862720"/>
        <c:crosses val="autoZero"/>
        <c:auto val="1"/>
        <c:lblAlgn val="ctr"/>
        <c:lblOffset val="100"/>
      </c:catAx>
      <c:valAx>
        <c:axId val="708627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70860800"/>
        <c:crosses val="autoZero"/>
        <c:crossBetween val="between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Calculations!$K$176:$K$183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Calculations!$L$176:$L$183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70903296"/>
        <c:axId val="70905216"/>
      </c:barChart>
      <c:catAx>
        <c:axId val="70903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70905216"/>
        <c:crosses val="autoZero"/>
        <c:auto val="1"/>
        <c:lblAlgn val="ctr"/>
        <c:lblOffset val="100"/>
      </c:catAx>
      <c:valAx>
        <c:axId val="709052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70903296"/>
        <c:crosses val="autoZero"/>
        <c:crossBetween val="between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Calculations!$M$176:$M$183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Calculations!$N$176:$N$183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71248896"/>
        <c:axId val="71267456"/>
      </c:barChart>
      <c:catAx>
        <c:axId val="712488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.00%" sourceLinked="1"/>
        <c:tickLblPos val="nextTo"/>
        <c:crossAx val="71267456"/>
        <c:crosses val="autoZero"/>
        <c:auto val="1"/>
        <c:lblAlgn val="ctr"/>
        <c:lblOffset val="100"/>
      </c:catAx>
      <c:valAx>
        <c:axId val="712674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71248896"/>
        <c:crosses val="autoZero"/>
        <c:crossBetween val="between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-S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Calculations!$B$3:$B$163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1"/>
          <c:order val="1"/>
          <c:tx>
            <c:v>Mean</c:v>
          </c:tx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Calculations!$C$3:$C$163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tx>
            <c:v>+S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Calculations!$D$3:$D$163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71515136"/>
        <c:axId val="71525120"/>
      </c:scatterChart>
      <c:valAx>
        <c:axId val="7151513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1525120"/>
        <c:crosses val="autoZero"/>
        <c:crossBetween val="midCat"/>
        <c:majorUnit val="50"/>
        <c:minorUnit val="5"/>
      </c:valAx>
      <c:valAx>
        <c:axId val="71525120"/>
        <c:scaling>
          <c:orientation val="minMax"/>
        </c:scaling>
        <c:axPos val="l"/>
        <c:majorGridlines/>
        <c:numFmt formatCode="General" sourceLinked="1"/>
        <c:tickLblPos val="nextTo"/>
        <c:crossAx val="71515136"/>
        <c:crosses val="autoZero"/>
        <c:crossBetween val="midCat"/>
      </c:valAx>
    </c:plotArea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Calculations!$I$176:$I$183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Calculations!$J$176:$J$183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71556480"/>
        <c:axId val="71558656"/>
      </c:barChart>
      <c:catAx>
        <c:axId val="715564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71558656"/>
        <c:crosses val="autoZero"/>
        <c:auto val="1"/>
        <c:lblAlgn val="ctr"/>
        <c:lblOffset val="100"/>
      </c:catAx>
      <c:valAx>
        <c:axId val="715586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71556480"/>
        <c:crosses val="autoZero"/>
        <c:crossBetween val="between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Calculations!$K$176:$K$183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Calculations!$L$176:$L$183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71443584"/>
        <c:axId val="71445504"/>
      </c:barChart>
      <c:catAx>
        <c:axId val="714435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</c:title>
        <c:numFmt formatCode="0.0" sourceLinked="1"/>
        <c:tickLblPos val="nextTo"/>
        <c:crossAx val="71445504"/>
        <c:crosses val="autoZero"/>
        <c:auto val="1"/>
        <c:lblAlgn val="ctr"/>
        <c:lblOffset val="100"/>
      </c:catAx>
      <c:valAx>
        <c:axId val="714455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71443584"/>
        <c:crosses val="autoZero"/>
        <c:crossBetween val="between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Calculations!$M$176:$M$183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Calculations!$N$176:$N$183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71481600"/>
        <c:axId val="72159616"/>
      </c:barChart>
      <c:catAx>
        <c:axId val="714816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</c:title>
        <c:numFmt formatCode="0.00%" sourceLinked="1"/>
        <c:tickLblPos val="nextTo"/>
        <c:crossAx val="72159616"/>
        <c:crosses val="autoZero"/>
        <c:auto val="1"/>
        <c:lblAlgn val="ctr"/>
        <c:lblOffset val="100"/>
      </c:catAx>
      <c:valAx>
        <c:axId val="721596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71481600"/>
        <c:crosses val="autoZero"/>
        <c:crossBetween val="between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Calculations!$I$3:$I$163</c:f>
              <c:numCache>
                <c:formatCode>General</c:formatCode>
                <c:ptCount val="161"/>
                <c:pt idx="0">
                  <c:v>2.5940336674171935E-2</c:v>
                </c:pt>
                <c:pt idx="1">
                  <c:v>2.5940336674171935E-2</c:v>
                </c:pt>
                <c:pt idx="2">
                  <c:v>2.5940336674171935E-2</c:v>
                </c:pt>
                <c:pt idx="3">
                  <c:v>2.5940336674171935E-2</c:v>
                </c:pt>
                <c:pt idx="4">
                  <c:v>2.5940336674171935E-2</c:v>
                </c:pt>
                <c:pt idx="5">
                  <c:v>2.5940336674171935E-2</c:v>
                </c:pt>
                <c:pt idx="6">
                  <c:v>2.5940336674171935E-2</c:v>
                </c:pt>
                <c:pt idx="7">
                  <c:v>2.5940336674171935E-2</c:v>
                </c:pt>
                <c:pt idx="8">
                  <c:v>2.5940336674171935E-2</c:v>
                </c:pt>
                <c:pt idx="9">
                  <c:v>2.5940336674171935E-2</c:v>
                </c:pt>
                <c:pt idx="10">
                  <c:v>2.5940336674171935E-2</c:v>
                </c:pt>
                <c:pt idx="11">
                  <c:v>2.5940336674171935E-2</c:v>
                </c:pt>
                <c:pt idx="12">
                  <c:v>2.5940336674171935E-2</c:v>
                </c:pt>
                <c:pt idx="13">
                  <c:v>2.2852031423866676E-2</c:v>
                </c:pt>
                <c:pt idx="14">
                  <c:v>2.0434866077908113E-2</c:v>
                </c:pt>
                <c:pt idx="15">
                  <c:v>1.8436399356753067E-2</c:v>
                </c:pt>
                <c:pt idx="16">
                  <c:v>1.6793755201972446E-2</c:v>
                </c:pt>
                <c:pt idx="17">
                  <c:v>1.5012227490335074E-2</c:v>
                </c:pt>
                <c:pt idx="18">
                  <c:v>1.3762320997718581E-2</c:v>
                </c:pt>
                <c:pt idx="19">
                  <c:v>1.2569174298915797E-2</c:v>
                </c:pt>
                <c:pt idx="20">
                  <c:v>1.1475041032460115E-2</c:v>
                </c:pt>
                <c:pt idx="21">
                  <c:v>1.0513685620564468E-2</c:v>
                </c:pt>
                <c:pt idx="22">
                  <c:v>9.6062203573409333E-3</c:v>
                </c:pt>
                <c:pt idx="23">
                  <c:v>1.3286608480917873E-2</c:v>
                </c:pt>
                <c:pt idx="24">
                  <c:v>1.2206164060342303E-2</c:v>
                </c:pt>
                <c:pt idx="25">
                  <c:v>1.1311032120525227E-2</c:v>
                </c:pt>
                <c:pt idx="26">
                  <c:v>1.0553420883862732E-2</c:v>
                </c:pt>
                <c:pt idx="27">
                  <c:v>1.3227580976052103E-2</c:v>
                </c:pt>
                <c:pt idx="28">
                  <c:v>1.2479106243101905E-2</c:v>
                </c:pt>
                <c:pt idx="29">
                  <c:v>1.1749703986451008E-2</c:v>
                </c:pt>
                <c:pt idx="30">
                  <c:v>1.3819244106962515E-2</c:v>
                </c:pt>
                <c:pt idx="31">
                  <c:v>1.3185821762033326E-2</c:v>
                </c:pt>
                <c:pt idx="32">
                  <c:v>1.5079645583400501E-2</c:v>
                </c:pt>
                <c:pt idx="33">
                  <c:v>1.6492777174223348E-2</c:v>
                </c:pt>
                <c:pt idx="34">
                  <c:v>1.7922414898373786E-2</c:v>
                </c:pt>
                <c:pt idx="35">
                  <c:v>1.7515379157730937E-2</c:v>
                </c:pt>
                <c:pt idx="36">
                  <c:v>1.8962251014401948E-2</c:v>
                </c:pt>
                <c:pt idx="37">
                  <c:v>2.0249484122518653E-2</c:v>
                </c:pt>
                <c:pt idx="38">
                  <c:v>1.9334695426303953E-2</c:v>
                </c:pt>
                <c:pt idx="39">
                  <c:v>2.0407430206486186E-2</c:v>
                </c:pt>
                <c:pt idx="40">
                  <c:v>2.1459348997263941E-2</c:v>
                </c:pt>
                <c:pt idx="41">
                  <c:v>2.4106642597721051E-2</c:v>
                </c:pt>
                <c:pt idx="42">
                  <c:v>2.6556851599827142E-2</c:v>
                </c:pt>
                <c:pt idx="43">
                  <c:v>2.724423201037281E-2</c:v>
                </c:pt>
                <c:pt idx="44">
                  <c:v>2.7937270026818728E-2</c:v>
                </c:pt>
                <c:pt idx="45">
                  <c:v>2.8615389684563702E-2</c:v>
                </c:pt>
                <c:pt idx="46">
                  <c:v>2.9323205377548487E-2</c:v>
                </c:pt>
                <c:pt idx="47">
                  <c:v>2.8593610488899711E-2</c:v>
                </c:pt>
                <c:pt idx="48">
                  <c:v>2.9281040107973597E-2</c:v>
                </c:pt>
                <c:pt idx="49">
                  <c:v>2.8653205630017636E-2</c:v>
                </c:pt>
                <c:pt idx="50">
                  <c:v>2.9377383546025669E-2</c:v>
                </c:pt>
                <c:pt idx="51">
                  <c:v>2.8771643738525188E-2</c:v>
                </c:pt>
                <c:pt idx="52">
                  <c:v>2.692385994863469E-2</c:v>
                </c:pt>
                <c:pt idx="53">
                  <c:v>2.392521733157113E-2</c:v>
                </c:pt>
                <c:pt idx="54">
                  <c:v>2.1037045999395911E-2</c:v>
                </c:pt>
                <c:pt idx="55">
                  <c:v>1.8311043067400619E-2</c:v>
                </c:pt>
                <c:pt idx="56">
                  <c:v>1.4450351697542335E-2</c:v>
                </c:pt>
                <c:pt idx="57">
                  <c:v>1.1878548002711046E-2</c:v>
                </c:pt>
                <c:pt idx="58">
                  <c:v>9.3934398161351629E-3</c:v>
                </c:pt>
                <c:pt idx="59">
                  <c:v>8.149023886931046E-3</c:v>
                </c:pt>
                <c:pt idx="60">
                  <c:v>6.9168909339404564E-3</c:v>
                </c:pt>
                <c:pt idx="61">
                  <c:v>5.71469583170301E-3</c:v>
                </c:pt>
                <c:pt idx="62">
                  <c:v>5.6826881395997042E-3</c:v>
                </c:pt>
                <c:pt idx="63">
                  <c:v>5.6558835992065208E-3</c:v>
                </c:pt>
                <c:pt idx="64">
                  <c:v>4.5074868145030672E-3</c:v>
                </c:pt>
                <c:pt idx="65">
                  <c:v>4.4956150898196965E-3</c:v>
                </c:pt>
                <c:pt idx="66">
                  <c:v>4.4920483569730815E-3</c:v>
                </c:pt>
                <c:pt idx="67">
                  <c:v>4.4937005292551404E-3</c:v>
                </c:pt>
                <c:pt idx="68">
                  <c:v>4.5046004564628928E-3</c:v>
                </c:pt>
                <c:pt idx="69">
                  <c:v>4.5245302961107224E-3</c:v>
                </c:pt>
                <c:pt idx="70">
                  <c:v>4.5573959620396065E-3</c:v>
                </c:pt>
                <c:pt idx="71">
                  <c:v>5.7656792737375223E-3</c:v>
                </c:pt>
                <c:pt idx="72">
                  <c:v>5.8723258191263703E-3</c:v>
                </c:pt>
                <c:pt idx="73">
                  <c:v>5.9581764606578755E-3</c:v>
                </c:pt>
                <c:pt idx="74">
                  <c:v>5.9338085936978978E-3</c:v>
                </c:pt>
                <c:pt idx="75">
                  <c:v>5.7638468660731598E-3</c:v>
                </c:pt>
                <c:pt idx="76">
                  <c:v>6.588774151820063E-3</c:v>
                </c:pt>
                <c:pt idx="77">
                  <c:v>6.2628846444027306E-3</c:v>
                </c:pt>
                <c:pt idx="78">
                  <c:v>6.0261690569151554E-3</c:v>
                </c:pt>
                <c:pt idx="79">
                  <c:v>5.8424517434246788E-3</c:v>
                </c:pt>
                <c:pt idx="80">
                  <c:v>5.7033138369740133E-3</c:v>
                </c:pt>
                <c:pt idx="81">
                  <c:v>5.6210974815288622E-3</c:v>
                </c:pt>
                <c:pt idx="82">
                  <c:v>5.5874538842740863E-3</c:v>
                </c:pt>
                <c:pt idx="83">
                  <c:v>5.5859301112375194E-3</c:v>
                </c:pt>
                <c:pt idx="84">
                  <c:v>5.6096873085234485E-3</c:v>
                </c:pt>
                <c:pt idx="85">
                  <c:v>5.6545058541171787E-3</c:v>
                </c:pt>
                <c:pt idx="86">
                  <c:v>5.7166096448432006E-3</c:v>
                </c:pt>
                <c:pt idx="87">
                  <c:v>4.8216261948358999E-3</c:v>
                </c:pt>
                <c:pt idx="88">
                  <c:v>4.8855140632243031E-3</c:v>
                </c:pt>
                <c:pt idx="89">
                  <c:v>4.9650110685765993E-3</c:v>
                </c:pt>
                <c:pt idx="90">
                  <c:v>5.0554916225615115E-3</c:v>
                </c:pt>
                <c:pt idx="91">
                  <c:v>4.1230498731376804E-3</c:v>
                </c:pt>
                <c:pt idx="92">
                  <c:v>4.2048268077004951E-3</c:v>
                </c:pt>
                <c:pt idx="93">
                  <c:v>4.2952314263191632E-3</c:v>
                </c:pt>
                <c:pt idx="94">
                  <c:v>4.3900239979108267E-3</c:v>
                </c:pt>
                <c:pt idx="95">
                  <c:v>4.4891817307417944E-3</c:v>
                </c:pt>
                <c:pt idx="96">
                  <c:v>4.5878392177046649E-3</c:v>
                </c:pt>
                <c:pt idx="97">
                  <c:v>3.5211864230691309E-3</c:v>
                </c:pt>
                <c:pt idx="98">
                  <c:v>3.609592049253835E-3</c:v>
                </c:pt>
                <c:pt idx="99">
                  <c:v>3.7026298656299981E-3</c:v>
                </c:pt>
                <c:pt idx="100">
                  <c:v>3.7835766230969437E-3</c:v>
                </c:pt>
                <c:pt idx="101">
                  <c:v>3.8777046862485003E-3</c:v>
                </c:pt>
                <c:pt idx="102">
                  <c:v>3.9545065967826649E-3</c:v>
                </c:pt>
                <c:pt idx="103">
                  <c:v>2.6822119306855103E-3</c:v>
                </c:pt>
                <c:pt idx="104">
                  <c:v>2.7311882755311112E-3</c:v>
                </c:pt>
                <c:pt idx="105">
                  <c:v>2.7738090527680806E-3</c:v>
                </c:pt>
                <c:pt idx="106">
                  <c:v>2.8057249954481318E-3</c:v>
                </c:pt>
                <c:pt idx="107">
                  <c:v>2.8280795243773886E-3</c:v>
                </c:pt>
                <c:pt idx="108">
                  <c:v>1.4202338967837815E-3</c:v>
                </c:pt>
                <c:pt idx="109">
                  <c:v>1.4212773503709667E-3</c:v>
                </c:pt>
                <c:pt idx="110">
                  <c:v>1.4173204063164706E-3</c:v>
                </c:pt>
                <c:pt idx="111">
                  <c:v>1.4086169869658217E-3</c:v>
                </c:pt>
                <c:pt idx="112">
                  <c:v>1.3965833073211256E-3</c:v>
                </c:pt>
                <c:pt idx="113">
                  <c:v>1.374162831002608E-3</c:v>
                </c:pt>
                <c:pt idx="114">
                  <c:v>1.3576395970971748E-3</c:v>
                </c:pt>
                <c:pt idx="115">
                  <c:v>1.3355199505737266E-3</c:v>
                </c:pt>
                <c:pt idx="116">
                  <c:v>1.3120595839441953E-3</c:v>
                </c:pt>
                <c:pt idx="117">
                  <c:v>1.287235644266288E-3</c:v>
                </c:pt>
                <c:pt idx="118">
                  <c:v>1.2617131432046812E-3</c:v>
                </c:pt>
                <c:pt idx="119">
                  <c:v>1.2376051634147734E-3</c:v>
                </c:pt>
                <c:pt idx="120">
                  <c:v>1.2142995795254383E-3</c:v>
                </c:pt>
                <c:pt idx="121">
                  <c:v>1.193325919813858E-3</c:v>
                </c:pt>
                <c:pt idx="122">
                  <c:v>1.1722588521098927E-3</c:v>
                </c:pt>
                <c:pt idx="123">
                  <c:v>1.155454623778052E-3</c:v>
                </c:pt>
                <c:pt idx="124">
                  <c:v>1.1383210016619695E-3</c:v>
                </c:pt>
                <c:pt idx="125">
                  <c:v>1.122990368033932E-3</c:v>
                </c:pt>
                <c:pt idx="126">
                  <c:v>1.1083634598534702E-3</c:v>
                </c:pt>
                <c:pt idx="127">
                  <c:v>1.0960343650968918E-3</c:v>
                </c:pt>
                <c:pt idx="128">
                  <c:v>1.0872053000785149E-3</c:v>
                </c:pt>
                <c:pt idx="129">
                  <c:v>1.0792594784114927E-3</c:v>
                </c:pt>
                <c:pt idx="130">
                  <c:v>1.0710137028007035E-3</c:v>
                </c:pt>
                <c:pt idx="131">
                  <c:v>1.0627372600920163E-3</c:v>
                </c:pt>
                <c:pt idx="132">
                  <c:v>1.0564114567911203E-3</c:v>
                </c:pt>
                <c:pt idx="133">
                  <c:v>1.0503695602354526E-3</c:v>
                </c:pt>
                <c:pt idx="134">
                  <c:v>1.0450546504252678E-3</c:v>
                </c:pt>
                <c:pt idx="135">
                  <c:v>2.0825714450123755E-3</c:v>
                </c:pt>
                <c:pt idx="136">
                  <c:v>2.0776507364398998E-3</c:v>
                </c:pt>
                <c:pt idx="137">
                  <c:v>2.0719023373446193E-3</c:v>
                </c:pt>
                <c:pt idx="138">
                  <c:v>2.0661487616260919E-3</c:v>
                </c:pt>
                <c:pt idx="139">
                  <c:v>2.0619277708408819E-3</c:v>
                </c:pt>
                <c:pt idx="140">
                  <c:v>2.0583078403374243E-3</c:v>
                </c:pt>
                <c:pt idx="141">
                  <c:v>2.0560108749725589E-3</c:v>
                </c:pt>
                <c:pt idx="142">
                  <c:v>2.0509248212352443E-3</c:v>
                </c:pt>
                <c:pt idx="143">
                  <c:v>2.0495848396369339E-3</c:v>
                </c:pt>
                <c:pt idx="144">
                  <c:v>2.0457556339228983E-3</c:v>
                </c:pt>
                <c:pt idx="145">
                  <c:v>2.0435945148384402E-3</c:v>
                </c:pt>
                <c:pt idx="146">
                  <c:v>2.0422281790281873E-3</c:v>
                </c:pt>
                <c:pt idx="147">
                  <c:v>2.0385696200278507E-3</c:v>
                </c:pt>
                <c:pt idx="148">
                  <c:v>2.0359950132436098E-3</c:v>
                </c:pt>
                <c:pt idx="149">
                  <c:v>2.0313272568315472E-3</c:v>
                </c:pt>
                <c:pt idx="150">
                  <c:v>2.0331419302094546E-3</c:v>
                </c:pt>
                <c:pt idx="151">
                  <c:v>2.0140558507102386E-3</c:v>
                </c:pt>
                <c:pt idx="152">
                  <c:v>2.0133571523813583E-3</c:v>
                </c:pt>
                <c:pt idx="153">
                  <c:v>2.0250896625212014E-3</c:v>
                </c:pt>
                <c:pt idx="154">
                  <c:v>2.0581253837721747E-3</c:v>
                </c:pt>
                <c:pt idx="155">
                  <c:v>2.0810032914395466E-3</c:v>
                </c:pt>
                <c:pt idx="156">
                  <c:v>2.1039759083940025E-3</c:v>
                </c:pt>
                <c:pt idx="157">
                  <c:v>2.1113240429336856E-3</c:v>
                </c:pt>
                <c:pt idx="158">
                  <c:v>2.119613574490151E-3</c:v>
                </c:pt>
                <c:pt idx="159">
                  <c:v>2.1328170917602964E-3</c:v>
                </c:pt>
                <c:pt idx="160">
                  <c:v>2.1661728211277661E-3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Calculations!$J$3:$J$163</c:f>
              <c:numCache>
                <c:formatCode>General</c:formatCode>
                <c:ptCount val="161"/>
                <c:pt idx="0">
                  <c:v>1.558846426711615E-2</c:v>
                </c:pt>
                <c:pt idx="1">
                  <c:v>1.558846426711615E-2</c:v>
                </c:pt>
                <c:pt idx="2">
                  <c:v>1.558846426711615E-2</c:v>
                </c:pt>
                <c:pt idx="3">
                  <c:v>1.558846426711615E-2</c:v>
                </c:pt>
                <c:pt idx="4">
                  <c:v>1.558846426711615E-2</c:v>
                </c:pt>
                <c:pt idx="5">
                  <c:v>1.558846426711615E-2</c:v>
                </c:pt>
                <c:pt idx="6">
                  <c:v>1.558846426711615E-2</c:v>
                </c:pt>
                <c:pt idx="7">
                  <c:v>1.558846426711615E-2</c:v>
                </c:pt>
                <c:pt idx="8">
                  <c:v>1.558846426711615E-2</c:v>
                </c:pt>
                <c:pt idx="9">
                  <c:v>1.558846426711615E-2</c:v>
                </c:pt>
                <c:pt idx="10">
                  <c:v>1.558846426711615E-2</c:v>
                </c:pt>
                <c:pt idx="11">
                  <c:v>1.558846426711615E-2</c:v>
                </c:pt>
                <c:pt idx="12">
                  <c:v>1.558846426711615E-2</c:v>
                </c:pt>
                <c:pt idx="13">
                  <c:v>1.3732592593397116E-2</c:v>
                </c:pt>
                <c:pt idx="14">
                  <c:v>1.2280032586313503E-2</c:v>
                </c:pt>
                <c:pt idx="15">
                  <c:v>1.1079083367224747E-2</c:v>
                </c:pt>
                <c:pt idx="16">
                  <c:v>1.0091960492451868E-2</c:v>
                </c:pt>
                <c:pt idx="17">
                  <c:v>9.0213775843515469E-3</c:v>
                </c:pt>
                <c:pt idx="18">
                  <c:v>8.2702646384356041E-3</c:v>
                </c:pt>
                <c:pt idx="19">
                  <c:v>7.553260656824462E-3</c:v>
                </c:pt>
                <c:pt idx="20">
                  <c:v>6.8957573428991073E-3</c:v>
                </c:pt>
                <c:pt idx="21">
                  <c:v>9.4770675880602485E-3</c:v>
                </c:pt>
                <c:pt idx="22">
                  <c:v>8.6590756921864787E-3</c:v>
                </c:pt>
                <c:pt idx="23">
                  <c:v>7.984392189565221E-3</c:v>
                </c:pt>
                <c:pt idx="24">
                  <c:v>7.3351149864857067E-3</c:v>
                </c:pt>
                <c:pt idx="25">
                  <c:v>6.7971985965228042E-3</c:v>
                </c:pt>
                <c:pt idx="26">
                  <c:v>8.4558974986396786E-3</c:v>
                </c:pt>
                <c:pt idx="27">
                  <c:v>7.9489204776158062E-3</c:v>
                </c:pt>
                <c:pt idx="28">
                  <c:v>9.3739198204005059E-3</c:v>
                </c:pt>
                <c:pt idx="29">
                  <c:v>8.8260153360994621E-3</c:v>
                </c:pt>
                <c:pt idx="30">
                  <c:v>9.9653659315418527E-3</c:v>
                </c:pt>
                <c:pt idx="31">
                  <c:v>9.5085909149362491E-3</c:v>
                </c:pt>
                <c:pt idx="32">
                  <c:v>1.0572206623648064E-2</c:v>
                </c:pt>
                <c:pt idx="33">
                  <c:v>1.1326962378940797E-2</c:v>
                </c:pt>
                <c:pt idx="34">
                  <c:v>1.3462765439486084E-2</c:v>
                </c:pt>
                <c:pt idx="35">
                  <c:v>1.4472713887676207E-2</c:v>
                </c:pt>
                <c:pt idx="36">
                  <c:v>1.5193447849626739E-2</c:v>
                </c:pt>
                <c:pt idx="37">
                  <c:v>1.5819218674053583E-2</c:v>
                </c:pt>
                <c:pt idx="38">
                  <c:v>1.6266461218506736E-2</c:v>
                </c:pt>
                <c:pt idx="39">
                  <c:v>1.6723016062022054E-2</c:v>
                </c:pt>
                <c:pt idx="40">
                  <c:v>1.8268881387367306E-2</c:v>
                </c:pt>
                <c:pt idx="41">
                  <c:v>1.9660295093695501E-2</c:v>
                </c:pt>
                <c:pt idx="42">
                  <c:v>2.0946122354496045E-2</c:v>
                </c:pt>
                <c:pt idx="43">
                  <c:v>2.3113440659318026E-2</c:v>
                </c:pt>
                <c:pt idx="44">
                  <c:v>2.4250043235236475E-2</c:v>
                </c:pt>
                <c:pt idx="45">
                  <c:v>2.4436417577027535E-2</c:v>
                </c:pt>
                <c:pt idx="46">
                  <c:v>2.5550956031108223E-2</c:v>
                </c:pt>
                <c:pt idx="47">
                  <c:v>2.4915219020765572E-2</c:v>
                </c:pt>
                <c:pt idx="48">
                  <c:v>2.51371577581418E-2</c:v>
                </c:pt>
                <c:pt idx="49">
                  <c:v>2.5418114164125875E-2</c:v>
                </c:pt>
                <c:pt idx="50">
                  <c:v>2.4875959357022963E-2</c:v>
                </c:pt>
                <c:pt idx="51">
                  <c:v>2.4363035569623544E-2</c:v>
                </c:pt>
                <c:pt idx="52">
                  <c:v>2.3113568114086477E-2</c:v>
                </c:pt>
                <c:pt idx="53">
                  <c:v>2.1187905678730475E-2</c:v>
                </c:pt>
                <c:pt idx="54">
                  <c:v>1.8591034264107121E-2</c:v>
                </c:pt>
                <c:pt idx="55">
                  <c:v>1.6138837156982687E-2</c:v>
                </c:pt>
                <c:pt idx="56">
                  <c:v>1.3749234046824099E-2</c:v>
                </c:pt>
                <c:pt idx="57">
                  <c:v>1.0707358045416721E-2</c:v>
                </c:pt>
                <c:pt idx="58">
                  <c:v>9.172880843184468E-3</c:v>
                </c:pt>
                <c:pt idx="59">
                  <c:v>7.6953427427067182E-3</c:v>
                </c:pt>
                <c:pt idx="60">
                  <c:v>6.2349061680540135E-3</c:v>
                </c:pt>
                <c:pt idx="61">
                  <c:v>5.4946598189440027E-3</c:v>
                </c:pt>
                <c:pt idx="62">
                  <c:v>4.7808990108998686E-3</c:v>
                </c:pt>
                <c:pt idx="63">
                  <c:v>4.7583480988129655E-3</c:v>
                </c:pt>
                <c:pt idx="64">
                  <c:v>4.0630620635813235E-3</c:v>
                </c:pt>
                <c:pt idx="65">
                  <c:v>4.0523608555300692E-3</c:v>
                </c:pt>
                <c:pt idx="66">
                  <c:v>4.0491457919000695E-3</c:v>
                </c:pt>
                <c:pt idx="67">
                  <c:v>4.7257408541519809E-3</c:v>
                </c:pt>
                <c:pt idx="68">
                  <c:v>4.7372036187437946E-3</c:v>
                </c:pt>
                <c:pt idx="69">
                  <c:v>4.7581625715772749E-3</c:v>
                </c:pt>
                <c:pt idx="70">
                  <c:v>4.7927253153934027E-3</c:v>
                </c:pt>
                <c:pt idx="71">
                  <c:v>4.8507202330690122E-3</c:v>
                </c:pt>
                <c:pt idx="72">
                  <c:v>4.9404429753417117E-3</c:v>
                </c:pt>
                <c:pt idx="73">
                  <c:v>5.0126699279916254E-3</c:v>
                </c:pt>
                <c:pt idx="74">
                  <c:v>5.7053359642030522E-3</c:v>
                </c:pt>
                <c:pt idx="75">
                  <c:v>6.2346584560220315E-3</c:v>
                </c:pt>
                <c:pt idx="76">
                  <c:v>6.5990451724614397E-3</c:v>
                </c:pt>
                <c:pt idx="77">
                  <c:v>6.8999123501748477E-3</c:v>
                </c:pt>
                <c:pt idx="78">
                  <c:v>6.6391192974009725E-3</c:v>
                </c:pt>
                <c:pt idx="79">
                  <c:v>7.0218711020359828E-3</c:v>
                </c:pt>
                <c:pt idx="80">
                  <c:v>6.8546453400768394E-3</c:v>
                </c:pt>
                <c:pt idx="81">
                  <c:v>6.7558319179437847E-3</c:v>
                </c:pt>
                <c:pt idx="82">
                  <c:v>6.7153966668357682E-3</c:v>
                </c:pt>
                <c:pt idx="83">
                  <c:v>6.7135652887908284E-3</c:v>
                </c:pt>
                <c:pt idx="84">
                  <c:v>6.7421183662339026E-3</c:v>
                </c:pt>
                <c:pt idx="85">
                  <c:v>6.2296524672266059E-3</c:v>
                </c:pt>
                <c:pt idx="86">
                  <c:v>6.2980731291026187E-3</c:v>
                </c:pt>
                <c:pt idx="87">
                  <c:v>6.3744678966212165E-3</c:v>
                </c:pt>
                <c:pt idx="88">
                  <c:v>6.4589313430952738E-3</c:v>
                </c:pt>
                <c:pt idx="89">
                  <c:v>6.5640309688270414E-3</c:v>
                </c:pt>
                <c:pt idx="90">
                  <c:v>6.6836514792811821E-3</c:v>
                </c:pt>
                <c:pt idx="91">
                  <c:v>6.8136373893114867E-3</c:v>
                </c:pt>
                <c:pt idx="92">
                  <c:v>6.317072486796551E-3</c:v>
                </c:pt>
                <c:pt idx="93">
                  <c:v>6.4528908106118036E-3</c:v>
                </c:pt>
                <c:pt idx="94">
                  <c:v>6.5953013243713141E-3</c:v>
                </c:pt>
                <c:pt idx="95">
                  <c:v>6.0698428743078715E-3</c:v>
                </c:pt>
                <c:pt idx="96">
                  <c:v>6.2032381075945728E-3</c:v>
                </c:pt>
                <c:pt idx="97">
                  <c:v>6.3480159388763805E-3</c:v>
                </c:pt>
                <c:pt idx="98">
                  <c:v>5.7843500636020262E-3</c:v>
                </c:pt>
                <c:pt idx="99">
                  <c:v>5.9334426180318546E-3</c:v>
                </c:pt>
                <c:pt idx="100">
                  <c:v>6.0631593215576983E-3</c:v>
                </c:pt>
                <c:pt idx="101">
                  <c:v>6.2139989900432254E-3</c:v>
                </c:pt>
                <c:pt idx="102">
                  <c:v>6.3370736006976023E-3</c:v>
                </c:pt>
                <c:pt idx="103">
                  <c:v>5.6414255546465685E-3</c:v>
                </c:pt>
                <c:pt idx="104">
                  <c:v>5.7444362079898861E-3</c:v>
                </c:pt>
                <c:pt idx="105">
                  <c:v>5.8340793637423416E-3</c:v>
                </c:pt>
                <c:pt idx="106">
                  <c:v>5.0581777646770444E-3</c:v>
                </c:pt>
                <c:pt idx="107">
                  <c:v>5.0984786428291224E-3</c:v>
                </c:pt>
                <c:pt idx="108">
                  <c:v>5.1208122884509252E-3</c:v>
                </c:pt>
                <c:pt idx="109">
                  <c:v>5.1245745771582906E-3</c:v>
                </c:pt>
                <c:pt idx="110">
                  <c:v>5.1103073724500644E-3</c:v>
                </c:pt>
                <c:pt idx="111">
                  <c:v>5.0789262197657959E-3</c:v>
                </c:pt>
                <c:pt idx="112">
                  <c:v>5.0355374408193217E-3</c:v>
                </c:pt>
                <c:pt idx="113">
                  <c:v>4.9546979038213763E-3</c:v>
                </c:pt>
                <c:pt idx="114">
                  <c:v>4.8951215344504567E-3</c:v>
                </c:pt>
                <c:pt idx="115">
                  <c:v>4.8153666729519578E-3</c:v>
                </c:pt>
                <c:pt idx="116">
                  <c:v>4.7307776950377394E-3</c:v>
                </c:pt>
                <c:pt idx="117">
                  <c:v>4.641272201866325E-3</c:v>
                </c:pt>
                <c:pt idx="118">
                  <c:v>3.791040034548603E-3</c:v>
                </c:pt>
                <c:pt idx="119">
                  <c:v>3.7186033503245701E-3</c:v>
                </c:pt>
                <c:pt idx="120">
                  <c:v>3.6485776063360517E-3</c:v>
                </c:pt>
                <c:pt idx="121">
                  <c:v>3.5855585405001797E-3</c:v>
                </c:pt>
                <c:pt idx="122">
                  <c:v>3.5222588138496178E-3</c:v>
                </c:pt>
                <c:pt idx="123">
                  <c:v>3.4717675411710309E-3</c:v>
                </c:pt>
                <c:pt idx="124">
                  <c:v>3.4202865466765806E-3</c:v>
                </c:pt>
                <c:pt idx="125">
                  <c:v>3.3742229496126173E-3</c:v>
                </c:pt>
                <c:pt idx="126">
                  <c:v>3.3302738199768953E-3</c:v>
                </c:pt>
                <c:pt idx="127">
                  <c:v>3.2932288767077655E-3</c:v>
                </c:pt>
                <c:pt idx="128">
                  <c:v>3.2667003911066059E-3</c:v>
                </c:pt>
                <c:pt idx="129">
                  <c:v>2.5942605179700927E-3</c:v>
                </c:pt>
                <c:pt idx="130">
                  <c:v>2.5744398070706187E-3</c:v>
                </c:pt>
                <c:pt idx="131">
                  <c:v>2.5545453804031865E-3</c:v>
                </c:pt>
                <c:pt idx="132">
                  <c:v>2.5393397861265313E-3</c:v>
                </c:pt>
                <c:pt idx="133">
                  <c:v>2.5248166302019727E-3</c:v>
                </c:pt>
                <c:pt idx="134">
                  <c:v>2.5120409622991723E-3</c:v>
                </c:pt>
                <c:pt idx="135">
                  <c:v>2.5029814348258204E-3</c:v>
                </c:pt>
                <c:pt idx="136">
                  <c:v>1.8728005729133591E-3</c:v>
                </c:pt>
                <c:pt idx="137">
                  <c:v>1.8676189488173751E-3</c:v>
                </c:pt>
                <c:pt idx="138">
                  <c:v>1.8624326584977509E-3</c:v>
                </c:pt>
                <c:pt idx="139">
                  <c:v>1.8586278448097923E-3</c:v>
                </c:pt>
                <c:pt idx="140">
                  <c:v>1.8553648286531892E-3</c:v>
                </c:pt>
                <c:pt idx="141">
                  <c:v>1.8532943372198442E-3</c:v>
                </c:pt>
                <c:pt idx="142">
                  <c:v>1.8487097532057704E-3</c:v>
                </c:pt>
                <c:pt idx="143">
                  <c:v>1.8475018897949503E-3</c:v>
                </c:pt>
                <c:pt idx="144">
                  <c:v>1.8440502323391176E-3</c:v>
                </c:pt>
                <c:pt idx="145">
                  <c:v>1.2280681037864945E-3</c:v>
                </c:pt>
                <c:pt idx="146">
                  <c:v>1.2272470243524633E-3</c:v>
                </c:pt>
                <c:pt idx="147">
                  <c:v>1.2250484670645518E-3</c:v>
                </c:pt>
                <c:pt idx="148">
                  <c:v>1.2235012949379086E-3</c:v>
                </c:pt>
                <c:pt idx="149">
                  <c:v>1.2206962752902843E-3</c:v>
                </c:pt>
                <c:pt idx="150">
                  <c:v>1.2217867765996278E-3</c:v>
                </c:pt>
                <c:pt idx="151">
                  <c:v>1.2103172774944333E-3</c:v>
                </c:pt>
                <c:pt idx="152">
                  <c:v>1.2098974049974008E-3</c:v>
                </c:pt>
                <c:pt idx="153">
                  <c:v>1.2169478846182234E-3</c:v>
                </c:pt>
                <c:pt idx="154">
                  <c:v>1.2368002160172969E-3</c:v>
                </c:pt>
                <c:pt idx="155">
                  <c:v>1.2505483585591129E-3</c:v>
                </c:pt>
                <c:pt idx="156">
                  <c:v>1.2643534152557455E-3</c:v>
                </c:pt>
                <c:pt idx="157">
                  <c:v>1.2687691687650615E-3</c:v>
                </c:pt>
                <c:pt idx="158">
                  <c:v>1.27375064098272E-3</c:v>
                </c:pt>
                <c:pt idx="159">
                  <c:v>1.281685100729761E-3</c:v>
                </c:pt>
                <c:pt idx="160">
                  <c:v>1.3017297363056019E-3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Calculations!$K$3:$K$163</c:f>
              <c:numCache>
                <c:formatCode>General</c:formatCode>
                <c:ptCount val="161"/>
                <c:pt idx="0">
                  <c:v>1.1303692618223662E-2</c:v>
                </c:pt>
                <c:pt idx="1">
                  <c:v>3.7678974627685328E-3</c:v>
                </c:pt>
                <c:pt idx="2">
                  <c:v>3.7678974627685328E-3</c:v>
                </c:pt>
                <c:pt idx="3">
                  <c:v>3.7678974627685328E-3</c:v>
                </c:pt>
                <c:pt idx="4">
                  <c:v>3.7678974627685328E-3</c:v>
                </c:pt>
                <c:pt idx="5">
                  <c:v>7.5357949255370656E-3</c:v>
                </c:pt>
                <c:pt idx="6">
                  <c:v>7.5357949255370656E-3</c:v>
                </c:pt>
                <c:pt idx="7">
                  <c:v>7.5357949255370656E-3</c:v>
                </c:pt>
                <c:pt idx="8">
                  <c:v>7.5357949255370656E-3</c:v>
                </c:pt>
                <c:pt idx="9">
                  <c:v>7.5357949255370656E-3</c:v>
                </c:pt>
                <c:pt idx="10">
                  <c:v>7.5357949255370656E-3</c:v>
                </c:pt>
                <c:pt idx="11">
                  <c:v>7.5357949255370656E-3</c:v>
                </c:pt>
                <c:pt idx="12">
                  <c:v>7.5357949255370656E-3</c:v>
                </c:pt>
                <c:pt idx="13">
                  <c:v>6.6386271159560922E-3</c:v>
                </c:pt>
                <c:pt idx="14">
                  <c:v>5.9364287375366235E-3</c:v>
                </c:pt>
                <c:pt idx="15">
                  <c:v>5.3558643614724632E-3</c:v>
                </c:pt>
                <c:pt idx="16">
                  <c:v>4.8786681846632405E-3</c:v>
                </c:pt>
                <c:pt idx="17">
                  <c:v>6.541688614032295E-3</c:v>
                </c:pt>
                <c:pt idx="18">
                  <c:v>5.9970326609688068E-3</c:v>
                </c:pt>
                <c:pt idx="19">
                  <c:v>5.4771102057932898E-3</c:v>
                </c:pt>
                <c:pt idx="20">
                  <c:v>5.0003335824697287E-3</c:v>
                </c:pt>
                <c:pt idx="21">
                  <c:v>4.5814158864725899E-3</c:v>
                </c:pt>
                <c:pt idx="22">
                  <c:v>5.5813081789734716E-3</c:v>
                </c:pt>
                <c:pt idx="23">
                  <c:v>6.4330415634783556E-3</c:v>
                </c:pt>
                <c:pt idx="24">
                  <c:v>5.9099175567332747E-3</c:v>
                </c:pt>
                <c:pt idx="25">
                  <c:v>6.5718205223843111E-3</c:v>
                </c:pt>
                <c:pt idx="26">
                  <c:v>6.1316409684731565E-3</c:v>
                </c:pt>
                <c:pt idx="27">
                  <c:v>6.7246849763568269E-3</c:v>
                </c:pt>
                <c:pt idx="28">
                  <c:v>7.2504830359922225E-3</c:v>
                </c:pt>
                <c:pt idx="29">
                  <c:v>7.680030187435378E-3</c:v>
                </c:pt>
                <c:pt idx="30">
                  <c:v>8.0291162696970227E-3</c:v>
                </c:pt>
                <c:pt idx="31">
                  <c:v>9.1933098652880307E-3</c:v>
                </c:pt>
                <c:pt idx="32">
                  <c:v>1.0221658742135386E-2</c:v>
                </c:pt>
                <c:pt idx="33">
                  <c:v>1.0951388687727657E-2</c:v>
                </c:pt>
                <c:pt idx="34">
                  <c:v>1.2365555240359765E-2</c:v>
                </c:pt>
                <c:pt idx="35">
                  <c:v>1.3992834958549355E-2</c:v>
                </c:pt>
                <c:pt idx="36">
                  <c:v>1.5301740771264666E-2</c:v>
                </c:pt>
                <c:pt idx="37">
                  <c:v>1.5882950399734058E-2</c:v>
                </c:pt>
                <c:pt idx="38">
                  <c:v>1.6288788444714836E-2</c:v>
                </c:pt>
                <c:pt idx="39">
                  <c:v>1.724642419782799E-2</c:v>
                </c:pt>
                <c:pt idx="40">
                  <c:v>1.8182633836276305E-2</c:v>
                </c:pt>
                <c:pt idx="41">
                  <c:v>1.9008408969980021E-2</c:v>
                </c:pt>
                <c:pt idx="42">
                  <c:v>2.121596330337213E-2</c:v>
                </c:pt>
                <c:pt idx="43">
                  <c:v>2.3278184175264862E-2</c:v>
                </c:pt>
                <c:pt idx="44">
                  <c:v>2.4798623844665187E-2</c:v>
                </c:pt>
                <c:pt idx="45">
                  <c:v>2.6251296697928649E-2</c:v>
                </c:pt>
                <c:pt idx="46">
                  <c:v>2.6407457156588831E-2</c:v>
                </c:pt>
                <c:pt idx="47">
                  <c:v>2.6165737765626543E-2</c:v>
                </c:pt>
                <c:pt idx="48">
                  <c:v>2.6734039692473694E-2</c:v>
                </c:pt>
                <c:pt idx="49">
                  <c:v>2.6953570700086076E-2</c:v>
                </c:pt>
                <c:pt idx="50">
                  <c:v>2.6378665424687475E-2</c:v>
                </c:pt>
                <c:pt idx="51">
                  <c:v>2.5454831877059127E-2</c:v>
                </c:pt>
                <c:pt idx="52">
                  <c:v>2.3836992020010463E-2</c:v>
                </c:pt>
                <c:pt idx="53">
                  <c:v>2.1582797443520402E-2</c:v>
                </c:pt>
                <c:pt idx="54">
                  <c:v>1.9053077493142077E-2</c:v>
                </c:pt>
                <c:pt idx="55">
                  <c:v>1.7022233061313036E-2</c:v>
                </c:pt>
                <c:pt idx="56">
                  <c:v>1.5392292717010161E-2</c:v>
                </c:pt>
                <c:pt idx="57">
                  <c:v>1.3112950410569616E-2</c:v>
                </c:pt>
                <c:pt idx="58">
                  <c:v>1.0574256181480042E-2</c:v>
                </c:pt>
                <c:pt idx="59">
                  <c:v>8.7929451497850645E-3</c:v>
                </c:pt>
                <c:pt idx="60">
                  <c:v>7.0328675766092082E-3</c:v>
                </c:pt>
                <c:pt idx="61">
                  <c:v>5.6445003875727389E-3</c:v>
                </c:pt>
                <c:pt idx="62">
                  <c:v>4.9525460972278633E-3</c:v>
                </c:pt>
                <c:pt idx="63">
                  <c:v>4.9291855469651841E-3</c:v>
                </c:pt>
                <c:pt idx="64">
                  <c:v>4.5830645705352549E-3</c:v>
                </c:pt>
                <c:pt idx="65">
                  <c:v>4.2444942570237692E-3</c:v>
                </c:pt>
                <c:pt idx="66">
                  <c:v>4.2411267585210442E-3</c:v>
                </c:pt>
                <c:pt idx="67">
                  <c:v>4.2426866420125593E-3</c:v>
                </c:pt>
                <c:pt idx="68">
                  <c:v>4.5801298164658165E-3</c:v>
                </c:pt>
                <c:pt idx="69">
                  <c:v>4.6003938229388971E-3</c:v>
                </c:pt>
                <c:pt idx="70">
                  <c:v>4.6338105527718217E-3</c:v>
                </c:pt>
                <c:pt idx="71">
                  <c:v>4.6898825042916044E-3</c:v>
                </c:pt>
                <c:pt idx="72">
                  <c:v>5.117818117538535E-3</c:v>
                </c:pt>
                <c:pt idx="73">
                  <c:v>5.5388140695662698E-3</c:v>
                </c:pt>
                <c:pt idx="74">
                  <c:v>6.2056817785545648E-3</c:v>
                </c:pt>
                <c:pt idx="75">
                  <c:v>6.3628179228374174E-3</c:v>
                </c:pt>
                <c:pt idx="76">
                  <c:v>6.6992492066862853E-3</c:v>
                </c:pt>
                <c:pt idx="77">
                  <c:v>6.9743616341115663E-3</c:v>
                </c:pt>
                <c:pt idx="78">
                  <c:v>7.2942984867777685E-3</c:v>
                </c:pt>
                <c:pt idx="79">
                  <c:v>7.3547970254130663E-3</c:v>
                </c:pt>
                <c:pt idx="80">
                  <c:v>7.4557827179451671E-3</c:v>
                </c:pt>
                <c:pt idx="81">
                  <c:v>7.6204629471812828E-3</c:v>
                </c:pt>
                <c:pt idx="82">
                  <c:v>7.5748526749644454E-3</c:v>
                </c:pt>
                <c:pt idx="83">
                  <c:v>7.8432435683892226E-3</c:v>
                </c:pt>
                <c:pt idx="84">
                  <c:v>7.6049942952152909E-3</c:v>
                </c:pt>
                <c:pt idx="85">
                  <c:v>7.3919774065974702E-3</c:v>
                </c:pt>
                <c:pt idx="86">
                  <c:v>7.1963801256311483E-3</c:v>
                </c:pt>
                <c:pt idx="87">
                  <c:v>7.0035300541353386E-3</c:v>
                </c:pt>
                <c:pt idx="88">
                  <c:v>7.3801818742758492E-3</c:v>
                </c:pt>
                <c:pt idx="89">
                  <c:v>7.5002720736627735E-3</c:v>
                </c:pt>
                <c:pt idx="90">
                  <c:v>7.6369543011320321E-3</c:v>
                </c:pt>
                <c:pt idx="91">
                  <c:v>7.4860388361696747E-3</c:v>
                </c:pt>
                <c:pt idx="92">
                  <c:v>7.6345175902174057E-3</c:v>
                </c:pt>
                <c:pt idx="93">
                  <c:v>7.4867148221076183E-3</c:v>
                </c:pt>
                <c:pt idx="94">
                  <c:v>7.3331102131954876E-3</c:v>
                </c:pt>
                <c:pt idx="95">
                  <c:v>7.4987436092056508E-3</c:v>
                </c:pt>
                <c:pt idx="96">
                  <c:v>7.330343969330101E-3</c:v>
                </c:pt>
                <c:pt idx="97">
                  <c:v>6.8194795217732035E-3</c:v>
                </c:pt>
                <c:pt idx="98">
                  <c:v>6.6411599441903238E-3</c:v>
                </c:pt>
                <c:pt idx="99">
                  <c:v>6.4537929001631912E-3</c:v>
                </c:pt>
                <c:pt idx="100">
                  <c:v>6.2285029953000753E-3</c:v>
                </c:pt>
                <c:pt idx="101">
                  <c:v>6.0079583535682336E-3</c:v>
                </c:pt>
                <c:pt idx="102">
                  <c:v>6.1269521185137879E-3</c:v>
                </c:pt>
                <c:pt idx="103">
                  <c:v>5.8439678499311353E-3</c:v>
                </c:pt>
                <c:pt idx="104">
                  <c:v>5.9506768617770709E-3</c:v>
                </c:pt>
                <c:pt idx="105">
                  <c:v>6.04353844704646E-3</c:v>
                </c:pt>
                <c:pt idx="106">
                  <c:v>5.7055380749776669E-3</c:v>
                </c:pt>
                <c:pt idx="107">
                  <c:v>5.7509967767966205E-3</c:v>
                </c:pt>
                <c:pt idx="108">
                  <c:v>5.3636038656245536E-3</c:v>
                </c:pt>
                <c:pt idx="109">
                  <c:v>5.3675445346273859E-3</c:v>
                </c:pt>
                <c:pt idx="110">
                  <c:v>5.3526008831099722E-3</c:v>
                </c:pt>
                <c:pt idx="111">
                  <c:v>5.3197318650003451E-3</c:v>
                </c:pt>
                <c:pt idx="112">
                  <c:v>5.2742859065521312E-3</c:v>
                </c:pt>
                <c:pt idx="113">
                  <c:v>4.7904125360122701E-3</c:v>
                </c:pt>
                <c:pt idx="114">
                  <c:v>4.7328115697728487E-3</c:v>
                </c:pt>
                <c:pt idx="115">
                  <c:v>4.2677261129068439E-3</c:v>
                </c:pt>
                <c:pt idx="116">
                  <c:v>4.1927572446093632E-3</c:v>
                </c:pt>
                <c:pt idx="117">
                  <c:v>4.1134310050102334E-3</c:v>
                </c:pt>
                <c:pt idx="118">
                  <c:v>4.0318724747909589E-3</c:v>
                </c:pt>
                <c:pt idx="119">
                  <c:v>3.9548341236718904E-3</c:v>
                </c:pt>
                <c:pt idx="120">
                  <c:v>3.8803598719781367E-3</c:v>
                </c:pt>
                <c:pt idx="121">
                  <c:v>3.466670403410563E-3</c:v>
                </c:pt>
                <c:pt idx="122">
                  <c:v>3.4054695370895039E-3</c:v>
                </c:pt>
                <c:pt idx="123">
                  <c:v>3.0209872184218628E-3</c:v>
                </c:pt>
                <c:pt idx="124">
                  <c:v>2.9761906055971107E-3</c:v>
                </c:pt>
                <c:pt idx="125">
                  <c:v>2.6098736413959055E-3</c:v>
                </c:pt>
                <c:pt idx="126">
                  <c:v>2.5758801333463761E-3</c:v>
                </c:pt>
                <c:pt idx="127">
                  <c:v>2.5472268337781872E-3</c:v>
                </c:pt>
                <c:pt idx="128">
                  <c:v>2.5267077405379005E-3</c:v>
                </c:pt>
                <c:pt idx="129">
                  <c:v>2.5082413394731254E-3</c:v>
                </c:pt>
                <c:pt idx="130">
                  <c:v>2.1779431234586204E-3</c:v>
                </c:pt>
                <c:pt idx="131">
                  <c:v>2.1611126931504487E-3</c:v>
                </c:pt>
                <c:pt idx="132">
                  <c:v>1.8413562685678415E-3</c:v>
                </c:pt>
                <c:pt idx="133">
                  <c:v>1.8308250650057273E-3</c:v>
                </c:pt>
                <c:pt idx="134">
                  <c:v>1.5179675419859158E-3</c:v>
                </c:pt>
                <c:pt idx="135">
                  <c:v>1.5124930816340864E-3</c:v>
                </c:pt>
                <c:pt idx="136">
                  <c:v>1.5089193566171458E-3</c:v>
                </c:pt>
                <c:pt idx="137">
                  <c:v>1.504744511195681E-3</c:v>
                </c:pt>
                <c:pt idx="138">
                  <c:v>1.5005659061880247E-3</c:v>
                </c:pt>
                <c:pt idx="139">
                  <c:v>1.4975003598051808E-3</c:v>
                </c:pt>
                <c:pt idx="140">
                  <c:v>1.1958970288810302E-3</c:v>
                </c:pt>
                <c:pt idx="141">
                  <c:v>1.1945624694912962E-3</c:v>
                </c:pt>
                <c:pt idx="142">
                  <c:v>1.1916074224210839E-3</c:v>
                </c:pt>
                <c:pt idx="143">
                  <c:v>1.1908288799791955E-3</c:v>
                </c:pt>
                <c:pt idx="144">
                  <c:v>8.9145307357896568E-4</c:v>
                </c:pt>
                <c:pt idx="145">
                  <c:v>8.9051135003277845E-4</c:v>
                </c:pt>
                <c:pt idx="146">
                  <c:v>8.8991595914767298E-4</c:v>
                </c:pt>
                <c:pt idx="147">
                  <c:v>8.8832171513747026E-4</c:v>
                </c:pt>
                <c:pt idx="148">
                  <c:v>8.8719981128296743E-4</c:v>
                </c:pt>
                <c:pt idx="149">
                  <c:v>8.8516580207324001E-4</c:v>
                </c:pt>
                <c:pt idx="150">
                  <c:v>8.8595655935306975E-4</c:v>
                </c:pt>
                <c:pt idx="151">
                  <c:v>8.7763965974394008E-4</c:v>
                </c:pt>
                <c:pt idx="152">
                  <c:v>8.773351968049375E-4</c:v>
                </c:pt>
                <c:pt idx="153">
                  <c:v>8.8244772444583857E-4</c:v>
                </c:pt>
                <c:pt idx="154">
                  <c:v>8.9684328311312933E-4</c:v>
                </c:pt>
                <c:pt idx="155">
                  <c:v>9.0681249975315716E-4</c:v>
                </c:pt>
                <c:pt idx="156">
                  <c:v>9.1682298666206127E-4</c:v>
                </c:pt>
                <c:pt idx="157">
                  <c:v>9.2002499036761178E-4</c:v>
                </c:pt>
                <c:pt idx="158">
                  <c:v>9.2363721475160175E-4</c:v>
                </c:pt>
                <c:pt idx="159">
                  <c:v>9.2939074457566641E-4</c:v>
                </c:pt>
                <c:pt idx="160">
                  <c:v>9.4392574913487661E-4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Calculations!$L$3:$L$163</c:f>
              <c:numCache>
                <c:formatCode>General</c:formatCode>
                <c:ptCount val="161"/>
                <c:pt idx="0">
                  <c:v>3.4145232668039045E-3</c:v>
                </c:pt>
                <c:pt idx="1">
                  <c:v>7.5878291216665802E-4</c:v>
                </c:pt>
                <c:pt idx="2">
                  <c:v>7.5878291216665802E-4</c:v>
                </c:pt>
                <c:pt idx="3">
                  <c:v>7.5878291216665802E-4</c:v>
                </c:pt>
                <c:pt idx="4">
                  <c:v>7.5878291216665802E-4</c:v>
                </c:pt>
                <c:pt idx="5">
                  <c:v>7.5878291216665802E-4</c:v>
                </c:pt>
                <c:pt idx="6">
                  <c:v>7.5878291216665802E-4</c:v>
                </c:pt>
                <c:pt idx="7">
                  <c:v>7.5878291216665802E-4</c:v>
                </c:pt>
                <c:pt idx="8">
                  <c:v>1.1381743914005505E-3</c:v>
                </c:pt>
                <c:pt idx="9">
                  <c:v>1.1381743914005505E-3</c:v>
                </c:pt>
                <c:pt idx="10">
                  <c:v>1.1381743914005505E-3</c:v>
                </c:pt>
                <c:pt idx="11">
                  <c:v>1.517565824333316E-3</c:v>
                </c:pt>
                <c:pt idx="12">
                  <c:v>1.8969573498683352E-3</c:v>
                </c:pt>
                <c:pt idx="13">
                  <c:v>2.0053399680061003E-3</c:v>
                </c:pt>
                <c:pt idx="14">
                  <c:v>1.793225859302944E-3</c:v>
                </c:pt>
                <c:pt idx="15">
                  <c:v>2.1571385089559415E-3</c:v>
                </c:pt>
                <c:pt idx="16">
                  <c:v>2.210559893435713E-3</c:v>
                </c:pt>
                <c:pt idx="17">
                  <c:v>2.6347434271184796E-3</c:v>
                </c:pt>
                <c:pt idx="18">
                  <c:v>3.0192208504658887E-3</c:v>
                </c:pt>
                <c:pt idx="19">
                  <c:v>3.3089576767824785E-3</c:v>
                </c:pt>
                <c:pt idx="20">
                  <c:v>3.5244024437647184E-3</c:v>
                </c:pt>
                <c:pt idx="21">
                  <c:v>3.2291352326561003E-3</c:v>
                </c:pt>
                <c:pt idx="22">
                  <c:v>3.0909158067313051E-3</c:v>
                </c:pt>
                <c:pt idx="23">
                  <c:v>3.6273782358321308E-3</c:v>
                </c:pt>
                <c:pt idx="24">
                  <c:v>4.4035364286856308E-3</c:v>
                </c:pt>
                <c:pt idx="25">
                  <c:v>4.962898712896441E-3</c:v>
                </c:pt>
                <c:pt idx="26">
                  <c:v>5.247882407352941E-3</c:v>
                </c:pt>
                <c:pt idx="27">
                  <c:v>5.6103553222404566E-3</c:v>
                </c:pt>
                <c:pt idx="28">
                  <c:v>6.0229514051334436E-3</c:v>
                </c:pt>
                <c:pt idx="29">
                  <c:v>6.1005248688302668E-3</c:v>
                </c:pt>
                <c:pt idx="30">
                  <c:v>6.4676454552655771E-3</c:v>
                </c:pt>
                <c:pt idx="31">
                  <c:v>7.6368511386188959E-3</c:v>
                </c:pt>
                <c:pt idx="32">
                  <c:v>9.4835625356633237E-3</c:v>
                </c:pt>
                <c:pt idx="33">
                  <c:v>1.0682412849885801E-2</c:v>
                </c:pt>
                <c:pt idx="34">
                  <c:v>1.1271375377886972E-2</c:v>
                </c:pt>
                <c:pt idx="35">
                  <c:v>1.2296251209630333E-2</c:v>
                </c:pt>
                <c:pt idx="36">
                  <c:v>1.3435251026320823E-2</c:v>
                </c:pt>
                <c:pt idx="37">
                  <c:v>1.4630286309096246E-2</c:v>
                </c:pt>
                <c:pt idx="38">
                  <c:v>1.5496363949707168E-2</c:v>
                </c:pt>
                <c:pt idx="39">
                  <c:v>1.6768570857019972E-2</c:v>
                </c:pt>
                <c:pt idx="40">
                  <c:v>1.8308183794115758E-2</c:v>
                </c:pt>
                <c:pt idx="41">
                  <c:v>1.9341130553998147E-2</c:v>
                </c:pt>
                <c:pt idx="42">
                  <c:v>2.0100130300663141E-2</c:v>
                </c:pt>
                <c:pt idx="43">
                  <c:v>2.1423170926575856E-2</c:v>
                </c:pt>
                <c:pt idx="44">
                  <c:v>2.329006729353569E-2</c:v>
                </c:pt>
                <c:pt idx="45">
                  <c:v>2.5066877305887324E-2</c:v>
                </c:pt>
                <c:pt idx="46">
                  <c:v>2.5774949627185816E-2</c:v>
                </c:pt>
                <c:pt idx="47">
                  <c:v>2.5719115988655131E-2</c:v>
                </c:pt>
                <c:pt idx="48">
                  <c:v>2.5572705225867142E-2</c:v>
                </c:pt>
                <c:pt idx="49">
                  <c:v>2.5862520758940834E-2</c:v>
                </c:pt>
                <c:pt idx="50">
                  <c:v>2.6092086850751317E-2</c:v>
                </c:pt>
                <c:pt idx="51">
                  <c:v>2.5324560746469701E-2</c:v>
                </c:pt>
                <c:pt idx="52">
                  <c:v>2.3326539701695664E-2</c:v>
                </c:pt>
                <c:pt idx="53">
                  <c:v>2.0737319171335606E-2</c:v>
                </c:pt>
                <c:pt idx="54">
                  <c:v>1.7845333874843741E-2</c:v>
                </c:pt>
                <c:pt idx="55">
                  <c:v>1.4747343509779616E-2</c:v>
                </c:pt>
                <c:pt idx="56">
                  <c:v>1.2504532049251556E-2</c:v>
                </c:pt>
                <c:pt idx="57">
                  <c:v>1.1153477322094214E-2</c:v>
                </c:pt>
                <c:pt idx="58">
                  <c:v>9.9946960782635492E-3</c:v>
                </c:pt>
                <c:pt idx="59">
                  <c:v>8.5471870043396948E-3</c:v>
                </c:pt>
                <c:pt idx="60">
                  <c:v>6.9128234542194357E-3</c:v>
                </c:pt>
                <c:pt idx="61">
                  <c:v>5.5163140970898765E-3</c:v>
                </c:pt>
                <c:pt idx="62">
                  <c:v>4.4880688409700683E-3</c:v>
                </c:pt>
                <c:pt idx="63">
                  <c:v>3.9374889387078149E-3</c:v>
                </c:pt>
                <c:pt idx="64">
                  <c:v>3.8895414355588883E-3</c:v>
                </c:pt>
                <c:pt idx="65">
                  <c:v>4.0765497665374573E-3</c:v>
                </c:pt>
                <c:pt idx="66">
                  <c:v>4.1390140167639599E-3</c:v>
                </c:pt>
                <c:pt idx="67">
                  <c:v>4.0090907491349701E-3</c:v>
                </c:pt>
                <c:pt idx="68">
                  <c:v>3.9199920774740053E-3</c:v>
                </c:pt>
                <c:pt idx="69">
                  <c:v>4.0365957713975886E-3</c:v>
                </c:pt>
                <c:pt idx="70">
                  <c:v>4.1992258915788082E-3</c:v>
                </c:pt>
                <c:pt idx="71">
                  <c:v>4.3175001697511196E-3</c:v>
                </c:pt>
                <c:pt idx="72">
                  <c:v>4.5347775470165877E-3</c:v>
                </c:pt>
                <c:pt idx="73">
                  <c:v>5.1239229292650238E-3</c:v>
                </c:pt>
                <c:pt idx="74">
                  <c:v>6.0749609829425719E-3</c:v>
                </c:pt>
                <c:pt idx="75">
                  <c:v>6.9125488086195785E-3</c:v>
                </c:pt>
                <c:pt idx="76">
                  <c:v>7.2915718540714309E-3</c:v>
                </c:pt>
                <c:pt idx="77">
                  <c:v>7.3278459434147902E-3</c:v>
                </c:pt>
                <c:pt idx="78">
                  <c:v>7.3152865639909163E-3</c:v>
                </c:pt>
                <c:pt idx="79">
                  <c:v>7.3770983832534059E-3</c:v>
                </c:pt>
                <c:pt idx="80">
                  <c:v>7.4238499028711959E-3</c:v>
                </c:pt>
                <c:pt idx="81">
                  <c:v>7.3990431551852805E-3</c:v>
                </c:pt>
                <c:pt idx="82">
                  <c:v>7.3547581327671934E-3</c:v>
                </c:pt>
                <c:pt idx="83">
                  <c:v>7.4072175399902676E-3</c:v>
                </c:pt>
                <c:pt idx="84">
                  <c:v>7.6575062018934843E-3</c:v>
                </c:pt>
                <c:pt idx="85">
                  <c:v>7.8565193909474317E-3</c:v>
                </c:pt>
                <c:pt idx="86">
                  <c:v>7.9149383699944741E-3</c:v>
                </c:pt>
                <c:pt idx="87">
                  <c:v>7.7852855026623634E-3</c:v>
                </c:pt>
                <c:pt idx="88">
                  <c:v>7.6597917298255455E-3</c:v>
                </c:pt>
                <c:pt idx="89">
                  <c:v>7.6682464181865176E-3</c:v>
                </c:pt>
                <c:pt idx="90">
                  <c:v>7.8671415294498288E-3</c:v>
                </c:pt>
                <c:pt idx="91">
                  <c:v>8.140747780059002E-3</c:v>
                </c:pt>
                <c:pt idx="92">
                  <c:v>8.3944584630263087E-3</c:v>
                </c:pt>
                <c:pt idx="93">
                  <c:v>8.5121215355228163E-3</c:v>
                </c:pt>
                <c:pt idx="94">
                  <c:v>8.475254779212198E-3</c:v>
                </c:pt>
                <c:pt idx="95">
                  <c:v>8.4040590336095407E-3</c:v>
                </c:pt>
                <c:pt idx="96">
                  <c:v>8.3539041850694655E-3</c:v>
                </c:pt>
                <c:pt idx="97">
                  <c:v>8.308546392512748E-3</c:v>
                </c:pt>
                <c:pt idx="98">
                  <c:v>8.2003941275396782E-3</c:v>
                </c:pt>
                <c:pt idx="99">
                  <c:v>7.9785366425290886E-3</c:v>
                </c:pt>
                <c:pt idx="100">
                  <c:v>7.6364857025361518E-3</c:v>
                </c:pt>
                <c:pt idx="101">
                  <c:v>7.2215224297699498E-3</c:v>
                </c:pt>
                <c:pt idx="102">
                  <c:v>6.7476262768428981E-3</c:v>
                </c:pt>
                <c:pt idx="103">
                  <c:v>6.3158367100906807E-3</c:v>
                </c:pt>
                <c:pt idx="104">
                  <c:v>6.1116010706066797E-3</c:v>
                </c:pt>
                <c:pt idx="105">
                  <c:v>6.1258371602247851E-3</c:v>
                </c:pt>
                <c:pt idx="106">
                  <c:v>6.4014982736845753E-3</c:v>
                </c:pt>
                <c:pt idx="107">
                  <c:v>6.7833995400912797E-3</c:v>
                </c:pt>
                <c:pt idx="108">
                  <c:v>7.0623743174540472E-3</c:v>
                </c:pt>
                <c:pt idx="109">
                  <c:v>7.1091372235266362E-3</c:v>
                </c:pt>
                <c:pt idx="110">
                  <c:v>6.9649703065833256E-3</c:v>
                </c:pt>
                <c:pt idx="111">
                  <c:v>6.7573855255377464E-3</c:v>
                </c:pt>
                <c:pt idx="112">
                  <c:v>6.6179548490922224E-3</c:v>
                </c:pt>
                <c:pt idx="113">
                  <c:v>6.4313201542226025E-3</c:v>
                </c:pt>
                <c:pt idx="114">
                  <c:v>6.2745632420486922E-3</c:v>
                </c:pt>
                <c:pt idx="115">
                  <c:v>6.0160722191981812E-3</c:v>
                </c:pt>
                <c:pt idx="116">
                  <c:v>5.6801159775936721E-3</c:v>
                </c:pt>
                <c:pt idx="117">
                  <c:v>5.3467308241614197E-3</c:v>
                </c:pt>
                <c:pt idx="118">
                  <c:v>5.0930935979982299E-3</c:v>
                </c:pt>
                <c:pt idx="119">
                  <c:v>4.8871742019415253E-3</c:v>
                </c:pt>
                <c:pt idx="120">
                  <c:v>4.7596230902981779E-3</c:v>
                </c:pt>
                <c:pt idx="121">
                  <c:v>4.6774137930749114E-3</c:v>
                </c:pt>
                <c:pt idx="122">
                  <c:v>4.5605488668950585E-3</c:v>
                </c:pt>
                <c:pt idx="123">
                  <c:v>4.3599803499357543E-3</c:v>
                </c:pt>
                <c:pt idx="124">
                  <c:v>4.1288429910985979E-3</c:v>
                </c:pt>
                <c:pt idx="125">
                  <c:v>3.810447276508359E-3</c:v>
                </c:pt>
                <c:pt idx="126">
                  <c:v>3.5014497143335821E-3</c:v>
                </c:pt>
                <c:pt idx="127">
                  <c:v>3.2060191509400942E-3</c:v>
                </c:pt>
                <c:pt idx="128">
                  <c:v>3.0211833472370496E-3</c:v>
                </c:pt>
                <c:pt idx="129">
                  <c:v>2.8728250577046621E-3</c:v>
                </c:pt>
                <c:pt idx="130">
                  <c:v>2.7882195606617932E-3</c:v>
                </c:pt>
                <c:pt idx="131">
                  <c:v>2.7045005673168839E-3</c:v>
                </c:pt>
                <c:pt idx="132">
                  <c:v>2.564797680015629E-3</c:v>
                </c:pt>
                <c:pt idx="133">
                  <c:v>2.3657823788065815E-3</c:v>
                </c:pt>
                <c:pt idx="134">
                  <c:v>2.1398285295407874E-3</c:v>
                </c:pt>
                <c:pt idx="135">
                  <c:v>1.9189001802346918E-3</c:v>
                </c:pt>
                <c:pt idx="136">
                  <c:v>1.7320456104837768E-3</c:v>
                </c:pt>
                <c:pt idx="137">
                  <c:v>1.6060426617155444E-3</c:v>
                </c:pt>
                <c:pt idx="138">
                  <c:v>1.5109271911102043E-3</c:v>
                </c:pt>
                <c:pt idx="139">
                  <c:v>1.4475268629958163E-3</c:v>
                </c:pt>
                <c:pt idx="140">
                  <c:v>1.3847778502311375E-3</c:v>
                </c:pt>
                <c:pt idx="141">
                  <c:v>1.3230919707994785E-3</c:v>
                </c:pt>
                <c:pt idx="142">
                  <c:v>1.2598272078491301E-3</c:v>
                </c:pt>
                <c:pt idx="143">
                  <c:v>1.1690751796765374E-3</c:v>
                </c:pt>
                <c:pt idx="144">
                  <c:v>1.0771302312633368E-3</c:v>
                </c:pt>
                <c:pt idx="145">
                  <c:v>9.8632628129702435E-4</c:v>
                </c:pt>
                <c:pt idx="146">
                  <c:v>8.9606075901776038E-4</c:v>
                </c:pt>
                <c:pt idx="147">
                  <c:v>8.3482514363381424E-4</c:v>
                </c:pt>
                <c:pt idx="148">
                  <c:v>7.7421574993582175E-4</c:v>
                </c:pt>
                <c:pt idx="149">
                  <c:v>7.1302225358750842E-4</c:v>
                </c:pt>
                <c:pt idx="150">
                  <c:v>6.5418763006100009E-4</c:v>
                </c:pt>
                <c:pt idx="151">
                  <c:v>5.8913314765943691E-4</c:v>
                </c:pt>
                <c:pt idx="152">
                  <c:v>5.5948233516499215E-4</c:v>
                </c:pt>
                <c:pt idx="153">
                  <c:v>5.3312459717822392E-4</c:v>
                </c:pt>
                <c:pt idx="154">
                  <c:v>5.1172037764998389E-4</c:v>
                </c:pt>
                <c:pt idx="155">
                  <c:v>5.1740860813569525E-4</c:v>
                </c:pt>
                <c:pt idx="156">
                  <c:v>4.9234857263490877E-4</c:v>
                </c:pt>
                <c:pt idx="157">
                  <c:v>4.9406809971585511E-4</c:v>
                </c:pt>
                <c:pt idx="158">
                  <c:v>4.6500742862283718E-4</c:v>
                </c:pt>
                <c:pt idx="159">
                  <c:v>4.6790405737085991E-4</c:v>
                </c:pt>
                <c:pt idx="160">
                  <c:v>4.7522174118345642E-4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Calculations!$M$3:$M$163</c:f>
              <c:numCache>
                <c:formatCode>General</c:formatCode>
                <c:ptCount val="161"/>
                <c:pt idx="0">
                  <c:v>1.2257906616190018E-3</c:v>
                </c:pt>
                <c:pt idx="1">
                  <c:v>8.1719375779087738E-4</c:v>
                </c:pt>
                <c:pt idx="2">
                  <c:v>8.1719375779087738E-4</c:v>
                </c:pt>
                <c:pt idx="3">
                  <c:v>8.1719375779087738E-4</c:v>
                </c:pt>
                <c:pt idx="4">
                  <c:v>8.1719375779087738E-4</c:v>
                </c:pt>
                <c:pt idx="5">
                  <c:v>8.1719375779087738E-4</c:v>
                </c:pt>
                <c:pt idx="6">
                  <c:v>8.1719375779087738E-4</c:v>
                </c:pt>
                <c:pt idx="7">
                  <c:v>1.2257906616190018E-3</c:v>
                </c:pt>
                <c:pt idx="8">
                  <c:v>1.2257906616190018E-3</c:v>
                </c:pt>
                <c:pt idx="9">
                  <c:v>1.6343875155817548E-3</c:v>
                </c:pt>
                <c:pt idx="10">
                  <c:v>1.6343875155817548E-3</c:v>
                </c:pt>
                <c:pt idx="11">
                  <c:v>1.6343875155817548E-3</c:v>
                </c:pt>
                <c:pt idx="12">
                  <c:v>2.4515813232380036E-3</c:v>
                </c:pt>
                <c:pt idx="13">
                  <c:v>2.8796137331584502E-3</c:v>
                </c:pt>
                <c:pt idx="14">
                  <c:v>3.2187796598995852E-3</c:v>
                </c:pt>
                <c:pt idx="15">
                  <c:v>3.7751907643751611E-3</c:v>
                </c:pt>
                <c:pt idx="16">
                  <c:v>3.9678798744387841E-3</c:v>
                </c:pt>
                <c:pt idx="17">
                  <c:v>4.0198839740264343E-3</c:v>
                </c:pt>
                <c:pt idx="18">
                  <c:v>4.5522953223097254E-3</c:v>
                </c:pt>
                <c:pt idx="19">
                  <c:v>5.1475377388923525E-3</c:v>
                </c:pt>
                <c:pt idx="20">
                  <c:v>6.1454349232823377E-3</c:v>
                </c:pt>
                <c:pt idx="21">
                  <c:v>6.7898202013865327E-3</c:v>
                </c:pt>
                <c:pt idx="22">
                  <c:v>6.960329881397909E-3</c:v>
                </c:pt>
                <c:pt idx="23">
                  <c:v>6.5575280330700744E-3</c:v>
                </c:pt>
                <c:pt idx="24">
                  <c:v>6.4088098068471235E-3</c:v>
                </c:pt>
                <c:pt idx="25">
                  <c:v>7.839246829732912E-3</c:v>
                </c:pt>
                <c:pt idx="26">
                  <c:v>9.8630545715980792E-3</c:v>
                </c:pt>
                <c:pt idx="27">
                  <c:v>1.1042711460775434E-2</c:v>
                </c:pt>
                <c:pt idx="28">
                  <c:v>1.1498965739203693E-2</c:v>
                </c:pt>
                <c:pt idx="29">
                  <c:v>1.2122373694628945E-2</c:v>
                </c:pt>
                <c:pt idx="30">
                  <c:v>1.2625008919366063E-2</c:v>
                </c:pt>
                <c:pt idx="31">
                  <c:v>1.3043263757932856E-2</c:v>
                </c:pt>
                <c:pt idx="32">
                  <c:v>1.433071597145129E-2</c:v>
                </c:pt>
                <c:pt idx="33">
                  <c:v>1.7220000807520387E-2</c:v>
                </c:pt>
                <c:pt idx="34">
                  <c:v>2.159620238228889E-2</c:v>
                </c:pt>
                <c:pt idx="35">
                  <c:v>2.4968219003457442E-2</c:v>
                </c:pt>
                <c:pt idx="36">
                  <c:v>2.489018049334216E-2</c:v>
                </c:pt>
                <c:pt idx="37">
                  <c:v>2.4177010624953477E-2</c:v>
                </c:pt>
                <c:pt idx="38">
                  <c:v>2.5460270817318234E-2</c:v>
                </c:pt>
                <c:pt idx="39">
                  <c:v>2.8696342678133119E-2</c:v>
                </c:pt>
                <c:pt idx="40">
                  <c:v>3.2562110132310758E-2</c:v>
                </c:pt>
                <c:pt idx="41">
                  <c:v>3.6615239523637454E-2</c:v>
                </c:pt>
                <c:pt idx="42">
                  <c:v>4.0366707085091845E-2</c:v>
                </c:pt>
                <c:pt idx="43">
                  <c:v>4.1903775071321675E-2</c:v>
                </c:pt>
                <c:pt idx="44">
                  <c:v>4.151151223034355E-2</c:v>
                </c:pt>
                <c:pt idx="45">
                  <c:v>4.1467410199821961E-2</c:v>
                </c:pt>
                <c:pt idx="46">
                  <c:v>4.2908821055247265E-2</c:v>
                </c:pt>
                <c:pt idx="47">
                  <c:v>4.503896597688848E-2</c:v>
                </c:pt>
                <c:pt idx="48">
                  <c:v>4.6165689499851809E-2</c:v>
                </c:pt>
                <c:pt idx="49">
                  <c:v>4.6422347740617542E-2</c:v>
                </c:pt>
                <c:pt idx="50">
                  <c:v>4.5432183843246272E-2</c:v>
                </c:pt>
                <c:pt idx="51">
                  <c:v>4.3671417371458313E-2</c:v>
                </c:pt>
                <c:pt idx="52">
                  <c:v>4.1762643720653164E-2</c:v>
                </c:pt>
                <c:pt idx="53">
                  <c:v>3.8637647102956196E-2</c:v>
                </c:pt>
                <c:pt idx="54">
                  <c:v>3.3253263940859916E-2</c:v>
                </c:pt>
                <c:pt idx="55">
                  <c:v>2.6535076664218369E-2</c:v>
                </c:pt>
                <c:pt idx="56">
                  <c:v>2.0409335539462042E-2</c:v>
                </c:pt>
                <c:pt idx="57">
                  <c:v>1.4930889114546613E-2</c:v>
                </c:pt>
                <c:pt idx="58">
                  <c:v>1.0653114889601011E-2</c:v>
                </c:pt>
                <c:pt idx="59">
                  <c:v>8.2516249838410632E-3</c:v>
                </c:pt>
                <c:pt idx="60">
                  <c:v>7.2997022227546081E-3</c:v>
                </c:pt>
                <c:pt idx="61">
                  <c:v>6.8771087910614896E-3</c:v>
                </c:pt>
                <c:pt idx="62">
                  <c:v>6.3731367797058031E-3</c:v>
                </c:pt>
                <c:pt idx="63">
                  <c:v>5.7729114276853797E-3</c:v>
                </c:pt>
                <c:pt idx="64">
                  <c:v>5.1119478953578577E-3</c:v>
                </c:pt>
                <c:pt idx="65">
                  <c:v>4.5319856993085448E-3</c:v>
                </c:pt>
                <c:pt idx="66">
                  <c:v>4.2099877695825601E-3</c:v>
                </c:pt>
                <c:pt idx="67">
                  <c:v>4.317709165662746E-3</c:v>
                </c:pt>
                <c:pt idx="68">
                  <c:v>4.6474745356315274E-3</c:v>
                </c:pt>
                <c:pt idx="69">
                  <c:v>4.7749378798447074E-3</c:v>
                </c:pt>
                <c:pt idx="70">
                  <c:v>4.6660516615226084E-3</c:v>
                </c:pt>
                <c:pt idx="71">
                  <c:v>4.4682247687495612E-3</c:v>
                </c:pt>
                <c:pt idx="72">
                  <c:v>4.5508725736280878E-3</c:v>
                </c:pt>
                <c:pt idx="73">
                  <c:v>4.992803021692205E-3</c:v>
                </c:pt>
                <c:pt idx="74">
                  <c:v>5.421019112290159E-3</c:v>
                </c:pt>
                <c:pt idx="75">
                  <c:v>5.5925847391076703E-3</c:v>
                </c:pt>
                <c:pt idx="76">
                  <c:v>5.6388478607343985E-3</c:v>
                </c:pt>
                <c:pt idx="77">
                  <c:v>5.7874235257533262E-3</c:v>
                </c:pt>
                <c:pt idx="78">
                  <c:v>5.9800015031530153E-3</c:v>
                </c:pt>
                <c:pt idx="79">
                  <c:v>5.8283669963479267E-3</c:v>
                </c:pt>
                <c:pt idx="80">
                  <c:v>5.2703338076580024E-3</c:v>
                </c:pt>
                <c:pt idx="81">
                  <c:v>4.633604410911445E-3</c:v>
                </c:pt>
                <c:pt idx="82">
                  <c:v>4.2244934141204967E-3</c:v>
                </c:pt>
                <c:pt idx="83">
                  <c:v>3.9593823617126815E-3</c:v>
                </c:pt>
                <c:pt idx="84">
                  <c:v>3.7111401770116071E-3</c:v>
                </c:pt>
                <c:pt idx="85">
                  <c:v>3.4735910568931905E-3</c:v>
                </c:pt>
                <c:pt idx="86">
                  <c:v>3.3316525313178422E-3</c:v>
                </c:pt>
                <c:pt idx="87">
                  <c:v>3.311306980215231E-3</c:v>
                </c:pt>
                <c:pt idx="88">
                  <c:v>3.2012753099646104E-3</c:v>
                </c:pt>
                <c:pt idx="89">
                  <c:v>2.8779780060264235E-3</c:v>
                </c:pt>
                <c:pt idx="90">
                  <c:v>2.3889334702686411E-3</c:v>
                </c:pt>
                <c:pt idx="91">
                  <c:v>1.9158434939544006E-3</c:v>
                </c:pt>
                <c:pt idx="92">
                  <c:v>1.5564508203585431E-3</c:v>
                </c:pt>
                <c:pt idx="93">
                  <c:v>1.1839791416884595E-3</c:v>
                </c:pt>
                <c:pt idx="94">
                  <c:v>8.2978883250661402E-4</c:v>
                </c:pt>
                <c:pt idx="95">
                  <c:v>6.363985088793443E-4</c:v>
                </c:pt>
                <c:pt idx="96">
                  <c:v>5.0585456063297432E-4</c:v>
                </c:pt>
                <c:pt idx="97">
                  <c:v>4.0673344434114455E-4</c:v>
                </c:pt>
                <c:pt idx="98">
                  <c:v>2.653287639133325E-4</c:v>
                </c:pt>
                <c:pt idx="99">
                  <c:v>3.8881093308646775E-5</c:v>
                </c:pt>
                <c:pt idx="100">
                  <c:v>3.973111033554968E-5</c:v>
                </c:pt>
                <c:pt idx="101">
                  <c:v>4.0719543459889308E-5</c:v>
                </c:pt>
                <c:pt idx="102">
                  <c:v>4.1526035698684306E-5</c:v>
                </c:pt>
                <c:pt idx="103">
                  <c:v>4.2248619868739345E-5</c:v>
                </c:pt>
                <c:pt idx="104">
                  <c:v>4.3020066357463766E-5</c:v>
                </c:pt>
                <c:pt idx="105">
                  <c:v>4.369140369490329E-5</c:v>
                </c:pt>
                <c:pt idx="106">
                  <c:v>4.4194124794088526E-5</c:v>
                </c:pt>
                <c:pt idx="107">
                  <c:v>4.4546240144956983E-5</c:v>
                </c:pt>
                <c:pt idx="108">
                  <c:v>4.4741372852354017E-5</c:v>
                </c:pt>
                <c:pt idx="109">
                  <c:v>4.4774244582921856E-5</c:v>
                </c:pt>
                <c:pt idx="110">
                  <c:v>4.4649589686500197E-5</c:v>
                </c:pt>
                <c:pt idx="111">
                  <c:v>4.4375407433042079E-5</c:v>
                </c:pt>
                <c:pt idx="112">
                  <c:v>4.3996312588884095E-5</c:v>
                </c:pt>
                <c:pt idx="113">
                  <c:v>4.3290004358411771E-5</c:v>
                </c:pt>
                <c:pt idx="114">
                  <c:v>4.2769475894358226E-5</c:v>
                </c:pt>
                <c:pt idx="115">
                  <c:v>4.2072644650779941E-5</c:v>
                </c:pt>
                <c:pt idx="116">
                  <c:v>4.1333576942987734E-5</c:v>
                </c:pt>
                <c:pt idx="117">
                  <c:v>4.0551552838853369E-5</c:v>
                </c:pt>
                <c:pt idx="118">
                  <c:v>3.974752208116769E-5</c:v>
                </c:pt>
                <c:pt idx="119">
                  <c:v>3.898805273253441E-5</c:v>
                </c:pt>
                <c:pt idx="120">
                  <c:v>3.8253861117550511E-5</c:v>
                </c:pt>
                <c:pt idx="121">
                  <c:v>3.7593131690264437E-5</c:v>
                </c:pt>
                <c:pt idx="122">
                  <c:v>3.6929459647804808E-5</c:v>
                </c:pt>
                <c:pt idx="123">
                  <c:v>3.6400079066906421E-5</c:v>
                </c:pt>
                <c:pt idx="124">
                  <c:v>3.5860321652903726E-5</c:v>
                </c:pt>
                <c:pt idx="125">
                  <c:v>3.5377363460757941E-5</c:v>
                </c:pt>
                <c:pt idx="126">
                  <c:v>3.4916574604738393E-5</c:v>
                </c:pt>
                <c:pt idx="127">
                  <c:v>3.4528173351476327E-5</c:v>
                </c:pt>
                <c:pt idx="128">
                  <c:v>3.4250032905160102E-5</c:v>
                </c:pt>
                <c:pt idx="129">
                  <c:v>3.3999717115185211E-5</c:v>
                </c:pt>
                <c:pt idx="130">
                  <c:v>3.3739951930102225E-5</c:v>
                </c:pt>
                <c:pt idx="131">
                  <c:v>3.3479220644953286E-5</c:v>
                </c:pt>
                <c:pt idx="132">
                  <c:v>3.3279940002013434E-5</c:v>
                </c:pt>
                <c:pt idx="133">
                  <c:v>3.308960322217411E-5</c:v>
                </c:pt>
                <c:pt idx="134">
                  <c:v>3.2922168574942675E-5</c:v>
                </c:pt>
                <c:pt idx="135">
                  <c:v>3.2803436716997957E-5</c:v>
                </c:pt>
                <c:pt idx="136">
                  <c:v>3.2725928618706029E-5</c:v>
                </c:pt>
                <c:pt idx="137">
                  <c:v>3.2635383227623438E-5</c:v>
                </c:pt>
                <c:pt idx="138">
                  <c:v>3.2544756297425591E-5</c:v>
                </c:pt>
                <c:pt idx="139">
                  <c:v>3.2478269740896025E-5</c:v>
                </c:pt>
                <c:pt idx="140">
                  <c:v>3.2421250731308389E-5</c:v>
                </c:pt>
                <c:pt idx="141">
                  <c:v>3.2385070288054947E-5</c:v>
                </c:pt>
                <c:pt idx="142">
                  <c:v>3.2304957770277551E-5</c:v>
                </c:pt>
                <c:pt idx="143">
                  <c:v>3.2283851170709316E-5</c:v>
                </c:pt>
                <c:pt idx="144">
                  <c:v>3.2223535781473786E-5</c:v>
                </c:pt>
                <c:pt idx="145">
                  <c:v>3.2189495108682127E-5</c:v>
                </c:pt>
                <c:pt idx="146">
                  <c:v>3.2167973393115947E-5</c:v>
                </c:pt>
                <c:pt idx="147">
                  <c:v>3.2110345930235685E-5</c:v>
                </c:pt>
                <c:pt idx="148">
                  <c:v>6.4139584486296741E-5</c:v>
                </c:pt>
                <c:pt idx="149">
                  <c:v>6.3992536996098826E-5</c:v>
                </c:pt>
                <c:pt idx="150">
                  <c:v>1.2809940864987632E-4</c:v>
                </c:pt>
                <c:pt idx="151">
                  <c:v>1.5862110330090078E-4</c:v>
                </c:pt>
                <c:pt idx="152">
                  <c:v>2.2199250003897814E-4</c:v>
                </c:pt>
                <c:pt idx="153">
                  <c:v>2.8708217195798651E-4</c:v>
                </c:pt>
                <c:pt idx="154">
                  <c:v>3.5660215450541836E-4</c:v>
                </c:pt>
                <c:pt idx="155">
                  <c:v>3.9334484104592784E-4</c:v>
                </c:pt>
                <c:pt idx="156">
                  <c:v>4.3082763961323445E-4</c:v>
                </c:pt>
                <c:pt idx="157">
                  <c:v>4.6558863352076912E-4</c:v>
                </c:pt>
                <c:pt idx="158">
                  <c:v>5.0080353933103152E-4</c:v>
                </c:pt>
                <c:pt idx="159">
                  <c:v>5.375180240067088E-4</c:v>
                </c:pt>
                <c:pt idx="160">
                  <c:v>5.8004472782131943E-4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Calculations!$N$3:$N$163</c:f>
              <c:numCache>
                <c:formatCode>General</c:formatCode>
                <c:ptCount val="161"/>
                <c:pt idx="0">
                  <c:v>8.0078076441534689E-3</c:v>
                </c:pt>
                <c:pt idx="1">
                  <c:v>5.004879777595918E-4</c:v>
                </c:pt>
                <c:pt idx="2">
                  <c:v>5.004879777595918E-4</c:v>
                </c:pt>
                <c:pt idx="3">
                  <c:v>5.004879777595918E-4</c:v>
                </c:pt>
                <c:pt idx="4">
                  <c:v>7.5073198190933979E-4</c:v>
                </c:pt>
                <c:pt idx="5">
                  <c:v>7.5073198190933979E-4</c:v>
                </c:pt>
                <c:pt idx="6">
                  <c:v>7.5073198190933979E-4</c:v>
                </c:pt>
                <c:pt idx="7">
                  <c:v>7.5073198190933979E-4</c:v>
                </c:pt>
                <c:pt idx="8">
                  <c:v>1.0009759555191836E-3</c:v>
                </c:pt>
                <c:pt idx="9">
                  <c:v>1.0009759555191836E-3</c:v>
                </c:pt>
                <c:pt idx="10">
                  <c:v>1.2512199902088357E-3</c:v>
                </c:pt>
                <c:pt idx="11">
                  <c:v>1.5014639638186796E-3</c:v>
                </c:pt>
                <c:pt idx="12">
                  <c:v>1.7517079374285236E-3</c:v>
                </c:pt>
                <c:pt idx="13">
                  <c:v>1.9840626807100781E-3</c:v>
                </c:pt>
                <c:pt idx="14">
                  <c:v>2.5627320479842007E-3</c:v>
                </c:pt>
                <c:pt idx="15">
                  <c:v>3.2013759522663662E-3</c:v>
                </c:pt>
                <c:pt idx="16">
                  <c:v>3.5641712020155463E-3</c:v>
                </c:pt>
                <c:pt idx="17">
                  <c:v>3.7653602773255342E-3</c:v>
                </c:pt>
                <c:pt idx="18">
                  <c:v>3.8501507078964304E-3</c:v>
                </c:pt>
                <c:pt idx="19">
                  <c:v>4.0013702002741659E-3</c:v>
                </c:pt>
                <c:pt idx="20">
                  <c:v>4.7600415278317718E-3</c:v>
                </c:pt>
                <c:pt idx="21">
                  <c:v>5.5783493729701407E-3</c:v>
                </c:pt>
                <c:pt idx="22">
                  <c:v>6.3942511681029405E-3</c:v>
                </c:pt>
                <c:pt idx="23">
                  <c:v>7.092330928898721E-3</c:v>
                </c:pt>
                <c:pt idx="24">
                  <c:v>6.98660176776153E-3</c:v>
                </c:pt>
                <c:pt idx="25">
                  <c:v>6.401499230986281E-3</c:v>
                </c:pt>
                <c:pt idx="26">
                  <c:v>6.5157029754289077E-3</c:v>
                </c:pt>
                <c:pt idx="27">
                  <c:v>8.294339690771757E-3</c:v>
                </c:pt>
                <c:pt idx="28">
                  <c:v>1.0232705071030539E-2</c:v>
                </c:pt>
                <c:pt idx="29">
                  <c:v>1.0881436023154332E-2</c:v>
                </c:pt>
                <c:pt idx="30">
                  <c:v>1.0931661443376652E-2</c:v>
                </c:pt>
                <c:pt idx="31">
                  <c:v>1.1702619064316395E-2</c:v>
                </c:pt>
                <c:pt idx="32">
                  <c:v>1.2850019869310891E-2</c:v>
                </c:pt>
                <c:pt idx="33">
                  <c:v>1.3410216608946137E-2</c:v>
                </c:pt>
                <c:pt idx="34">
                  <c:v>1.4739371697298175E-2</c:v>
                </c:pt>
                <c:pt idx="35">
                  <c:v>1.7910736448907408E-2</c:v>
                </c:pt>
                <c:pt idx="36">
                  <c:v>2.1341487713762819E-2</c:v>
                </c:pt>
                <c:pt idx="37">
                  <c:v>2.2816280348182578E-2</c:v>
                </c:pt>
                <c:pt idx="38">
                  <c:v>2.1785534319004877E-2</c:v>
                </c:pt>
                <c:pt idx="39">
                  <c:v>2.1583952350411748E-2</c:v>
                </c:pt>
                <c:pt idx="40">
                  <c:v>2.4186406544905014E-2</c:v>
                </c:pt>
                <c:pt idx="41">
                  <c:v>2.8504537987730307E-2</c:v>
                </c:pt>
                <c:pt idx="42">
                  <c:v>3.2376194132027518E-2</c:v>
                </c:pt>
                <c:pt idx="43">
                  <c:v>3.5341900347092538E-2</c:v>
                </c:pt>
                <c:pt idx="44">
                  <c:v>3.7791037604283616E-2</c:v>
                </c:pt>
                <c:pt idx="45">
                  <c:v>3.841453275941651E-2</c:v>
                </c:pt>
                <c:pt idx="46">
                  <c:v>3.6887314797293479E-2</c:v>
                </c:pt>
                <c:pt idx="47">
                  <c:v>3.5500589178476108E-2</c:v>
                </c:pt>
                <c:pt idx="48">
                  <c:v>3.5887322451591347E-2</c:v>
                </c:pt>
                <c:pt idx="49">
                  <c:v>3.7645060491274869E-2</c:v>
                </c:pt>
                <c:pt idx="50">
                  <c:v>3.8722860558531844E-2</c:v>
                </c:pt>
                <c:pt idx="51">
                  <c:v>3.7974889225519941E-2</c:v>
                </c:pt>
                <c:pt idx="52">
                  <c:v>3.539775374764853E-2</c:v>
                </c:pt>
                <c:pt idx="53">
                  <c:v>3.1510862939006914E-2</c:v>
                </c:pt>
                <c:pt idx="54">
                  <c:v>2.7791170150841725E-2</c:v>
                </c:pt>
                <c:pt idx="55">
                  <c:v>2.4188576762383264E-2</c:v>
                </c:pt>
                <c:pt idx="56">
                  <c:v>1.9864668803093559E-2</c:v>
                </c:pt>
                <c:pt idx="57">
                  <c:v>1.5240633354082088E-2</c:v>
                </c:pt>
                <c:pt idx="58">
                  <c:v>1.150843928097329E-2</c:v>
                </c:pt>
                <c:pt idx="59">
                  <c:v>8.8495627653663624E-3</c:v>
                </c:pt>
                <c:pt idx="60">
                  <c:v>6.783870221049107E-3</c:v>
                </c:pt>
                <c:pt idx="61">
                  <c:v>5.6011198340813742E-3</c:v>
                </c:pt>
                <c:pt idx="62">
                  <c:v>5.3504666066040594E-3</c:v>
                </c:pt>
                <c:pt idx="63">
                  <c:v>5.5434764578416052E-3</c:v>
                </c:pt>
                <c:pt idx="64">
                  <c:v>5.6745707950016733E-3</c:v>
                </c:pt>
                <c:pt idx="65">
                  <c:v>5.572887851401729E-3</c:v>
                </c:pt>
                <c:pt idx="66">
                  <c:v>5.2651257883926687E-3</c:v>
                </c:pt>
                <c:pt idx="67">
                  <c:v>4.8335590902792765E-3</c:v>
                </c:pt>
                <c:pt idx="68">
                  <c:v>4.4107290045541083E-3</c:v>
                </c:pt>
                <c:pt idx="69">
                  <c:v>4.2774763079251538E-3</c:v>
                </c:pt>
                <c:pt idx="70">
                  <c:v>4.5503536672382118E-3</c:v>
                </c:pt>
                <c:pt idx="71">
                  <c:v>4.9613898858530802E-3</c:v>
                </c:pt>
                <c:pt idx="72">
                  <c:v>5.2117792370483555E-3</c:v>
                </c:pt>
                <c:pt idx="73">
                  <c:v>5.3339552784326541E-3</c:v>
                </c:pt>
                <c:pt idx="74">
                  <c:v>5.586906047038015E-3</c:v>
                </c:pt>
                <c:pt idx="75">
                  <c:v>6.0718786718904133E-3</c:v>
                </c:pt>
                <c:pt idx="76">
                  <c:v>6.5679989714250318E-3</c:v>
                </c:pt>
                <c:pt idx="77">
                  <c:v>6.7868941607900175E-3</c:v>
                </c:pt>
                <c:pt idx="78">
                  <c:v>6.7629084860398314E-3</c:v>
                </c:pt>
                <c:pt idx="79">
                  <c:v>6.7070283384774399E-3</c:v>
                </c:pt>
                <c:pt idx="80">
                  <c:v>6.7857173176170552E-3</c:v>
                </c:pt>
                <c:pt idx="81">
                  <c:v>6.8505765018956697E-3</c:v>
                </c:pt>
                <c:pt idx="82">
                  <c:v>6.6838035182478382E-3</c:v>
                </c:pt>
                <c:pt idx="83">
                  <c:v>6.25088496998648E-3</c:v>
                </c:pt>
                <c:pt idx="84">
                  <c:v>5.7904251186680781E-3</c:v>
                </c:pt>
                <c:pt idx="85">
                  <c:v>5.5457624306706451E-3</c:v>
                </c:pt>
                <c:pt idx="86">
                  <c:v>5.4044640150820375E-3</c:v>
                </c:pt>
                <c:pt idx="87">
                  <c:v>5.1909369149254585E-3</c:v>
                </c:pt>
                <c:pt idx="88">
                  <c:v>4.9203816756665311E-3</c:v>
                </c:pt>
                <c:pt idx="89">
                  <c:v>4.770540642578475E-3</c:v>
                </c:pt>
                <c:pt idx="90">
                  <c:v>4.8574772383254373E-3</c:v>
                </c:pt>
                <c:pt idx="91">
                  <c:v>4.9718342371457011E-3</c:v>
                </c:pt>
                <c:pt idx="92">
                  <c:v>4.8879101848795974E-3</c:v>
                </c:pt>
                <c:pt idx="93">
                  <c:v>4.6200797695300638E-3</c:v>
                </c:pt>
                <c:pt idx="94">
                  <c:v>4.3832403338544225E-3</c:v>
                </c:pt>
                <c:pt idx="95">
                  <c:v>4.2007512616958273E-3</c:v>
                </c:pt>
                <c:pt idx="96">
                  <c:v>4.0275191151575764E-3</c:v>
                </c:pt>
                <c:pt idx="97">
                  <c:v>3.8497694447652197E-3</c:v>
                </c:pt>
                <c:pt idx="98">
                  <c:v>3.7374962404447196E-3</c:v>
                </c:pt>
                <c:pt idx="99">
                  <c:v>3.6195175248075681E-3</c:v>
                </c:pt>
                <c:pt idx="100">
                  <c:v>3.4553149651543485E-3</c:v>
                </c:pt>
                <c:pt idx="101">
                  <c:v>3.2669524302799198E-3</c:v>
                </c:pt>
                <c:pt idx="102">
                  <c:v>3.0519002159689599E-3</c:v>
                </c:pt>
                <c:pt idx="103">
                  <c:v>2.8721302169825618E-3</c:v>
                </c:pt>
                <c:pt idx="104">
                  <c:v>2.6347516946785571E-3</c:v>
                </c:pt>
                <c:pt idx="105">
                  <c:v>2.3815220977547145E-3</c:v>
                </c:pt>
                <c:pt idx="106">
                  <c:v>2.2465248294773633E-3</c:v>
                </c:pt>
                <c:pt idx="107">
                  <c:v>2.2917063234368213E-3</c:v>
                </c:pt>
                <c:pt idx="108">
                  <c:v>2.3017450350765905E-3</c:v>
                </c:pt>
                <c:pt idx="109">
                  <c:v>1.9743738646285447E-3</c:v>
                </c:pt>
                <c:pt idx="110">
                  <c:v>1.3672756931115073E-3</c:v>
                </c:pt>
                <c:pt idx="111">
                  <c:v>6.7943979307678556E-4</c:v>
                </c:pt>
                <c:pt idx="112">
                  <c:v>2.4250875286864522E-4</c:v>
                </c:pt>
                <c:pt idx="113">
                  <c:v>2.6512840223301615E-4</c:v>
                </c:pt>
                <c:pt idx="114">
                  <c:v>6.5485108830860394E-4</c:v>
                </c:pt>
                <c:pt idx="115">
                  <c:v>1.0564580880068539E-3</c:v>
                </c:pt>
                <c:pt idx="116">
                  <c:v>1.2404168869709538E-3</c:v>
                </c:pt>
                <c:pt idx="117">
                  <c:v>1.1424414203564828E-3</c:v>
                </c:pt>
                <c:pt idx="118">
                  <c:v>9.2504377126444929E-4</c:v>
                </c:pt>
                <c:pt idx="119">
                  <c:v>7.8797800123123099E-4</c:v>
                </c:pt>
                <c:pt idx="120">
                  <c:v>7.7313943401002231E-4</c:v>
                </c:pt>
                <c:pt idx="121">
                  <c:v>8.2885705152809994E-4</c:v>
                </c:pt>
                <c:pt idx="122">
                  <c:v>8.5945902624076436E-4</c:v>
                </c:pt>
                <c:pt idx="123">
                  <c:v>8.0255251037250153E-4</c:v>
                </c:pt>
                <c:pt idx="124">
                  <c:v>7.0280164310166087E-4</c:v>
                </c:pt>
                <c:pt idx="125">
                  <c:v>6.2833618851986742E-4</c:v>
                </c:pt>
                <c:pt idx="126">
                  <c:v>5.5599846821641804E-4</c:v>
                </c:pt>
                <c:pt idx="127">
                  <c:v>5.0752035271412724E-4</c:v>
                </c:pt>
                <c:pt idx="128">
                  <c:v>4.6147937428114844E-4</c:v>
                </c:pt>
                <c:pt idx="129">
                  <c:v>4.5810666002857613E-4</c:v>
                </c:pt>
                <c:pt idx="130">
                  <c:v>4.7527056188158734E-4</c:v>
                </c:pt>
                <c:pt idx="131">
                  <c:v>5.1260633001966598E-4</c:v>
                </c:pt>
                <c:pt idx="132">
                  <c:v>5.2993731123163255E-4</c:v>
                </c:pt>
                <c:pt idx="133">
                  <c:v>4.8637519649646563E-4</c:v>
                </c:pt>
                <c:pt idx="134">
                  <c:v>4.0326177285886526E-4</c:v>
                </c:pt>
                <c:pt idx="135">
                  <c:v>3.0135556499889452E-4</c:v>
                </c:pt>
                <c:pt idx="136">
                  <c:v>2.4051482055526804E-4</c:v>
                </c:pt>
                <c:pt idx="137">
                  <c:v>2.3984936935472095E-4</c:v>
                </c:pt>
                <c:pt idx="138">
                  <c:v>2.7904720213228106E-4</c:v>
                </c:pt>
                <c:pt idx="139">
                  <c:v>3.5804203701317154E-4</c:v>
                </c:pt>
                <c:pt idx="140">
                  <c:v>3.9712605864487664E-4</c:v>
                </c:pt>
                <c:pt idx="141">
                  <c:v>3.9668288645055449E-4</c:v>
                </c:pt>
                <c:pt idx="142">
                  <c:v>3.5613143735703073E-4</c:v>
                </c:pt>
                <c:pt idx="143">
                  <c:v>3.1635443580281953E-4</c:v>
                </c:pt>
                <c:pt idx="144">
                  <c:v>2.7629297391116117E-4</c:v>
                </c:pt>
                <c:pt idx="145">
                  <c:v>2.9571546326667334E-4</c:v>
                </c:pt>
                <c:pt idx="146">
                  <c:v>3.1521893159178866E-4</c:v>
                </c:pt>
                <c:pt idx="147">
                  <c:v>3.7365191514648834E-4</c:v>
                </c:pt>
                <c:pt idx="148">
                  <c:v>4.1246211484836421E-4</c:v>
                </c:pt>
                <c:pt idx="149">
                  <c:v>4.3111251912364971E-4</c:v>
                </c:pt>
                <c:pt idx="150">
                  <c:v>4.3149765077031332E-4</c:v>
                </c:pt>
                <c:pt idx="151">
                  <c:v>4.2744697514164311E-4</c:v>
                </c:pt>
                <c:pt idx="152">
                  <c:v>4.0787602308185652E-4</c:v>
                </c:pt>
                <c:pt idx="153">
                  <c:v>3.9071700564852863E-4</c:v>
                </c:pt>
                <c:pt idx="154">
                  <c:v>3.9709085581699465E-4</c:v>
                </c:pt>
                <c:pt idx="155">
                  <c:v>4.0150487646246604E-4</c:v>
                </c:pt>
                <c:pt idx="156">
                  <c:v>4.2623402666574399E-4</c:v>
                </c:pt>
                <c:pt idx="157">
                  <c:v>4.6845813530451232E-4</c:v>
                </c:pt>
                <c:pt idx="158">
                  <c:v>4.9074511858384804E-4</c:v>
                </c:pt>
                <c:pt idx="159">
                  <c:v>5.1437715749036623E-4</c:v>
                </c:pt>
                <c:pt idx="160">
                  <c:v>5.4331851150988847E-4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Calculations!$O$3:$O$163</c:f>
              <c:numCache>
                <c:formatCode>General</c:formatCode>
                <c:ptCount val="161"/>
                <c:pt idx="0">
                  <c:v>4.9631311957743125E-3</c:v>
                </c:pt>
                <c:pt idx="1">
                  <c:v>4.7267914639407627E-4</c:v>
                </c:pt>
                <c:pt idx="2">
                  <c:v>4.7267914639407627E-4</c:v>
                </c:pt>
                <c:pt idx="3">
                  <c:v>4.7267914639407627E-4</c:v>
                </c:pt>
                <c:pt idx="4">
                  <c:v>7.090187340126154E-4</c:v>
                </c:pt>
                <c:pt idx="5">
                  <c:v>7.090187340126154E-4</c:v>
                </c:pt>
                <c:pt idx="6">
                  <c:v>7.090187340126154E-4</c:v>
                </c:pt>
                <c:pt idx="7">
                  <c:v>9.4535829278815254E-4</c:v>
                </c:pt>
                <c:pt idx="8">
                  <c:v>9.4535829278815254E-4</c:v>
                </c:pt>
                <c:pt idx="9">
                  <c:v>9.4535829278815254E-4</c:v>
                </c:pt>
                <c:pt idx="10">
                  <c:v>1.1816979092496935E-3</c:v>
                </c:pt>
                <c:pt idx="11">
                  <c:v>1.6543770268007678E-3</c:v>
                </c:pt>
                <c:pt idx="12">
                  <c:v>1.8907165855763051E-3</c:v>
                </c:pt>
                <c:pt idx="13">
                  <c:v>1.8738213423397441E-3</c:v>
                </c:pt>
                <c:pt idx="14">
                  <c:v>2.2341580309097136E-3</c:v>
                </c:pt>
                <c:pt idx="15">
                  <c:v>2.8555244967760503E-3</c:v>
                </c:pt>
                <c:pt idx="16">
                  <c:v>3.5191396654938659E-3</c:v>
                </c:pt>
                <c:pt idx="17">
                  <c:v>3.9664681934610023E-3</c:v>
                </c:pt>
                <c:pt idx="18">
                  <c:v>4.3885450799094E-3</c:v>
                </c:pt>
                <c:pt idx="19">
                  <c:v>4.3516223833990203E-3</c:v>
                </c:pt>
                <c:pt idx="20">
                  <c:v>4.4955572684238282E-3</c:v>
                </c:pt>
                <c:pt idx="21">
                  <c:v>4.9810302002484871E-3</c:v>
                </c:pt>
                <c:pt idx="22">
                  <c:v>5.9514435592366785E-3</c:v>
                </c:pt>
                <c:pt idx="23">
                  <c:v>7.0210642004799378E-3</c:v>
                </c:pt>
                <c:pt idx="24">
                  <c:v>7.932910678802356E-3</c:v>
                </c:pt>
                <c:pt idx="25">
                  <c:v>8.5190956088409767E-3</c:v>
                </c:pt>
                <c:pt idx="26">
                  <c:v>8.2689912588501859E-3</c:v>
                </c:pt>
                <c:pt idx="27">
                  <c:v>7.5321902075711124E-3</c:v>
                </c:pt>
                <c:pt idx="28">
                  <c:v>8.0723996488990552E-3</c:v>
                </c:pt>
                <c:pt idx="29">
                  <c:v>1.0330350665601855E-2</c:v>
                </c:pt>
                <c:pt idx="30">
                  <c:v>1.2137301970123087E-2</c:v>
                </c:pt>
                <c:pt idx="31">
                  <c:v>1.2686211306953576E-2</c:v>
                </c:pt>
                <c:pt idx="32">
                  <c:v>1.3326733041444428E-2</c:v>
                </c:pt>
                <c:pt idx="33">
                  <c:v>1.463999645772482E-2</c:v>
                </c:pt>
                <c:pt idx="34">
                  <c:v>1.6083982782201699E-2</c:v>
                </c:pt>
                <c:pt idx="35">
                  <c:v>1.6875658995524522E-2</c:v>
                </c:pt>
                <c:pt idx="36">
                  <c:v>1.7506649081153357E-2</c:v>
                </c:pt>
                <c:pt idx="37">
                  <c:v>1.9703619652731534E-2</c:v>
                </c:pt>
                <c:pt idx="38">
                  <c:v>2.290031850562942E-2</c:v>
                </c:pt>
                <c:pt idx="39">
                  <c:v>2.4982211401417178E-2</c:v>
                </c:pt>
                <c:pt idx="40">
                  <c:v>2.5156105599920372E-2</c:v>
                </c:pt>
                <c:pt idx="41">
                  <c:v>2.5634306551909142E-2</c:v>
                </c:pt>
                <c:pt idx="42">
                  <c:v>2.8762588083930028E-2</c:v>
                </c:pt>
                <c:pt idx="43">
                  <c:v>3.3144563521967867E-2</c:v>
                </c:pt>
                <c:pt idx="44">
                  <c:v>3.6313430566483527E-2</c:v>
                </c:pt>
                <c:pt idx="45">
                  <c:v>3.8393224644267074E-2</c:v>
                </c:pt>
                <c:pt idx="46">
                  <c:v>3.999392990290971E-2</c:v>
                </c:pt>
                <c:pt idx="47">
                  <c:v>4.0145093623349032E-2</c:v>
                </c:pt>
                <c:pt idx="48">
                  <c:v>3.8212535291050662E-2</c:v>
                </c:pt>
                <c:pt idx="49">
                  <c:v>3.6150071886379927E-2</c:v>
                </c:pt>
                <c:pt idx="50">
                  <c:v>3.5670995118957265E-2</c:v>
                </c:pt>
                <c:pt idx="51">
                  <c:v>3.617467197928196E-2</c:v>
                </c:pt>
                <c:pt idx="52">
                  <c:v>3.5580229013128663E-2</c:v>
                </c:pt>
                <c:pt idx="53">
                  <c:v>3.3041183206004202E-2</c:v>
                </c:pt>
                <c:pt idx="54">
                  <c:v>2.8930322955811886E-2</c:v>
                </c:pt>
                <c:pt idx="55">
                  <c:v>2.3667604510078113E-2</c:v>
                </c:pt>
                <c:pt idx="56">
                  <c:v>1.8914517251079576E-2</c:v>
                </c:pt>
                <c:pt idx="57">
                  <c:v>1.5411118897281275E-2</c:v>
                </c:pt>
                <c:pt idx="58">
                  <c:v>1.2516456175490236E-2</c:v>
                </c:pt>
                <c:pt idx="59">
                  <c:v>9.8427479620288322E-3</c:v>
                </c:pt>
                <c:pt idx="60">
                  <c:v>7.7723475794294348E-3</c:v>
                </c:pt>
                <c:pt idx="61">
                  <c:v>6.456179648533982E-3</c:v>
                </c:pt>
                <c:pt idx="62">
                  <c:v>5.4466613692553583E-3</c:v>
                </c:pt>
                <c:pt idx="63">
                  <c:v>4.7201604168572728E-3</c:v>
                </c:pt>
                <c:pt idx="64">
                  <c:v>4.5789949375605685E-3</c:v>
                </c:pt>
                <c:pt idx="65">
                  <c:v>4.9970049179133974E-3</c:v>
                </c:pt>
                <c:pt idx="66">
                  <c:v>5.4432329438858654E-3</c:v>
                </c:pt>
                <c:pt idx="67">
                  <c:v>5.6294720155295091E-3</c:v>
                </c:pt>
                <c:pt idx="68">
                  <c:v>5.5405246117398183E-3</c:v>
                </c:pt>
                <c:pt idx="69">
                  <c:v>5.235257732570912E-3</c:v>
                </c:pt>
                <c:pt idx="70">
                  <c:v>4.7957835953276323E-3</c:v>
                </c:pt>
                <c:pt idx="71">
                  <c:v>4.4335719339754515E-3</c:v>
                </c:pt>
                <c:pt idx="72">
                  <c:v>4.5797813509597845E-3</c:v>
                </c:pt>
                <c:pt idx="73">
                  <c:v>5.3415745051592399E-3</c:v>
                </c:pt>
                <c:pt idx="74">
                  <c:v>6.2279749273753335E-3</c:v>
                </c:pt>
                <c:pt idx="75">
                  <c:v>6.5537193123239275E-3</c:v>
                </c:pt>
                <c:pt idx="76">
                  <c:v>6.3231176567853297E-3</c:v>
                </c:pt>
                <c:pt idx="77">
                  <c:v>6.2005693078730538E-3</c:v>
                </c:pt>
                <c:pt idx="78">
                  <c:v>6.4603429329170344E-3</c:v>
                </c:pt>
                <c:pt idx="79">
                  <c:v>6.6714854835435806E-3</c:v>
                </c:pt>
                <c:pt idx="80">
                  <c:v>6.547245863107942E-3</c:v>
                </c:pt>
                <c:pt idx="81">
                  <c:v>6.1967978666616639E-3</c:v>
                </c:pt>
                <c:pt idx="82">
                  <c:v>5.9900191769177158E-3</c:v>
                </c:pt>
                <c:pt idx="83">
                  <c:v>6.107135639090564E-3</c:v>
                </c:pt>
                <c:pt idx="84">
                  <c:v>6.2864376434687034E-3</c:v>
                </c:pt>
                <c:pt idx="85">
                  <c:v>6.2336278509599633E-3</c:v>
                </c:pt>
                <c:pt idx="86">
                  <c:v>5.8507022192424108E-3</c:v>
                </c:pt>
                <c:pt idx="87">
                  <c:v>5.4120908076111512E-3</c:v>
                </c:pt>
                <c:pt idx="88">
                  <c:v>5.1633203457826507E-3</c:v>
                </c:pt>
                <c:pt idx="89">
                  <c:v>4.9759239027270452E-3</c:v>
                </c:pt>
                <c:pt idx="90">
                  <c:v>4.6244270660218759E-3</c:v>
                </c:pt>
                <c:pt idx="91">
                  <c:v>4.1696770292951038E-3</c:v>
                </c:pt>
                <c:pt idx="92">
                  <c:v>3.9842106891619464E-3</c:v>
                </c:pt>
                <c:pt idx="93">
                  <c:v>4.1677054334350143E-3</c:v>
                </c:pt>
                <c:pt idx="94">
                  <c:v>4.3996730767319296E-3</c:v>
                </c:pt>
                <c:pt idx="95">
                  <c:v>4.3967976893989989E-3</c:v>
                </c:pt>
                <c:pt idx="96">
                  <c:v>4.2008297015325149E-3</c:v>
                </c:pt>
                <c:pt idx="97">
                  <c:v>3.9780618791071618E-3</c:v>
                </c:pt>
                <c:pt idx="98">
                  <c:v>3.7709965241615358E-3</c:v>
                </c:pt>
                <c:pt idx="99">
                  <c:v>3.5308521644964587E-3</c:v>
                </c:pt>
                <c:pt idx="100">
                  <c:v>3.2863070972480855E-3</c:v>
                </c:pt>
                <c:pt idx="101">
                  <c:v>3.0618762984580181E-3</c:v>
                </c:pt>
                <c:pt idx="102">
                  <c:v>2.8823261558083612E-3</c:v>
                </c:pt>
                <c:pt idx="103">
                  <c:v>2.6881073140242809E-3</c:v>
                </c:pt>
                <c:pt idx="104">
                  <c:v>2.5381228551098331E-3</c:v>
                </c:pt>
                <c:pt idx="105">
                  <c:v>2.4260996858311737E-3</c:v>
                </c:pt>
                <c:pt idx="106">
                  <c:v>2.3262014110492697E-3</c:v>
                </c:pt>
                <c:pt idx="107">
                  <c:v>2.1386047745155117E-3</c:v>
                </c:pt>
                <c:pt idx="108">
                  <c:v>1.8891810317101592E-3</c:v>
                </c:pt>
                <c:pt idx="109">
                  <c:v>1.7610780552811873E-3</c:v>
                </c:pt>
                <c:pt idx="110">
                  <c:v>1.8594794848851579E-3</c:v>
                </c:pt>
                <c:pt idx="111">
                  <c:v>2.0277332895005306E-3</c:v>
                </c:pt>
                <c:pt idx="112">
                  <c:v>1.9340660049385339E-3</c:v>
                </c:pt>
                <c:pt idx="113">
                  <c:v>1.4022229223926857E-3</c:v>
                </c:pt>
                <c:pt idx="114">
                  <c:v>7.1741975446829042E-4</c:v>
                </c:pt>
                <c:pt idx="115">
                  <c:v>1.7034887039559215E-4</c:v>
                </c:pt>
                <c:pt idx="116">
                  <c:v>4.7816126054709854E-5</c:v>
                </c:pt>
                <c:pt idx="117">
                  <c:v>3.0492445039375537E-4</c:v>
                </c:pt>
                <c:pt idx="118">
                  <c:v>7.3570115794893904E-4</c:v>
                </c:pt>
                <c:pt idx="119">
                  <c:v>1.0599144091323319E-3</c:v>
                </c:pt>
                <c:pt idx="120">
                  <c:v>1.0620816978918087E-3</c:v>
                </c:pt>
                <c:pt idx="121">
                  <c:v>8.6978099765469953E-4</c:v>
                </c:pt>
                <c:pt idx="122">
                  <c:v>6.835406285160922E-4</c:v>
                </c:pt>
                <c:pt idx="123">
                  <c:v>6.1057881212547458E-4</c:v>
                </c:pt>
                <c:pt idx="124">
                  <c:v>6.4300933420302132E-4</c:v>
                </c:pt>
                <c:pt idx="125">
                  <c:v>6.9573813053465969E-4</c:v>
                </c:pt>
                <c:pt idx="126">
                  <c:v>7.0687248310770292E-4</c:v>
                </c:pt>
                <c:pt idx="127">
                  <c:v>6.5906605572796438E-4</c:v>
                </c:pt>
                <c:pt idx="128">
                  <c:v>5.9432452447518238E-4</c:v>
                </c:pt>
                <c:pt idx="129">
                  <c:v>5.1131679697147465E-4</c:v>
                </c:pt>
                <c:pt idx="130">
                  <c:v>4.488628967713827E-4</c:v>
                </c:pt>
                <c:pt idx="131">
                  <c:v>3.872993366606171E-4</c:v>
                </c:pt>
                <c:pt idx="132">
                  <c:v>3.4649459337956324E-4</c:v>
                </c:pt>
                <c:pt idx="133">
                  <c:v>3.4451289914779447E-4</c:v>
                </c:pt>
                <c:pt idx="134">
                  <c:v>3.8085516343781378E-4</c:v>
                </c:pt>
                <c:pt idx="135">
                  <c:v>4.1742979124029136E-4</c:v>
                </c:pt>
                <c:pt idx="136">
                  <c:v>4.353727340737612E-4</c:v>
                </c:pt>
                <c:pt idx="137">
                  <c:v>3.9641440487977206E-4</c:v>
                </c:pt>
                <c:pt idx="138">
                  <c:v>3.3884021723690688E-4</c:v>
                </c:pt>
                <c:pt idx="139">
                  <c:v>2.6300398316712019E-4</c:v>
                </c:pt>
                <c:pt idx="140">
                  <c:v>2.2503621868830156E-4</c:v>
                </c:pt>
                <c:pt idx="141">
                  <c:v>2.2478508987751951E-4</c:v>
                </c:pt>
                <c:pt idx="142">
                  <c:v>2.6160052975144135E-4</c:v>
                </c:pt>
                <c:pt idx="143">
                  <c:v>3.174502572087274E-4</c:v>
                </c:pt>
                <c:pt idx="144">
                  <c:v>3.5413447995193462E-4</c:v>
                </c:pt>
                <c:pt idx="145">
                  <c:v>3.9099830566989764E-4</c:v>
                </c:pt>
                <c:pt idx="146">
                  <c:v>3.7213036972974528E-4</c:v>
                </c:pt>
                <c:pt idx="147">
                  <c:v>3.5289053113837565E-4</c:v>
                </c:pt>
                <c:pt idx="148">
                  <c:v>3.338951218777585E-4</c:v>
                </c:pt>
                <c:pt idx="149">
                  <c:v>3.3312962830534627E-4</c:v>
                </c:pt>
                <c:pt idx="150">
                  <c:v>3.5195096040993416E-4</c:v>
                </c:pt>
                <c:pt idx="151">
                  <c:v>3.853467111182299E-4</c:v>
                </c:pt>
                <c:pt idx="152">
                  <c:v>4.2189998190034591E-4</c:v>
                </c:pt>
                <c:pt idx="153">
                  <c:v>4.4280890470089514E-4</c:v>
                </c:pt>
                <c:pt idx="154">
                  <c:v>4.6878389552839662E-4</c:v>
                </c:pt>
                <c:pt idx="155">
                  <c:v>4.7399484854535669E-4</c:v>
                </c:pt>
                <c:pt idx="156">
                  <c:v>4.6005828026059821E-4</c:v>
                </c:pt>
                <c:pt idx="157">
                  <c:v>4.6166503351569157E-4</c:v>
                </c:pt>
                <c:pt idx="158">
                  <c:v>4.441660674338896E-4</c:v>
                </c:pt>
                <c:pt idx="159">
                  <c:v>4.4693287097428801E-4</c:v>
                </c:pt>
                <c:pt idx="160">
                  <c:v>4.736583431679988E-4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Calculations!$P$3:$P$163</c:f>
              <c:numCache>
                <c:formatCode>General</c:formatCode>
                <c:ptCount val="161"/>
                <c:pt idx="0">
                  <c:v>1.5608740927464863E-2</c:v>
                </c:pt>
                <c:pt idx="1">
                  <c:v>4.7299215019172618E-4</c:v>
                </c:pt>
                <c:pt idx="2">
                  <c:v>4.7299215019172618E-4</c:v>
                </c:pt>
                <c:pt idx="3">
                  <c:v>4.7299215019172618E-4</c:v>
                </c:pt>
                <c:pt idx="4">
                  <c:v>7.094882397186401E-4</c:v>
                </c:pt>
                <c:pt idx="5">
                  <c:v>7.094882397186401E-4</c:v>
                </c:pt>
                <c:pt idx="6">
                  <c:v>7.094882397186401E-4</c:v>
                </c:pt>
                <c:pt idx="7">
                  <c:v>9.4598430038345235E-4</c:v>
                </c:pt>
                <c:pt idx="8">
                  <c:v>9.4598430038345235E-4</c:v>
                </c:pt>
                <c:pt idx="9">
                  <c:v>1.182480418772468E-3</c:v>
                </c:pt>
                <c:pt idx="10">
                  <c:v>1.182480418772468E-3</c:v>
                </c:pt>
                <c:pt idx="11">
                  <c:v>1.4189764794372802E-3</c:v>
                </c:pt>
                <c:pt idx="12">
                  <c:v>1.8919686007669047E-3</c:v>
                </c:pt>
                <c:pt idx="13">
                  <c:v>2.0834023881271049E-3</c:v>
                </c:pt>
                <c:pt idx="14">
                  <c:v>2.0493343625449852E-3</c:v>
                </c:pt>
                <c:pt idx="15">
                  <c:v>2.5212487559097695E-3</c:v>
                </c:pt>
                <c:pt idx="16">
                  <c:v>3.3683626288872506E-3</c:v>
                </c:pt>
                <c:pt idx="17">
                  <c:v>3.9690947523377427E-3</c:v>
                </c:pt>
                <c:pt idx="18">
                  <c:v>4.5169214046365961E-3</c:v>
                </c:pt>
                <c:pt idx="19">
                  <c:v>5.0420571784285011E-3</c:v>
                </c:pt>
                <c:pt idx="20">
                  <c:v>5.2308538747879605E-3</c:v>
                </c:pt>
                <c:pt idx="21">
                  <c:v>5.1760335242645103E-3</c:v>
                </c:pt>
                <c:pt idx="22">
                  <c:v>5.5174881650291189E-3</c:v>
                </c:pt>
                <c:pt idx="23">
                  <c:v>6.6219370145207332E-3</c:v>
                </c:pt>
                <c:pt idx="24">
                  <c:v>7.7897866102676124E-3</c:v>
                </c:pt>
                <c:pt idx="25">
                  <c:v>9.0059721260036842E-3</c:v>
                </c:pt>
                <c:pt idx="26">
                  <c:v>1.0070475649843957E-2</c:v>
                </c:pt>
                <c:pt idx="27">
                  <c:v>1.0431454624874107E-2</c:v>
                </c:pt>
                <c:pt idx="28">
                  <c:v>9.4429977763897405E-3</c:v>
                </c:pt>
                <c:pt idx="29">
                  <c:v>8.6768138113858095E-3</c:v>
                </c:pt>
                <c:pt idx="30">
                  <c:v>1.0280701522022638E-2</c:v>
                </c:pt>
                <c:pt idx="31">
                  <c:v>1.3367810517786016E-2</c:v>
                </c:pt>
                <c:pt idx="32">
                  <c:v>1.5214450355918301E-2</c:v>
                </c:pt>
                <c:pt idx="33">
                  <c:v>1.5594832366035901E-2</c:v>
                </c:pt>
                <c:pt idx="34">
                  <c:v>1.6870769981932311E-2</c:v>
                </c:pt>
                <c:pt idx="35">
                  <c:v>1.8922835807414436E-2</c:v>
                </c:pt>
                <c:pt idx="36">
                  <c:v>1.94006846363559E-2</c:v>
                </c:pt>
                <c:pt idx="37">
                  <c:v>1.8645912530420649E-2</c:v>
                </c:pt>
                <c:pt idx="38">
                  <c:v>1.9354768680227535E-2</c:v>
                </c:pt>
                <c:pt idx="39">
                  <c:v>2.3138226461893039E-2</c:v>
                </c:pt>
                <c:pt idx="40">
                  <c:v>2.8009590976751462E-2</c:v>
                </c:pt>
                <c:pt idx="41">
                  <c:v>3.0486407242687131E-2</c:v>
                </c:pt>
                <c:pt idx="42">
                  <c:v>3.0083012157551974E-2</c:v>
                </c:pt>
                <c:pt idx="43">
                  <c:v>3.0273574913478443E-2</c:v>
                </c:pt>
                <c:pt idx="44">
                  <c:v>3.33942550480004E-2</c:v>
                </c:pt>
                <c:pt idx="45">
                  <c:v>3.7457496823813323E-2</c:v>
                </c:pt>
                <c:pt idx="46">
                  <c:v>3.9405537223033249E-2</c:v>
                </c:pt>
                <c:pt idx="47">
                  <c:v>4.0745182819511901E-2</c:v>
                </c:pt>
                <c:pt idx="48">
                  <c:v>4.2178574728246009E-2</c:v>
                </c:pt>
                <c:pt idx="49">
                  <c:v>4.221959530032772E-2</c:v>
                </c:pt>
                <c:pt idx="50">
                  <c:v>3.9541649422583085E-2</c:v>
                </c:pt>
                <c:pt idx="51">
                  <c:v>3.6079394515715991E-2</c:v>
                </c:pt>
                <c:pt idx="52">
                  <c:v>3.3733598194635936E-2</c:v>
                </c:pt>
                <c:pt idx="53">
                  <c:v>3.2190565950277E-2</c:v>
                </c:pt>
                <c:pt idx="54">
                  <c:v>2.9468450203608363E-2</c:v>
                </c:pt>
                <c:pt idx="55">
                  <c:v>2.5263643996130038E-2</c:v>
                </c:pt>
                <c:pt idx="56">
                  <c:v>2.0442084491604652E-2</c:v>
                </c:pt>
                <c:pt idx="57">
                  <c:v>1.5637915529297112E-2</c:v>
                </c:pt>
                <c:pt idx="58">
                  <c:v>1.1903858784446364E-2</c:v>
                </c:pt>
                <c:pt idx="59">
                  <c:v>9.8492657394999347E-3</c:v>
                </c:pt>
                <c:pt idx="60">
                  <c:v>8.4711628735192404E-3</c:v>
                </c:pt>
                <c:pt idx="61">
                  <c:v>7.1690211249136769E-3</c:v>
                </c:pt>
                <c:pt idx="62">
                  <c:v>6.1548657118834383E-3</c:v>
                </c:pt>
                <c:pt idx="63">
                  <c:v>5.5483141479884552E-3</c:v>
                </c:pt>
                <c:pt idx="64">
                  <c:v>5.0340657150614015E-3</c:v>
                </c:pt>
                <c:pt idx="65">
                  <c:v>4.5084797515129778E-3</c:v>
                </c:pt>
                <c:pt idx="66">
                  <c:v>4.4229956510838985E-3</c:v>
                </c:pt>
                <c:pt idx="67">
                  <c:v>4.8547939794528665E-3</c:v>
                </c:pt>
                <c:pt idx="68">
                  <c:v>5.4209891251470214E-3</c:v>
                </c:pt>
                <c:pt idx="69">
                  <c:v>5.733721699939652E-3</c:v>
                </c:pt>
                <c:pt idx="70">
                  <c:v>5.7753707926822507E-3</c:v>
                </c:pt>
                <c:pt idx="71">
                  <c:v>5.571917372555359E-3</c:v>
                </c:pt>
                <c:pt idx="72">
                  <c:v>5.2680945817986605E-3</c:v>
                </c:pt>
                <c:pt idx="73">
                  <c:v>5.0843743443129193E-3</c:v>
                </c:pt>
                <c:pt idx="74">
                  <c:v>5.2583333708752338E-3</c:v>
                </c:pt>
                <c:pt idx="75">
                  <c:v>5.9064572524661569E-3</c:v>
                </c:pt>
                <c:pt idx="76">
                  <c:v>6.6877210873550101E-3</c:v>
                </c:pt>
                <c:pt idx="77">
                  <c:v>6.9469525475735769E-3</c:v>
                </c:pt>
                <c:pt idx="78">
                  <c:v>6.5378748354464021E-3</c:v>
                </c:pt>
                <c:pt idx="79">
                  <c:v>5.9834557208055562E-3</c:v>
                </c:pt>
                <c:pt idx="80">
                  <c:v>5.8236280219326709E-3</c:v>
                </c:pt>
                <c:pt idx="81">
                  <c:v>5.9617477983976257E-3</c:v>
                </c:pt>
                <c:pt idx="82">
                  <c:v>5.9260653284666318E-3</c:v>
                </c:pt>
                <c:pt idx="83">
                  <c:v>5.6528412354427795E-3</c:v>
                </c:pt>
                <c:pt idx="84">
                  <c:v>5.3870720763229372E-3</c:v>
                </c:pt>
                <c:pt idx="85">
                  <c:v>5.4129285773179764E-3</c:v>
                </c:pt>
                <c:pt idx="86">
                  <c:v>5.6634775337952902E-3</c:v>
                </c:pt>
                <c:pt idx="87">
                  <c:v>5.8025085869505893E-3</c:v>
                </c:pt>
                <c:pt idx="88">
                  <c:v>5.5230661541956824E-3</c:v>
                </c:pt>
                <c:pt idx="89">
                  <c:v>4.9611125584162804E-3</c:v>
                </c:pt>
                <c:pt idx="90">
                  <c:v>4.5537443306890961E-3</c:v>
                </c:pt>
                <c:pt idx="91">
                  <c:v>4.3979751819264038E-3</c:v>
                </c:pt>
                <c:pt idx="92">
                  <c:v>4.1018543227021162E-3</c:v>
                </c:pt>
                <c:pt idx="93">
                  <c:v>3.563495976698465E-3</c:v>
                </c:pt>
                <c:pt idx="94">
                  <c:v>3.1818694164413592E-3</c:v>
                </c:pt>
                <c:pt idx="95">
                  <c:v>3.274202372676937E-3</c:v>
                </c:pt>
                <c:pt idx="96">
                  <c:v>3.6180339180949587E-3</c:v>
                </c:pt>
                <c:pt idx="97">
                  <c:v>3.7880816738238097E-3</c:v>
                </c:pt>
                <c:pt idx="98">
                  <c:v>3.5979823192054303E-3</c:v>
                </c:pt>
                <c:pt idx="99">
                  <c:v>3.2406331763575481E-3</c:v>
                </c:pt>
                <c:pt idx="100">
                  <c:v>2.9435374418589895E-3</c:v>
                </c:pt>
                <c:pt idx="101">
                  <c:v>2.7339450712266615E-3</c:v>
                </c:pt>
                <c:pt idx="102">
                  <c:v>2.4756349484768452E-3</c:v>
                </c:pt>
                <c:pt idx="103">
                  <c:v>2.2008169434005508E-3</c:v>
                </c:pt>
                <c:pt idx="104">
                  <c:v>1.9920029235469911E-3</c:v>
                </c:pt>
                <c:pt idx="105">
                  <c:v>1.795490966870936E-3</c:v>
                </c:pt>
                <c:pt idx="106">
                  <c:v>1.5859340396955953E-3</c:v>
                </c:pt>
                <c:pt idx="107">
                  <c:v>1.4438696159231575E-3</c:v>
                </c:pt>
                <c:pt idx="108">
                  <c:v>1.450194418787924E-3</c:v>
                </c:pt>
                <c:pt idx="109">
                  <c:v>1.5030905910813595E-3</c:v>
                </c:pt>
                <c:pt idx="110">
                  <c:v>1.3696898074776077E-3</c:v>
                </c:pt>
                <c:pt idx="111">
                  <c:v>1.1044338145449028E-3</c:v>
                </c:pt>
                <c:pt idx="112">
                  <c:v>9.6767336285862363E-4</c:v>
                </c:pt>
                <c:pt idx="113">
                  <c:v>1.1024761693350031E-3</c:v>
                </c:pt>
                <c:pt idx="114">
                  <c:v>1.3615246214529319E-3</c:v>
                </c:pt>
                <c:pt idx="115">
                  <c:v>1.3149900588567448E-3</c:v>
                </c:pt>
                <c:pt idx="116">
                  <c:v>8.612602510664545E-4</c:v>
                </c:pt>
                <c:pt idx="117">
                  <c:v>2.1124133913754208E-4</c:v>
                </c:pt>
                <c:pt idx="118">
                  <c:v>2.3005885390984193E-5</c:v>
                </c:pt>
                <c:pt idx="119">
                  <c:v>2.2566304157292621E-5</c:v>
                </c:pt>
                <c:pt idx="120">
                  <c:v>2.2141353688308696E-5</c:v>
                </c:pt>
                <c:pt idx="121">
                  <c:v>2.8286600519071727E-4</c:v>
                </c:pt>
                <c:pt idx="122">
                  <c:v>5.984941102146205E-4</c:v>
                </c:pt>
                <c:pt idx="123">
                  <c:v>6.3205151425482276E-4</c:v>
                </c:pt>
                <c:pt idx="124">
                  <c:v>4.773873642998009E-4</c:v>
                </c:pt>
                <c:pt idx="125">
                  <c:v>3.0714653262998607E-4</c:v>
                </c:pt>
                <c:pt idx="126">
                  <c:v>2.4251677223075297E-4</c:v>
                </c:pt>
                <c:pt idx="127">
                  <c:v>2.9977385778668281E-4</c:v>
                </c:pt>
                <c:pt idx="128">
                  <c:v>3.568308639199069E-4</c:v>
                </c:pt>
                <c:pt idx="129">
                  <c:v>3.9358107522694013E-4</c:v>
                </c:pt>
                <c:pt idx="130">
                  <c:v>3.7104533113917529E-4</c:v>
                </c:pt>
                <c:pt idx="131">
                  <c:v>3.1004463083335532E-4</c:v>
                </c:pt>
                <c:pt idx="132">
                  <c:v>2.6967424204763521E-4</c:v>
                </c:pt>
                <c:pt idx="133">
                  <c:v>2.4897962622321866E-4</c:v>
                </c:pt>
                <c:pt idx="134">
                  <c:v>2.0960904736921847E-4</c:v>
                </c:pt>
                <c:pt idx="135">
                  <c:v>1.7087981631551749E-4</c:v>
                </c:pt>
                <c:pt idx="136">
                  <c:v>1.5153426904510316E-4</c:v>
                </c:pt>
                <c:pt idx="137">
                  <c:v>1.700043912909005E-4</c:v>
                </c:pt>
                <c:pt idx="138">
                  <c:v>2.2604305661807513E-4</c:v>
                </c:pt>
                <c:pt idx="139">
                  <c:v>2.8197657939667975E-4</c:v>
                </c:pt>
                <c:pt idx="140">
                  <c:v>3.0024697470547063E-4</c:v>
                </c:pt>
                <c:pt idx="141">
                  <c:v>2.6242292753719625E-4</c:v>
                </c:pt>
                <c:pt idx="142">
                  <c:v>2.2437751051431333E-4</c:v>
                </c:pt>
                <c:pt idx="143">
                  <c:v>1.8685909669759125E-4</c:v>
                </c:pt>
                <c:pt idx="144">
                  <c:v>1.8650999091433386E-4</c:v>
                </c:pt>
                <c:pt idx="145">
                  <c:v>2.0494425783854141E-4</c:v>
                </c:pt>
                <c:pt idx="146">
                  <c:v>2.4204490872859185E-4</c:v>
                </c:pt>
                <c:pt idx="147">
                  <c:v>2.9736774506941772E-4</c:v>
                </c:pt>
                <c:pt idx="148">
                  <c:v>3.5267823460670503E-4</c:v>
                </c:pt>
                <c:pt idx="149">
                  <c:v>3.7038913341686967E-4</c:v>
                </c:pt>
                <c:pt idx="150">
                  <c:v>3.7072001821035499E-4</c:v>
                </c:pt>
                <c:pt idx="151">
                  <c:v>3.488778986232234E-4</c:v>
                </c:pt>
                <c:pt idx="152">
                  <c:v>3.4875686900794962E-4</c:v>
                </c:pt>
                <c:pt idx="153">
                  <c:v>3.6925177992375575E-4</c:v>
                </c:pt>
                <c:pt idx="154">
                  <c:v>4.1280300593212122E-4</c:v>
                </c:pt>
                <c:pt idx="155">
                  <c:v>4.5533637612720662E-4</c:v>
                </c:pt>
                <c:pt idx="156">
                  <c:v>4.987265007348169E-4</c:v>
                </c:pt>
                <c:pt idx="157">
                  <c:v>5.1971708215409391E-4</c:v>
                </c:pt>
                <c:pt idx="158">
                  <c:v>5.4108196239254858E-4</c:v>
                </c:pt>
                <c:pt idx="159">
                  <c:v>5.4445247535821141E-4</c:v>
                </c:pt>
                <c:pt idx="160">
                  <c:v>5.3321848998305783E-4</c:v>
                </c:pt>
              </c:numCache>
            </c:numRef>
          </c:yVal>
        </c:ser>
        <c:axId val="72209920"/>
        <c:axId val="72211456"/>
      </c:scatterChart>
      <c:valAx>
        <c:axId val="7220992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2211456"/>
        <c:crosses val="autoZero"/>
        <c:crossBetween val="midCat"/>
        <c:majorUnit val="50"/>
        <c:minorUnit val="5"/>
      </c:valAx>
      <c:valAx>
        <c:axId val="72211456"/>
        <c:scaling>
          <c:orientation val="minMax"/>
        </c:scaling>
        <c:axPos val="l"/>
        <c:majorGridlines/>
        <c:numFmt formatCode="General" sourceLinked="1"/>
        <c:tickLblPos val="nextTo"/>
        <c:crossAx val="72209920"/>
        <c:crosses val="autoZero"/>
        <c:crossBetween val="midCat"/>
      </c:valAx>
    </c:plotArea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Calculations!$Q$3:$Q$163</c:f>
              <c:numCache>
                <c:formatCode>General</c:formatCode>
                <c:ptCount val="161"/>
                <c:pt idx="0">
                  <c:v>3.3277870433993692E-3</c:v>
                </c:pt>
                <c:pt idx="1">
                  <c:v>4.7539814491292192E-4</c:v>
                </c:pt>
                <c:pt idx="2">
                  <c:v>4.7539814491292192E-4</c:v>
                </c:pt>
                <c:pt idx="3">
                  <c:v>4.7539814491292192E-4</c:v>
                </c:pt>
                <c:pt idx="4">
                  <c:v>7.1309723187384087E-4</c:v>
                </c:pt>
                <c:pt idx="5">
                  <c:v>7.1309723187384087E-4</c:v>
                </c:pt>
                <c:pt idx="6">
                  <c:v>7.1309723187384087E-4</c:v>
                </c:pt>
                <c:pt idx="7">
                  <c:v>9.5079628982584383E-4</c:v>
                </c:pt>
                <c:pt idx="8">
                  <c:v>9.5079628982584383E-4</c:v>
                </c:pt>
                <c:pt idx="9">
                  <c:v>1.1884954057956789E-3</c:v>
                </c:pt>
                <c:pt idx="10">
                  <c:v>1.1884954057956789E-3</c:v>
                </c:pt>
                <c:pt idx="11">
                  <c:v>1.4261944637476817E-3</c:v>
                </c:pt>
                <c:pt idx="12">
                  <c:v>1.6638935216996846E-3</c:v>
                </c:pt>
                <c:pt idx="13">
                  <c:v>2.3034001375149115E-3</c:v>
                </c:pt>
                <c:pt idx="14">
                  <c:v>2.4342603931753149E-3</c:v>
                </c:pt>
                <c:pt idx="15">
                  <c:v>2.534073728153138E-3</c:v>
                </c:pt>
                <c:pt idx="16">
                  <c:v>2.7699518682029228E-3</c:v>
                </c:pt>
                <c:pt idx="17">
                  <c:v>3.7141615063738774E-3</c:v>
                </c:pt>
                <c:pt idx="18">
                  <c:v>4.5398978727475498E-3</c:v>
                </c:pt>
                <c:pt idx="19">
                  <c:v>5.1828797589069161E-3</c:v>
                </c:pt>
                <c:pt idx="20">
                  <c:v>5.7832078895538883E-3</c:v>
                </c:pt>
                <c:pt idx="21">
                  <c:v>6.1657631701479837E-3</c:v>
                </c:pt>
                <c:pt idx="22">
                  <c:v>5.9856781269048429E-3</c:v>
                </c:pt>
                <c:pt idx="23">
                  <c:v>6.3309567469406556E-3</c:v>
                </c:pt>
                <c:pt idx="24">
                  <c:v>7.3820167211451201E-3</c:v>
                </c:pt>
                <c:pt idx="25">
                  <c:v>8.913587866621598E-3</c:v>
                </c:pt>
                <c:pt idx="26">
                  <c:v>1.0315110103783566E-2</c:v>
                </c:pt>
                <c:pt idx="27">
                  <c:v>1.1635995627213656E-2</c:v>
                </c:pt>
                <c:pt idx="28">
                  <c:v>1.2349777159164141E-2</c:v>
                </c:pt>
                <c:pt idx="29">
                  <c:v>1.1358769153605404E-2</c:v>
                </c:pt>
                <c:pt idx="30">
                  <c:v>9.775825441593727E-3</c:v>
                </c:pt>
                <c:pt idx="31">
                  <c:v>1.0874306203649386E-2</c:v>
                </c:pt>
                <c:pt idx="32">
                  <c:v>1.5015483749243008E-2</c:v>
                </c:pt>
                <c:pt idx="33">
                  <c:v>1.7876313283061537E-2</c:v>
                </c:pt>
                <c:pt idx="34">
                  <c:v>1.8598872523677885E-2</c:v>
                </c:pt>
                <c:pt idx="35">
                  <c:v>1.9500587894489062E-2</c:v>
                </c:pt>
                <c:pt idx="36">
                  <c:v>2.0850813332639957E-2</c:v>
                </c:pt>
                <c:pt idx="37">
                  <c:v>2.1227158069059018E-2</c:v>
                </c:pt>
                <c:pt idx="38">
                  <c:v>2.0339070320836979E-2</c:v>
                </c:pt>
                <c:pt idx="39">
                  <c:v>2.0603933097804294E-2</c:v>
                </c:pt>
                <c:pt idx="40">
                  <c:v>2.4415939448811468E-2</c:v>
                </c:pt>
                <c:pt idx="41">
                  <c:v>3.0736154524334761E-2</c:v>
                </c:pt>
                <c:pt idx="42">
                  <c:v>3.5011750138084781E-2</c:v>
                </c:pt>
                <c:pt idx="43">
                  <c:v>3.5097438725733905E-2</c:v>
                </c:pt>
                <c:pt idx="44">
                  <c:v>3.3279683583112792E-2</c:v>
                </c:pt>
                <c:pt idx="45">
                  <c:v>3.3921871371978413E-2</c:v>
                </c:pt>
                <c:pt idx="46">
                  <c:v>3.7859450987278845E-2</c:v>
                </c:pt>
                <c:pt idx="47">
                  <c:v>4.0611829494909137E-2</c:v>
                </c:pt>
                <c:pt idx="48">
                  <c:v>4.1652076425754116E-2</c:v>
                </c:pt>
                <c:pt idx="49">
                  <c:v>4.3334556585795138E-2</c:v>
                </c:pt>
                <c:pt idx="50">
                  <c:v>4.4221191694363338E-2</c:v>
                </c:pt>
                <c:pt idx="51">
                  <c:v>4.1847362840644525E-2</c:v>
                </c:pt>
                <c:pt idx="52">
                  <c:v>3.6724750098686282E-2</c:v>
                </c:pt>
                <c:pt idx="53">
                  <c:v>3.1431221662617428E-2</c:v>
                </c:pt>
                <c:pt idx="54">
                  <c:v>2.7894770971414105E-2</c:v>
                </c:pt>
                <c:pt idx="55">
                  <c:v>2.4720997359909878E-2</c:v>
                </c:pt>
                <c:pt idx="56">
                  <c:v>2.0678480632572532E-2</c:v>
                </c:pt>
                <c:pt idx="57">
                  <c:v>1.6479388912780453E-2</c:v>
                </c:pt>
                <c:pt idx="58">
                  <c:v>1.2825160759726081E-2</c:v>
                </c:pt>
                <c:pt idx="59">
                  <c:v>9.8566966011804057E-3</c:v>
                </c:pt>
                <c:pt idx="60">
                  <c:v>7.94381971523145E-3</c:v>
                </c:pt>
                <c:pt idx="61">
                  <c:v>7.2264344802337073E-3</c:v>
                </c:pt>
                <c:pt idx="62">
                  <c:v>6.6860664867263563E-3</c:v>
                </c:pt>
                <c:pt idx="63">
                  <c:v>6.0118800363285138E-3</c:v>
                </c:pt>
                <c:pt idx="64">
                  <c:v>5.5140104647083575E-3</c:v>
                </c:pt>
                <c:pt idx="65">
                  <c:v>5.2317228204022386E-3</c:v>
                </c:pt>
                <c:pt idx="66">
                  <c:v>4.8571139979528086E-3</c:v>
                </c:pt>
                <c:pt idx="67">
                  <c:v>4.4471293917379435E-3</c:v>
                </c:pt>
                <c:pt idx="68">
                  <c:v>4.4372777348654843E-3</c:v>
                </c:pt>
                <c:pt idx="69">
                  <c:v>4.9336955879143397E-3</c:v>
                </c:pt>
                <c:pt idx="70">
                  <c:v>5.5541844846963813E-3</c:v>
                </c:pt>
                <c:pt idx="71">
                  <c:v>5.9172560647783833E-3</c:v>
                </c:pt>
                <c:pt idx="72">
                  <c:v>6.0697544457589498E-3</c:v>
                </c:pt>
                <c:pt idx="73">
                  <c:v>6.1803294664660759E-3</c:v>
                </c:pt>
                <c:pt idx="74">
                  <c:v>6.1550530337853545E-3</c:v>
                </c:pt>
                <c:pt idx="75">
                  <c:v>5.8731225568581314E-3</c:v>
                </c:pt>
                <c:pt idx="76">
                  <c:v>5.6551165870832648E-3</c:v>
                </c:pt>
                <c:pt idx="77">
                  <c:v>5.9492936235951421E-3</c:v>
                </c:pt>
                <c:pt idx="78">
                  <c:v>6.5711313965448187E-3</c:v>
                </c:pt>
                <c:pt idx="79">
                  <c:v>6.7098619579166047E-3</c:v>
                </c:pt>
                <c:pt idx="80">
                  <c:v>6.0797161413362472E-3</c:v>
                </c:pt>
                <c:pt idx="81">
                  <c:v>5.3224722377436346E-3</c:v>
                </c:pt>
                <c:pt idx="82">
                  <c:v>5.1199510202525941E-3</c:v>
                </c:pt>
                <c:pt idx="83">
                  <c:v>5.2891731617775639E-3</c:v>
                </c:pt>
                <c:pt idx="84">
                  <c:v>5.3973408083490123E-3</c:v>
                </c:pt>
                <c:pt idx="85">
                  <c:v>5.2677492543787155E-3</c:v>
                </c:pt>
                <c:pt idx="86">
                  <c:v>4.9938465012474504E-3</c:v>
                </c:pt>
                <c:pt idx="87">
                  <c:v>4.8246745347194017E-3</c:v>
                </c:pt>
                <c:pt idx="88">
                  <c:v>4.8886027944466202E-3</c:v>
                </c:pt>
                <c:pt idx="89">
                  <c:v>4.9681500595831147E-3</c:v>
                </c:pt>
                <c:pt idx="90">
                  <c:v>4.6695580298221403E-3</c:v>
                </c:pt>
                <c:pt idx="91">
                  <c:v>4.0992102138378735E-3</c:v>
                </c:pt>
                <c:pt idx="92">
                  <c:v>3.7566836037241859E-3</c:v>
                </c:pt>
                <c:pt idx="93">
                  <c:v>3.7193775089042922E-3</c:v>
                </c:pt>
                <c:pt idx="94">
                  <c:v>3.5600986427219137E-3</c:v>
                </c:pt>
                <c:pt idx="95">
                  <c:v>3.0440429906000619E-3</c:v>
                </c:pt>
                <c:pt idx="96">
                  <c:v>2.5644243415217055E-3</c:v>
                </c:pt>
                <c:pt idx="97">
                  <c:v>2.5597443903066265E-3</c:v>
                </c:pt>
                <c:pt idx="98">
                  <c:v>2.8886174710058125E-3</c:v>
                </c:pt>
                <c:pt idx="99">
                  <c:v>3.0309285258277928E-3</c:v>
                </c:pt>
                <c:pt idx="100">
                  <c:v>2.7504902815756274E-3</c:v>
                </c:pt>
                <c:pt idx="101">
                  <c:v>2.2740844269126619E-3</c:v>
                </c:pt>
                <c:pt idx="102">
                  <c:v>1.9567616983128108E-3</c:v>
                </c:pt>
                <c:pt idx="103">
                  <c:v>1.8433432662000346E-3</c:v>
                </c:pt>
                <c:pt idx="104">
                  <c:v>1.701815418882476E-3</c:v>
                </c:pt>
                <c:pt idx="105">
                  <c:v>1.4742000994266641E-3</c:v>
                </c:pt>
                <c:pt idx="106">
                  <c:v>1.2597751886938397E-3</c:v>
                </c:pt>
                <c:pt idx="107">
                  <c:v>1.0365816185551569E-3</c:v>
                </c:pt>
                <c:pt idx="108">
                  <c:v>8.3289782192622259E-4</c:v>
                </c:pt>
                <c:pt idx="109">
                  <c:v>6.7722668669025496E-4</c:v>
                </c:pt>
                <c:pt idx="110">
                  <c:v>7.0131589715488954E-4</c:v>
                </c:pt>
                <c:pt idx="111">
                  <c:v>8.7771543587636662E-4</c:v>
                </c:pt>
                <c:pt idx="112">
                  <c:v>8.9581176772796285E-4</c:v>
                </c:pt>
                <c:pt idx="113">
                  <c:v>6.2959328557887296E-4</c:v>
                </c:pt>
                <c:pt idx="114">
                  <c:v>3.4833283141805173E-4</c:v>
                </c:pt>
                <c:pt idx="115">
                  <c:v>3.6713307785162734E-4</c:v>
                </c:pt>
                <c:pt idx="116">
                  <c:v>6.9732210556238414E-4</c:v>
                </c:pt>
                <c:pt idx="117">
                  <c:v>9.672166907632641E-4</c:v>
                </c:pt>
                <c:pt idx="118">
                  <c:v>7.8617900514194744E-4</c:v>
                </c:pt>
                <c:pt idx="119">
                  <c:v>2.041298502490795E-4</c:v>
                </c:pt>
                <c:pt idx="120">
                  <c:v>2.2253981308180621E-5</c:v>
                </c:pt>
                <c:pt idx="121">
                  <c:v>2.1869605459703376E-5</c:v>
                </c:pt>
                <c:pt idx="122">
                  <c:v>2.1483517760417965E-5</c:v>
                </c:pt>
                <c:pt idx="123">
                  <c:v>2.1175553408374519E-5</c:v>
                </c:pt>
                <c:pt idx="124">
                  <c:v>1.8775398040801861E-4</c:v>
                </c:pt>
                <c:pt idx="125">
                  <c:v>3.9103130262171655E-4</c:v>
                </c:pt>
                <c:pt idx="126">
                  <c:v>3.4531307171376983E-4</c:v>
                </c:pt>
                <c:pt idx="127">
                  <c:v>1.6069265729975573E-4</c:v>
                </c:pt>
                <c:pt idx="128">
                  <c:v>3.984955085887077E-5</c:v>
                </c:pt>
                <c:pt idx="129">
                  <c:v>3.9558311086021387E-5</c:v>
                </c:pt>
                <c:pt idx="130">
                  <c:v>9.8140196198011592E-5</c:v>
                </c:pt>
                <c:pt idx="131">
                  <c:v>1.7528724359725046E-4</c:v>
                </c:pt>
                <c:pt idx="132">
                  <c:v>1.9360429724511212E-4</c:v>
                </c:pt>
                <c:pt idx="133">
                  <c:v>1.7324732263192415E-4</c:v>
                </c:pt>
                <c:pt idx="134">
                  <c:v>1.5321837904731935E-4</c:v>
                </c:pt>
                <c:pt idx="135">
                  <c:v>1.3358258141973238E-4</c:v>
                </c:pt>
                <c:pt idx="136">
                  <c:v>1.142288172713729E-4</c:v>
                </c:pt>
                <c:pt idx="137">
                  <c:v>9.4927311087800859E-5</c:v>
                </c:pt>
                <c:pt idx="138">
                  <c:v>5.6798220511228703E-5</c:v>
                </c:pt>
                <c:pt idx="139">
                  <c:v>5.6682185901404402E-5</c:v>
                </c:pt>
                <c:pt idx="140">
                  <c:v>9.4304458831097449E-5</c:v>
                </c:pt>
                <c:pt idx="141">
                  <c:v>1.6955859769549563E-4</c:v>
                </c:pt>
                <c:pt idx="142">
                  <c:v>2.4431210083194197E-4</c:v>
                </c:pt>
                <c:pt idx="143">
                  <c:v>2.6293343680780463E-4</c:v>
                </c:pt>
                <c:pt idx="144">
                  <c:v>2.4369633227777705E-4</c:v>
                </c:pt>
                <c:pt idx="145">
                  <c:v>2.247128261916247E-4</c:v>
                </c:pt>
                <c:pt idx="146">
                  <c:v>2.0584903727628441E-4</c:v>
                </c:pt>
                <c:pt idx="147">
                  <c:v>2.054802680781255E-4</c:v>
                </c:pt>
                <c:pt idx="148">
                  <c:v>2.2387718807035233E-4</c:v>
                </c:pt>
                <c:pt idx="149">
                  <c:v>2.4197758223765592E-4</c:v>
                </c:pt>
                <c:pt idx="150">
                  <c:v>2.9808461288896706E-4</c:v>
                </c:pt>
                <c:pt idx="151">
                  <c:v>3.5065255467637164E-4</c:v>
                </c:pt>
                <c:pt idx="152">
                  <c:v>3.8742889608572325E-4</c:v>
                </c:pt>
                <c:pt idx="153">
                  <c:v>4.0824307656602108E-4</c:v>
                </c:pt>
                <c:pt idx="154">
                  <c:v>4.1490283328182205E-4</c:v>
                </c:pt>
                <c:pt idx="155">
                  <c:v>4.0044599488946853E-4</c:v>
                </c:pt>
                <c:pt idx="156">
                  <c:v>4.241459594407287E-4</c:v>
                </c:pt>
                <c:pt idx="157">
                  <c:v>4.8366736864161541E-4</c:v>
                </c:pt>
                <c:pt idx="158">
                  <c:v>5.2441166054985897E-4</c:v>
                </c:pt>
                <c:pt idx="159">
                  <c:v>5.6676561164046451E-4</c:v>
                </c:pt>
                <c:pt idx="160">
                  <c:v>5.9547870822711224E-4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Calculations!$R$3:$R$163</c:f>
              <c:numCache>
                <c:formatCode>General</c:formatCode>
                <c:ptCount val="161"/>
                <c:pt idx="0">
                  <c:v>4.7711061914274667E-4</c:v>
                </c:pt>
                <c:pt idx="1">
                  <c:v>4.7711061914274667E-4</c:v>
                </c:pt>
                <c:pt idx="2">
                  <c:v>4.7711061914274667E-4</c:v>
                </c:pt>
                <c:pt idx="3">
                  <c:v>4.7711061914274667E-4</c:v>
                </c:pt>
                <c:pt idx="4">
                  <c:v>7.156659432708258E-4</c:v>
                </c:pt>
                <c:pt idx="5">
                  <c:v>7.156659432708258E-4</c:v>
                </c:pt>
                <c:pt idx="6">
                  <c:v>7.156659432708258E-4</c:v>
                </c:pt>
                <c:pt idx="7">
                  <c:v>9.5422123828549333E-4</c:v>
                </c:pt>
                <c:pt idx="8">
                  <c:v>9.5422123828549333E-4</c:v>
                </c:pt>
                <c:pt idx="9">
                  <c:v>1.1927765915269841E-3</c:v>
                </c:pt>
                <c:pt idx="10">
                  <c:v>1.4313318865416516E-3</c:v>
                </c:pt>
                <c:pt idx="11">
                  <c:v>1.4313318865416516E-3</c:v>
                </c:pt>
                <c:pt idx="12">
                  <c:v>1.6698871815563189E-3</c:v>
                </c:pt>
                <c:pt idx="13">
                  <c:v>2.1015431290347612E-3</c:v>
                </c:pt>
                <c:pt idx="14">
                  <c:v>2.6309543587608899E-3</c:v>
                </c:pt>
                <c:pt idx="15">
                  <c:v>2.8822956777920924E-3</c:v>
                </c:pt>
                <c:pt idx="16">
                  <c:v>2.9343702853389516E-3</c:v>
                </c:pt>
                <c:pt idx="17">
                  <c:v>3.175312420056713E-3</c:v>
                </c:pt>
                <c:pt idx="18">
                  <c:v>4.3031263925818542E-3</c:v>
                </c:pt>
                <c:pt idx="19">
                  <c:v>5.2015494742147757E-3</c:v>
                </c:pt>
                <c:pt idx="20">
                  <c:v>5.804040100580699E-3</c:v>
                </c:pt>
                <c:pt idx="21">
                  <c:v>6.5747221104142444E-3</c:v>
                </c:pt>
                <c:pt idx="22">
                  <c:v>6.890656826766416E-3</c:v>
                </c:pt>
                <c:pt idx="23">
                  <c:v>6.6795959883089078E-3</c:v>
                </c:pt>
                <c:pt idx="24">
                  <c:v>7.1092698868433883E-3</c:v>
                </c:pt>
                <c:pt idx="25">
                  <c:v>8.3909244613359323E-3</c:v>
                </c:pt>
                <c:pt idx="26">
                  <c:v>1.0093459928378658E-2</c:v>
                </c:pt>
                <c:pt idx="27">
                  <c:v>1.1738732541801838E-2</c:v>
                </c:pt>
                <c:pt idx="28">
                  <c:v>1.3082833088163225E-2</c:v>
                </c:pt>
                <c:pt idx="29">
                  <c:v>1.3614789664688043E-2</c:v>
                </c:pt>
                <c:pt idx="30">
                  <c:v>1.245442910112524E-2</c:v>
                </c:pt>
                <c:pt idx="31">
                  <c:v>1.0719460521662567E-2</c:v>
                </c:pt>
                <c:pt idx="32">
                  <c:v>1.2249806605321635E-2</c:v>
                </c:pt>
                <c:pt idx="33">
                  <c:v>1.6944000822999735E-2</c:v>
                </c:pt>
                <c:pt idx="34">
                  <c:v>2.0520095047272164E-2</c:v>
                </c:pt>
                <c:pt idx="35">
                  <c:v>2.1382947267464376E-2</c:v>
                </c:pt>
                <c:pt idx="36">
                  <c:v>2.0964673845993455E-2</c:v>
                </c:pt>
                <c:pt idx="37">
                  <c:v>2.1787796026508433E-2</c:v>
                </c:pt>
                <c:pt idx="38">
                  <c:v>2.226153619220169E-2</c:v>
                </c:pt>
                <c:pt idx="39">
                  <c:v>2.207716882949548E-2</c:v>
                </c:pt>
                <c:pt idx="40">
                  <c:v>2.2727769381014607E-2</c:v>
                </c:pt>
                <c:pt idx="41">
                  <c:v>2.6539710088321285E-2</c:v>
                </c:pt>
                <c:pt idx="42">
                  <c:v>3.330617883309768E-2</c:v>
                </c:pt>
                <c:pt idx="43">
                  <c:v>3.8112516350795614E-2</c:v>
                </c:pt>
                <c:pt idx="44">
                  <c:v>3.8309584365167675E-2</c:v>
                </c:pt>
                <c:pt idx="45">
                  <c:v>3.5290592671917947E-2</c:v>
                </c:pt>
                <c:pt idx="46">
                  <c:v>3.4436246849786016E-2</c:v>
                </c:pt>
                <c:pt idx="47">
                  <c:v>3.8023383116723611E-2</c:v>
                </c:pt>
                <c:pt idx="48">
                  <c:v>4.1520016498109692E-2</c:v>
                </c:pt>
                <c:pt idx="49">
                  <c:v>4.263740405787373E-2</c:v>
                </c:pt>
                <c:pt idx="50">
                  <c:v>4.3741916041882038E-2</c:v>
                </c:pt>
                <c:pt idx="51">
                  <c:v>4.3946469940176806E-2</c:v>
                </c:pt>
                <c:pt idx="52">
                  <c:v>4.1054451314470858E-2</c:v>
                </c:pt>
                <c:pt idx="53">
                  <c:v>3.5087981841690694E-2</c:v>
                </c:pt>
                <c:pt idx="54">
                  <c:v>2.8404939384713605E-2</c:v>
                </c:pt>
                <c:pt idx="55">
                  <c:v>2.3373083802110273E-2</c:v>
                </c:pt>
                <c:pt idx="56">
                  <c:v>1.9955628729645507E-2</c:v>
                </c:pt>
                <c:pt idx="57">
                  <c:v>1.6363967742678565E-2</c:v>
                </c:pt>
                <c:pt idx="58">
                  <c:v>1.3000936261353966E-2</c:v>
                </c:pt>
                <c:pt idx="59">
                  <c:v>1.0427495059704361E-2</c:v>
                </c:pt>
                <c:pt idx="60">
                  <c:v>8.2904839851935825E-3</c:v>
                </c:pt>
                <c:pt idx="61">
                  <c:v>6.8950975025181722E-3</c:v>
                </c:pt>
                <c:pt idx="62">
                  <c:v>6.4384006757215624E-3</c:v>
                </c:pt>
                <c:pt idx="63">
                  <c:v>6.3456152798976526E-3</c:v>
                </c:pt>
                <c:pt idx="64">
                  <c:v>5.9483957784711768E-3</c:v>
                </c:pt>
                <c:pt idx="65">
                  <c:v>5.4986269733390235E-3</c:v>
                </c:pt>
                <c:pt idx="66">
                  <c:v>5.3083682023464139E-3</c:v>
                </c:pt>
                <c:pt idx="67">
                  <c:v>5.0830306076758251E-3</c:v>
                </c:pt>
                <c:pt idx="68">
                  <c:v>4.6396773671914578E-3</c:v>
                </c:pt>
                <c:pt idx="69">
                  <c:v>4.3897465750491298E-3</c:v>
                </c:pt>
                <c:pt idx="70">
                  <c:v>4.6940560217871756E-3</c:v>
                </c:pt>
                <c:pt idx="71">
                  <c:v>5.3659232016536719E-3</c:v>
                </c:pt>
                <c:pt idx="72">
                  <c:v>6.0484156323235751E-3</c:v>
                </c:pt>
                <c:pt idx="73">
                  <c:v>6.5532694569628508E-3</c:v>
                </c:pt>
                <c:pt idx="74">
                  <c:v>6.8975372454237313E-3</c:v>
                </c:pt>
                <c:pt idx="75">
                  <c:v>6.8483887886041121E-3</c:v>
                </c:pt>
                <c:pt idx="76">
                  <c:v>6.4227934610505116E-3</c:v>
                </c:pt>
                <c:pt idx="77">
                  <c:v>5.8363352349227546E-3</c:v>
                </c:pt>
                <c:pt idx="78">
                  <c:v>5.578795872003251E-3</c:v>
                </c:pt>
                <c:pt idx="79">
                  <c:v>5.8564587450623028E-3</c:v>
                </c:pt>
                <c:pt idx="80">
                  <c:v>6.2589650753817347E-3</c:v>
                </c:pt>
                <c:pt idx="81">
                  <c:v>5.9964271154431216E-3</c:v>
                </c:pt>
                <c:pt idx="82">
                  <c:v>5.206906374595182E-3</c:v>
                </c:pt>
                <c:pt idx="83">
                  <c:v>4.7260336043873285E-3</c:v>
                </c:pt>
                <c:pt idx="84">
                  <c:v>4.797721794965553E-3</c:v>
                </c:pt>
                <c:pt idx="85">
                  <c:v>5.0440555635995043E-3</c:v>
                </c:pt>
                <c:pt idx="86">
                  <c:v>5.0994547406830546E-3</c:v>
                </c:pt>
                <c:pt idx="87">
                  <c:v>4.8597904917012042E-3</c:v>
                </c:pt>
                <c:pt idx="88">
                  <c:v>4.4569257973728574E-3</c:v>
                </c:pt>
                <c:pt idx="89">
                  <c:v>4.1824345834081495E-3</c:v>
                </c:pt>
                <c:pt idx="90">
                  <c:v>4.165670084023132E-3</c:v>
                </c:pt>
                <c:pt idx="91">
                  <c:v>4.1329348729212765E-3</c:v>
                </c:pt>
                <c:pt idx="92">
                  <c:v>3.7315467861854133E-3</c:v>
                </c:pt>
                <c:pt idx="93">
                  <c:v>3.2982724080179411E-3</c:v>
                </c:pt>
                <c:pt idx="94">
                  <c:v>3.2701328539294912E-3</c:v>
                </c:pt>
                <c:pt idx="95">
                  <c:v>3.405921418106134E-3</c:v>
                </c:pt>
                <c:pt idx="96">
                  <c:v>3.1432429805892809E-3</c:v>
                </c:pt>
                <c:pt idx="97">
                  <c:v>2.5042012125454467E-3</c:v>
                </c:pt>
                <c:pt idx="98">
                  <c:v>2.0138249045702481E-3</c:v>
                </c:pt>
                <c:pt idx="99">
                  <c:v>2.088432045169143E-3</c:v>
                </c:pt>
                <c:pt idx="100">
                  <c:v>2.3892521405291618E-3</c:v>
                </c:pt>
                <c:pt idx="101">
                  <c:v>2.3773709402544335E-3</c:v>
                </c:pt>
                <c:pt idx="102">
                  <c:v>1.8910765670384897E-3</c:v>
                </c:pt>
                <c:pt idx="103">
                  <c:v>1.356654460748116E-3</c:v>
                </c:pt>
                <c:pt idx="104">
                  <c:v>1.1804917809252508E-3</c:v>
                </c:pt>
                <c:pt idx="105">
                  <c:v>1.2244224565852782E-3</c:v>
                </c:pt>
                <c:pt idx="106">
                  <c:v>1.1353016485734649E-3</c:v>
                </c:pt>
                <c:pt idx="107">
                  <c:v>9.6229187021069028E-4</c:v>
                </c:pt>
                <c:pt idx="108">
                  <c:v>8.097762644208703E-4</c:v>
                </c:pt>
                <c:pt idx="109">
                  <c:v>6.0124317006036748E-4</c:v>
                </c:pt>
                <c:pt idx="110">
                  <c:v>3.9102342492269658E-4</c:v>
                </c:pt>
                <c:pt idx="111">
                  <c:v>2.3317335731290727E-4</c:v>
                </c:pt>
                <c:pt idx="112">
                  <c:v>3.3392864844070959E-4</c:v>
                </c:pt>
                <c:pt idx="113">
                  <c:v>5.5603786186338708E-4</c:v>
                </c:pt>
                <c:pt idx="114">
                  <c:v>5.7432248177678399E-4</c:v>
                </c:pt>
                <c:pt idx="115">
                  <c:v>2.9476445342700648E-4</c:v>
                </c:pt>
                <c:pt idx="116">
                  <c:v>2.4132206467122606E-5</c:v>
                </c:pt>
                <c:pt idx="117">
                  <c:v>2.3675629307849222E-5</c:v>
                </c:pt>
                <c:pt idx="118">
                  <c:v>3.4809305808845733E-4</c:v>
                </c:pt>
                <c:pt idx="119">
                  <c:v>6.8288385257666564E-4</c:v>
                </c:pt>
                <c:pt idx="120">
                  <c:v>5.5835361871736959E-4</c:v>
                </c:pt>
                <c:pt idx="121">
                  <c:v>2.1948383923958926E-5</c:v>
                </c:pt>
                <c:pt idx="122">
                  <c:v>2.1560905463597662E-5</c:v>
                </c:pt>
                <c:pt idx="123">
                  <c:v>2.1251831765583425E-5</c:v>
                </c:pt>
                <c:pt idx="124">
                  <c:v>2.0936699654591927E-5</c:v>
                </c:pt>
                <c:pt idx="125">
                  <c:v>2.0654729216274281E-5</c:v>
                </c:pt>
                <c:pt idx="126">
                  <c:v>4.0771404258018696E-5</c:v>
                </c:pt>
                <c:pt idx="127">
                  <c:v>2.6206619559517627E-4</c:v>
                </c:pt>
                <c:pt idx="128">
                  <c:v>2.1996203682103966E-4</c:v>
                </c:pt>
                <c:pt idx="129">
                  <c:v>5.9551212642539576E-5</c:v>
                </c:pt>
                <c:pt idx="130">
                  <c:v>1.9698742436230204E-5</c:v>
                </c:pt>
                <c:pt idx="131">
                  <c:v>1.954651701392206E-5</c:v>
                </c:pt>
                <c:pt idx="132">
                  <c:v>1.9430168950773333E-5</c:v>
                </c:pt>
                <c:pt idx="133">
                  <c:v>3.8638085350033632E-5</c:v>
                </c:pt>
                <c:pt idx="134">
                  <c:v>9.6106441450684524E-5</c:v>
                </c:pt>
                <c:pt idx="135">
                  <c:v>9.575983924166175E-5</c:v>
                </c:pt>
                <c:pt idx="136">
                  <c:v>7.6426859194329822E-5</c:v>
                </c:pt>
                <c:pt idx="137">
                  <c:v>7.6215403014259526E-5</c:v>
                </c:pt>
                <c:pt idx="138">
                  <c:v>7.600375641091498E-5</c:v>
                </c:pt>
                <c:pt idx="139">
                  <c:v>5.6886365879145107E-5</c:v>
                </c:pt>
                <c:pt idx="140">
                  <c:v>3.7857663160846658E-5</c:v>
                </c:pt>
                <c:pt idx="141">
                  <c:v>1.8907707980889026E-5</c:v>
                </c:pt>
                <c:pt idx="142">
                  <c:v>5.6582806353022217E-5</c:v>
                </c:pt>
                <c:pt idx="143">
                  <c:v>1.5078889747771254E-4</c:v>
                </c:pt>
                <c:pt idx="144">
                  <c:v>2.257607761753961E-4</c:v>
                </c:pt>
                <c:pt idx="145">
                  <c:v>2.6310932872550713E-4</c:v>
                </c:pt>
                <c:pt idx="146">
                  <c:v>2.6293341530665671E-4</c:v>
                </c:pt>
                <c:pt idx="147">
                  <c:v>2.6246238203871054E-4</c:v>
                </c:pt>
                <c:pt idx="148">
                  <c:v>2.4340727095921626E-4</c:v>
                </c:pt>
                <c:pt idx="149">
                  <c:v>2.4284923135579285E-4</c:v>
                </c:pt>
                <c:pt idx="150">
                  <c:v>2.4306617918313307E-4</c:v>
                </c:pt>
                <c:pt idx="151">
                  <c:v>2.5930627580390852E-4</c:v>
                </c:pt>
                <c:pt idx="152">
                  <c:v>2.9624721979328315E-4</c:v>
                </c:pt>
                <c:pt idx="153">
                  <c:v>3.5384360789964128E-4</c:v>
                </c:pt>
                <c:pt idx="154">
                  <c:v>4.1639739193224869E-4</c:v>
                </c:pt>
                <c:pt idx="155">
                  <c:v>4.5930111153896747E-4</c:v>
                </c:pt>
                <c:pt idx="156">
                  <c:v>4.6437142956563506E-4</c:v>
                </c:pt>
                <c:pt idx="157">
                  <c:v>4.6599324649196946E-4</c:v>
                </c:pt>
                <c:pt idx="158">
                  <c:v>4.6782284045449903E-4</c:v>
                </c:pt>
                <c:pt idx="159">
                  <c:v>5.0996508771746169E-4</c:v>
                </c:pt>
                <c:pt idx="160">
                  <c:v>5.577821556400314E-4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Calculations!$S$3:$S$163</c:f>
              <c:numCache>
                <c:formatCode>General</c:formatCode>
                <c:ptCount val="161"/>
                <c:pt idx="0">
                  <c:v>4.7388873400306606E-4</c:v>
                </c:pt>
                <c:pt idx="1">
                  <c:v>4.7388873400306606E-4</c:v>
                </c:pt>
                <c:pt idx="2">
                  <c:v>4.7388873400306606E-4</c:v>
                </c:pt>
                <c:pt idx="3">
                  <c:v>4.7388873400306606E-4</c:v>
                </c:pt>
                <c:pt idx="4">
                  <c:v>7.1083311546300473E-4</c:v>
                </c:pt>
                <c:pt idx="5">
                  <c:v>7.1083311546300473E-4</c:v>
                </c:pt>
                <c:pt idx="6">
                  <c:v>7.1083311546300473E-4</c:v>
                </c:pt>
                <c:pt idx="7">
                  <c:v>9.4777746800613213E-4</c:v>
                </c:pt>
                <c:pt idx="8">
                  <c:v>9.4777746800613213E-4</c:v>
                </c:pt>
                <c:pt idx="9">
                  <c:v>1.1847218783828822E-3</c:v>
                </c:pt>
                <c:pt idx="10">
                  <c:v>1.4216662309260095E-3</c:v>
                </c:pt>
                <c:pt idx="11">
                  <c:v>1.658610583469137E-3</c:v>
                </c:pt>
                <c:pt idx="12">
                  <c:v>1.658610583469137E-3</c:v>
                </c:pt>
                <c:pt idx="13">
                  <c:v>1.8786164577884487E-3</c:v>
                </c:pt>
                <c:pt idx="14">
                  <c:v>2.613187760383977E-3</c:v>
                </c:pt>
                <c:pt idx="15">
                  <c:v>3.1996354958656274E-3</c:v>
                </c:pt>
                <c:pt idx="16">
                  <c:v>3.2213499514149621E-3</c:v>
                </c:pt>
                <c:pt idx="17">
                  <c:v>3.0167450574384983E-3</c:v>
                </c:pt>
                <c:pt idx="18">
                  <c:v>3.8969439380946106E-3</c:v>
                </c:pt>
                <c:pt idx="19">
                  <c:v>5.1664238780073438E-3</c:v>
                </c:pt>
                <c:pt idx="20">
                  <c:v>5.8696615209720727E-3</c:v>
                </c:pt>
                <c:pt idx="21">
                  <c:v>6.7223915469379137E-3</c:v>
                </c:pt>
                <c:pt idx="22">
                  <c:v>7.4583413127964314E-3</c:v>
                </c:pt>
                <c:pt idx="23">
                  <c:v>7.5244818563642872E-3</c:v>
                </c:pt>
                <c:pt idx="24">
                  <c:v>7.3585784795472788E-3</c:v>
                </c:pt>
                <c:pt idx="25">
                  <c:v>8.1276266001886546E-3</c:v>
                </c:pt>
                <c:pt idx="26">
                  <c:v>9.8325053596010313E-3</c:v>
                </c:pt>
                <c:pt idx="27">
                  <c:v>1.1719874007675235E-2</c:v>
                </c:pt>
                <c:pt idx="28">
                  <c:v>1.3336446257804981E-2</c:v>
                </c:pt>
                <c:pt idx="29">
                  <c:v>1.4488768684607887E-2</c:v>
                </c:pt>
                <c:pt idx="30">
                  <c:v>1.4591934412664738E-2</c:v>
                </c:pt>
                <c:pt idx="31">
                  <c:v>1.3152266076261219E-2</c:v>
                </c:pt>
                <c:pt idx="32">
                  <c:v>1.1753862779936928E-2</c:v>
                </c:pt>
                <c:pt idx="33">
                  <c:v>1.4505289644892606E-2</c:v>
                </c:pt>
                <c:pt idx="34">
                  <c:v>2.0135964012203855E-2</c:v>
                </c:pt>
                <c:pt idx="35">
                  <c:v>2.367838266301675E-2</c:v>
                </c:pt>
                <c:pt idx="36">
                  <c:v>2.2709111176032252E-2</c:v>
                </c:pt>
                <c:pt idx="37">
                  <c:v>2.1973597914196813E-2</c:v>
                </c:pt>
                <c:pt idx="38">
                  <c:v>2.3064883154359579E-2</c:v>
                </c:pt>
                <c:pt idx="39">
                  <c:v>2.3995491165247518E-2</c:v>
                </c:pt>
                <c:pt idx="40">
                  <c:v>2.4338417721449308E-2</c:v>
                </c:pt>
                <c:pt idx="41">
                  <c:v>2.5448253881025465E-2</c:v>
                </c:pt>
                <c:pt idx="42">
                  <c:v>2.998842551943472E-2</c:v>
                </c:pt>
                <c:pt idx="43">
                  <c:v>3.7123220657732728E-2</c:v>
                </c:pt>
                <c:pt idx="44">
                  <c:v>4.1056392221975858E-2</c:v>
                </c:pt>
                <c:pt idx="45">
                  <c:v>4.0059744858866764E-2</c:v>
                </c:pt>
                <c:pt idx="46">
                  <c:v>3.6266100685203313E-2</c:v>
                </c:pt>
                <c:pt idx="47">
                  <c:v>3.5389876762245705E-2</c:v>
                </c:pt>
                <c:pt idx="48">
                  <c:v>3.9736771368078232E-2</c:v>
                </c:pt>
                <c:pt idx="49">
                  <c:v>4.3371448118811939E-2</c:v>
                </c:pt>
                <c:pt idx="50">
                  <c:v>4.3714871421021234E-2</c:v>
                </c:pt>
                <c:pt idx="51">
                  <c:v>4.376916138838146E-2</c:v>
                </c:pt>
                <c:pt idx="52">
                  <c:v>4.267437292568764E-2</c:v>
                </c:pt>
                <c:pt idx="53">
                  <c:v>3.8347641496953785E-2</c:v>
                </c:pt>
                <c:pt idx="54">
                  <c:v>3.1491089702971799E-2</c:v>
                </c:pt>
                <c:pt idx="55">
                  <c:v>2.4129585926764282E-2</c:v>
                </c:pt>
                <c:pt idx="56">
                  <c:v>1.9138909186460051E-2</c:v>
                </c:pt>
                <c:pt idx="57">
                  <c:v>1.5862859844406923E-2</c:v>
                </c:pt>
                <c:pt idx="58">
                  <c:v>1.2913142106996947E-2</c:v>
                </c:pt>
                <c:pt idx="59">
                  <c:v>1.0463414586666693E-2</c:v>
                </c:pt>
                <c:pt idx="60">
                  <c:v>8.6557015743321686E-3</c:v>
                </c:pt>
                <c:pt idx="61">
                  <c:v>7.2452498249999083E-3</c:v>
                </c:pt>
                <c:pt idx="62">
                  <c:v>6.2288205335797268E-3</c:v>
                </c:pt>
                <c:pt idx="63">
                  <c:v>6.0341218822569124E-3</c:v>
                </c:pt>
                <c:pt idx="64">
                  <c:v>6.1552608082356807E-3</c:v>
                </c:pt>
                <c:pt idx="65">
                  <c:v>5.8721337767160603E-3</c:v>
                </c:pt>
                <c:pt idx="66">
                  <c:v>5.4571621962592716E-3</c:v>
                </c:pt>
                <c:pt idx="67">
                  <c:v>5.2949834890592788E-3</c:v>
                </c:pt>
                <c:pt idx="68">
                  <c:v>5.1226704626205228E-3</c:v>
                </c:pt>
                <c:pt idx="69">
                  <c:v>4.711390700175829E-3</c:v>
                </c:pt>
                <c:pt idx="70">
                  <c:v>4.3917742959784112E-3</c:v>
                </c:pt>
                <c:pt idx="71">
                  <c:v>4.655576955708343E-3</c:v>
                </c:pt>
                <c:pt idx="72">
                  <c:v>5.4711808413354926E-3</c:v>
                </c:pt>
                <c:pt idx="73">
                  <c:v>6.4437075908447845E-3</c:v>
                </c:pt>
                <c:pt idx="74">
                  <c:v>7.0677611997163664E-3</c:v>
                </c:pt>
                <c:pt idx="75">
                  <c:v>7.2233273247613548E-3</c:v>
                </c:pt>
                <c:pt idx="76">
                  <c:v>6.9812528036403351E-3</c:v>
                </c:pt>
                <c:pt idx="77">
                  <c:v>6.4452626195069928E-3</c:v>
                </c:pt>
                <c:pt idx="78">
                  <c:v>5.7429517624228857E-3</c:v>
                </c:pt>
                <c:pt idx="79">
                  <c:v>5.2298828429441571E-3</c:v>
                </c:pt>
                <c:pt idx="80">
                  <c:v>5.278984519713632E-3</c:v>
                </c:pt>
                <c:pt idx="81">
                  <c:v>5.6992126042637054E-3</c:v>
                </c:pt>
                <c:pt idx="82">
                  <c:v>5.6310771696695874E-3</c:v>
                </c:pt>
                <c:pt idx="83">
                  <c:v>4.9152186202770622E-3</c:v>
                </c:pt>
                <c:pt idx="84">
                  <c:v>4.4066430150200963E-3</c:v>
                </c:pt>
                <c:pt idx="85">
                  <c:v>4.4418498492020814E-3</c:v>
                </c:pt>
                <c:pt idx="86">
                  <c:v>4.6820961692372893E-3</c:v>
                </c:pt>
                <c:pt idx="87">
                  <c:v>4.7565061481362851E-3</c:v>
                </c:pt>
                <c:pt idx="88">
                  <c:v>4.4803789551289084E-3</c:v>
                </c:pt>
                <c:pt idx="89">
                  <c:v>3.9909257343369213E-3</c:v>
                </c:pt>
                <c:pt idx="90">
                  <c:v>3.5279913649176303E-3</c:v>
                </c:pt>
                <c:pt idx="91">
                  <c:v>3.4083010918832418E-3</c:v>
                </c:pt>
                <c:pt idx="92">
                  <c:v>3.4566976486376058E-3</c:v>
                </c:pt>
                <c:pt idx="93">
                  <c:v>3.1975322689927295E-3</c:v>
                </c:pt>
                <c:pt idx="94">
                  <c:v>2.786906885406447E-3</c:v>
                </c:pt>
                <c:pt idx="95">
                  <c:v>2.7268398385686273E-3</c:v>
                </c:pt>
                <c:pt idx="96">
                  <c:v>2.9962980698050191E-3</c:v>
                </c:pt>
                <c:pt idx="97">
                  <c:v>2.9161339065443322E-3</c:v>
                </c:pt>
                <c:pt idx="98">
                  <c:v>2.2420112909885305E-3</c:v>
                </c:pt>
                <c:pt idx="99">
                  <c:v>1.4881055854223527E-3</c:v>
                </c:pt>
                <c:pt idx="100">
                  <c:v>1.3132786673424976E-3</c:v>
                </c:pt>
                <c:pt idx="101">
                  <c:v>1.6765348203817046E-3</c:v>
                </c:pt>
                <c:pt idx="102">
                  <c:v>1.8542254951731711E-3</c:v>
                </c:pt>
                <c:pt idx="103">
                  <c:v>1.4209927636767471E-3</c:v>
                </c:pt>
                <c:pt idx="104">
                  <c:v>7.4841705549408906E-4</c:v>
                </c:pt>
                <c:pt idx="105">
                  <c:v>4.0538467234044721E-4</c:v>
                </c:pt>
                <c:pt idx="106">
                  <c:v>4.6130526032555421E-4</c:v>
                </c:pt>
                <c:pt idx="107">
                  <c:v>5.1664521219148773E-4</c:v>
                </c:pt>
                <c:pt idx="108">
                  <c:v>4.4107210698303694E-4</c:v>
                </c:pt>
                <c:pt idx="109">
                  <c:v>3.375382304526244E-4</c:v>
                </c:pt>
                <c:pt idx="110">
                  <c:v>2.0713753455475195E-4</c:v>
                </c:pt>
                <c:pt idx="111">
                  <c:v>2.5733194176815959E-5</c:v>
                </c:pt>
                <c:pt idx="112">
                  <c:v>2.5513357970221866E-5</c:v>
                </c:pt>
                <c:pt idx="113">
                  <c:v>2.5103771492151718E-5</c:v>
                </c:pt>
                <c:pt idx="114">
                  <c:v>2.4801918262741688E-5</c:v>
                </c:pt>
                <c:pt idx="115">
                  <c:v>1.7078479375799946E-4</c:v>
                </c:pt>
                <c:pt idx="116">
                  <c:v>2.3969243845280678E-5</c:v>
                </c:pt>
                <c:pt idx="117">
                  <c:v>2.3515749910537542E-5</c:v>
                </c:pt>
                <c:pt idx="118">
                  <c:v>2.3049494369270058E-5</c:v>
                </c:pt>
                <c:pt idx="119">
                  <c:v>2.260907988408005E-5</c:v>
                </c:pt>
                <c:pt idx="120">
                  <c:v>1.3309994608958373E-4</c:v>
                </c:pt>
                <c:pt idx="121">
                  <c:v>3.0520236109379475E-4</c:v>
                </c:pt>
                <c:pt idx="122">
                  <c:v>2.1415306606384969E-5</c:v>
                </c:pt>
                <c:pt idx="123">
                  <c:v>2.1108320055281206E-5</c:v>
                </c:pt>
                <c:pt idx="124">
                  <c:v>2.0795316003118634E-5</c:v>
                </c:pt>
                <c:pt idx="125">
                  <c:v>2.0515249685834128E-5</c:v>
                </c:pt>
                <c:pt idx="126">
                  <c:v>2.0248039314315719E-5</c:v>
                </c:pt>
                <c:pt idx="127">
                  <c:v>2.0022806343017539E-5</c:v>
                </c:pt>
                <c:pt idx="128">
                  <c:v>1.9861513353780619E-5</c:v>
                </c:pt>
                <c:pt idx="129">
                  <c:v>7.8865423268691348E-5</c:v>
                </c:pt>
                <c:pt idx="130">
                  <c:v>1.9565718598614261E-5</c:v>
                </c:pt>
                <c:pt idx="131">
                  <c:v>1.9414521140904554E-5</c:v>
                </c:pt>
                <c:pt idx="132">
                  <c:v>1.9298958765771667E-5</c:v>
                </c:pt>
                <c:pt idx="133">
                  <c:v>1.9188582915769937E-5</c:v>
                </c:pt>
                <c:pt idx="134">
                  <c:v>1.9091487958486796E-5</c:v>
                </c:pt>
                <c:pt idx="135">
                  <c:v>1.9022635633917702E-5</c:v>
                </c:pt>
                <c:pt idx="136">
                  <c:v>1.8977688870406141E-5</c:v>
                </c:pt>
                <c:pt idx="137">
                  <c:v>1.8925181811534404E-5</c:v>
                </c:pt>
                <c:pt idx="138">
                  <c:v>1.8872627468321921E-5</c:v>
                </c:pt>
                <c:pt idx="139">
                  <c:v>1.8834072070900391E-5</c:v>
                </c:pt>
                <c:pt idx="140">
                  <c:v>1.8801006881635319E-5</c:v>
                </c:pt>
                <c:pt idx="141">
                  <c:v>1.8780025927870582E-5</c:v>
                </c:pt>
                <c:pt idx="142">
                  <c:v>1.8733568867638063E-5</c:v>
                </c:pt>
                <c:pt idx="143">
                  <c:v>1.8721329200297064E-5</c:v>
                </c:pt>
                <c:pt idx="144">
                  <c:v>5.6059058484977379E-5</c:v>
                </c:pt>
                <c:pt idx="145">
                  <c:v>1.4933289873861097E-4</c:v>
                </c:pt>
                <c:pt idx="146">
                  <c:v>2.2384958795547874E-4</c:v>
                </c:pt>
                <c:pt idx="147">
                  <c:v>2.6068999715669916E-4</c:v>
                </c:pt>
                <c:pt idx="148">
                  <c:v>2.6036075932804251E-4</c:v>
                </c:pt>
                <c:pt idx="149">
                  <c:v>2.5976385187203319E-4</c:v>
                </c:pt>
                <c:pt idx="150">
                  <c:v>2.5999591026880283E-4</c:v>
                </c:pt>
                <c:pt idx="151">
                  <c:v>2.5755520382370479E-4</c:v>
                </c:pt>
                <c:pt idx="152">
                  <c:v>2.5746585506485943E-4</c:v>
                </c:pt>
                <c:pt idx="153">
                  <c:v>2.7746377939486943E-4</c:v>
                </c:pt>
                <c:pt idx="154">
                  <c:v>3.1958880206682836E-4</c:v>
                </c:pt>
                <c:pt idx="155">
                  <c:v>3.801662498559566E-4</c:v>
                </c:pt>
                <c:pt idx="156">
                  <c:v>4.6123557102847233E-4</c:v>
                </c:pt>
                <c:pt idx="157">
                  <c:v>5.0141696916362454E-4</c:v>
                </c:pt>
                <c:pt idx="158">
                  <c:v>5.0338564460344654E-4</c:v>
                </c:pt>
                <c:pt idx="159">
                  <c:v>5.0652133930367675E-4</c:v>
                </c:pt>
                <c:pt idx="160">
                  <c:v>5.1444296970411458E-4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Calculations!$T$3:$T$163</c:f>
              <c:numCache>
                <c:formatCode>General</c:formatCode>
                <c:ptCount val="161"/>
                <c:pt idx="0">
                  <c:v>3.5728747656497994E-3</c:v>
                </c:pt>
                <c:pt idx="1">
                  <c:v>4.7638330014870448E-4</c:v>
                </c:pt>
                <c:pt idx="2">
                  <c:v>4.7638330014870448E-4</c:v>
                </c:pt>
                <c:pt idx="3">
                  <c:v>4.7638330014870448E-4</c:v>
                </c:pt>
                <c:pt idx="4">
                  <c:v>4.7638330014870448E-4</c:v>
                </c:pt>
                <c:pt idx="5">
                  <c:v>7.1457496475757205E-4</c:v>
                </c:pt>
                <c:pt idx="6">
                  <c:v>7.1457496475757205E-4</c:v>
                </c:pt>
                <c:pt idx="7">
                  <c:v>9.5276660029740897E-4</c:v>
                </c:pt>
                <c:pt idx="8">
                  <c:v>9.5276660029740897E-4</c:v>
                </c:pt>
                <c:pt idx="9">
                  <c:v>1.190958293975307E-3</c:v>
                </c:pt>
                <c:pt idx="10">
                  <c:v>1.4291499295151441E-3</c:v>
                </c:pt>
                <c:pt idx="11">
                  <c:v>1.6673415650549812E-3</c:v>
                </c:pt>
                <c:pt idx="12">
                  <c:v>1.6673415650549812E-3</c:v>
                </c:pt>
                <c:pt idx="13">
                  <c:v>1.8885055576551026E-3</c:v>
                </c:pt>
                <c:pt idx="14">
                  <c:v>2.4393048478019395E-3</c:v>
                </c:pt>
                <c:pt idx="15">
                  <c:v>3.2164784841319785E-3</c:v>
                </c:pt>
                <c:pt idx="16">
                  <c:v>3.5467174304628594E-3</c:v>
                </c:pt>
                <c:pt idx="17">
                  <c:v>3.1704718968269545E-3</c:v>
                </c:pt>
                <c:pt idx="18">
                  <c:v>3.6647183984479252E-3</c:v>
                </c:pt>
                <c:pt idx="19">
                  <c:v>5.0782065563342001E-3</c:v>
                </c:pt>
                <c:pt idx="20">
                  <c:v>5.9005596155371973E-3</c:v>
                </c:pt>
                <c:pt idx="21">
                  <c:v>6.661238942761845E-3</c:v>
                </c:pt>
                <c:pt idx="22">
                  <c:v>7.585809178145133E-3</c:v>
                </c:pt>
                <c:pt idx="23">
                  <c:v>8.0520971371295016E-3</c:v>
                </c:pt>
                <c:pt idx="24">
                  <c:v>7.7709158314881515E-3</c:v>
                </c:pt>
                <c:pt idx="25">
                  <c:v>8.0319294361784407E-3</c:v>
                </c:pt>
                <c:pt idx="26">
                  <c:v>9.4966455632741215E-3</c:v>
                </c:pt>
                <c:pt idx="27">
                  <c:v>1.1538648432723285E-2</c:v>
                </c:pt>
                <c:pt idx="28">
                  <c:v>1.3406649756961457E-2</c:v>
                </c:pt>
                <c:pt idx="29">
                  <c:v>1.4672927842488881E-2</c:v>
                </c:pt>
                <c:pt idx="30">
                  <c:v>1.5379344553061371E-2</c:v>
                </c:pt>
                <c:pt idx="31">
                  <c:v>1.4819703596307288E-2</c:v>
                </c:pt>
                <c:pt idx="32">
                  <c:v>1.2600373694224995E-2</c:v>
                </c:pt>
                <c:pt idx="33">
                  <c:v>1.3197038665888099E-2</c:v>
                </c:pt>
                <c:pt idx="34">
                  <c:v>1.8637414484437346E-2</c:v>
                </c:pt>
                <c:pt idx="35">
                  <c:v>2.4044274751600082E-2</c:v>
                </c:pt>
                <c:pt idx="36">
                  <c:v>2.4337666869362996E-2</c:v>
                </c:pt>
                <c:pt idx="37">
                  <c:v>2.2386765620587147E-2</c:v>
                </c:pt>
                <c:pt idx="38">
                  <c:v>2.2831224148661219E-2</c:v>
                </c:pt>
                <c:pt idx="39">
                  <c:v>2.4632860255679689E-2</c:v>
                </c:pt>
                <c:pt idx="40">
                  <c:v>2.5550288681905248E-2</c:v>
                </c:pt>
                <c:pt idx="41">
                  <c:v>2.5961678805246087E-2</c:v>
                </c:pt>
                <c:pt idx="42">
                  <c:v>2.8225946130665511E-2</c:v>
                </c:pt>
                <c:pt idx="43">
                  <c:v>3.4699269851689286E-2</c:v>
                </c:pt>
                <c:pt idx="44">
                  <c:v>4.0816465485405878E-2</c:v>
                </c:pt>
                <c:pt idx="45">
                  <c:v>4.2123733495396658E-2</c:v>
                </c:pt>
                <c:pt idx="46">
                  <c:v>3.8987996554631719E-2</c:v>
                </c:pt>
                <c:pt idx="47">
                  <c:v>3.5287361621967411E-2</c:v>
                </c:pt>
                <c:pt idx="48">
                  <c:v>3.7308487888171114E-2</c:v>
                </c:pt>
                <c:pt idx="49">
                  <c:v>4.2672636474734446E-2</c:v>
                </c:pt>
                <c:pt idx="50">
                  <c:v>4.3944987966284182E-2</c:v>
                </c:pt>
                <c:pt idx="51">
                  <c:v>4.3038874986222386E-2</c:v>
                </c:pt>
                <c:pt idx="52">
                  <c:v>4.2381021905867677E-2</c:v>
                </c:pt>
                <c:pt idx="53">
                  <c:v>3.9243255324456744E-2</c:v>
                </c:pt>
                <c:pt idx="54">
                  <c:v>3.320220597906972E-2</c:v>
                </c:pt>
                <c:pt idx="55">
                  <c:v>2.5489610307106721E-2</c:v>
                </c:pt>
                <c:pt idx="56">
                  <c:v>1.9084855687509911E-2</c:v>
                </c:pt>
                <c:pt idx="57">
                  <c:v>1.5313743850348413E-2</c:v>
                </c:pt>
                <c:pt idx="58">
                  <c:v>1.2722357348607001E-2</c:v>
                </c:pt>
                <c:pt idx="59">
                  <c:v>1.0411599133449712E-2</c:v>
                </c:pt>
                <c:pt idx="60">
                  <c:v>8.7012654769210388E-3</c:v>
                </c:pt>
                <c:pt idx="61">
                  <c:v>7.5142746135416025E-3</c:v>
                </c:pt>
                <c:pt idx="62">
                  <c:v>6.3868415165147796E-3</c:v>
                </c:pt>
                <c:pt idx="63">
                  <c:v>5.8373762865669455E-3</c:v>
                </c:pt>
                <c:pt idx="64">
                  <c:v>6.0014111782854592E-3</c:v>
                </c:pt>
                <c:pt idx="65">
                  <c:v>6.0888048248557754E-3</c:v>
                </c:pt>
                <c:pt idx="66">
                  <c:v>5.7127489640288577E-3</c:v>
                </c:pt>
                <c:pt idx="67">
                  <c:v>5.3434878057494594E-3</c:v>
                </c:pt>
                <c:pt idx="68">
                  <c:v>5.2737237416710129E-3</c:v>
                </c:pt>
                <c:pt idx="69">
                  <c:v>5.0477833643778613E-3</c:v>
                </c:pt>
                <c:pt idx="70">
                  <c:v>4.5822820271234138E-3</c:v>
                </c:pt>
                <c:pt idx="71">
                  <c:v>4.4259617069634894E-3</c:v>
                </c:pt>
                <c:pt idx="72">
                  <c:v>5.0254733988002028E-3</c:v>
                </c:pt>
                <c:pt idx="73">
                  <c:v>6.1056014718134837E-3</c:v>
                </c:pt>
                <c:pt idx="74">
                  <c:v>7.0395833058374607E-3</c:v>
                </c:pt>
                <c:pt idx="75">
                  <c:v>7.3883719604772085E-3</c:v>
                </c:pt>
                <c:pt idx="76">
                  <c:v>7.2398357939705065E-3</c:v>
                </c:pt>
                <c:pt idx="77">
                  <c:v>6.8242365685778072E-3</c:v>
                </c:pt>
                <c:pt idx="78">
                  <c:v>6.2158547016857371E-3</c:v>
                </c:pt>
                <c:pt idx="79">
                  <c:v>5.4362371831751886E-3</c:v>
                </c:pt>
                <c:pt idx="80">
                  <c:v>4.940186485697896E-3</c:v>
                </c:pt>
                <c:pt idx="81">
                  <c:v>5.1614534811055485E-3</c:v>
                </c:pt>
                <c:pt idx="82">
                  <c:v>5.5923114697920837E-3</c:v>
                </c:pt>
                <c:pt idx="83">
                  <c:v>5.3001337780295274E-3</c:v>
                </c:pt>
                <c:pt idx="84">
                  <c:v>4.5500293434858228E-3</c:v>
                </c:pt>
                <c:pt idx="85">
                  <c:v>4.2402396345780384E-3</c:v>
                </c:pt>
                <c:pt idx="86">
                  <c:v>4.3917936267062604E-3</c:v>
                </c:pt>
                <c:pt idx="87">
                  <c:v>4.5867408680163044E-3</c:v>
                </c:pt>
                <c:pt idx="88">
                  <c:v>4.5219077223156391E-3</c:v>
                </c:pt>
                <c:pt idx="89">
                  <c:v>4.1213505527865841E-3</c:v>
                </c:pt>
                <c:pt idx="90">
                  <c:v>3.5279943298602338E-3</c:v>
                </c:pt>
                <c:pt idx="91">
                  <c:v>3.0855110081573572E-3</c:v>
                </c:pt>
                <c:pt idx="92">
                  <c:v>3.0694895968824943E-3</c:v>
                </c:pt>
                <c:pt idx="93">
                  <c:v>3.1552043790157879E-3</c:v>
                </c:pt>
                <c:pt idx="94">
                  <c:v>2.8217326063090615E-3</c:v>
                </c:pt>
                <c:pt idx="95">
                  <c:v>2.4320366255280368E-3</c:v>
                </c:pt>
                <c:pt idx="96">
                  <c:v>2.5697385315198201E-3</c:v>
                </c:pt>
                <c:pt idx="97">
                  <c:v>2.8668193983087324E-3</c:v>
                </c:pt>
                <c:pt idx="98">
                  <c:v>2.607352643155556E-3</c:v>
                </c:pt>
                <c:pt idx="99">
                  <c:v>1.7679279201737582E-3</c:v>
                </c:pt>
                <c:pt idx="100">
                  <c:v>9.9593418369380341E-4</c:v>
                </c:pt>
                <c:pt idx="101">
                  <c:v>9.7323616586315659E-4</c:v>
                </c:pt>
                <c:pt idx="102">
                  <c:v>1.4282491049963364E-3</c:v>
                </c:pt>
                <c:pt idx="103">
                  <c:v>1.5023593942407477E-3</c:v>
                </c:pt>
                <c:pt idx="104">
                  <c:v>9.2790664432452444E-4</c:v>
                </c:pt>
                <c:pt idx="105">
                  <c:v>2.0375931540714157E-4</c:v>
                </c:pt>
                <c:pt idx="106">
                  <c:v>2.5762975813110893E-5</c:v>
                </c:pt>
                <c:pt idx="107">
                  <c:v>1.2984121246708953E-4</c:v>
                </c:pt>
                <c:pt idx="108">
                  <c:v>1.8257396100532271E-4</c:v>
                </c:pt>
                <c:pt idx="109">
                  <c:v>1.3050578870465529E-4</c:v>
                </c:pt>
                <c:pt idx="110">
                  <c:v>7.8085469137505694E-5</c:v>
                </c:pt>
                <c:pt idx="111">
                  <c:v>2.5868654571644019E-5</c:v>
                </c:pt>
                <c:pt idx="112">
                  <c:v>2.5647661139905701E-5</c:v>
                </c:pt>
                <c:pt idx="113">
                  <c:v>2.5235918584915819E-5</c:v>
                </c:pt>
                <c:pt idx="114">
                  <c:v>2.4932476390010286E-5</c:v>
                </c:pt>
                <c:pt idx="115">
                  <c:v>2.4526258446838602E-5</c:v>
                </c:pt>
                <c:pt idx="116">
                  <c:v>2.4095418746565847E-5</c:v>
                </c:pt>
                <c:pt idx="117">
                  <c:v>2.3639537604582506E-5</c:v>
                </c:pt>
                <c:pt idx="118">
                  <c:v>2.3170827678551249E-5</c:v>
                </c:pt>
                <c:pt idx="119">
                  <c:v>2.2728094836780942E-5</c:v>
                </c:pt>
                <c:pt idx="120">
                  <c:v>2.2300097655998464E-5</c:v>
                </c:pt>
                <c:pt idx="121">
                  <c:v>2.1914925275427675E-5</c:v>
                </c:pt>
                <c:pt idx="122">
                  <c:v>1.2916822760704102E-4</c:v>
                </c:pt>
                <c:pt idx="123">
                  <c:v>2.121943495804837E-5</c:v>
                </c:pt>
                <c:pt idx="124">
                  <c:v>2.0904783242086374E-5</c:v>
                </c:pt>
                <c:pt idx="125">
                  <c:v>2.0623242646340489E-5</c:v>
                </c:pt>
                <c:pt idx="126">
                  <c:v>2.0354625670489195E-5</c:v>
                </c:pt>
                <c:pt idx="127">
                  <c:v>2.0128207065296883E-5</c:v>
                </c:pt>
                <c:pt idx="128">
                  <c:v>1.9966065024369954E-5</c:v>
                </c:pt>
                <c:pt idx="129">
                  <c:v>1.9820143373634481E-5</c:v>
                </c:pt>
                <c:pt idx="130">
                  <c:v>1.9668713195719149E-5</c:v>
                </c:pt>
                <c:pt idx="131">
                  <c:v>1.9516719829535057E-5</c:v>
                </c:pt>
                <c:pt idx="132">
                  <c:v>1.940054913019433E-5</c:v>
                </c:pt>
                <c:pt idx="133">
                  <c:v>1.9289592258026521E-5</c:v>
                </c:pt>
                <c:pt idx="134">
                  <c:v>1.919198618964077E-5</c:v>
                </c:pt>
                <c:pt idx="135">
                  <c:v>1.9122771424132287E-5</c:v>
                </c:pt>
                <c:pt idx="136">
                  <c:v>1.9077588059354298E-5</c:v>
                </c:pt>
                <c:pt idx="137">
                  <c:v>1.902480460156849E-5</c:v>
                </c:pt>
                <c:pt idx="138">
                  <c:v>1.8971973610535585E-5</c:v>
                </c:pt>
                <c:pt idx="139">
                  <c:v>1.8933215256212492E-5</c:v>
                </c:pt>
                <c:pt idx="140">
                  <c:v>1.8899976010685215E-5</c:v>
                </c:pt>
                <c:pt idx="141">
                  <c:v>1.8878884612478126E-5</c:v>
                </c:pt>
                <c:pt idx="142">
                  <c:v>1.8832183000726726E-5</c:v>
                </c:pt>
                <c:pt idx="143">
                  <c:v>1.8819878903367471E-5</c:v>
                </c:pt>
                <c:pt idx="144">
                  <c:v>1.8784718032521551E-5</c:v>
                </c:pt>
                <c:pt idx="145">
                  <c:v>5.6294623187116426E-5</c:v>
                </c:pt>
                <c:pt idx="146">
                  <c:v>1.5001862339755981E-4</c:v>
                </c:pt>
                <c:pt idx="147">
                  <c:v>2.4334354518190912E-4</c:v>
                </c:pt>
                <c:pt idx="148">
                  <c:v>2.8042639913188918E-4</c:v>
                </c:pt>
                <c:pt idx="149">
                  <c:v>2.7978348885256875E-4</c:v>
                </c:pt>
                <c:pt idx="150">
                  <c:v>2.8003343166561933E-4</c:v>
                </c:pt>
                <c:pt idx="151">
                  <c:v>2.774046233862792E-4</c:v>
                </c:pt>
                <c:pt idx="152">
                  <c:v>2.7730838864347632E-4</c:v>
                </c:pt>
                <c:pt idx="153">
                  <c:v>2.7892435800975341E-4</c:v>
                </c:pt>
                <c:pt idx="154">
                  <c:v>2.8347451078167811E-4</c:v>
                </c:pt>
                <c:pt idx="155">
                  <c:v>3.2484234465060373E-4</c:v>
                </c:pt>
                <c:pt idx="156">
                  <c:v>3.8638628170481243E-4</c:v>
                </c:pt>
                <c:pt idx="157">
                  <c:v>4.6528287509030601E-4</c:v>
                </c:pt>
                <c:pt idx="158">
                  <c:v>5.2549838522185117E-4</c:v>
                </c:pt>
                <c:pt idx="159">
                  <c:v>5.2877182481867911E-4</c:v>
                </c:pt>
                <c:pt idx="160">
                  <c:v>5.1715101470287443E-4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Calculations!$U$3:$U$163</c:f>
              <c:numCache>
                <c:formatCode>General</c:formatCode>
                <c:ptCount val="161"/>
                <c:pt idx="0">
                  <c:v>6.8678065759521676E-3</c:v>
                </c:pt>
                <c:pt idx="1">
                  <c:v>4.7364182983445177E-4</c:v>
                </c:pt>
                <c:pt idx="2">
                  <c:v>4.7364182983445177E-4</c:v>
                </c:pt>
                <c:pt idx="3">
                  <c:v>4.7364182983445177E-4</c:v>
                </c:pt>
                <c:pt idx="4">
                  <c:v>4.7364182983445177E-4</c:v>
                </c:pt>
                <c:pt idx="5">
                  <c:v>7.1046275920255025E-4</c:v>
                </c:pt>
                <c:pt idx="6">
                  <c:v>7.1046275920255025E-4</c:v>
                </c:pt>
                <c:pt idx="7">
                  <c:v>9.4728365966890353E-4</c:v>
                </c:pt>
                <c:pt idx="8">
                  <c:v>9.4728365966890353E-4</c:v>
                </c:pt>
                <c:pt idx="9">
                  <c:v>1.1841046179387471E-3</c:v>
                </c:pt>
                <c:pt idx="10">
                  <c:v>1.4209255184051005E-3</c:v>
                </c:pt>
                <c:pt idx="11">
                  <c:v>1.8945673193378071E-3</c:v>
                </c:pt>
                <c:pt idx="12">
                  <c:v>1.6577464188714537E-3</c:v>
                </c:pt>
                <c:pt idx="13">
                  <c:v>1.6690111797679848E-3</c:v>
                </c:pt>
                <c:pt idx="14">
                  <c:v>2.4252672402166726E-3</c:v>
                </c:pt>
                <c:pt idx="15">
                  <c:v>3.0296543201839021E-3</c:v>
                </c:pt>
                <c:pt idx="16">
                  <c:v>3.5263069321401397E-3</c:v>
                </c:pt>
                <c:pt idx="17">
                  <c:v>3.2892799190780897E-3</c:v>
                </c:pt>
                <c:pt idx="18">
                  <c:v>0</c:v>
                </c:pt>
                <c:pt idx="19">
                  <c:v>4.9342328887370815E-3</c:v>
                </c:pt>
                <c:pt idx="20">
                  <c:v>5.9713638883397719E-3</c:v>
                </c:pt>
                <c:pt idx="21">
                  <c:v>6.5269211920389782E-3</c:v>
                </c:pt>
                <c:pt idx="22">
                  <c:v>7.542154686761871E-3</c:v>
                </c:pt>
                <c:pt idx="23">
                  <c:v>8.2483575398445488E-3</c:v>
                </c:pt>
                <c:pt idx="24">
                  <c:v>7.8747764890983625E-3</c:v>
                </c:pt>
                <c:pt idx="25">
                  <c:v>7.9857076309460089E-3</c:v>
                </c:pt>
                <c:pt idx="26">
                  <c:v>9.3777640437792027E-3</c:v>
                </c:pt>
                <c:pt idx="27">
                  <c:v>1.1411866657459812E-2</c:v>
                </c:pt>
                <c:pt idx="28">
                  <c:v>1.3329497740274849E-2</c:v>
                </c:pt>
                <c:pt idx="29">
                  <c:v>1.4588488702639102E-2</c:v>
                </c:pt>
                <c:pt idx="30">
                  <c:v>1.5442233910960832E-2</c:v>
                </c:pt>
                <c:pt idx="31">
                  <c:v>1.5360392514705721E-2</c:v>
                </c:pt>
                <c:pt idx="32">
                  <c:v>1.3078537182466972E-2</c:v>
                </c:pt>
                <c:pt idx="33">
                  <c:v>1.2776933774771385E-2</c:v>
                </c:pt>
                <c:pt idx="34">
                  <c:v>1.7834768147532935E-2</c:v>
                </c:pt>
                <c:pt idx="35">
                  <c:v>2.3905905783924951E-2</c:v>
                </c:pt>
                <c:pt idx="36">
                  <c:v>2.489006809679925E-2</c:v>
                </c:pt>
                <c:pt idx="37">
                  <c:v>2.2590694668540977E-2</c:v>
                </c:pt>
                <c:pt idx="38">
                  <c:v>2.2699835992900787E-2</c:v>
                </c:pt>
                <c:pt idx="39">
                  <c:v>2.4795972285953448E-2</c:v>
                </c:pt>
                <c:pt idx="40">
                  <c:v>2.5795077148229234E-2</c:v>
                </c:pt>
                <c:pt idx="41">
                  <c:v>2.6252436831683362E-2</c:v>
                </c:pt>
                <c:pt idx="42">
                  <c:v>2.7669532066789827E-2</c:v>
                </c:pt>
                <c:pt idx="43">
                  <c:v>3.3621734158765446E-2</c:v>
                </c:pt>
                <c:pt idx="44">
                  <c:v>4.0439880363998544E-2</c:v>
                </c:pt>
                <c:pt idx="45">
                  <c:v>4.2513804081730742E-2</c:v>
                </c:pt>
                <c:pt idx="46">
                  <c:v>3.9861218722953611E-2</c:v>
                </c:pt>
                <c:pt idx="47">
                  <c:v>3.5554169766593556E-2</c:v>
                </c:pt>
                <c:pt idx="48">
                  <c:v>3.6253640520716168E-2</c:v>
                </c:pt>
                <c:pt idx="49">
                  <c:v>4.2078283031782751E-2</c:v>
                </c:pt>
                <c:pt idx="50">
                  <c:v>4.4009056754314956E-2</c:v>
                </c:pt>
                <c:pt idx="51">
                  <c:v>4.2719559239885359E-2</c:v>
                </c:pt>
                <c:pt idx="52">
                  <c:v>4.2043493721141245E-2</c:v>
                </c:pt>
                <c:pt idx="53">
                  <c:v>3.9362301881353409E-2</c:v>
                </c:pt>
                <c:pt idx="54">
                  <c:v>3.3666388157470584E-2</c:v>
                </c:pt>
                <c:pt idx="55">
                  <c:v>2.5944735359255539E-2</c:v>
                </c:pt>
                <c:pt idx="56">
                  <c:v>1.915092489847587E-2</c:v>
                </c:pt>
                <c:pt idx="57">
                  <c:v>1.5073795055247079E-2</c:v>
                </c:pt>
                <c:pt idx="58">
                  <c:v>1.2584826556056592E-2</c:v>
                </c:pt>
                <c:pt idx="59">
                  <c:v>1.041545067773242E-2</c:v>
                </c:pt>
                <c:pt idx="60">
                  <c:v>8.6932896477095196E-3</c:v>
                </c:pt>
                <c:pt idx="61">
                  <c:v>7.5753757545891668E-3</c:v>
                </c:pt>
                <c:pt idx="62">
                  <c:v>6.4745983751586834E-3</c:v>
                </c:pt>
                <c:pt idx="63">
                  <c:v>5.8037836022773182E-3</c:v>
                </c:pt>
                <c:pt idx="64">
                  <c:v>5.9051485086557588E-3</c:v>
                </c:pt>
                <c:pt idx="65">
                  <c:v>6.1153293031348923E-3</c:v>
                </c:pt>
                <c:pt idx="66">
                  <c:v>5.8029026566530527E-3</c:v>
                </c:pt>
                <c:pt idx="67">
                  <c:v>5.374274863749068E-3</c:v>
                </c:pt>
                <c:pt idx="68">
                  <c:v>5.2844994881295626E-3</c:v>
                </c:pt>
                <c:pt idx="69">
                  <c:v>5.1426540402183234E-3</c:v>
                </c:pt>
                <c:pt idx="70">
                  <c:v>4.6807313617940986E-3</c:v>
                </c:pt>
                <c:pt idx="71">
                  <c:v>4.4004913711480397E-3</c:v>
                </c:pt>
                <c:pt idx="72">
                  <c:v>4.867886345424898E-3</c:v>
                </c:pt>
                <c:pt idx="73">
                  <c:v>5.9834336302677787E-3</c:v>
                </c:pt>
                <c:pt idx="74">
                  <c:v>7.020741291799062E-3</c:v>
                </c:pt>
                <c:pt idx="75">
                  <c:v>7.4510950837829255E-3</c:v>
                </c:pt>
                <c:pt idx="76">
                  <c:v>7.3184760857511431E-3</c:v>
                </c:pt>
                <c:pt idx="77">
                  <c:v>6.9374355528506182E-3</c:v>
                </c:pt>
                <c:pt idx="78">
                  <c:v>6.3451311097682652E-3</c:v>
                </c:pt>
                <c:pt idx="79">
                  <c:v>5.5471882688834257E-3</c:v>
                </c:pt>
                <c:pt idx="80">
                  <c:v>4.8944013202447748E-3</c:v>
                </c:pt>
                <c:pt idx="81">
                  <c:v>4.9435863525547508E-3</c:v>
                </c:pt>
                <c:pt idx="82">
                  <c:v>5.4581082937535672E-3</c:v>
                </c:pt>
                <c:pt idx="83">
                  <c:v>5.4226224964070919E-3</c:v>
                </c:pt>
                <c:pt idx="84">
                  <c:v>4.6774848692371597E-3</c:v>
                </c:pt>
                <c:pt idx="85">
                  <c:v>4.2330456864552628E-3</c:v>
                </c:pt>
                <c:pt idx="86">
                  <c:v>4.314330408473426E-3</c:v>
                </c:pt>
                <c:pt idx="87">
                  <c:v>4.5075227240559956E-3</c:v>
                </c:pt>
                <c:pt idx="88">
                  <c:v>4.4958852404598532E-3</c:v>
                </c:pt>
                <c:pt idx="89">
                  <c:v>4.1882887414898306E-3</c:v>
                </c:pt>
                <c:pt idx="90">
                  <c:v>3.5999995020006489E-3</c:v>
                </c:pt>
                <c:pt idx="91">
                  <c:v>3.0677546408990524E-3</c:v>
                </c:pt>
                <c:pt idx="92">
                  <c:v>2.9366621373384601E-3</c:v>
                </c:pt>
                <c:pt idx="93">
                  <c:v>3.0978336306458332E-3</c:v>
                </c:pt>
                <c:pt idx="94">
                  <c:v>2.9056903971712202E-3</c:v>
                </c:pt>
                <c:pt idx="95">
                  <c:v>2.4385328357267163E-3</c:v>
                </c:pt>
                <c:pt idx="96">
                  <c:v>2.4502392757070491E-3</c:v>
                </c:pt>
                <c:pt idx="97">
                  <c:v>2.8074594907491518E-3</c:v>
                </c:pt>
                <c:pt idx="98">
                  <c:v>2.7461313527225284E-3</c:v>
                </c:pt>
                <c:pt idx="99">
                  <c:v>1.9831070678137316E-3</c:v>
                </c:pt>
                <c:pt idx="100">
                  <c:v>1.0592867838845727E-3</c:v>
                </c:pt>
                <c:pt idx="101">
                  <c:v>8.2603025003151682E-4</c:v>
                </c:pt>
                <c:pt idx="102">
                  <c:v>1.2756200645993613E-3</c:v>
                </c:pt>
                <c:pt idx="103">
                  <c:v>1.567175054431539E-3</c:v>
                </c:pt>
                <c:pt idx="104">
                  <c:v>1.1469749359993122E-3</c:v>
                </c:pt>
                <c:pt idx="105">
                  <c:v>3.5452678055931903E-4</c:v>
                </c:pt>
                <c:pt idx="106">
                  <c:v>2.5614716137810757E-5</c:v>
                </c:pt>
                <c:pt idx="107">
                  <c:v>1.0327520245156661E-4</c:v>
                </c:pt>
                <c:pt idx="108">
                  <c:v>2.3338709895576884E-4</c:v>
                </c:pt>
                <c:pt idx="109">
                  <c:v>2.0760760768451515E-4</c:v>
                </c:pt>
                <c:pt idx="110">
                  <c:v>1.2939351245114304E-4</c:v>
                </c:pt>
                <c:pt idx="111">
                  <c:v>5.1439573481455717E-5</c:v>
                </c:pt>
                <c:pt idx="112">
                  <c:v>2.55000650725727E-5</c:v>
                </c:pt>
                <c:pt idx="113">
                  <c:v>2.5090691996091548E-5</c:v>
                </c:pt>
                <c:pt idx="114">
                  <c:v>2.4788996037397831E-5</c:v>
                </c:pt>
                <c:pt idx="115">
                  <c:v>2.4385115779934222E-5</c:v>
                </c:pt>
                <c:pt idx="116">
                  <c:v>2.3956755457608026E-5</c:v>
                </c:pt>
                <c:pt idx="117">
                  <c:v>2.3503497800992842E-5</c:v>
                </c:pt>
                <c:pt idx="118">
                  <c:v>2.3037485186869475E-5</c:v>
                </c:pt>
                <c:pt idx="119">
                  <c:v>2.2597300165189586E-5</c:v>
                </c:pt>
                <c:pt idx="120">
                  <c:v>2.2171766004343646E-5</c:v>
                </c:pt>
                <c:pt idx="121">
                  <c:v>2.1788810197374145E-5</c:v>
                </c:pt>
                <c:pt idx="122">
                  <c:v>2.1404149647525096E-4</c:v>
                </c:pt>
                <c:pt idx="123">
                  <c:v>2.1097322258034437E-5</c:v>
                </c:pt>
                <c:pt idx="124">
                  <c:v>2.0784481286358331E-5</c:v>
                </c:pt>
                <c:pt idx="125">
                  <c:v>2.0504560888434773E-5</c:v>
                </c:pt>
                <c:pt idx="126">
                  <c:v>2.023748973810879E-5</c:v>
                </c:pt>
                <c:pt idx="127">
                  <c:v>2.0012374117056634E-5</c:v>
                </c:pt>
                <c:pt idx="128">
                  <c:v>1.9851165164237024E-5</c:v>
                </c:pt>
                <c:pt idx="129">
                  <c:v>1.9706083257198638E-5</c:v>
                </c:pt>
                <c:pt idx="130">
                  <c:v>3.9111049046435721E-5</c:v>
                </c:pt>
                <c:pt idx="131">
                  <c:v>1.9404405841980169E-5</c:v>
                </c:pt>
                <c:pt idx="132">
                  <c:v>1.9288903676829302E-5</c:v>
                </c:pt>
                <c:pt idx="133">
                  <c:v>1.9178585334540933E-5</c:v>
                </c:pt>
                <c:pt idx="134">
                  <c:v>1.9081540965397971E-5</c:v>
                </c:pt>
                <c:pt idx="135">
                  <c:v>1.9012724514072394E-5</c:v>
                </c:pt>
                <c:pt idx="136">
                  <c:v>1.8967801168596505E-5</c:v>
                </c:pt>
                <c:pt idx="137">
                  <c:v>1.8915321466804156E-5</c:v>
                </c:pt>
                <c:pt idx="138">
                  <c:v>1.8862794505307014E-5</c:v>
                </c:pt>
                <c:pt idx="139">
                  <c:v>1.8824259195909661E-5</c:v>
                </c:pt>
                <c:pt idx="140">
                  <c:v>1.8791211234176032E-5</c:v>
                </c:pt>
                <c:pt idx="141">
                  <c:v>1.8770241211848518E-5</c:v>
                </c:pt>
                <c:pt idx="142">
                  <c:v>1.8723808356542196E-5</c:v>
                </c:pt>
                <c:pt idx="143">
                  <c:v>1.8711575066278079E-5</c:v>
                </c:pt>
                <c:pt idx="144">
                  <c:v>1.8676616537713293E-5</c:v>
                </c:pt>
                <c:pt idx="145">
                  <c:v>3.73137734334601E-5</c:v>
                </c:pt>
                <c:pt idx="146">
                  <c:v>1.3051089092737918E-4</c:v>
                </c:pt>
                <c:pt idx="147">
                  <c:v>2.2333215104544741E-4</c:v>
                </c:pt>
                <c:pt idx="148">
                  <c:v>2.7881261324075296E-4</c:v>
                </c:pt>
                <c:pt idx="149">
                  <c:v>2.967182950639955E-4</c:v>
                </c:pt>
                <c:pt idx="150">
                  <c:v>2.9698336647923879E-4</c:v>
                </c:pt>
                <c:pt idx="151">
                  <c:v>2.9419544102339838E-4</c:v>
                </c:pt>
                <c:pt idx="152">
                  <c:v>2.9409338135959369E-4</c:v>
                </c:pt>
                <c:pt idx="153">
                  <c:v>2.9580716253089812E-4</c:v>
                </c:pt>
                <c:pt idx="154">
                  <c:v>2.818431837475173E-4</c:v>
                </c:pt>
                <c:pt idx="155">
                  <c:v>3.0397453023971833E-4</c:v>
                </c:pt>
                <c:pt idx="156">
                  <c:v>3.6495458815249401E-4</c:v>
                </c:pt>
                <c:pt idx="157">
                  <c:v>4.4333006638781758E-4</c:v>
                </c:pt>
                <c:pt idx="158">
                  <c:v>5.2247426950909677E-4</c:v>
                </c:pt>
                <c:pt idx="159">
                  <c:v>5.4520030952317242E-4</c:v>
                </c:pt>
                <c:pt idx="160">
                  <c:v>5.3395089367712844E-4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Calculations!$V$3:$V$163</c:f>
              <c:numCache>
                <c:formatCode>General</c:formatCode>
                <c:ptCount val="161"/>
                <c:pt idx="0">
                  <c:v>3.8406144901684878E-3</c:v>
                </c:pt>
                <c:pt idx="1">
                  <c:v>4.8007681127106098E-4</c:v>
                </c:pt>
                <c:pt idx="2">
                  <c:v>4.8007681127106098E-4</c:v>
                </c:pt>
                <c:pt idx="3">
                  <c:v>4.8007681127106098E-4</c:v>
                </c:pt>
                <c:pt idx="4">
                  <c:v>4.8007681127106098E-4</c:v>
                </c:pt>
                <c:pt idx="5">
                  <c:v>7.2011523155379622E-4</c:v>
                </c:pt>
                <c:pt idx="6">
                  <c:v>7.2011523155379622E-4</c:v>
                </c:pt>
                <c:pt idx="7">
                  <c:v>9.6015362254212196E-4</c:v>
                </c:pt>
                <c:pt idx="8">
                  <c:v>9.6015362254212196E-4</c:v>
                </c:pt>
                <c:pt idx="9">
                  <c:v>1.2001920721192666E-3</c:v>
                </c:pt>
                <c:pt idx="10">
                  <c:v>1.4402304631075924E-3</c:v>
                </c:pt>
                <c:pt idx="11">
                  <c:v>1.6802688540959183E-3</c:v>
                </c:pt>
                <c:pt idx="12">
                  <c:v>1.6802688540959183E-3</c:v>
                </c:pt>
                <c:pt idx="13">
                  <c:v>1.6916866600207618E-3</c:v>
                </c:pt>
                <c:pt idx="14">
                  <c:v>2.4582173486880163E-3</c:v>
                </c:pt>
                <c:pt idx="15">
                  <c:v>3.2414165939529008E-3</c:v>
                </c:pt>
                <c:pt idx="16">
                  <c:v>3.574215960056951E-3</c:v>
                </c:pt>
                <c:pt idx="17">
                  <c:v>3.1950533068184329E-3</c:v>
                </c:pt>
                <c:pt idx="18">
                  <c:v>3.5657824527098158E-3</c:v>
                </c:pt>
                <c:pt idx="19">
                  <c:v>5.1175790792408358E-3</c:v>
                </c:pt>
                <c:pt idx="20">
                  <c:v>5.9463080340088582E-3</c:v>
                </c:pt>
                <c:pt idx="21">
                  <c:v>6.6155970945108158E-3</c:v>
                </c:pt>
                <c:pt idx="22">
                  <c:v>7.6446237305503222E-3</c:v>
                </c:pt>
                <c:pt idx="23">
                  <c:v>8.1145269291163294E-3</c:v>
                </c:pt>
                <c:pt idx="24">
                  <c:v>7.8311655590615949E-3</c:v>
                </c:pt>
                <c:pt idx="25">
                  <c:v>8.0244253933230616E-3</c:v>
                </c:pt>
                <c:pt idx="26">
                  <c:v>9.5702752769985123E-3</c:v>
                </c:pt>
                <c:pt idx="27">
                  <c:v>1.1628110272191461E-2</c:v>
                </c:pt>
                <c:pt idx="28">
                  <c:v>1.3510594647505305E-2</c:v>
                </c:pt>
                <c:pt idx="29">
                  <c:v>1.4732327338264377E-2</c:v>
                </c:pt>
                <c:pt idx="30">
                  <c:v>1.5549734945930253E-2</c:v>
                </c:pt>
                <c:pt idx="31">
                  <c:v>1.5178633599827967E-2</c:v>
                </c:pt>
                <c:pt idx="32">
                  <c:v>1.2605042113805826E-2</c:v>
                </c:pt>
                <c:pt idx="33">
                  <c:v>1.3037732867193126E-2</c:v>
                </c:pt>
                <c:pt idx="34">
                  <c:v>1.8823376137649912E-2</c:v>
                </c:pt>
                <c:pt idx="35">
                  <c:v>2.4514331639829832E-2</c:v>
                </c:pt>
                <c:pt idx="36">
                  <c:v>2.4721324314402007E-2</c:v>
                </c:pt>
                <c:pt idx="37">
                  <c:v>2.2410434358526955E-2</c:v>
                </c:pt>
                <c:pt idx="38">
                  <c:v>2.307980567316803E-2</c:v>
                </c:pt>
                <c:pt idx="39">
                  <c:v>2.5029850637789151E-2</c:v>
                </c:pt>
                <c:pt idx="40">
                  <c:v>2.578148184793589E-2</c:v>
                </c:pt>
                <c:pt idx="41">
                  <c:v>2.6194833149553554E-2</c:v>
                </c:pt>
                <c:pt idx="42">
                  <c:v>2.8168327579129002E-2</c:v>
                </c:pt>
                <c:pt idx="43">
                  <c:v>3.5116598712995509E-2</c:v>
                </c:pt>
                <c:pt idx="44">
                  <c:v>4.1506337073940379E-2</c:v>
                </c:pt>
                <c:pt idx="45">
                  <c:v>4.2701185633346288E-2</c:v>
                </c:pt>
                <c:pt idx="46">
                  <c:v>3.9453085576188852E-2</c:v>
                </c:pt>
                <c:pt idx="47">
                  <c:v>3.5190524061094776E-2</c:v>
                </c:pt>
                <c:pt idx="48">
                  <c:v>3.7365507027272274E-2</c:v>
                </c:pt>
                <c:pt idx="49">
                  <c:v>4.3407512308730224E-2</c:v>
                </c:pt>
                <c:pt idx="50">
                  <c:v>4.4310416881334899E-2</c:v>
                </c:pt>
                <c:pt idx="51">
                  <c:v>4.3324158286826106E-2</c:v>
                </c:pt>
                <c:pt idx="52">
                  <c:v>4.2923161183765997E-2</c:v>
                </c:pt>
                <c:pt idx="53">
                  <c:v>3.9710649005048428E-2</c:v>
                </c:pt>
                <c:pt idx="54">
                  <c:v>3.3597042458532372E-2</c:v>
                </c:pt>
                <c:pt idx="55">
                  <c:v>2.5574275972391355E-2</c:v>
                </c:pt>
                <c:pt idx="56">
                  <c:v>1.9032251193774757E-2</c:v>
                </c:pt>
                <c:pt idx="57">
                  <c:v>1.5278590293441455E-2</c:v>
                </c:pt>
                <c:pt idx="58">
                  <c:v>1.2755806229240179E-2</c:v>
                </c:pt>
                <c:pt idx="59">
                  <c:v>1.0406142956719773E-2</c:v>
                </c:pt>
                <c:pt idx="60">
                  <c:v>8.6833875072126251E-3</c:v>
                </c:pt>
                <c:pt idx="61">
                  <c:v>7.509077182875956E-3</c:v>
                </c:pt>
                <c:pt idx="62">
                  <c:v>6.3311909531865388E-3</c:v>
                </c:pt>
                <c:pt idx="63">
                  <c:v>5.7570268966227536E-3</c:v>
                </c:pt>
                <c:pt idx="64">
                  <c:v>5.9853768977887502E-3</c:v>
                </c:pt>
                <c:pt idx="65">
                  <c:v>6.0944130735252249E-3</c:v>
                </c:pt>
                <c:pt idx="66">
                  <c:v>5.6739065948291315E-3</c:v>
                </c:pt>
                <c:pt idx="67">
                  <c:v>5.3225435225191875E-3</c:v>
                </c:pt>
                <c:pt idx="68">
                  <c:v>5.2729290054349407E-3</c:v>
                </c:pt>
                <c:pt idx="69">
                  <c:v>5.0450524395474492E-3</c:v>
                </c:pt>
                <c:pt idx="70">
                  <c:v>4.5545518302813328E-3</c:v>
                </c:pt>
                <c:pt idx="71">
                  <c:v>4.3749132347337787E-3</c:v>
                </c:pt>
                <c:pt idx="72">
                  <c:v>4.9774937817994216E-3</c:v>
                </c:pt>
                <c:pt idx="73">
                  <c:v>6.0867792903397484E-3</c:v>
                </c:pt>
                <c:pt idx="74">
                  <c:v>7.0063096078535614E-3</c:v>
                </c:pt>
                <c:pt idx="75">
                  <c:v>7.3176501149236394E-3</c:v>
                </c:pt>
                <c:pt idx="76">
                  <c:v>7.1537071610221405E-3</c:v>
                </c:pt>
                <c:pt idx="77">
                  <c:v>6.7419215006031619E-3</c:v>
                </c:pt>
                <c:pt idx="78">
                  <c:v>6.1339343282361524E-3</c:v>
                </c:pt>
                <c:pt idx="79">
                  <c:v>5.3522384014026208E-3</c:v>
                </c:pt>
                <c:pt idx="80">
                  <c:v>4.8377545137576897E-3</c:v>
                </c:pt>
                <c:pt idx="81">
                  <c:v>5.0280891278816778E-3</c:v>
                </c:pt>
                <c:pt idx="82">
                  <c:v>5.4977945237699851E-3</c:v>
                </c:pt>
                <c:pt idx="83">
                  <c:v>5.1861592454261933E-3</c:v>
                </c:pt>
                <c:pt idx="84">
                  <c:v>4.3949732774072317E-3</c:v>
                </c:pt>
                <c:pt idx="85">
                  <c:v>4.1335849194013008E-3</c:v>
                </c:pt>
                <c:pt idx="86">
                  <c:v>4.3024141473931689E-3</c:v>
                </c:pt>
                <c:pt idx="87">
                  <c:v>4.4795291161435205E-3</c:v>
                </c:pt>
                <c:pt idx="88">
                  <c:v>4.3761351775243153E-3</c:v>
                </c:pt>
                <c:pt idx="89">
                  <c:v>3.9879071724895944E-3</c:v>
                </c:pt>
                <c:pt idx="90">
                  <c:v>3.3682242089123886E-3</c:v>
                </c:pt>
                <c:pt idx="91">
                  <c:v>2.8805184840908857E-3</c:v>
                </c:pt>
                <c:pt idx="92">
                  <c:v>2.8209230211627087E-3</c:v>
                </c:pt>
                <c:pt idx="93">
                  <c:v>2.941192228207296E-3</c:v>
                </c:pt>
                <c:pt idx="94">
                  <c:v>2.579560698658005E-3</c:v>
                </c:pt>
                <c:pt idx="95">
                  <c:v>2.1808792129650412E-3</c:v>
                </c:pt>
                <c:pt idx="96">
                  <c:v>2.3986217002188856E-3</c:v>
                </c:pt>
                <c:pt idx="97">
                  <c:v>2.7804356319799158E-3</c:v>
                </c:pt>
                <c:pt idx="98">
                  <c:v>2.5384979571852801E-3</c:v>
                </c:pt>
                <c:pt idx="99">
                  <c:v>1.6217447145709649E-3</c:v>
                </c:pt>
                <c:pt idx="100">
                  <c:v>7.7024755739275527E-4</c:v>
                </c:pt>
                <c:pt idx="101">
                  <c:v>7.6548831732567684E-4</c:v>
                </c:pt>
                <c:pt idx="102">
                  <c:v>1.2685556129964804E-3</c:v>
                </c:pt>
                <c:pt idx="103">
                  <c:v>1.3650887684764658E-3</c:v>
                </c:pt>
                <c:pt idx="104">
                  <c:v>7.3291694915671483E-4</c:v>
                </c:pt>
                <c:pt idx="105">
                  <c:v>2.5667388628259023E-5</c:v>
                </c:pt>
                <c:pt idx="106">
                  <c:v>2.5962722188941078E-5</c:v>
                </c:pt>
                <c:pt idx="107">
                  <c:v>2.616957939169492E-5</c:v>
                </c:pt>
                <c:pt idx="108">
                  <c:v>5.2568428003935769E-5</c:v>
                </c:pt>
                <c:pt idx="109">
                  <c:v>2.6303525157298574E-5</c:v>
                </c:pt>
                <c:pt idx="110">
                  <c:v>2.6230294146154765E-5</c:v>
                </c:pt>
                <c:pt idx="111">
                  <c:v>2.6069220299600774E-5</c:v>
                </c:pt>
                <c:pt idx="112">
                  <c:v>2.5846513454109623E-5</c:v>
                </c:pt>
                <c:pt idx="113">
                  <c:v>2.5431578562810034E-5</c:v>
                </c:pt>
                <c:pt idx="114">
                  <c:v>2.5125783709611219E-5</c:v>
                </c:pt>
                <c:pt idx="115">
                  <c:v>2.4716416263737118E-5</c:v>
                </c:pt>
                <c:pt idx="116">
                  <c:v>2.4282236162521649E-5</c:v>
                </c:pt>
                <c:pt idx="117">
                  <c:v>2.3822820467442382E-5</c:v>
                </c:pt>
                <c:pt idx="118">
                  <c:v>2.3350476523752622E-5</c:v>
                </c:pt>
                <c:pt idx="119">
                  <c:v>2.290431107073251E-5</c:v>
                </c:pt>
                <c:pt idx="120">
                  <c:v>2.2472995527725612E-5</c:v>
                </c:pt>
                <c:pt idx="121">
                  <c:v>2.2084836815620491E-5</c:v>
                </c:pt>
                <c:pt idx="122">
                  <c:v>8.6779797621598358E-5</c:v>
                </c:pt>
                <c:pt idx="123">
                  <c:v>2.1383954199178796E-5</c:v>
                </c:pt>
                <c:pt idx="124">
                  <c:v>2.1066862914885557E-5</c:v>
                </c:pt>
                <c:pt idx="125">
                  <c:v>2.0783139469066091E-5</c:v>
                </c:pt>
                <c:pt idx="126">
                  <c:v>2.0512439842988287E-5</c:v>
                </c:pt>
                <c:pt idx="127">
                  <c:v>2.0284265761404746E-5</c:v>
                </c:pt>
                <c:pt idx="128">
                  <c:v>2.0120866595319617E-5</c:v>
                </c:pt>
                <c:pt idx="129">
                  <c:v>1.9973813579904032E-5</c:v>
                </c:pt>
                <c:pt idx="130">
                  <c:v>1.982120932840926E-5</c:v>
                </c:pt>
                <c:pt idx="131">
                  <c:v>1.9668037522115384E-5</c:v>
                </c:pt>
                <c:pt idx="132">
                  <c:v>1.9550966124177595E-5</c:v>
                </c:pt>
                <c:pt idx="133">
                  <c:v>1.9439148977433988E-5</c:v>
                </c:pt>
                <c:pt idx="134">
                  <c:v>1.934078614637608E-5</c:v>
                </c:pt>
                <c:pt idx="135">
                  <c:v>1.9271034742605598E-5</c:v>
                </c:pt>
                <c:pt idx="136">
                  <c:v>1.9225501060634915E-5</c:v>
                </c:pt>
                <c:pt idx="137">
                  <c:v>1.9172308360358141E-5</c:v>
                </c:pt>
                <c:pt idx="138">
                  <c:v>1.9119067758297889E-5</c:v>
                </c:pt>
                <c:pt idx="139">
                  <c:v>1.9080008901390571E-5</c:v>
                </c:pt>
                <c:pt idx="140">
                  <c:v>1.9046511944220137E-5</c:v>
                </c:pt>
                <c:pt idx="141">
                  <c:v>1.9025257019470788E-5</c:v>
                </c:pt>
                <c:pt idx="142">
                  <c:v>1.8978193319202887E-5</c:v>
                </c:pt>
                <c:pt idx="143">
                  <c:v>1.8965793825299649E-5</c:v>
                </c:pt>
                <c:pt idx="144">
                  <c:v>1.8930360344000126E-5</c:v>
                </c:pt>
                <c:pt idx="145">
                  <c:v>1.8910362470189246E-5</c:v>
                </c:pt>
                <c:pt idx="146">
                  <c:v>1.3228403490979848E-4</c:v>
                </c:pt>
                <c:pt idx="147">
                  <c:v>2.2636638103876912E-4</c:v>
                </c:pt>
                <c:pt idx="148">
                  <c:v>2.6376057109960769E-4</c:v>
                </c:pt>
                <c:pt idx="149">
                  <c:v>2.6315586917794728E-4</c:v>
                </c:pt>
                <c:pt idx="150">
                  <c:v>2.6339095781195801E-4</c:v>
                </c:pt>
                <c:pt idx="151">
                  <c:v>2.7955540629901035E-4</c:v>
                </c:pt>
                <c:pt idx="152">
                  <c:v>2.794584254257432E-4</c:v>
                </c:pt>
                <c:pt idx="153">
                  <c:v>2.6234779674806283E-4</c:v>
                </c:pt>
                <c:pt idx="154">
                  <c:v>2.8567235495075336E-4</c:v>
                </c:pt>
                <c:pt idx="155">
                  <c:v>3.0810438181971556E-4</c:v>
                </c:pt>
                <c:pt idx="156">
                  <c:v>3.8938202489849106E-4</c:v>
                </c:pt>
                <c:pt idx="157">
                  <c:v>4.6889032202148849E-4</c:v>
                </c:pt>
                <c:pt idx="158">
                  <c:v>5.2957269708373087E-4</c:v>
                </c:pt>
                <c:pt idx="159">
                  <c:v>5.3287151642320615E-4</c:v>
                </c:pt>
                <c:pt idx="160">
                  <c:v>5.2116060744919175E-4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Calculations!$W$3:$W$163</c:f>
              <c:numCache>
                <c:formatCode>General</c:formatCode>
                <c:ptCount val="161"/>
                <c:pt idx="0">
                  <c:v>4.8410911972757262E-4</c:v>
                </c:pt>
                <c:pt idx="1">
                  <c:v>4.8410911972757262E-4</c:v>
                </c:pt>
                <c:pt idx="2">
                  <c:v>4.8410911972757262E-4</c:v>
                </c:pt>
                <c:pt idx="3">
                  <c:v>4.8410911972757262E-4</c:v>
                </c:pt>
                <c:pt idx="4">
                  <c:v>4.8410911972757262E-4</c:v>
                </c:pt>
                <c:pt idx="5">
                  <c:v>7.2616369436158997E-4</c:v>
                </c:pt>
                <c:pt idx="6">
                  <c:v>7.2616369436158997E-4</c:v>
                </c:pt>
                <c:pt idx="7">
                  <c:v>9.6821823945514524E-4</c:v>
                </c:pt>
                <c:pt idx="8">
                  <c:v>9.6821823945514524E-4</c:v>
                </c:pt>
                <c:pt idx="9">
                  <c:v>1.2102728436296246E-3</c:v>
                </c:pt>
                <c:pt idx="10">
                  <c:v>1.4523273887231799E-3</c:v>
                </c:pt>
                <c:pt idx="11">
                  <c:v>1.6943819338167351E-3</c:v>
                </c:pt>
                <c:pt idx="12">
                  <c:v>1.6943819338167351E-3</c:v>
                </c:pt>
                <c:pt idx="13">
                  <c:v>1.9191326875473104E-3</c:v>
                </c:pt>
                <c:pt idx="14">
                  <c:v>2.4788646500580082E-3</c:v>
                </c:pt>
                <c:pt idx="15">
                  <c:v>3.2686422195944893E-3</c:v>
                </c:pt>
                <c:pt idx="16">
                  <c:v>3.2908249920620956E-3</c:v>
                </c:pt>
                <c:pt idx="17">
                  <c:v>2.9417252316452664E-3</c:v>
                </c:pt>
                <c:pt idx="18">
                  <c:v>3.9809895533124799E-3</c:v>
                </c:pt>
                <c:pt idx="19">
                  <c:v>5.2778484404853252E-3</c:v>
                </c:pt>
                <c:pt idx="20">
                  <c:v>5.8891767049833654E-3</c:v>
                </c:pt>
                <c:pt idx="21">
                  <c:v>6.6711634694799418E-3</c:v>
                </c:pt>
                <c:pt idx="22">
                  <c:v>7.6191957910995787E-3</c:v>
                </c:pt>
                <c:pt idx="23">
                  <c:v>7.6867627915945327E-3</c:v>
                </c:pt>
                <c:pt idx="24">
                  <c:v>7.3654168154554632E-3</c:v>
                </c:pt>
                <c:pt idx="25">
                  <c:v>8.1621884894969438E-3</c:v>
                </c:pt>
                <c:pt idx="26">
                  <c:v>9.9132623479882137E-3</c:v>
                </c:pt>
                <c:pt idx="27">
                  <c:v>1.1910922225415517E-2</c:v>
                </c:pt>
                <c:pt idx="28">
                  <c:v>1.3565852197492335E-2</c:v>
                </c:pt>
                <c:pt idx="29">
                  <c:v>1.4636789525053538E-2</c:v>
                </c:pt>
                <c:pt idx="30">
                  <c:v>1.5112960980194212E-2</c:v>
                </c:pt>
                <c:pt idx="31">
                  <c:v>1.3435921759136903E-2</c:v>
                </c:pt>
                <c:pt idx="32">
                  <c:v>1.1444513732097771E-2</c:v>
                </c:pt>
                <c:pt idx="33">
                  <c:v>1.4466361154364202E-2</c:v>
                </c:pt>
                <c:pt idx="34">
                  <c:v>2.0737474875752629E-2</c:v>
                </c:pt>
                <c:pt idx="35">
                  <c:v>2.4475074057990376E-2</c:v>
                </c:pt>
                <c:pt idx="36">
                  <c:v>2.2962960159979187E-2</c:v>
                </c:pt>
                <c:pt idx="37">
                  <c:v>2.1880646696711935E-2</c:v>
                </c:pt>
                <c:pt idx="38">
                  <c:v>2.363449162946939E-2</c:v>
                </c:pt>
                <c:pt idx="39">
                  <c:v>2.4478380222822348E-2</c:v>
                </c:pt>
                <c:pt idx="40">
                  <c:v>2.4863325783593217E-2</c:v>
                </c:pt>
                <c:pt idx="41">
                  <c:v>2.5386536074320631E-2</c:v>
                </c:pt>
                <c:pt idx="42">
                  <c:v>3.0046645543776777E-2</c:v>
                </c:pt>
                <c:pt idx="43">
                  <c:v>3.7983676464573887E-2</c:v>
                </c:pt>
                <c:pt idx="44">
                  <c:v>4.197082334563957E-2</c:v>
                </c:pt>
                <c:pt idx="45">
                  <c:v>4.1008037027234823E-2</c:v>
                </c:pt>
                <c:pt idx="46">
                  <c:v>3.6446287975966087E-2</c:v>
                </c:pt>
                <c:pt idx="47">
                  <c:v>3.4952474443265352E-2</c:v>
                </c:pt>
                <c:pt idx="48">
                  <c:v>4.0463667604769153E-2</c:v>
                </c:pt>
                <c:pt idx="49">
                  <c:v>4.4408698051175775E-2</c:v>
                </c:pt>
                <c:pt idx="50">
                  <c:v>4.3885133360353212E-2</c:v>
                </c:pt>
                <c:pt idx="51">
                  <c:v>4.4298219619211876E-2</c:v>
                </c:pt>
                <c:pt idx="52">
                  <c:v>4.3475101601095335E-2</c:v>
                </c:pt>
                <c:pt idx="53">
                  <c:v>3.9033685810162609E-2</c:v>
                </c:pt>
                <c:pt idx="54">
                  <c:v>3.1893130387152344E-2</c:v>
                </c:pt>
                <c:pt idx="55">
                  <c:v>2.4103224761049796E-2</c:v>
                </c:pt>
                <c:pt idx="56">
                  <c:v>1.9057268802334555E-2</c:v>
                </c:pt>
                <c:pt idx="57">
                  <c:v>1.6005461228465415E-2</c:v>
                </c:pt>
                <c:pt idx="58">
                  <c:v>1.2950597290976047E-2</c:v>
                </c:pt>
                <c:pt idx="59">
                  <c:v>1.0450096142355538E-2</c:v>
                </c:pt>
                <c:pt idx="60">
                  <c:v>8.7348081134538055E-3</c:v>
                </c:pt>
                <c:pt idx="61">
                  <c:v>7.2095381447697194E-3</c:v>
                </c:pt>
                <c:pt idx="62">
                  <c:v>6.1086320551327232E-3</c:v>
                </c:pt>
                <c:pt idx="63">
                  <c:v>5.9953759821500556E-3</c:v>
                </c:pt>
                <c:pt idx="64">
                  <c:v>6.2038906330127049E-3</c:v>
                </c:pt>
                <c:pt idx="65">
                  <c:v>5.8939047248017179E-3</c:v>
                </c:pt>
                <c:pt idx="66">
                  <c:v>5.3862340399069859E-3</c:v>
                </c:pt>
                <c:pt idx="67">
                  <c:v>5.2833857278408829E-3</c:v>
                </c:pt>
                <c:pt idx="68">
                  <c:v>5.170101340280819E-3</c:v>
                </c:pt>
                <c:pt idx="69">
                  <c:v>4.7074533013410566E-3</c:v>
                </c:pt>
                <c:pt idx="70">
                  <c:v>4.3376507858971418E-3</c:v>
                </c:pt>
                <c:pt idx="71">
                  <c:v>4.6053421596292041E-3</c:v>
                </c:pt>
                <c:pt idx="72">
                  <c:v>5.5015049072194826E-3</c:v>
                </c:pt>
                <c:pt idx="73">
                  <c:v>6.4492466345555197E-3</c:v>
                </c:pt>
                <c:pt idx="74">
                  <c:v>7.0430097361230629E-3</c:v>
                </c:pt>
                <c:pt idx="75">
                  <c:v>7.1639788360625192E-3</c:v>
                </c:pt>
                <c:pt idx="76">
                  <c:v>6.9268806755284048E-3</c:v>
                </c:pt>
                <c:pt idx="77">
                  <c:v>6.4089474225342419E-3</c:v>
                </c:pt>
                <c:pt idx="78">
                  <c:v>5.6793723913033025E-3</c:v>
                </c:pt>
                <c:pt idx="79">
                  <c:v>5.1064355743098058E-3</c:v>
                </c:pt>
                <c:pt idx="80">
                  <c:v>5.1267423457645378E-3</c:v>
                </c:pt>
                <c:pt idx="81">
                  <c:v>5.6647732223516403E-3</c:v>
                </c:pt>
                <c:pt idx="82">
                  <c:v>5.6134888920262097E-3</c:v>
                </c:pt>
                <c:pt idx="83">
                  <c:v>4.7432337110727245E-3</c:v>
                </c:pt>
                <c:pt idx="84">
                  <c:v>4.2399557945105764E-3</c:v>
                </c:pt>
                <c:pt idx="85">
                  <c:v>4.3617697490126008E-3</c:v>
                </c:pt>
                <c:pt idx="86">
                  <c:v>4.6408276254168252E-3</c:v>
                </c:pt>
                <c:pt idx="87">
                  <c:v>4.6791234974314713E-3</c:v>
                </c:pt>
                <c:pt idx="88">
                  <c:v>4.3946567327812274E-3</c:v>
                </c:pt>
                <c:pt idx="89">
                  <c:v>3.8546166897336668E-3</c:v>
                </c:pt>
                <c:pt idx="90">
                  <c:v>3.3021673335752936E-3</c:v>
                </c:pt>
                <c:pt idx="91">
                  <c:v>3.1163144387175838E-3</c:v>
                </c:pt>
                <c:pt idx="92">
                  <c:v>3.2173597094820924E-3</c:v>
                </c:pt>
                <c:pt idx="93">
                  <c:v>2.9258165820458147E-3</c:v>
                </c:pt>
                <c:pt idx="94">
                  <c:v>2.3554419707900523E-3</c:v>
                </c:pt>
                <c:pt idx="95">
                  <c:v>2.4086444785097363E-3</c:v>
                </c:pt>
                <c:pt idx="96">
                  <c:v>2.8682740141291944E-3</c:v>
                </c:pt>
                <c:pt idx="97">
                  <c:v>2.847598461138389E-3</c:v>
                </c:pt>
                <c:pt idx="98">
                  <c:v>2.0658193981271515E-3</c:v>
                </c:pt>
                <c:pt idx="99">
                  <c:v>1.1746997008552009E-3</c:v>
                </c:pt>
                <c:pt idx="100">
                  <c:v>9.6501213914405631E-4</c:v>
                </c:pt>
                <c:pt idx="101">
                  <c:v>1.4473460350619913E-3</c:v>
                </c:pt>
                <c:pt idx="102">
                  <c:v>1.6728139153586088E-3</c:v>
                </c:pt>
                <c:pt idx="103">
                  <c:v>1.126271918803828E-3</c:v>
                </c:pt>
                <c:pt idx="104">
                  <c:v>2.8033801674860222E-4</c:v>
                </c:pt>
                <c:pt idx="105">
                  <c:v>2.5882976687903629E-5</c:v>
                </c:pt>
                <c:pt idx="106">
                  <c:v>7.8542374127544315E-5</c:v>
                </c:pt>
                <c:pt idx="107">
                  <c:v>2.1111508401185609E-4</c:v>
                </c:pt>
                <c:pt idx="108">
                  <c:v>1.3252491966236668E-4</c:v>
                </c:pt>
                <c:pt idx="109">
                  <c:v>2.6524456317558167E-5</c:v>
                </c:pt>
                <c:pt idx="110">
                  <c:v>2.6450610217289905E-5</c:v>
                </c:pt>
                <c:pt idx="111">
                  <c:v>2.6288183463412891E-5</c:v>
                </c:pt>
                <c:pt idx="112">
                  <c:v>2.6063606036641177E-5</c:v>
                </c:pt>
                <c:pt idx="113">
                  <c:v>2.5645185983317915E-5</c:v>
                </c:pt>
                <c:pt idx="114">
                  <c:v>2.5336822667857308E-5</c:v>
                </c:pt>
                <c:pt idx="115">
                  <c:v>2.4924016822595722E-5</c:v>
                </c:pt>
                <c:pt idx="116">
                  <c:v>2.4486189913093168E-5</c:v>
                </c:pt>
                <c:pt idx="117">
                  <c:v>2.4022915448440304E-5</c:v>
                </c:pt>
                <c:pt idx="118">
                  <c:v>2.3546604146957364E-5</c:v>
                </c:pt>
                <c:pt idx="119">
                  <c:v>2.3096691217102341E-5</c:v>
                </c:pt>
                <c:pt idx="120">
                  <c:v>2.2661752926087917E-5</c:v>
                </c:pt>
                <c:pt idx="121">
                  <c:v>1.3362200643637337E-4</c:v>
                </c:pt>
                <c:pt idx="122">
                  <c:v>2.1877171762108237E-5</c:v>
                </c:pt>
                <c:pt idx="123">
                  <c:v>2.1563564414308141E-5</c:v>
                </c:pt>
                <c:pt idx="124">
                  <c:v>2.1243809785655994E-5</c:v>
                </c:pt>
                <c:pt idx="125">
                  <c:v>2.0957703261914353E-5</c:v>
                </c:pt>
                <c:pt idx="126">
                  <c:v>2.0684729948864422E-5</c:v>
                </c:pt>
                <c:pt idx="127">
                  <c:v>2.0454639365052226E-5</c:v>
                </c:pt>
                <c:pt idx="128">
                  <c:v>2.0289867760591148E-5</c:v>
                </c:pt>
                <c:pt idx="129">
                  <c:v>2.0141579602998947E-5</c:v>
                </c:pt>
                <c:pt idx="130">
                  <c:v>1.9987693582838505E-5</c:v>
                </c:pt>
                <c:pt idx="131">
                  <c:v>1.9833235240816767E-5</c:v>
                </c:pt>
                <c:pt idx="132">
                  <c:v>1.9715180525258055E-5</c:v>
                </c:pt>
                <c:pt idx="133">
                  <c:v>1.9602424192917869E-5</c:v>
                </c:pt>
                <c:pt idx="134">
                  <c:v>1.9503235183077378E-5</c:v>
                </c:pt>
                <c:pt idx="135">
                  <c:v>1.943289791644355E-5</c:v>
                </c:pt>
                <c:pt idx="136">
                  <c:v>1.9386981783484704E-5</c:v>
                </c:pt>
                <c:pt idx="137">
                  <c:v>1.9333342301838542E-5</c:v>
                </c:pt>
                <c:pt idx="138">
                  <c:v>1.927965451606752E-5</c:v>
                </c:pt>
                <c:pt idx="139">
                  <c:v>1.9240267592160692E-5</c:v>
                </c:pt>
                <c:pt idx="140">
                  <c:v>1.9206489284047044E-5</c:v>
                </c:pt>
                <c:pt idx="141">
                  <c:v>1.9185055832839434E-5</c:v>
                </c:pt>
                <c:pt idx="142">
                  <c:v>1.913759683050293E-5</c:v>
                </c:pt>
                <c:pt idx="143">
                  <c:v>1.912509318954874E-5</c:v>
                </c:pt>
                <c:pt idx="144">
                  <c:v>1.9089362091861729E-5</c:v>
                </c:pt>
                <c:pt idx="145">
                  <c:v>9.5345984740515126E-5</c:v>
                </c:pt>
                <c:pt idx="146">
                  <c:v>1.905644739016784E-4</c:v>
                </c:pt>
                <c:pt idx="147">
                  <c:v>2.2826769985088979E-4</c:v>
                </c:pt>
                <c:pt idx="148">
                  <c:v>2.2797940968758833E-4</c:v>
                </c:pt>
                <c:pt idx="149">
                  <c:v>2.2745674025840729E-4</c:v>
                </c:pt>
                <c:pt idx="150">
                  <c:v>2.4663159719923394E-4</c:v>
                </c:pt>
                <c:pt idx="151">
                  <c:v>2.44316347977711E-4</c:v>
                </c:pt>
                <c:pt idx="152">
                  <c:v>2.4423159192489839E-4</c:v>
                </c:pt>
                <c:pt idx="153">
                  <c:v>2.4565481165784037E-4</c:v>
                </c:pt>
                <c:pt idx="154">
                  <c:v>2.8807180234253571E-4</c:v>
                </c:pt>
                <c:pt idx="155">
                  <c:v>3.6894705337476181E-4</c:v>
                </c:pt>
                <c:pt idx="156">
                  <c:v>4.5155043913388881E-4</c:v>
                </c:pt>
                <c:pt idx="157">
                  <c:v>5.1223105792740629E-4</c:v>
                </c:pt>
                <c:pt idx="158">
                  <c:v>4.9446364754719338E-4</c:v>
                </c:pt>
                <c:pt idx="159">
                  <c:v>4.9754376525752589E-4</c:v>
                </c:pt>
                <c:pt idx="160">
                  <c:v>5.0532499283982395E-4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Calculations!$X$3:$X$163</c:f>
              <c:numCache>
                <c:formatCode>General</c:formatCode>
                <c:ptCount val="161"/>
                <c:pt idx="0">
                  <c:v>4.7092650515751042E-3</c:v>
                </c:pt>
                <c:pt idx="1">
                  <c:v>4.9571208999578907E-4</c:v>
                </c:pt>
                <c:pt idx="2">
                  <c:v>4.9571208999578907E-4</c:v>
                </c:pt>
                <c:pt idx="3">
                  <c:v>4.9571208999578907E-4</c:v>
                </c:pt>
                <c:pt idx="4">
                  <c:v>4.9571208999578907E-4</c:v>
                </c:pt>
                <c:pt idx="5">
                  <c:v>7.4356815011792266E-4</c:v>
                </c:pt>
                <c:pt idx="6">
                  <c:v>7.4356815011792266E-4</c:v>
                </c:pt>
                <c:pt idx="7">
                  <c:v>9.9142417999157815E-4</c:v>
                </c:pt>
                <c:pt idx="8">
                  <c:v>9.9142417999157815E-4</c:v>
                </c:pt>
                <c:pt idx="9">
                  <c:v>1.23928027036219E-3</c:v>
                </c:pt>
                <c:pt idx="10">
                  <c:v>1.4871363002358453E-3</c:v>
                </c:pt>
                <c:pt idx="11">
                  <c:v>1.4871363002358453E-3</c:v>
                </c:pt>
                <c:pt idx="12">
                  <c:v>1.7349923301095008E-3</c:v>
                </c:pt>
                <c:pt idx="13">
                  <c:v>2.1834775729408524E-3</c:v>
                </c:pt>
                <c:pt idx="14">
                  <c:v>2.733529356794068E-3</c:v>
                </c:pt>
                <c:pt idx="15">
                  <c:v>3.1708269422657592E-3</c:v>
                </c:pt>
                <c:pt idx="16">
                  <c:v>2.8883129740149074E-3</c:v>
                </c:pt>
                <c:pt idx="17">
                  <c:v>3.1556711314382705E-3</c:v>
                </c:pt>
                <c:pt idx="18">
                  <c:v>4.6023922785646491E-3</c:v>
                </c:pt>
                <c:pt idx="19">
                  <c:v>5.4043461990269642E-3</c:v>
                </c:pt>
                <c:pt idx="20">
                  <c:v>6.03032658096721E-3</c:v>
                </c:pt>
                <c:pt idx="21">
                  <c:v>7.0319687394827541E-3</c:v>
                </c:pt>
                <c:pt idx="22">
                  <c:v>7.2510938682441009E-3</c:v>
                </c:pt>
                <c:pt idx="23">
                  <c:v>6.9400184251640663E-3</c:v>
                </c:pt>
                <c:pt idx="24">
                  <c:v>7.3086924511176349E-3</c:v>
                </c:pt>
                <c:pt idx="25">
                  <c:v>8.7901177520836541E-3</c:v>
                </c:pt>
                <c:pt idx="26">
                  <c:v>1.0688654085932121E-2</c:v>
                </c:pt>
                <c:pt idx="27">
                  <c:v>1.2385980798318E-2</c:v>
                </c:pt>
                <c:pt idx="28">
                  <c:v>1.3771757451592006E-2</c:v>
                </c:pt>
                <c:pt idx="29">
                  <c:v>1.4706933680255217E-2</c:v>
                </c:pt>
                <c:pt idx="30">
                  <c:v>1.3520978934835812E-2</c:v>
                </c:pt>
                <c:pt idx="31">
                  <c:v>1.0885411203518457E-2</c:v>
                </c:pt>
                <c:pt idx="32">
                  <c:v>1.2439231346912119E-2</c:v>
                </c:pt>
                <c:pt idx="33">
                  <c:v>1.8009831481435971E-2</c:v>
                </c:pt>
                <c:pt idx="34">
                  <c:v>2.2390414451113037E-2</c:v>
                </c:pt>
                <c:pt idx="35">
                  <c:v>2.2635012223297318E-2</c:v>
                </c:pt>
                <c:pt idx="36">
                  <c:v>2.1580725455493933E-2</c:v>
                </c:pt>
                <c:pt idx="37">
                  <c:v>2.3256390516082848E-2</c:v>
                </c:pt>
                <c:pt idx="38">
                  <c:v>2.3757578899936928E-2</c:v>
                </c:pt>
                <c:pt idx="39">
                  <c:v>2.3469699653478924E-2</c:v>
                </c:pt>
                <c:pt idx="40">
                  <c:v>2.3613874034177078E-2</c:v>
                </c:pt>
                <c:pt idx="41">
                  <c:v>2.7146667632856541E-2</c:v>
                </c:pt>
                <c:pt idx="42">
                  <c:v>3.5524545246777277E-2</c:v>
                </c:pt>
                <c:pt idx="43">
                  <c:v>4.0823446838458642E-2</c:v>
                </c:pt>
                <c:pt idx="44">
                  <c:v>4.1019232352344726E-2</c:v>
                </c:pt>
                <c:pt idx="45">
                  <c:v>3.7069420809408629E-2</c:v>
                </c:pt>
                <c:pt idx="46">
                  <c:v>3.48262286498515E-2</c:v>
                </c:pt>
                <c:pt idx="47">
                  <c:v>4.0024923544741679E-2</c:v>
                </c:pt>
                <c:pt idx="48">
                  <c:v>4.4284537781880504E-2</c:v>
                </c:pt>
                <c:pt idx="49">
                  <c:v>4.4404037265617979E-2</c:v>
                </c:pt>
                <c:pt idx="50">
                  <c:v>4.5932154092180398E-2</c:v>
                </c:pt>
                <c:pt idx="51">
                  <c:v>4.6559547512650519E-2</c:v>
                </c:pt>
                <c:pt idx="52">
                  <c:v>4.3439084123715603E-2</c:v>
                </c:pt>
                <c:pt idx="53">
                  <c:v>3.6913186787219394E-2</c:v>
                </c:pt>
                <c:pt idx="54">
                  <c:v>2.9204964639971891E-2</c:v>
                </c:pt>
                <c:pt idx="55">
                  <c:v>2.3817789937996239E-2</c:v>
                </c:pt>
                <c:pt idx="56">
                  <c:v>2.0595583535244523E-2</c:v>
                </c:pt>
                <c:pt idx="57">
                  <c:v>1.6752268412538976E-2</c:v>
                </c:pt>
                <c:pt idx="58">
                  <c:v>1.3103925893511848E-2</c:v>
                </c:pt>
                <c:pt idx="59">
                  <c:v>1.0567081651531829E-2</c:v>
                </c:pt>
                <c:pt idx="60">
                  <c:v>8.2832621787121748E-3</c:v>
                </c:pt>
                <c:pt idx="61">
                  <c:v>6.7052561948332621E-3</c:v>
                </c:pt>
                <c:pt idx="62">
                  <c:v>6.3636361866363025E-3</c:v>
                </c:pt>
                <c:pt idx="63">
                  <c:v>6.4200853185785401E-3</c:v>
                </c:pt>
                <c:pt idx="64">
                  <c:v>5.9649686410073836E-3</c:v>
                </c:pt>
                <c:pt idx="65">
                  <c:v>5.3908439085350963E-3</c:v>
                </c:pt>
                <c:pt idx="66">
                  <c:v>5.2792648382633291E-3</c:v>
                </c:pt>
                <c:pt idx="67">
                  <c:v>5.1309281154393689E-3</c:v>
                </c:pt>
                <c:pt idx="68">
                  <c:v>4.60536413342965E-3</c:v>
                </c:pt>
                <c:pt idx="69">
                  <c:v>4.2582743817470934E-3</c:v>
                </c:pt>
                <c:pt idx="70">
                  <c:v>4.594022729046683E-3</c:v>
                </c:pt>
                <c:pt idx="71">
                  <c:v>5.3547677768418555E-3</c:v>
                </c:pt>
                <c:pt idx="72">
                  <c:v>6.0373492803944316E-3</c:v>
                </c:pt>
                <c:pt idx="73">
                  <c:v>6.4444173151866754E-3</c:v>
                </c:pt>
                <c:pt idx="74">
                  <c:v>6.7128837002087835E-3</c:v>
                </c:pt>
                <c:pt idx="75">
                  <c:v>6.6748107206727574E-3</c:v>
                </c:pt>
                <c:pt idx="76">
                  <c:v>6.2115355072840566E-3</c:v>
                </c:pt>
                <c:pt idx="77">
                  <c:v>5.5452589512510527E-3</c:v>
                </c:pt>
                <c:pt idx="78">
                  <c:v>5.1629299207728964E-3</c:v>
                </c:pt>
                <c:pt idx="79">
                  <c:v>5.4149040582582688E-3</c:v>
                </c:pt>
                <c:pt idx="80">
                  <c:v>5.9580446236432568E-3</c:v>
                </c:pt>
                <c:pt idx="81">
                  <c:v>5.6215155949206654E-3</c:v>
                </c:pt>
                <c:pt idx="82">
                  <c:v>4.5913065914166638E-3</c:v>
                </c:pt>
                <c:pt idx="83">
                  <c:v>4.1274909416197103E-3</c:v>
                </c:pt>
                <c:pt idx="84">
                  <c:v>4.3415776789525445E-3</c:v>
                </c:pt>
                <c:pt idx="85">
                  <c:v>4.664413767738641E-3</c:v>
                </c:pt>
                <c:pt idx="86">
                  <c:v>4.6974360928143197E-3</c:v>
                </c:pt>
                <c:pt idx="87">
                  <c:v>4.3674281090333722E-3</c:v>
                </c:pt>
                <c:pt idx="88">
                  <c:v>3.8464614593603755E-3</c:v>
                </c:pt>
                <c:pt idx="89">
                  <c:v>3.3966996821859202E-3</c:v>
                </c:pt>
                <c:pt idx="90">
                  <c:v>3.3040256184251396E-3</c:v>
                </c:pt>
                <c:pt idx="91">
                  <c:v>3.3091906998863143E-3</c:v>
                </c:pt>
                <c:pt idx="92">
                  <c:v>2.7721780503429509E-3</c:v>
                </c:pt>
                <c:pt idx="93">
                  <c:v>2.1956558574656245E-3</c:v>
                </c:pt>
                <c:pt idx="94">
                  <c:v>2.3489773663440917E-3</c:v>
                </c:pt>
                <c:pt idx="95">
                  <c:v>2.7451815276801879E-3</c:v>
                </c:pt>
                <c:pt idx="96">
                  <c:v>2.5644129294387784E-3</c:v>
                </c:pt>
                <c:pt idx="97">
                  <c:v>1.7046501781623402E-3</c:v>
                </c:pt>
                <c:pt idx="98">
                  <c:v>9.8868787771763536E-4</c:v>
                </c:pt>
                <c:pt idx="99">
                  <c:v>1.0849276586896051E-3</c:v>
                </c:pt>
                <c:pt idx="100">
                  <c:v>1.5424643904696056E-3</c:v>
                </c:pt>
                <c:pt idx="101">
                  <c:v>1.5561372798073752E-3</c:v>
                </c:pt>
                <c:pt idx="102">
                  <c:v>8.0607401607499035E-4</c:v>
                </c:pt>
                <c:pt idx="103">
                  <c:v>2.5628134643595534E-5</c:v>
                </c:pt>
                <c:pt idx="104">
                  <c:v>2.609609630825543E-5</c:v>
                </c:pt>
                <c:pt idx="105">
                  <c:v>2.6503331473063817E-5</c:v>
                </c:pt>
                <c:pt idx="106">
                  <c:v>2.6808283541513004E-5</c:v>
                </c:pt>
                <c:pt idx="107">
                  <c:v>2.7021877728735458E-5</c:v>
                </c:pt>
                <c:pt idx="108">
                  <c:v>2.7140245791741484E-5</c:v>
                </c:pt>
                <c:pt idx="109">
                  <c:v>2.7160185878295267E-5</c:v>
                </c:pt>
                <c:pt idx="110">
                  <c:v>2.7084569858661886E-5</c:v>
                </c:pt>
                <c:pt idx="111">
                  <c:v>2.6918250113062143E-5</c:v>
                </c:pt>
                <c:pt idx="112">
                  <c:v>2.6688290087410218E-5</c:v>
                </c:pt>
                <c:pt idx="113">
                  <c:v>2.6259841478043499E-5</c:v>
                </c:pt>
                <c:pt idx="114">
                  <c:v>2.5944087410714572E-5</c:v>
                </c:pt>
                <c:pt idx="115">
                  <c:v>2.5521387568926315E-5</c:v>
                </c:pt>
                <c:pt idx="116">
                  <c:v>2.5073066966149726E-5</c:v>
                </c:pt>
                <c:pt idx="117">
                  <c:v>2.459868888947977E-5</c:v>
                </c:pt>
                <c:pt idx="118">
                  <c:v>2.4110961513305585E-5</c:v>
                </c:pt>
                <c:pt idx="119">
                  <c:v>2.3650265216363132E-5</c:v>
                </c:pt>
                <c:pt idx="120">
                  <c:v>2.3204902465545124E-5</c:v>
                </c:pt>
                <c:pt idx="121">
                  <c:v>2.2804102089625565E-5</c:v>
                </c:pt>
                <c:pt idx="122">
                  <c:v>2.2401516714856186E-5</c:v>
                </c:pt>
                <c:pt idx="123">
                  <c:v>2.2080392927922565E-5</c:v>
                </c:pt>
                <c:pt idx="124">
                  <c:v>2.1752974524104474E-5</c:v>
                </c:pt>
                <c:pt idx="125">
                  <c:v>2.146001069205518E-5</c:v>
                </c:pt>
                <c:pt idx="126">
                  <c:v>2.1180494843229188E-5</c:v>
                </c:pt>
                <c:pt idx="127">
                  <c:v>2.0944889522978087E-5</c:v>
                </c:pt>
                <c:pt idx="128">
                  <c:v>2.0776168726176476E-5</c:v>
                </c:pt>
                <c:pt idx="129">
                  <c:v>2.0624326446148739E-5</c:v>
                </c:pt>
                <c:pt idx="130">
                  <c:v>2.0466752135799467E-5</c:v>
                </c:pt>
                <c:pt idx="131">
                  <c:v>2.0308591786364266E-5</c:v>
                </c:pt>
                <c:pt idx="132">
                  <c:v>2.0187707573696678E-5</c:v>
                </c:pt>
                <c:pt idx="133">
                  <c:v>2.0072248734177051E-5</c:v>
                </c:pt>
                <c:pt idx="134">
                  <c:v>1.9970682394339637E-5</c:v>
                </c:pt>
                <c:pt idx="135">
                  <c:v>1.9898659306926479E-5</c:v>
                </c:pt>
                <c:pt idx="136">
                  <c:v>1.9851642670994554E-5</c:v>
                </c:pt>
                <c:pt idx="137">
                  <c:v>1.9796717575660528E-5</c:v>
                </c:pt>
                <c:pt idx="138">
                  <c:v>1.974174301846405E-5</c:v>
                </c:pt>
                <c:pt idx="139">
                  <c:v>1.9701412081547708E-5</c:v>
                </c:pt>
                <c:pt idx="140">
                  <c:v>1.966682418590765E-5</c:v>
                </c:pt>
                <c:pt idx="141">
                  <c:v>1.9644877024697535E-5</c:v>
                </c:pt>
                <c:pt idx="142">
                  <c:v>1.9596280540395436E-5</c:v>
                </c:pt>
                <c:pt idx="143">
                  <c:v>1.9583477216232807E-5</c:v>
                </c:pt>
                <c:pt idx="144">
                  <c:v>5.864067037433415E-5</c:v>
                </c:pt>
                <c:pt idx="145">
                  <c:v>1.1715744572448266E-4</c:v>
                </c:pt>
                <c:pt idx="146">
                  <c:v>1.3659229914603661E-4</c:v>
                </c:pt>
                <c:pt idx="147">
                  <c:v>1.3634760024776993E-4</c:v>
                </c:pt>
                <c:pt idx="148">
                  <c:v>1.3617540036155358E-4</c:v>
                </c:pt>
                <c:pt idx="149">
                  <c:v>1.5527222990162261E-4</c:v>
                </c:pt>
                <c:pt idx="150">
                  <c:v>1.7483731733650506E-4</c:v>
                </c:pt>
                <c:pt idx="151">
                  <c:v>1.924400373475424E-4</c:v>
                </c:pt>
                <c:pt idx="152">
                  <c:v>2.3084792955883012E-4</c:v>
                </c:pt>
                <c:pt idx="153">
                  <c:v>2.9024144300731866E-4</c:v>
                </c:pt>
                <c:pt idx="154">
                  <c:v>3.9330163121283182E-4</c:v>
                </c:pt>
                <c:pt idx="155">
                  <c:v>4.3744088047237712E-4</c:v>
                </c:pt>
                <c:pt idx="156">
                  <c:v>4.6237305351227309E-4</c:v>
                </c:pt>
                <c:pt idx="157">
                  <c:v>4.4381450625410532E-4</c:v>
                </c:pt>
                <c:pt idx="158">
                  <c:v>4.4555702150993431E-4</c:v>
                </c:pt>
                <c:pt idx="159">
                  <c:v>5.0946873274970662E-4</c:v>
                </c:pt>
                <c:pt idx="160">
                  <c:v>5.5883137169772845E-4</c:v>
                </c:pt>
              </c:numCache>
            </c:numRef>
          </c:yVal>
        </c:ser>
        <c:axId val="72265088"/>
        <c:axId val="72279168"/>
      </c:scatterChart>
      <c:valAx>
        <c:axId val="7226508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2279168"/>
        <c:crosses val="autoZero"/>
        <c:crossBetween val="midCat"/>
        <c:majorUnit val="50"/>
        <c:minorUnit val="5"/>
      </c:valAx>
      <c:valAx>
        <c:axId val="72279168"/>
        <c:scaling>
          <c:orientation val="minMax"/>
        </c:scaling>
        <c:axPos val="l"/>
        <c:majorGridlines/>
        <c:numFmt formatCode="General" sourceLinked="1"/>
        <c:tickLblPos val="nextTo"/>
        <c:crossAx val="72265088"/>
        <c:crosses val="autoZero"/>
        <c:crossBetween val="midCat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Calculations!$Y$3:$Y$163</c:f>
              <c:numCache>
                <c:formatCode>General</c:formatCode>
                <c:ptCount val="161"/>
                <c:pt idx="0">
                  <c:v>1.5649452472560966E-3</c:v>
                </c:pt>
                <c:pt idx="1">
                  <c:v>5.2164840514165936E-4</c:v>
                </c:pt>
                <c:pt idx="2">
                  <c:v>5.2164840514165936E-4</c:v>
                </c:pt>
                <c:pt idx="3">
                  <c:v>5.2164840514165936E-4</c:v>
                </c:pt>
                <c:pt idx="4">
                  <c:v>5.2164840514165936E-4</c:v>
                </c:pt>
                <c:pt idx="5">
                  <c:v>7.8247262362804828E-4</c:v>
                </c:pt>
                <c:pt idx="6">
                  <c:v>7.8247262362804828E-4</c:v>
                </c:pt>
                <c:pt idx="7">
                  <c:v>7.8247262362804828E-4</c:v>
                </c:pt>
                <c:pt idx="8">
                  <c:v>1.0432968102833187E-3</c:v>
                </c:pt>
                <c:pt idx="9">
                  <c:v>1.3041210606008263E-3</c:v>
                </c:pt>
                <c:pt idx="10">
                  <c:v>1.3041210606008263E-3</c:v>
                </c:pt>
                <c:pt idx="11">
                  <c:v>1.3041210606008263E-3</c:v>
                </c:pt>
                <c:pt idx="12">
                  <c:v>1.8257694339113668E-3</c:v>
                </c:pt>
                <c:pt idx="13">
                  <c:v>2.2977200204999078E-3</c:v>
                </c:pt>
                <c:pt idx="14">
                  <c:v>2.8765512444766969E-3</c:v>
                </c:pt>
                <c:pt idx="15">
                  <c:v>2.5952334265929452E-3</c:v>
                </c:pt>
                <c:pt idx="16">
                  <c:v>2.8705759563900607E-3</c:v>
                </c:pt>
                <c:pt idx="17">
                  <c:v>4.0755027064595783E-3</c:v>
                </c:pt>
                <c:pt idx="18">
                  <c:v>4.8431955572637558E-3</c:v>
                </c:pt>
                <c:pt idx="19">
                  <c:v>5.43434839339859E-3</c:v>
                </c:pt>
                <c:pt idx="20">
                  <c:v>6.3458412795048477E-3</c:v>
                </c:pt>
                <c:pt idx="21">
                  <c:v>6.6599014527357883E-3</c:v>
                </c:pt>
                <c:pt idx="22">
                  <c:v>6.3748322245485243E-3</c:v>
                </c:pt>
                <c:pt idx="23">
                  <c:v>6.6796913889508539E-3</c:v>
                </c:pt>
                <c:pt idx="24">
                  <c:v>7.9365535132823687E-3</c:v>
                </c:pt>
                <c:pt idx="25">
                  <c:v>9.7049481019386864E-3</c:v>
                </c:pt>
                <c:pt idx="26">
                  <c:v>1.1247898668529013E-2</c:v>
                </c:pt>
                <c:pt idx="27">
                  <c:v>1.2568531043032852E-2</c:v>
                </c:pt>
                <c:pt idx="28">
                  <c:v>1.3739467134655901E-2</c:v>
                </c:pt>
                <c:pt idx="29">
                  <c:v>1.2700115270735576E-2</c:v>
                </c:pt>
                <c:pt idx="30">
                  <c:v>1.0004353780571372E-2</c:v>
                </c:pt>
                <c:pt idx="31">
                  <c:v>1.1295853754815004E-2</c:v>
                </c:pt>
                <c:pt idx="32">
                  <c:v>1.6729006949798793E-2</c:v>
                </c:pt>
                <c:pt idx="33">
                  <c:v>2.0231398545768251E-2</c:v>
                </c:pt>
                <c:pt idx="34">
                  <c:v>2.0228103440299121E-2</c:v>
                </c:pt>
                <c:pt idx="35">
                  <c:v>2.0605240118505126E-2</c:v>
                </c:pt>
                <c:pt idx="36">
                  <c:v>2.2964073989804813E-2</c:v>
                </c:pt>
                <c:pt idx="37">
                  <c:v>2.3292293566780305E-2</c:v>
                </c:pt>
                <c:pt idx="38">
                  <c:v>2.2240043211418918E-2</c:v>
                </c:pt>
                <c:pt idx="39">
                  <c:v>2.1787668240411204E-2</c:v>
                </c:pt>
                <c:pt idx="40">
                  <c:v>2.5856303847978022E-2</c:v>
                </c:pt>
                <c:pt idx="41">
                  <c:v>3.3968781842547445E-2</c:v>
                </c:pt>
                <c:pt idx="42">
                  <c:v>3.8684973566864435E-2</c:v>
                </c:pt>
                <c:pt idx="43">
                  <c:v>3.8769796308523952E-2</c:v>
                </c:pt>
                <c:pt idx="44">
                  <c:v>3.5237709834445102E-2</c:v>
                </c:pt>
                <c:pt idx="45">
                  <c:v>3.5253423726561907E-2</c:v>
                </c:pt>
                <c:pt idx="46">
                  <c:v>4.1601667370705614E-2</c:v>
                </c:pt>
                <c:pt idx="47">
                  <c:v>4.4304099773894878E-2</c:v>
                </c:pt>
                <c:pt idx="48">
                  <c:v>4.430232955050957E-2</c:v>
                </c:pt>
                <c:pt idx="49">
                  <c:v>4.6974261043409647E-2</c:v>
                </c:pt>
                <c:pt idx="50">
                  <c:v>4.8308535626507339E-2</c:v>
                </c:pt>
                <c:pt idx="51">
                  <c:v>4.570818926176641E-2</c:v>
                </c:pt>
                <c:pt idx="52">
                  <c:v>3.947257704125369E-2</c:v>
                </c:pt>
                <c:pt idx="53">
                  <c:v>3.2817806831853945E-2</c:v>
                </c:pt>
                <c:pt idx="54">
                  <c:v>2.9488754931135404E-2</c:v>
                </c:pt>
                <c:pt idx="55">
                  <c:v>2.6487779111259706E-2</c:v>
                </c:pt>
                <c:pt idx="56">
                  <c:v>2.1648955854091621E-2</c:v>
                </c:pt>
                <c:pt idx="57">
                  <c:v>1.6983813648339809E-2</c:v>
                </c:pt>
                <c:pt idx="58">
                  <c:v>1.3152009837954668E-2</c:v>
                </c:pt>
                <c:pt idx="59">
                  <c:v>9.7153381093730493E-3</c:v>
                </c:pt>
                <c:pt idx="60">
                  <c:v>7.6734374070611695E-3</c:v>
                </c:pt>
                <c:pt idx="61">
                  <c:v>7.2399563545496228E-3</c:v>
                </c:pt>
                <c:pt idx="62">
                  <c:v>6.8108663118627514E-3</c:v>
                </c:pt>
                <c:pt idx="63">
                  <c:v>5.914336804305355E-3</c:v>
                </c:pt>
                <c:pt idx="64">
                  <c:v>5.4159499386199367E-3</c:v>
                </c:pt>
                <c:pt idx="65">
                  <c:v>5.2886795981931896E-3</c:v>
                </c:pt>
                <c:pt idx="66">
                  <c:v>4.8779850287180727E-3</c:v>
                </c:pt>
                <c:pt idx="67">
                  <c:v>4.3149898034782414E-3</c:v>
                </c:pt>
                <c:pt idx="68">
                  <c:v>4.3028097503602057E-3</c:v>
                </c:pt>
                <c:pt idx="69">
                  <c:v>4.8905109756639852E-3</c:v>
                </c:pt>
                <c:pt idx="70">
                  <c:v>5.6133888737919637E-3</c:v>
                </c:pt>
                <c:pt idx="71">
                  <c:v>5.8668266182895301E-3</c:v>
                </c:pt>
                <c:pt idx="72">
                  <c:v>5.9044901401565254E-3</c:v>
                </c:pt>
                <c:pt idx="73">
                  <c:v>6.014774392221661E-3</c:v>
                </c:pt>
                <c:pt idx="74">
                  <c:v>5.9663096725579229E-3</c:v>
                </c:pt>
                <c:pt idx="75">
                  <c:v>5.6099636825592998E-3</c:v>
                </c:pt>
                <c:pt idx="76">
                  <c:v>5.2557246431192296E-3</c:v>
                </c:pt>
                <c:pt idx="77">
                  <c:v>5.4155818996030405E-3</c:v>
                </c:pt>
                <c:pt idx="78">
                  <c:v>6.1399654758466449E-3</c:v>
                </c:pt>
                <c:pt idx="79">
                  <c:v>6.3248272734400569E-3</c:v>
                </c:pt>
                <c:pt idx="80">
                  <c:v>5.352249072842344E-3</c:v>
                </c:pt>
                <c:pt idx="81">
                  <c:v>4.4461501398352079E-3</c:v>
                </c:pt>
                <c:pt idx="82">
                  <c:v>4.3633585590209063E-3</c:v>
                </c:pt>
                <c:pt idx="83">
                  <c:v>4.6429947830742843E-3</c:v>
                </c:pt>
                <c:pt idx="84">
                  <c:v>4.775549968201293E-3</c:v>
                </c:pt>
                <c:pt idx="85">
                  <c:v>4.6052366562349661E-3</c:v>
                </c:pt>
                <c:pt idx="86">
                  <c:v>4.2534618329595026E-3</c:v>
                </c:pt>
                <c:pt idx="87">
                  <c:v>3.9366050221672595E-3</c:v>
                </c:pt>
                <c:pt idx="88">
                  <c:v>3.8315733776984333E-3</c:v>
                </c:pt>
                <c:pt idx="89">
                  <c:v>3.8340141718102481E-3</c:v>
                </c:pt>
                <c:pt idx="90">
                  <c:v>3.3752327168930568E-3</c:v>
                </c:pt>
                <c:pt idx="91">
                  <c:v>2.591020679503273E-3</c:v>
                </c:pt>
                <c:pt idx="92">
                  <c:v>2.3676005001228811E-3</c:v>
                </c:pt>
                <c:pt idx="93">
                  <c:v>2.6776298368843274E-3</c:v>
                </c:pt>
                <c:pt idx="94">
                  <c:v>2.6484417551602825E-3</c:v>
                </c:pt>
                <c:pt idx="95">
                  <c:v>1.8957836393735021E-3</c:v>
                </c:pt>
                <c:pt idx="96">
                  <c:v>1.1301772074848015E-3</c:v>
                </c:pt>
                <c:pt idx="97">
                  <c:v>1.1565544966079539E-3</c:v>
                </c:pt>
                <c:pt idx="98">
                  <c:v>1.6695069620101717E-3</c:v>
                </c:pt>
                <c:pt idx="99">
                  <c:v>1.8118163744118869E-3</c:v>
                </c:pt>
                <c:pt idx="100">
                  <c:v>1.2173761572708899E-3</c:v>
                </c:pt>
                <c:pt idx="101">
                  <c:v>3.6390144737701924E-4</c:v>
                </c:pt>
                <c:pt idx="102">
                  <c:v>5.3015554971034554E-5</c:v>
                </c:pt>
                <c:pt idx="103">
                  <c:v>1.6181419947564659E-4</c:v>
                </c:pt>
                <c:pt idx="104">
                  <c:v>1.3730739871747923E-4</c:v>
                </c:pt>
                <c:pt idx="105">
                  <c:v>2.7890020987751029E-5</c:v>
                </c:pt>
                <c:pt idx="106">
                  <c:v>2.8210928553577232E-5</c:v>
                </c:pt>
                <c:pt idx="107">
                  <c:v>2.8435698272453908E-5</c:v>
                </c:pt>
                <c:pt idx="108">
                  <c:v>2.8560259509778834E-5</c:v>
                </c:pt>
                <c:pt idx="109">
                  <c:v>2.8581242888153275E-5</c:v>
                </c:pt>
                <c:pt idx="110">
                  <c:v>2.8501670537910116E-5</c:v>
                </c:pt>
                <c:pt idx="111">
                  <c:v>2.8326648722250122E-5</c:v>
                </c:pt>
                <c:pt idx="112">
                  <c:v>2.8084656882533889E-5</c:v>
                </c:pt>
                <c:pt idx="113">
                  <c:v>2.7633791272693287E-5</c:v>
                </c:pt>
                <c:pt idx="114">
                  <c:v>2.7301516533054544E-5</c:v>
                </c:pt>
                <c:pt idx="115">
                  <c:v>2.6856700473949855E-5</c:v>
                </c:pt>
                <c:pt idx="116">
                  <c:v>2.6384923141602481E-5</c:v>
                </c:pt>
                <c:pt idx="117">
                  <c:v>2.5885724973707982E-5</c:v>
                </c:pt>
                <c:pt idx="118">
                  <c:v>2.5372479053223472E-5</c:v>
                </c:pt>
                <c:pt idx="119">
                  <c:v>2.4887678513949274E-5</c:v>
                </c:pt>
                <c:pt idx="120">
                  <c:v>2.4419013792304719E-5</c:v>
                </c:pt>
                <c:pt idx="121">
                  <c:v>2.3997243008218356E-5</c:v>
                </c:pt>
                <c:pt idx="122">
                  <c:v>2.3573593831770818E-5</c:v>
                </c:pt>
                <c:pt idx="123">
                  <c:v>2.3235668421663515E-5</c:v>
                </c:pt>
                <c:pt idx="124">
                  <c:v>2.2891119051953396E-5</c:v>
                </c:pt>
                <c:pt idx="125">
                  <c:v>2.258282696298296E-5</c:v>
                </c:pt>
                <c:pt idx="126">
                  <c:v>2.22886864735849E-5</c:v>
                </c:pt>
                <c:pt idx="127">
                  <c:v>2.2040753969955787E-5</c:v>
                </c:pt>
                <c:pt idx="128">
                  <c:v>2.1863205476905036E-5</c:v>
                </c:pt>
                <c:pt idx="129">
                  <c:v>2.1703418607050372E-5</c:v>
                </c:pt>
                <c:pt idx="130">
                  <c:v>2.1537599799432236E-5</c:v>
                </c:pt>
                <c:pt idx="131">
                  <c:v>2.1371164290384593E-5</c:v>
                </c:pt>
                <c:pt idx="132">
                  <c:v>2.1243955255104882E-5</c:v>
                </c:pt>
                <c:pt idx="133">
                  <c:v>2.1122455455704325E-5</c:v>
                </c:pt>
                <c:pt idx="134">
                  <c:v>2.1015575030026763E-5</c:v>
                </c:pt>
                <c:pt idx="135">
                  <c:v>2.0939783598991118E-5</c:v>
                </c:pt>
                <c:pt idx="136">
                  <c:v>2.0890306990201484E-5</c:v>
                </c:pt>
                <c:pt idx="137">
                  <c:v>2.0832508140906739E-5</c:v>
                </c:pt>
                <c:pt idx="138">
                  <c:v>2.0774657241839187E-5</c:v>
                </c:pt>
                <c:pt idx="139">
                  <c:v>2.0732216136720169E-5</c:v>
                </c:pt>
                <c:pt idx="140">
                  <c:v>2.0695818556427153E-5</c:v>
                </c:pt>
                <c:pt idx="141">
                  <c:v>2.0672723090583783E-5</c:v>
                </c:pt>
                <c:pt idx="142">
                  <c:v>2.0621583973658274E-5</c:v>
                </c:pt>
                <c:pt idx="143">
                  <c:v>2.0608110762565108E-5</c:v>
                </c:pt>
                <c:pt idx="144">
                  <c:v>2.0569608967488665E-5</c:v>
                </c:pt>
                <c:pt idx="145">
                  <c:v>2.0547879405187893E-5</c:v>
                </c:pt>
                <c:pt idx="146">
                  <c:v>2.0534141208470193E-5</c:v>
                </c:pt>
                <c:pt idx="147">
                  <c:v>4.0994710454802269E-5</c:v>
                </c:pt>
                <c:pt idx="148">
                  <c:v>8.1885872560195219E-5</c:v>
                </c:pt>
                <c:pt idx="149">
                  <c:v>1.2254721193983006E-4</c:v>
                </c:pt>
                <c:pt idx="150">
                  <c:v>2.0442781785609998E-4</c:v>
                </c:pt>
                <c:pt idx="151">
                  <c:v>2.6326137657627102E-4</c:v>
                </c:pt>
                <c:pt idx="152">
                  <c:v>3.4414546143753946E-4</c:v>
                </c:pt>
                <c:pt idx="153">
                  <c:v>3.6651272900400765E-4</c:v>
                </c:pt>
                <c:pt idx="154">
                  <c:v>3.7249172962526187E-4</c:v>
                </c:pt>
                <c:pt idx="155">
                  <c:v>3.55708294049286E-4</c:v>
                </c:pt>
                <c:pt idx="156">
                  <c:v>4.0194502864204567E-4</c:v>
                </c:pt>
                <c:pt idx="157">
                  <c:v>4.6703547086808728E-4</c:v>
                </c:pt>
                <c:pt idx="158">
                  <c:v>5.3280585436744476E-4</c:v>
                </c:pt>
                <c:pt idx="159">
                  <c:v>5.7901479546912469E-4</c:v>
                </c:pt>
                <c:pt idx="160">
                  <c:v>6.0985054666964987E-4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Calculations!$Z$3:$Z$163</c:f>
              <c:numCache>
                <c:formatCode>General</c:formatCode>
                <c:ptCount val="161"/>
                <c:pt idx="0">
                  <c:v>1.2212867412304084E-2</c:v>
                </c:pt>
                <c:pt idx="1">
                  <c:v>5.196964957508161E-4</c:v>
                </c:pt>
                <c:pt idx="2">
                  <c:v>5.196964957508161E-4</c:v>
                </c:pt>
                <c:pt idx="3">
                  <c:v>5.196964957508161E-4</c:v>
                </c:pt>
                <c:pt idx="4">
                  <c:v>5.196964957508161E-4</c:v>
                </c:pt>
                <c:pt idx="5">
                  <c:v>7.7954475948223054E-4</c:v>
                </c:pt>
                <c:pt idx="6">
                  <c:v>7.7954475948223054E-4</c:v>
                </c:pt>
                <c:pt idx="7">
                  <c:v>7.7954475948223054E-4</c:v>
                </c:pt>
                <c:pt idx="8">
                  <c:v>1.0393929915016322E-3</c:v>
                </c:pt>
                <c:pt idx="9">
                  <c:v>1.0393929915016322E-3</c:v>
                </c:pt>
                <c:pt idx="10">
                  <c:v>1.0393929915016322E-3</c:v>
                </c:pt>
                <c:pt idx="11">
                  <c:v>1.5590895189644611E-3</c:v>
                </c:pt>
                <c:pt idx="12">
                  <c:v>2.0787859830032644E-3</c:v>
                </c:pt>
                <c:pt idx="13">
                  <c:v>2.2891223879923871E-3</c:v>
                </c:pt>
                <c:pt idx="14">
                  <c:v>2.2516904062882511E-3</c:v>
                </c:pt>
                <c:pt idx="15">
                  <c:v>2.4008423857034482E-3</c:v>
                </c:pt>
                <c:pt idx="16">
                  <c:v>3.7009625930179589E-3</c:v>
                </c:pt>
                <c:pt idx="17">
                  <c:v>4.2106326762853972E-3</c:v>
                </c:pt>
                <c:pt idx="18">
                  <c:v>4.8250732380987127E-3</c:v>
                </c:pt>
                <c:pt idx="19">
                  <c:v>5.5399216370554802E-3</c:v>
                </c:pt>
                <c:pt idx="20">
                  <c:v>5.7473605585419583E-3</c:v>
                </c:pt>
                <c:pt idx="21">
                  <c:v>5.4764927965321505E-3</c:v>
                </c:pt>
                <c:pt idx="22">
                  <c:v>5.8698438936068808E-3</c:v>
                </c:pt>
                <c:pt idx="23">
                  <c:v>7.0983442423139679E-3</c:v>
                </c:pt>
                <c:pt idx="24">
                  <c:v>8.5589682669400067E-3</c:v>
                </c:pt>
                <c:pt idx="25">
                  <c:v>9.8952427705543619E-3</c:v>
                </c:pt>
                <c:pt idx="26">
                  <c:v>1.0994380641128133E-2</c:v>
                </c:pt>
                <c:pt idx="27">
                  <c:v>1.1858988957917458E-2</c:v>
                </c:pt>
                <c:pt idx="28">
                  <c:v>1.0500427156460327E-2</c:v>
                </c:pt>
                <c:pt idx="29">
                  <c:v>8.6508429578378808E-3</c:v>
                </c:pt>
                <c:pt idx="30">
                  <c:v>1.0963611930359251E-2</c:v>
                </c:pt>
                <c:pt idx="31">
                  <c:v>1.526895045092133E-2</c:v>
                </c:pt>
                <c:pt idx="32">
                  <c:v>1.716992685548396E-2</c:v>
                </c:pt>
                <c:pt idx="33">
                  <c:v>1.6709874095580432E-2</c:v>
                </c:pt>
                <c:pt idx="34">
                  <c:v>1.8222449888849135E-2</c:v>
                </c:pt>
                <c:pt idx="35">
                  <c:v>2.1273819708544799E-2</c:v>
                </c:pt>
                <c:pt idx="36">
                  <c:v>2.1442985921285115E-2</c:v>
                </c:pt>
                <c:pt idx="37">
                  <c:v>2.0446484664228916E-2</c:v>
                </c:pt>
                <c:pt idx="38">
                  <c:v>2.0103832860157916E-2</c:v>
                </c:pt>
                <c:pt idx="39">
                  <c:v>2.5274275714465867E-2</c:v>
                </c:pt>
                <c:pt idx="40">
                  <c:v>3.1599342616069268E-2</c:v>
                </c:pt>
                <c:pt idx="41">
                  <c:v>3.4255642816819462E-2</c:v>
                </c:pt>
                <c:pt idx="42">
                  <c:v>3.3219742648492825E-2</c:v>
                </c:pt>
                <c:pt idx="43">
                  <c:v>3.1368543859496896E-2</c:v>
                </c:pt>
                <c:pt idx="44">
                  <c:v>3.6100883682755762E-2</c:v>
                </c:pt>
                <c:pt idx="45">
                  <c:v>4.1940639130391595E-2</c:v>
                </c:pt>
                <c:pt idx="46">
                  <c:v>4.2503446397674748E-2</c:v>
                </c:pt>
                <c:pt idx="47">
                  <c:v>4.3966465351699527E-2</c:v>
                </c:pt>
                <c:pt idx="48">
                  <c:v>4.6315450654063894E-2</c:v>
                </c:pt>
                <c:pt idx="49">
                  <c:v>4.6443127836060603E-2</c:v>
                </c:pt>
                <c:pt idx="50">
                  <c:v>4.3365825892342363E-2</c:v>
                </c:pt>
                <c:pt idx="51">
                  <c:v>3.8227107791030307E-2</c:v>
                </c:pt>
                <c:pt idx="52">
                  <c:v>3.5626131658557755E-2</c:v>
                </c:pt>
                <c:pt idx="53">
                  <c:v>3.506640717742561E-2</c:v>
                </c:pt>
                <c:pt idx="54">
                  <c:v>3.1758438395698425E-2</c:v>
                </c:pt>
                <c:pt idx="55">
                  <c:v>2.6657687921122761E-2</c:v>
                </c:pt>
                <c:pt idx="56">
                  <c:v>2.1809201691830649E-2</c:v>
                </c:pt>
                <c:pt idx="57">
                  <c:v>1.6182530615870532E-2</c:v>
                </c:pt>
                <c:pt idx="58">
                  <c:v>1.1738412976931694E-2</c:v>
                </c:pt>
                <c:pt idx="59">
                  <c:v>9.8888906185299816E-3</c:v>
                </c:pt>
                <c:pt idx="60">
                  <c:v>8.7302293539380706E-3</c:v>
                </c:pt>
                <c:pt idx="61">
                  <c:v>7.1670695742275308E-3</c:v>
                </c:pt>
                <c:pt idx="62">
                  <c:v>6.0112101206028822E-3</c:v>
                </c:pt>
                <c:pt idx="63">
                  <c:v>5.6202586716521943E-3</c:v>
                </c:pt>
                <c:pt idx="64">
                  <c:v>5.1247716402493667E-3</c:v>
                </c:pt>
                <c:pt idx="65">
                  <c:v>4.413258548920317E-3</c:v>
                </c:pt>
                <c:pt idx="66">
                  <c:v>4.2522659672057034E-3</c:v>
                </c:pt>
                <c:pt idx="67">
                  <c:v>4.8165059578492309E-3</c:v>
                </c:pt>
                <c:pt idx="68">
                  <c:v>5.5050374650840528E-3</c:v>
                </c:pt>
                <c:pt idx="69">
                  <c:v>5.8013311252623186E-3</c:v>
                </c:pt>
                <c:pt idx="70">
                  <c:v>5.7521669129003278E-3</c:v>
                </c:pt>
                <c:pt idx="71">
                  <c:v>5.5907490750805935E-3</c:v>
                </c:pt>
                <c:pt idx="72">
                  <c:v>5.2941568818944884E-3</c:v>
                </c:pt>
                <c:pt idx="73">
                  <c:v>4.9895777334492816E-3</c:v>
                </c:pt>
                <c:pt idx="74">
                  <c:v>4.9929473382206461E-3</c:v>
                </c:pt>
                <c:pt idx="75">
                  <c:v>5.4965927405417232E-3</c:v>
                </c:pt>
                <c:pt idx="76">
                  <c:v>6.4460724032474959E-3</c:v>
                </c:pt>
                <c:pt idx="77">
                  <c:v>6.8382515483482219E-3</c:v>
                </c:pt>
                <c:pt idx="78">
                  <c:v>6.1169908896049714E-3</c:v>
                </c:pt>
                <c:pt idx="79">
                  <c:v>5.3062411371299677E-3</c:v>
                </c:pt>
                <c:pt idx="80">
                  <c:v>5.1798730787589982E-3</c:v>
                </c:pt>
                <c:pt idx="81">
                  <c:v>5.3867391601707167E-3</c:v>
                </c:pt>
                <c:pt idx="82">
                  <c:v>5.373155148849406E-3</c:v>
                </c:pt>
                <c:pt idx="83">
                  <c:v>5.0546108302023636E-3</c:v>
                </c:pt>
                <c:pt idx="84">
                  <c:v>4.7202184961538766E-3</c:v>
                </c:pt>
                <c:pt idx="85">
                  <c:v>4.6068852263600702E-3</c:v>
                </c:pt>
                <c:pt idx="86">
                  <c:v>4.8101872879583027E-3</c:v>
                </c:pt>
                <c:pt idx="87">
                  <c:v>5.0230908398686347E-3</c:v>
                </c:pt>
                <c:pt idx="88">
                  <c:v>4.6394101908634293E-3</c:v>
                </c:pt>
                <c:pt idx="89">
                  <c:v>3.8793503647491759E-3</c:v>
                </c:pt>
                <c:pt idx="90">
                  <c:v>3.524656400447261E-3</c:v>
                </c:pt>
                <c:pt idx="91">
                  <c:v>3.5725547058802327E-3</c:v>
                </c:pt>
                <c:pt idx="92">
                  <c:v>3.2643294131004196E-3</c:v>
                </c:pt>
                <c:pt idx="93">
                  <c:v>2.3879418546479889E-3</c:v>
                </c:pt>
                <c:pt idx="94">
                  <c:v>1.7590212495412587E-3</c:v>
                </c:pt>
                <c:pt idx="95">
                  <c:v>1.9561430520332497E-3</c:v>
                </c:pt>
                <c:pt idx="96">
                  <c:v>2.5276390269891387E-3</c:v>
                </c:pt>
                <c:pt idx="97">
                  <c:v>2.6336615393892731E-3</c:v>
                </c:pt>
                <c:pt idx="98">
                  <c:v>2.1212591177228344E-3</c:v>
                </c:pt>
                <c:pt idx="99">
                  <c:v>1.6072245573519875E-3</c:v>
                </c:pt>
                <c:pt idx="100">
                  <c:v>1.4654919807393977E-3</c:v>
                </c:pt>
                <c:pt idx="101">
                  <c:v>1.4501591887288896E-3</c:v>
                </c:pt>
                <c:pt idx="102">
                  <c:v>1.1883865474967114E-3</c:v>
                </c:pt>
                <c:pt idx="103">
                  <c:v>8.0604359404676685E-4</c:v>
                </c:pt>
                <c:pt idx="104">
                  <c:v>4.6509831762697013E-4</c:v>
                </c:pt>
                <c:pt idx="105">
                  <c:v>1.1114264727649136E-4</c:v>
                </c:pt>
                <c:pt idx="106">
                  <c:v>2.8105368609704347E-5</c:v>
                </c:pt>
                <c:pt idx="107">
                  <c:v>2.8329297282925117E-5</c:v>
                </c:pt>
                <c:pt idx="108">
                  <c:v>2.8453392435725538E-5</c:v>
                </c:pt>
                <c:pt idx="109">
                  <c:v>2.8474297298278029E-5</c:v>
                </c:pt>
                <c:pt idx="110">
                  <c:v>2.839502269267697E-5</c:v>
                </c:pt>
                <c:pt idx="111">
                  <c:v>2.8220655775454739E-5</c:v>
                </c:pt>
                <c:pt idx="112">
                  <c:v>2.7979569423304062E-5</c:v>
                </c:pt>
                <c:pt idx="113">
                  <c:v>2.7530390867059682E-5</c:v>
                </c:pt>
                <c:pt idx="114">
                  <c:v>8.1598079969133922E-5</c:v>
                </c:pt>
                <c:pt idx="115">
                  <c:v>3.4783070622903541E-4</c:v>
                </c:pt>
                <c:pt idx="116">
                  <c:v>2.6286195763642254E-5</c:v>
                </c:pt>
                <c:pt idx="117">
                  <c:v>2.5788865500608961E-5</c:v>
                </c:pt>
                <c:pt idx="118">
                  <c:v>2.5277540049011409E-5</c:v>
                </c:pt>
                <c:pt idx="119">
                  <c:v>2.4794553541402924E-5</c:v>
                </c:pt>
                <c:pt idx="120">
                  <c:v>2.4327642474254996E-5</c:v>
                </c:pt>
                <c:pt idx="121">
                  <c:v>2.3907449876445301E-5</c:v>
                </c:pt>
                <c:pt idx="122">
                  <c:v>2.3485385914862373E-5</c:v>
                </c:pt>
                <c:pt idx="123">
                  <c:v>2.3148724957545288E-5</c:v>
                </c:pt>
                <c:pt idx="124">
                  <c:v>2.2805464826225849E-5</c:v>
                </c:pt>
                <c:pt idx="125">
                  <c:v>2.2498326307778497E-5</c:v>
                </c:pt>
                <c:pt idx="126">
                  <c:v>2.2205286436302057E-5</c:v>
                </c:pt>
                <c:pt idx="127">
                  <c:v>2.1958281649076097E-5</c:v>
                </c:pt>
                <c:pt idx="128">
                  <c:v>2.1781397508810672E-5</c:v>
                </c:pt>
                <c:pt idx="129">
                  <c:v>2.162220853111618E-5</c:v>
                </c:pt>
                <c:pt idx="130">
                  <c:v>2.1457010186025253E-5</c:v>
                </c:pt>
                <c:pt idx="131">
                  <c:v>2.1291197447084602E-5</c:v>
                </c:pt>
                <c:pt idx="132">
                  <c:v>2.1164464403887134E-5</c:v>
                </c:pt>
                <c:pt idx="133">
                  <c:v>2.1043419233691031E-5</c:v>
                </c:pt>
                <c:pt idx="134">
                  <c:v>2.0936938734294315E-5</c:v>
                </c:pt>
                <c:pt idx="135">
                  <c:v>2.0861430900418224E-5</c:v>
                </c:pt>
                <c:pt idx="136">
                  <c:v>2.0812139423714439E-5</c:v>
                </c:pt>
                <c:pt idx="137">
                  <c:v>2.075455684675103E-5</c:v>
                </c:pt>
                <c:pt idx="138">
                  <c:v>2.0696922414775197E-5</c:v>
                </c:pt>
                <c:pt idx="139">
                  <c:v>2.0654640116221716E-5</c:v>
                </c:pt>
                <c:pt idx="140">
                  <c:v>2.0618378728770616E-5</c:v>
                </c:pt>
                <c:pt idx="141">
                  <c:v>2.0595369681779907E-5</c:v>
                </c:pt>
                <c:pt idx="142">
                  <c:v>2.0544421917730366E-5</c:v>
                </c:pt>
                <c:pt idx="143">
                  <c:v>2.0530999120837643E-5</c:v>
                </c:pt>
                <c:pt idx="144">
                  <c:v>2.0492641392175729E-5</c:v>
                </c:pt>
                <c:pt idx="145">
                  <c:v>2.0470993137775633E-5</c:v>
                </c:pt>
                <c:pt idx="146">
                  <c:v>8.182922538713729E-5</c:v>
                </c:pt>
                <c:pt idx="147">
                  <c:v>1.6336526409503374E-4</c:v>
                </c:pt>
                <c:pt idx="148">
                  <c:v>2.4473841844717311E-4</c:v>
                </c:pt>
                <c:pt idx="149">
                  <c:v>2.8487354489367602E-4</c:v>
                </c:pt>
                <c:pt idx="150">
                  <c:v>3.0549432166129586E-4</c:v>
                </c:pt>
                <c:pt idx="151">
                  <c:v>2.824514011103302E-4</c:v>
                </c:pt>
                <c:pt idx="152">
                  <c:v>2.8235341558431994E-4</c:v>
                </c:pt>
                <c:pt idx="153">
                  <c:v>3.2457003605241511E-4</c:v>
                </c:pt>
                <c:pt idx="154">
                  <c:v>3.9171448599954344E-4</c:v>
                </c:pt>
                <c:pt idx="155">
                  <c:v>4.5860590707315043E-4</c:v>
                </c:pt>
                <c:pt idx="156">
                  <c:v>5.0582023327351957E-4</c:v>
                </c:pt>
                <c:pt idx="157">
                  <c:v>5.2873625882176515E-4</c:v>
                </c:pt>
                <c:pt idx="158">
                  <c:v>5.5204468209616548E-4</c:v>
                </c:pt>
                <c:pt idx="159">
                  <c:v>5.5548348414087383E-4</c:v>
                </c:pt>
                <c:pt idx="160">
                  <c:v>5.4247197024907725E-4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Calculations!$AA$3:$AA$163</c:f>
              <c:numCache>
                <c:formatCode>General</c:formatCode>
                <c:ptCount val="161"/>
                <c:pt idx="0">
                  <c:v>7.813517530915389E-4</c:v>
                </c:pt>
                <c:pt idx="1">
                  <c:v>5.2090115813251884E-4</c:v>
                </c:pt>
                <c:pt idx="2">
                  <c:v>5.2090115813251884E-4</c:v>
                </c:pt>
                <c:pt idx="3">
                  <c:v>5.2090115813251884E-4</c:v>
                </c:pt>
                <c:pt idx="4">
                  <c:v>5.2090115813251884E-4</c:v>
                </c:pt>
                <c:pt idx="5">
                  <c:v>5.2090115813251884E-4</c:v>
                </c:pt>
                <c:pt idx="6">
                  <c:v>7.813517530915389E-4</c:v>
                </c:pt>
                <c:pt idx="7">
                  <c:v>7.813517530915389E-4</c:v>
                </c:pt>
                <c:pt idx="8">
                  <c:v>7.813517530915389E-4</c:v>
                </c:pt>
                <c:pt idx="9">
                  <c:v>1.0418023162650377E-3</c:v>
                </c:pt>
                <c:pt idx="10">
                  <c:v>1.3022529430095793E-3</c:v>
                </c:pt>
                <c:pt idx="11">
                  <c:v>1.8231540693565767E-3</c:v>
                </c:pt>
                <c:pt idx="12">
                  <c:v>2.0836046325300754E-3</c:v>
                </c:pt>
                <c:pt idx="13">
                  <c:v>1.8355428125533923E-3</c:v>
                </c:pt>
                <c:pt idx="14">
                  <c:v>2.2569098502326968E-3</c:v>
                </c:pt>
                <c:pt idx="15">
                  <c:v>3.3319490482430192E-3</c:v>
                </c:pt>
                <c:pt idx="16">
                  <c:v>3.8781569725894996E-3</c:v>
                </c:pt>
                <c:pt idx="17">
                  <c:v>4.2203929706682956E-3</c:v>
                </c:pt>
                <c:pt idx="18">
                  <c:v>4.8362578126848856E-3</c:v>
                </c:pt>
                <c:pt idx="19">
                  <c:v>4.7955683185103362E-3</c:v>
                </c:pt>
                <c:pt idx="20">
                  <c:v>4.7237599206228168E-3</c:v>
                </c:pt>
                <c:pt idx="21">
                  <c:v>5.3836258753009163E-3</c:v>
                </c:pt>
                <c:pt idx="22">
                  <c:v>6.4621502653387708E-3</c:v>
                </c:pt>
                <c:pt idx="23">
                  <c:v>7.6484077568694069E-3</c:v>
                </c:pt>
                <c:pt idx="24">
                  <c:v>8.7422142302526588E-3</c:v>
                </c:pt>
                <c:pt idx="25">
                  <c:v>9.6153348857511926E-3</c:v>
                </c:pt>
                <c:pt idx="26">
                  <c:v>9.5364224875261992E-3</c:v>
                </c:pt>
                <c:pt idx="27">
                  <c:v>7.9021837231107433E-3</c:v>
                </c:pt>
                <c:pt idx="28">
                  <c:v>8.2068124189875642E-3</c:v>
                </c:pt>
                <c:pt idx="29">
                  <c:v>1.1679166646985021E-2</c:v>
                </c:pt>
                <c:pt idx="30">
                  <c:v>1.4097032671643426E-2</c:v>
                </c:pt>
                <c:pt idx="31">
                  <c:v>1.3980439400634388E-2</c:v>
                </c:pt>
                <c:pt idx="32">
                  <c:v>1.4333026879340512E-2</c:v>
                </c:pt>
                <c:pt idx="33">
                  <c:v>1.6512045617108621E-2</c:v>
                </c:pt>
                <c:pt idx="34">
                  <c:v>1.8129728194230924E-2</c:v>
                </c:pt>
                <c:pt idx="35">
                  <c:v>1.8817115591583035E-2</c:v>
                </c:pt>
                <c:pt idx="36">
                  <c:v>1.8531099788331635E-2</c:v>
                </c:pt>
                <c:pt idx="37">
                  <c:v>2.1185141885026633E-2</c:v>
                </c:pt>
                <c:pt idx="38">
                  <c:v>2.6051909700492877E-2</c:v>
                </c:pt>
                <c:pt idx="39">
                  <c:v>2.8462214779185136E-2</c:v>
                </c:pt>
                <c:pt idx="40">
                  <c:v>2.8332964181775295E-2</c:v>
                </c:pt>
                <c:pt idx="41">
                  <c:v>2.6935551457158216E-2</c:v>
                </c:pt>
                <c:pt idx="42">
                  <c:v>3.0863651232652757E-2</c:v>
                </c:pt>
                <c:pt idx="43">
                  <c:v>3.749136625032095E-2</c:v>
                </c:pt>
                <c:pt idx="44">
                  <c:v>3.9706406689053148E-2</c:v>
                </c:pt>
                <c:pt idx="45">
                  <c:v>4.1705182397735442E-2</c:v>
                </c:pt>
                <c:pt idx="46">
                  <c:v>4.4368464002780897E-2</c:v>
                </c:pt>
                <c:pt idx="47">
                  <c:v>4.4613851489193612E-2</c:v>
                </c:pt>
                <c:pt idx="48">
                  <c:v>4.2334915917211904E-2</c:v>
                </c:pt>
                <c:pt idx="49">
                  <c:v>3.8632494439646517E-2</c:v>
                </c:pt>
                <c:pt idx="50">
                  <c:v>3.7996183378760241E-2</c:v>
                </c:pt>
                <c:pt idx="51">
                  <c:v>3.9917677596628912E-2</c:v>
                </c:pt>
                <c:pt idx="52">
                  <c:v>3.8926873597698863E-2</c:v>
                </c:pt>
                <c:pt idx="53">
                  <c:v>3.5754555295552042E-2</c:v>
                </c:pt>
                <c:pt idx="54">
                  <c:v>3.1782355772171485E-2</c:v>
                </c:pt>
                <c:pt idx="55">
                  <c:v>2.532222451485026E-2</c:v>
                </c:pt>
                <c:pt idx="56">
                  <c:v>1.927237317131953E-2</c:v>
                </c:pt>
                <c:pt idx="57">
                  <c:v>1.6005365128151632E-2</c:v>
                </c:pt>
                <c:pt idx="58">
                  <c:v>1.3274641182776586E-2</c:v>
                </c:pt>
                <c:pt idx="59">
                  <c:v>9.9819443412024218E-3</c:v>
                </c:pt>
                <c:pt idx="60">
                  <c:v>7.6855942107621183E-3</c:v>
                </c:pt>
                <c:pt idx="61">
                  <c:v>6.6328570745694806E-3</c:v>
                </c:pt>
                <c:pt idx="62">
                  <c:v>5.5915163546543887E-3</c:v>
                </c:pt>
                <c:pt idx="63">
                  <c:v>4.5884026868325033E-3</c:v>
                </c:pt>
                <c:pt idx="64">
                  <c:v>4.4351697899918741E-3</c:v>
                </c:pt>
                <c:pt idx="65">
                  <c:v>4.9877091181694897E-3</c:v>
                </c:pt>
                <c:pt idx="66">
                  <c:v>5.5700756041309387E-3</c:v>
                </c:pt>
                <c:pt idx="67">
                  <c:v>5.7074796023642857E-3</c:v>
                </c:pt>
                <c:pt idx="68">
                  <c:v>5.6082540864765143E-3</c:v>
                </c:pt>
                <c:pt idx="69">
                  <c:v>5.3604989429143837E-3</c:v>
                </c:pt>
                <c:pt idx="70">
                  <c:v>4.8732208233724233E-3</c:v>
                </c:pt>
                <c:pt idx="71">
                  <c:v>4.3764501275504429E-3</c:v>
                </c:pt>
                <c:pt idx="72">
                  <c:v>4.3866479681970673E-3</c:v>
                </c:pt>
                <c:pt idx="73">
                  <c:v>5.1686462785276877E-3</c:v>
                </c:pt>
                <c:pt idx="74">
                  <c:v>6.2675667179009336E-3</c:v>
                </c:pt>
                <c:pt idx="75">
                  <c:v>6.5741627885322704E-3</c:v>
                </c:pt>
                <c:pt idx="76">
                  <c:v>5.9979384390760485E-3</c:v>
                </c:pt>
                <c:pt idx="77">
                  <c:v>5.701272449562653E-3</c:v>
                </c:pt>
                <c:pt idx="78">
                  <c:v>6.030328579520447E-3</c:v>
                </c:pt>
                <c:pt idx="79">
                  <c:v>6.3353207042251931E-3</c:v>
                </c:pt>
                <c:pt idx="80">
                  <c:v>6.1271814182341034E-3</c:v>
                </c:pt>
                <c:pt idx="81">
                  <c:v>5.6061646646270473E-3</c:v>
                </c:pt>
                <c:pt idx="82">
                  <c:v>5.2734099105171952E-3</c:v>
                </c:pt>
                <c:pt idx="83">
                  <c:v>5.328056326668211E-3</c:v>
                </c:pt>
                <c:pt idx="84">
                  <c:v>5.6698824325688768E-3</c:v>
                </c:pt>
                <c:pt idx="85">
                  <c:v>5.696257353523285E-3</c:v>
                </c:pt>
                <c:pt idx="86">
                  <c:v>5.1657188099881847E-3</c:v>
                </c:pt>
                <c:pt idx="87">
                  <c:v>4.6474473211943193E-3</c:v>
                </c:pt>
                <c:pt idx="88">
                  <c:v>4.5128178915146491E-3</c:v>
                </c:pt>
                <c:pt idx="89">
                  <c:v>4.3868479832304364E-3</c:v>
                </c:pt>
                <c:pt idx="90">
                  <c:v>3.7967736801218939E-3</c:v>
                </c:pt>
                <c:pt idx="91">
                  <c:v>2.9598816892895418E-3</c:v>
                </c:pt>
                <c:pt idx="92">
                  <c:v>2.6808441274972662E-3</c:v>
                </c:pt>
                <c:pt idx="93">
                  <c:v>3.0619255140054212E-3</c:v>
                </c:pt>
                <c:pt idx="94">
                  <c:v>3.3719260268896744E-3</c:v>
                </c:pt>
                <c:pt idx="95">
                  <c:v>3.1551131849724078E-3</c:v>
                </c:pt>
                <c:pt idx="96">
                  <c:v>2.7407844605926773E-3</c:v>
                </c:pt>
                <c:pt idx="97">
                  <c:v>2.6633356919219427E-3</c:v>
                </c:pt>
                <c:pt idx="98">
                  <c:v>2.6818813668429476E-3</c:v>
                </c:pt>
                <c:pt idx="99">
                  <c:v>2.5031687213051203E-3</c:v>
                </c:pt>
                <c:pt idx="100">
                  <c:v>2.1273565486244809E-3</c:v>
                </c:pt>
                <c:pt idx="101">
                  <c:v>1.7390335931869252E-3</c:v>
                </c:pt>
                <c:pt idx="102">
                  <c:v>1.4028996746742858E-3</c:v>
                </c:pt>
                <c:pt idx="103">
                  <c:v>1.0502856001566834E-3</c:v>
                </c:pt>
                <c:pt idx="104">
                  <c:v>7.9524209182252304E-4</c:v>
                </c:pt>
                <c:pt idx="105">
                  <c:v>7.7980194716708228E-4</c:v>
                </c:pt>
                <c:pt idx="106">
                  <c:v>8.4511551864180129E-4</c:v>
                </c:pt>
                <c:pt idx="107">
                  <c:v>6.5308420865951356E-4</c:v>
                </c:pt>
                <c:pt idx="108">
                  <c:v>1.1407739089066357E-4</c:v>
                </c:pt>
                <c:pt idx="109">
                  <c:v>2.8540301042927292E-5</c:v>
                </c:pt>
                <c:pt idx="110">
                  <c:v>2.846084267788977E-5</c:v>
                </c:pt>
                <c:pt idx="111">
                  <c:v>7.3543787133662061E-4</c:v>
                </c:pt>
                <c:pt idx="112">
                  <c:v>9.2546606893162485E-4</c:v>
                </c:pt>
                <c:pt idx="113">
                  <c:v>3.8631889612989118E-4</c:v>
                </c:pt>
                <c:pt idx="114">
                  <c:v>2.726240786067437E-5</c:v>
                </c:pt>
                <c:pt idx="115">
                  <c:v>2.6818228988353933E-5</c:v>
                </c:pt>
                <c:pt idx="116">
                  <c:v>2.6347127464074028E-5</c:v>
                </c:pt>
                <c:pt idx="117">
                  <c:v>2.5848644383840589E-5</c:v>
                </c:pt>
                <c:pt idx="118">
                  <c:v>2.5336133674036788E-5</c:v>
                </c:pt>
                <c:pt idx="119">
                  <c:v>2.4852027598216198E-5</c:v>
                </c:pt>
                <c:pt idx="120">
                  <c:v>2.4384034225909791E-5</c:v>
                </c:pt>
                <c:pt idx="121">
                  <c:v>2.3962867616884341E-5</c:v>
                </c:pt>
                <c:pt idx="122">
                  <c:v>2.3539825306243166E-5</c:v>
                </c:pt>
                <c:pt idx="123">
                  <c:v>2.3202383965002035E-5</c:v>
                </c:pt>
                <c:pt idx="124">
                  <c:v>2.2858328152798233E-5</c:v>
                </c:pt>
                <c:pt idx="125">
                  <c:v>2.2550477683775553E-5</c:v>
                </c:pt>
                <c:pt idx="126">
                  <c:v>2.2256758542547647E-5</c:v>
                </c:pt>
                <c:pt idx="127">
                  <c:v>2.2009181195418542E-5</c:v>
                </c:pt>
                <c:pt idx="128">
                  <c:v>2.1831887035706306E-5</c:v>
                </c:pt>
                <c:pt idx="129">
                  <c:v>2.1672329056152886E-5</c:v>
                </c:pt>
                <c:pt idx="130">
                  <c:v>2.1506747779421131E-5</c:v>
                </c:pt>
                <c:pt idx="131">
                  <c:v>2.1340550684667726E-5</c:v>
                </c:pt>
                <c:pt idx="132">
                  <c:v>2.1213523872836243E-5</c:v>
                </c:pt>
                <c:pt idx="133">
                  <c:v>2.1092198118560366E-5</c:v>
                </c:pt>
                <c:pt idx="134">
                  <c:v>2.0985470796156268E-5</c:v>
                </c:pt>
                <c:pt idx="135">
                  <c:v>2.0909787934263363E-5</c:v>
                </c:pt>
                <c:pt idx="136">
                  <c:v>2.0860382199356555E-5</c:v>
                </c:pt>
                <c:pt idx="137">
                  <c:v>2.0802666145325518E-5</c:v>
                </c:pt>
                <c:pt idx="138">
                  <c:v>2.0744898116081549E-5</c:v>
                </c:pt>
                <c:pt idx="139">
                  <c:v>2.0702517806679627E-5</c:v>
                </c:pt>
                <c:pt idx="140">
                  <c:v>2.0666172364920431E-5</c:v>
                </c:pt>
                <c:pt idx="141">
                  <c:v>2.0643109982697383E-5</c:v>
                </c:pt>
                <c:pt idx="142">
                  <c:v>2.0592044121151928E-5</c:v>
                </c:pt>
                <c:pt idx="143">
                  <c:v>1.0289295481744999E-4</c:v>
                </c:pt>
                <c:pt idx="144">
                  <c:v>1.8486130088331032E-4</c:v>
                </c:pt>
                <c:pt idx="145">
                  <c:v>2.2570290271716473E-4</c:v>
                </c:pt>
                <c:pt idx="146">
                  <c:v>2.4605672438868654E-4</c:v>
                </c:pt>
                <c:pt idx="147">
                  <c:v>2.0467994078538171E-4</c:v>
                </c:pt>
                <c:pt idx="148">
                  <c:v>1.8397929865084336E-4</c:v>
                </c:pt>
                <c:pt idx="149">
                  <c:v>2.2434805677271129E-4</c:v>
                </c:pt>
                <c:pt idx="150">
                  <c:v>2.8578896490048567E-4</c:v>
                </c:pt>
                <c:pt idx="151">
                  <c:v>3.4377174075115821E-4</c:v>
                </c:pt>
                <c:pt idx="152">
                  <c:v>4.0429703129158875E-4</c:v>
                </c:pt>
                <c:pt idx="153">
                  <c:v>4.2698565456996302E-4</c:v>
                </c:pt>
                <c:pt idx="154">
                  <c:v>4.546155021462095E-4</c:v>
                </c:pt>
                <c:pt idx="155">
                  <c:v>4.8056300259337423E-4</c:v>
                </c:pt>
                <c:pt idx="156">
                  <c:v>4.6474333956514048E-4</c:v>
                </c:pt>
                <c:pt idx="157">
                  <c:v>4.4516798202356246E-4</c:v>
                </c:pt>
                <c:pt idx="158">
                  <c:v>4.2563410800618943E-4</c:v>
                </c:pt>
                <c:pt idx="159">
                  <c:v>4.2828547208663241E-4</c:v>
                </c:pt>
                <c:pt idx="160">
                  <c:v>4.7848190036291834E-4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Calculations!$AB$3:$AB$163</c:f>
              <c:numCache>
                <c:formatCode>General</c:formatCode>
                <c:ptCount val="161"/>
                <c:pt idx="0">
                  <c:v>5.4146248778962449E-4</c:v>
                </c:pt>
                <c:pt idx="1">
                  <c:v>5.4146248778962449E-4</c:v>
                </c:pt>
                <c:pt idx="2">
                  <c:v>5.4146248778962449E-4</c:v>
                </c:pt>
                <c:pt idx="3">
                  <c:v>5.4146248778962449E-4</c:v>
                </c:pt>
                <c:pt idx="4">
                  <c:v>5.4146248778962449E-4</c:v>
                </c:pt>
                <c:pt idx="5">
                  <c:v>5.4146248778962449E-4</c:v>
                </c:pt>
                <c:pt idx="6">
                  <c:v>8.1219374820452623E-4</c:v>
                </c:pt>
                <c:pt idx="7">
                  <c:v>8.1219374820452623E-4</c:v>
                </c:pt>
                <c:pt idx="8">
                  <c:v>8.1219374820452623E-4</c:v>
                </c:pt>
                <c:pt idx="9">
                  <c:v>1.082924975579249E-3</c:v>
                </c:pt>
                <c:pt idx="10">
                  <c:v>1.3536562690343297E-3</c:v>
                </c:pt>
                <c:pt idx="11">
                  <c:v>1.6243874964090525E-3</c:v>
                </c:pt>
                <c:pt idx="12">
                  <c:v>1.6243874964090525E-3</c:v>
                </c:pt>
                <c:pt idx="13">
                  <c:v>2.1464961452957528E-3</c:v>
                </c:pt>
                <c:pt idx="14">
                  <c:v>2.772540664116144E-3</c:v>
                </c:pt>
                <c:pt idx="15">
                  <c:v>3.271054815436116E-3</c:v>
                </c:pt>
                <c:pt idx="16">
                  <c:v>3.8559667598618715E-3</c:v>
                </c:pt>
                <c:pt idx="17">
                  <c:v>4.0736270076086566E-3</c:v>
                </c:pt>
                <c:pt idx="18">
                  <c:v>4.0217260913914723E-3</c:v>
                </c:pt>
                <c:pt idx="19">
                  <c:v>4.3289588551284541E-3</c:v>
                </c:pt>
                <c:pt idx="20">
                  <c:v>5.0299807351316126E-3</c:v>
                </c:pt>
                <c:pt idx="21">
                  <c:v>6.0350439240699971E-3</c:v>
                </c:pt>
                <c:pt idx="22">
                  <c:v>6.9177428807207265E-3</c:v>
                </c:pt>
                <c:pt idx="23">
                  <c:v>7.7654198238707667E-3</c:v>
                </c:pt>
                <c:pt idx="24">
                  <c:v>8.153084569714867E-3</c:v>
                </c:pt>
                <c:pt idx="25">
                  <c:v>6.8468840600944669E-3</c:v>
                </c:pt>
                <c:pt idx="26">
                  <c:v>6.388280791641188E-3</c:v>
                </c:pt>
                <c:pt idx="27">
                  <c:v>8.9733899776005717E-3</c:v>
                </c:pt>
                <c:pt idx="28">
                  <c:v>1.1982131738213529E-2</c:v>
                </c:pt>
                <c:pt idx="29">
                  <c:v>1.2078859505848539E-2</c:v>
                </c:pt>
                <c:pt idx="30">
                  <c:v>1.1653554249301324E-2</c:v>
                </c:pt>
                <c:pt idx="31">
                  <c:v>1.3046027545684482E-2</c:v>
                </c:pt>
                <c:pt idx="32">
                  <c:v>1.4584025555868366E-2</c:v>
                </c:pt>
                <c:pt idx="33">
                  <c:v>1.4950720252567334E-2</c:v>
                </c:pt>
                <c:pt idx="34">
                  <c:v>1.5525206064918586E-2</c:v>
                </c:pt>
                <c:pt idx="35">
                  <c:v>1.9057169162281163E-2</c:v>
                </c:pt>
                <c:pt idx="36">
                  <c:v>2.4276116627597558E-2</c:v>
                </c:pt>
                <c:pt idx="37">
                  <c:v>2.6163592800426325E-2</c:v>
                </c:pt>
                <c:pt idx="38">
                  <c:v>2.4456973852003631E-2</c:v>
                </c:pt>
                <c:pt idx="39">
                  <c:v>2.2537792336996824E-2</c:v>
                </c:pt>
                <c:pt idx="40">
                  <c:v>2.6091871064570674E-2</c:v>
                </c:pt>
                <c:pt idx="41">
                  <c:v>3.2311800556774808E-2</c:v>
                </c:pt>
                <c:pt idx="42">
                  <c:v>3.5234680055641385E-2</c:v>
                </c:pt>
                <c:pt idx="43">
                  <c:v>3.8436022062851904E-2</c:v>
                </c:pt>
                <c:pt idx="44">
                  <c:v>4.2051249703005944E-2</c:v>
                </c:pt>
                <c:pt idx="45">
                  <c:v>4.2816969549961746E-2</c:v>
                </c:pt>
                <c:pt idx="46">
                  <c:v>4.0519324693550171E-2</c:v>
                </c:pt>
                <c:pt idx="47">
                  <c:v>3.7332670922930682E-2</c:v>
                </c:pt>
                <c:pt idx="48">
                  <c:v>3.8214191795614166E-2</c:v>
                </c:pt>
                <c:pt idx="49">
                  <c:v>4.1382078771885829E-2</c:v>
                </c:pt>
                <c:pt idx="50">
                  <c:v>4.1920940182366272E-2</c:v>
                </c:pt>
                <c:pt idx="51">
                  <c:v>4.1329545607763252E-2</c:v>
                </c:pt>
                <c:pt idx="52">
                  <c:v>3.9098580248494302E-2</c:v>
                </c:pt>
                <c:pt idx="53">
                  <c:v>3.3407239230752998E-2</c:v>
                </c:pt>
                <c:pt idx="54">
                  <c:v>2.8904047332314154E-2</c:v>
                </c:pt>
                <c:pt idx="55">
                  <c:v>2.6194355279939116E-2</c:v>
                </c:pt>
                <c:pt idx="56">
                  <c:v>2.1340157038462652E-2</c:v>
                </c:pt>
                <c:pt idx="57">
                  <c:v>1.5446999943086568E-2</c:v>
                </c:pt>
                <c:pt idx="58">
                  <c:v>1.1690842268719736E-2</c:v>
                </c:pt>
                <c:pt idx="59">
                  <c:v>9.2581726991946469E-3</c:v>
                </c:pt>
                <c:pt idx="60">
                  <c:v>6.785807858929997E-3</c:v>
                </c:pt>
                <c:pt idx="61">
                  <c:v>5.3201113355880137E-3</c:v>
                </c:pt>
                <c:pt idx="62">
                  <c:v>5.219143506679947E-3</c:v>
                </c:pt>
                <c:pt idx="63">
                  <c:v>5.6903668199975773E-3</c:v>
                </c:pt>
                <c:pt idx="64">
                  <c:v>5.8098401497968764E-3</c:v>
                </c:pt>
                <c:pt idx="65">
                  <c:v>5.6303207729861476E-3</c:v>
                </c:pt>
                <c:pt idx="66">
                  <c:v>5.4148841463100995E-3</c:v>
                </c:pt>
                <c:pt idx="67">
                  <c:v>4.924432554745662E-3</c:v>
                </c:pt>
                <c:pt idx="68">
                  <c:v>4.3487132010633341E-3</c:v>
                </c:pt>
                <c:pt idx="69">
                  <c:v>4.0846268340135041E-3</c:v>
                </c:pt>
                <c:pt idx="70">
                  <c:v>4.4234638545946007E-3</c:v>
                </c:pt>
                <c:pt idx="71">
                  <c:v>5.1028062223790133E-3</c:v>
                </c:pt>
                <c:pt idx="72">
                  <c:v>5.4178273797906773E-3</c:v>
                </c:pt>
                <c:pt idx="73">
                  <c:v>5.2482990343674304E-3</c:v>
                </c:pt>
                <c:pt idx="74">
                  <c:v>5.2763777915515106E-3</c:v>
                </c:pt>
                <c:pt idx="75">
                  <c:v>5.8230502806638738E-3</c:v>
                </c:pt>
                <c:pt idx="76">
                  <c:v>6.5097521450636613E-3</c:v>
                </c:pt>
                <c:pt idx="77">
                  <c:v>6.6671056292811129E-3</c:v>
                </c:pt>
                <c:pt idx="78">
                  <c:v>6.4151118731311449E-3</c:v>
                </c:pt>
                <c:pt idx="79">
                  <c:v>6.1382360458519464E-3</c:v>
                </c:pt>
                <c:pt idx="80">
                  <c:v>6.1507836285289753E-3</c:v>
                </c:pt>
                <c:pt idx="81">
                  <c:v>6.3358901469665286E-3</c:v>
                </c:pt>
                <c:pt idx="82">
                  <c:v>6.2396534875180957E-3</c:v>
                </c:pt>
                <c:pt idx="83">
                  <c:v>5.6549659349858124E-3</c:v>
                </c:pt>
                <c:pt idx="84">
                  <c:v>5.1130666945292079E-3</c:v>
                </c:pt>
                <c:pt idx="85">
                  <c:v>5.0162172267375479E-3</c:v>
                </c:pt>
                <c:pt idx="86">
                  <c:v>5.0116481388028282E-3</c:v>
                </c:pt>
                <c:pt idx="87">
                  <c:v>4.6698644127396325E-3</c:v>
                </c:pt>
                <c:pt idx="88">
                  <c:v>4.0994826907792652E-3</c:v>
                </c:pt>
                <c:pt idx="89">
                  <c:v>3.7723704783166967E-3</c:v>
                </c:pt>
                <c:pt idx="90">
                  <c:v>3.9466422570133049E-3</c:v>
                </c:pt>
                <c:pt idx="91">
                  <c:v>4.1309753193229581E-3</c:v>
                </c:pt>
                <c:pt idx="92">
                  <c:v>3.8618336891238949E-3</c:v>
                </c:pt>
                <c:pt idx="93">
                  <c:v>3.406927950145462E-3</c:v>
                </c:pt>
                <c:pt idx="94">
                  <c:v>3.2301210438710768E-3</c:v>
                </c:pt>
                <c:pt idx="95">
                  <c:v>3.2093754092975399E-3</c:v>
                </c:pt>
                <c:pt idx="96">
                  <c:v>3.0404977890938628E-3</c:v>
                </c:pt>
                <c:pt idx="97">
                  <c:v>2.792964146934483E-3</c:v>
                </c:pt>
                <c:pt idx="98">
                  <c:v>2.5868238899387792E-3</c:v>
                </c:pt>
                <c:pt idx="99">
                  <c:v>2.3958782867585546E-3</c:v>
                </c:pt>
                <c:pt idx="100">
                  <c:v>2.1323527945696355E-3</c:v>
                </c:pt>
                <c:pt idx="101">
                  <c:v>1.8616384275571109E-3</c:v>
                </c:pt>
                <c:pt idx="102">
                  <c:v>1.7059075727089946E-3</c:v>
                </c:pt>
                <c:pt idx="103">
                  <c:v>1.5676311729783986E-3</c:v>
                </c:pt>
                <c:pt idx="104">
                  <c:v>1.2256962531484079E-3</c:v>
                </c:pt>
                <c:pt idx="105">
                  <c:v>6.9478523726778719E-4</c:v>
                </c:pt>
                <c:pt idx="106">
                  <c:v>4.6851969738742768E-4</c:v>
                </c:pt>
                <c:pt idx="107">
                  <c:v>8.5595786807363063E-4</c:v>
                </c:pt>
                <c:pt idx="108">
                  <c:v>1.3043835952983643E-3</c:v>
                </c:pt>
                <c:pt idx="109">
                  <c:v>1.1273407761493049E-3</c:v>
                </c:pt>
                <c:pt idx="110">
                  <c:v>3.2542694049680714E-4</c:v>
                </c:pt>
                <c:pt idx="111">
                  <c:v>2.9402596723605794E-5</c:v>
                </c:pt>
                <c:pt idx="112">
                  <c:v>2.9151413163441433E-5</c:v>
                </c:pt>
                <c:pt idx="113">
                  <c:v>2.868342205610395E-5</c:v>
                </c:pt>
                <c:pt idx="114">
                  <c:v>2.8338526326756161E-5</c:v>
                </c:pt>
                <c:pt idx="115">
                  <c:v>2.7876814553850049E-5</c:v>
                </c:pt>
                <c:pt idx="116">
                  <c:v>1.6432270787176663E-4</c:v>
                </c:pt>
                <c:pt idx="117">
                  <c:v>2.6868957911786765E-5</c:v>
                </c:pt>
                <c:pt idx="118">
                  <c:v>2.6336217065242913E-5</c:v>
                </c:pt>
                <c:pt idx="119">
                  <c:v>2.583300205779767E-5</c:v>
                </c:pt>
                <c:pt idx="120">
                  <c:v>2.5346535764371586E-5</c:v>
                </c:pt>
                <c:pt idx="121">
                  <c:v>2.490874460891628E-5</c:v>
                </c:pt>
                <c:pt idx="122">
                  <c:v>2.4469003713001883E-5</c:v>
                </c:pt>
                <c:pt idx="123">
                  <c:v>2.4118242680397288E-5</c:v>
                </c:pt>
                <c:pt idx="124">
                  <c:v>2.3760606086379665E-5</c:v>
                </c:pt>
                <c:pt idx="125">
                  <c:v>2.3440603955031327E-5</c:v>
                </c:pt>
                <c:pt idx="126">
                  <c:v>2.3135290951906398E-5</c:v>
                </c:pt>
                <c:pt idx="127">
                  <c:v>2.2877941080046872E-5</c:v>
                </c:pt>
                <c:pt idx="128">
                  <c:v>2.2693648656638715E-5</c:v>
                </c:pt>
                <c:pt idx="129">
                  <c:v>2.2527792506759124E-5</c:v>
                </c:pt>
                <c:pt idx="130">
                  <c:v>2.2355675304424642E-5</c:v>
                </c:pt>
                <c:pt idx="131">
                  <c:v>2.218291797612227E-5</c:v>
                </c:pt>
                <c:pt idx="132">
                  <c:v>2.205087708414798E-5</c:v>
                </c:pt>
                <c:pt idx="133">
                  <c:v>2.1924762285366027E-5</c:v>
                </c:pt>
                <c:pt idx="134">
                  <c:v>2.1813822156702794E-5</c:v>
                </c:pt>
                <c:pt idx="135">
                  <c:v>2.1735151894516229E-5</c:v>
                </c:pt>
                <c:pt idx="136">
                  <c:v>2.1683795986171502E-5</c:v>
                </c:pt>
                <c:pt idx="137">
                  <c:v>2.1623801728694551E-5</c:v>
                </c:pt>
                <c:pt idx="138">
                  <c:v>2.1563753444407213E-5</c:v>
                </c:pt>
                <c:pt idx="139">
                  <c:v>2.1519700273467209E-5</c:v>
                </c:pt>
                <c:pt idx="140">
                  <c:v>1.2889152371464211E-4</c:v>
                </c:pt>
                <c:pt idx="141">
                  <c:v>1.7166357973967222E-4</c:v>
                </c:pt>
                <c:pt idx="142">
                  <c:v>1.4983406262670938E-4</c:v>
                </c:pt>
                <c:pt idx="143">
                  <c:v>8.556352372332028E-5</c:v>
                </c:pt>
                <c:pt idx="144">
                  <c:v>6.4052751400128278E-5</c:v>
                </c:pt>
                <c:pt idx="145">
                  <c:v>1.066418127537094E-4</c:v>
                </c:pt>
                <c:pt idx="146">
                  <c:v>1.9182692482735243E-4</c:v>
                </c:pt>
                <c:pt idx="147">
                  <c:v>2.765869444218839E-4</c:v>
                </c:pt>
                <c:pt idx="148">
                  <c:v>3.399847700807362E-4</c:v>
                </c:pt>
                <c:pt idx="149">
                  <c:v>3.8160599779932719E-4</c:v>
                </c:pt>
                <c:pt idx="150">
                  <c:v>3.8194690310777875E-4</c:v>
                </c:pt>
                <c:pt idx="151">
                  <c:v>3.7836138413889725E-4</c:v>
                </c:pt>
                <c:pt idx="152">
                  <c:v>3.7823012637525701E-4</c:v>
                </c:pt>
                <c:pt idx="153">
                  <c:v>3.5929896961434094E-4</c:v>
                </c:pt>
                <c:pt idx="154">
                  <c:v>3.4368025503380046E-4</c:v>
                </c:pt>
                <c:pt idx="155">
                  <c:v>3.6921937443866302E-4</c:v>
                </c:pt>
                <c:pt idx="156">
                  <c:v>3.9525380421507375E-4</c:v>
                </c:pt>
                <c:pt idx="157">
                  <c:v>4.6273992535344523E-4</c:v>
                </c:pt>
                <c:pt idx="158">
                  <c:v>4.8667849380262969E-4</c:v>
                </c:pt>
                <c:pt idx="159">
                  <c:v>5.119696649171447E-4</c:v>
                </c:pt>
                <c:pt idx="160">
                  <c:v>5.4258417535567934E-4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Calculations!$AC$3:$AC$163</c:f>
              <c:numCache>
                <c:formatCode>General</c:formatCode>
                <c:ptCount val="161"/>
                <c:pt idx="0">
                  <c:v>1.1441647610794072E-3</c:v>
                </c:pt>
                <c:pt idx="1">
                  <c:v>5.7208238053970361E-4</c:v>
                </c:pt>
                <c:pt idx="2">
                  <c:v>5.7208238053970361E-4</c:v>
                </c:pt>
                <c:pt idx="3">
                  <c:v>5.7208238053970361E-4</c:v>
                </c:pt>
                <c:pt idx="4">
                  <c:v>5.7208238053970361E-4</c:v>
                </c:pt>
                <c:pt idx="5">
                  <c:v>5.7208238053970361E-4</c:v>
                </c:pt>
                <c:pt idx="6">
                  <c:v>5.7208238053970361E-4</c:v>
                </c:pt>
                <c:pt idx="7">
                  <c:v>8.5812358826386169E-4</c:v>
                </c:pt>
                <c:pt idx="8">
                  <c:v>8.5812358826386169E-4</c:v>
                </c:pt>
                <c:pt idx="9">
                  <c:v>1.1441647610794072E-3</c:v>
                </c:pt>
                <c:pt idx="10">
                  <c:v>1.1441647610794072E-3</c:v>
                </c:pt>
                <c:pt idx="11">
                  <c:v>1.4302060037121782E-3</c:v>
                </c:pt>
                <c:pt idx="12">
                  <c:v>2.0022883493432688E-3</c:v>
                </c:pt>
                <c:pt idx="13">
                  <c:v>2.5198680302384153E-3</c:v>
                </c:pt>
                <c:pt idx="14">
                  <c:v>2.9293288067759066E-3</c:v>
                </c:pt>
                <c:pt idx="15">
                  <c:v>3.2527378083241137E-3</c:v>
                </c:pt>
                <c:pt idx="16">
                  <c:v>3.3332916329157831E-3</c:v>
                </c:pt>
                <c:pt idx="17">
                  <c:v>3.4763013230578567E-3</c:v>
                </c:pt>
                <c:pt idx="18">
                  <c:v>3.9456449768758058E-3</c:v>
                </c:pt>
                <c:pt idx="19">
                  <c:v>4.8509607305182332E-3</c:v>
                </c:pt>
                <c:pt idx="20">
                  <c:v>5.5674958738553158E-3</c:v>
                </c:pt>
                <c:pt idx="21">
                  <c:v>6.2603947636641986E-3</c:v>
                </c:pt>
                <c:pt idx="22">
                  <c:v>6.6733829784913707E-3</c:v>
                </c:pt>
                <c:pt idx="23">
                  <c:v>5.8603977125293817E-3</c:v>
                </c:pt>
                <c:pt idx="24">
                  <c:v>5.2043788045106707E-3</c:v>
                </c:pt>
                <c:pt idx="25">
                  <c:v>7.0677774351142449E-3</c:v>
                </c:pt>
                <c:pt idx="26">
                  <c:v>9.5424540723266053E-3</c:v>
                </c:pt>
                <c:pt idx="27">
                  <c:v>1.0064275070166231E-2</c:v>
                </c:pt>
                <c:pt idx="28">
                  <c:v>1.0045216903783396E-2</c:v>
                </c:pt>
                <c:pt idx="29">
                  <c:v>1.1012827146403083E-2</c:v>
                </c:pt>
                <c:pt idx="30">
                  <c:v>1.1763986776582655E-2</c:v>
                </c:pt>
                <c:pt idx="31">
                  <c:v>1.1806364672929816E-2</c:v>
                </c:pt>
                <c:pt idx="32">
                  <c:v>1.2304835870390964E-2</c:v>
                </c:pt>
                <c:pt idx="33">
                  <c:v>1.548442165009448E-2</c:v>
                </c:pt>
                <c:pt idx="34">
                  <c:v>2.050395313294192E-2</c:v>
                </c:pt>
                <c:pt idx="35">
                  <c:v>2.3563094728763594E-2</c:v>
                </c:pt>
                <c:pt idx="36">
                  <c:v>2.2535752450021474E-2</c:v>
                </c:pt>
                <c:pt idx="37">
                  <c:v>2.049791094314413E-2</c:v>
                </c:pt>
                <c:pt idx="38">
                  <c:v>2.3111045031611384E-2</c:v>
                </c:pt>
                <c:pt idx="39">
                  <c:v>2.7003653801690113E-2</c:v>
                </c:pt>
                <c:pt idx="40">
                  <c:v>2.9539289890851576E-2</c:v>
                </c:pt>
                <c:pt idx="41">
                  <c:v>3.3645375638846634E-2</c:v>
                </c:pt>
                <c:pt idx="42">
                  <c:v>3.7446842075344551E-2</c:v>
                </c:pt>
                <c:pt idx="43">
                  <c:v>3.8559671039442092E-2</c:v>
                </c:pt>
                <c:pt idx="44">
                  <c:v>3.7138482842718382E-2</c:v>
                </c:pt>
                <c:pt idx="45">
                  <c:v>3.636998468498219E-2</c:v>
                </c:pt>
                <c:pt idx="46">
                  <c:v>3.9156921944146127E-2</c:v>
                </c:pt>
                <c:pt idx="47">
                  <c:v>4.1241046730428353E-2</c:v>
                </c:pt>
                <c:pt idx="48">
                  <c:v>4.1820485131682544E-2</c:v>
                </c:pt>
                <c:pt idx="49">
                  <c:v>4.2819517781658899E-2</c:v>
                </c:pt>
                <c:pt idx="50">
                  <c:v>4.1081621846856736E-2</c:v>
                </c:pt>
                <c:pt idx="51">
                  <c:v>3.8186771909751845E-2</c:v>
                </c:pt>
                <c:pt idx="52">
                  <c:v>3.8086283268848421E-2</c:v>
                </c:pt>
                <c:pt idx="53">
                  <c:v>3.6296170667022468E-2</c:v>
                </c:pt>
                <c:pt idx="54">
                  <c:v>3.0074635742433787E-2</c:v>
                </c:pt>
                <c:pt idx="55">
                  <c:v>2.4014283532647122E-2</c:v>
                </c:pt>
                <c:pt idx="56">
                  <c:v>1.9333544763980508E-2</c:v>
                </c:pt>
                <c:pt idx="57">
                  <c:v>1.4041421645128038E-2</c:v>
                </c:pt>
                <c:pt idx="58">
                  <c:v>9.658873392538873E-3</c:v>
                </c:pt>
                <c:pt idx="59">
                  <c:v>7.8818630519013298E-3</c:v>
                </c:pt>
                <c:pt idx="60">
                  <c:v>7.6017545438240514E-3</c:v>
                </c:pt>
                <c:pt idx="61">
                  <c:v>7.1585388922199593E-3</c:v>
                </c:pt>
                <c:pt idx="62">
                  <c:v>6.3915609862846452E-3</c:v>
                </c:pt>
                <c:pt idx="63">
                  <c:v>5.7626916000443019E-3</c:v>
                </c:pt>
                <c:pt idx="64">
                  <c:v>5.1194661113228524E-3</c:v>
                </c:pt>
                <c:pt idx="65">
                  <c:v>4.3871789264121599E-3</c:v>
                </c:pt>
                <c:pt idx="66">
                  <c:v>4.0617317474305453E-3</c:v>
                </c:pt>
                <c:pt idx="67">
                  <c:v>4.3605350227851397E-3</c:v>
                </c:pt>
                <c:pt idx="68">
                  <c:v>4.9671726101943679E-3</c:v>
                </c:pt>
                <c:pt idx="69">
                  <c:v>5.1138776888640415E-3</c:v>
                </c:pt>
                <c:pt idx="70">
                  <c:v>4.6987393734905106E-3</c:v>
                </c:pt>
                <c:pt idx="71">
                  <c:v>4.42499368680395E-3</c:v>
                </c:pt>
                <c:pt idx="72">
                  <c:v>4.7658560529263497E-3</c:v>
                </c:pt>
                <c:pt idx="73">
                  <c:v>5.5188119678689094E-3</c:v>
                </c:pt>
                <c:pt idx="74">
                  <c:v>6.0458650429034352E-3</c:v>
                </c:pt>
                <c:pt idx="75">
                  <c:v>6.1777688715577731E-3</c:v>
                </c:pt>
                <c:pt idx="76">
                  <c:v>6.3208695776076186E-3</c:v>
                </c:pt>
                <c:pt idx="77">
                  <c:v>6.7909122859200572E-3</c:v>
                </c:pt>
                <c:pt idx="78">
                  <c:v>7.3094881281200409E-3</c:v>
                </c:pt>
                <c:pt idx="79">
                  <c:v>7.215494995852772E-3</c:v>
                </c:pt>
                <c:pt idx="80">
                  <c:v>6.4147596895358129E-3</c:v>
                </c:pt>
                <c:pt idx="81">
                  <c:v>5.7231168096278312E-3</c:v>
                </c:pt>
                <c:pt idx="82">
                  <c:v>5.5245630181903335E-3</c:v>
                </c:pt>
                <c:pt idx="83">
                  <c:v>5.440929328209442E-3</c:v>
                </c:pt>
                <c:pt idx="84">
                  <c:v>5.1135445042078086E-3</c:v>
                </c:pt>
                <c:pt idx="85">
                  <c:v>4.801073275671433E-3</c:v>
                </c:pt>
                <c:pt idx="86">
                  <c:v>4.7907673122476128E-3</c:v>
                </c:pt>
                <c:pt idx="87">
                  <c:v>5.0615490247220068E-3</c:v>
                </c:pt>
                <c:pt idx="88">
                  <c:v>5.2148109867946046E-3</c:v>
                </c:pt>
                <c:pt idx="89">
                  <c:v>4.9273755877717422E-3</c:v>
                </c:pt>
                <c:pt idx="90">
                  <c:v>4.4374084888655742E-3</c:v>
                </c:pt>
                <c:pt idx="91">
                  <c:v>4.0917967972049314E-3</c:v>
                </c:pt>
                <c:pt idx="92">
                  <c:v>3.8020246400002141E-3</c:v>
                </c:pt>
                <c:pt idx="93">
                  <c:v>3.481183007920561E-3</c:v>
                </c:pt>
                <c:pt idx="94">
                  <c:v>3.2191523147424342E-3</c:v>
                </c:pt>
                <c:pt idx="95">
                  <c:v>3.1186073018191008E-3</c:v>
                </c:pt>
                <c:pt idx="96">
                  <c:v>3.0859648858756468E-3</c:v>
                </c:pt>
                <c:pt idx="97">
                  <c:v>3.0285627463707025E-3</c:v>
                </c:pt>
                <c:pt idx="98">
                  <c:v>2.8923198383167936E-3</c:v>
                </c:pt>
                <c:pt idx="99">
                  <c:v>2.7491179442001726E-3</c:v>
                </c:pt>
                <c:pt idx="100">
                  <c:v>2.503264471661324E-3</c:v>
                </c:pt>
                <c:pt idx="101">
                  <c:v>2.0239266356888415E-3</c:v>
                </c:pt>
                <c:pt idx="102">
                  <c:v>1.5988829929628385E-3</c:v>
                </c:pt>
                <c:pt idx="103">
                  <c:v>1.5971283650575506E-3</c:v>
                </c:pt>
                <c:pt idx="104">
                  <c:v>1.89733991840571E-3</c:v>
                </c:pt>
                <c:pt idx="105">
                  <c:v>1.8046023927852865E-3</c:v>
                </c:pt>
                <c:pt idx="106">
                  <c:v>1.0828445409279081E-3</c:v>
                </c:pt>
                <c:pt idx="107">
                  <c:v>3.1184916506351699E-5</c:v>
                </c:pt>
                <c:pt idx="108">
                  <c:v>3.1321520564697211E-5</c:v>
                </c:pt>
                <c:pt idx="109">
                  <c:v>3.1344532656623294E-5</c:v>
                </c:pt>
                <c:pt idx="110">
                  <c:v>3.1257267097860813E-5</c:v>
                </c:pt>
                <c:pt idx="111">
                  <c:v>3.1065323834999772E-5</c:v>
                </c:pt>
                <c:pt idx="112">
                  <c:v>2.4639948605440724E-4</c:v>
                </c:pt>
                <c:pt idx="113">
                  <c:v>3.0305479588932337E-5</c:v>
                </c:pt>
                <c:pt idx="114">
                  <c:v>2.9941079885660702E-5</c:v>
                </c:pt>
                <c:pt idx="115">
                  <c:v>2.9453258150778187E-5</c:v>
                </c:pt>
                <c:pt idx="116">
                  <c:v>2.8935868474678894E-5</c:v>
                </c:pt>
                <c:pt idx="117">
                  <c:v>2.8388406863687116E-5</c:v>
                </c:pt>
                <c:pt idx="118">
                  <c:v>2.7825539336251019E-5</c:v>
                </c:pt>
                <c:pt idx="119">
                  <c:v>2.7293867344424267E-5</c:v>
                </c:pt>
                <c:pt idx="120">
                  <c:v>2.6779891212242699E-5</c:v>
                </c:pt>
                <c:pt idx="121">
                  <c:v>2.6317342814080334E-5</c:v>
                </c:pt>
                <c:pt idx="122">
                  <c:v>2.585273441695512E-5</c:v>
                </c:pt>
                <c:pt idx="123">
                  <c:v>2.5482137725479483E-5</c:v>
                </c:pt>
                <c:pt idx="124">
                  <c:v>2.5104276657192132E-5</c:v>
                </c:pt>
                <c:pt idx="125">
                  <c:v>2.4766178293579058E-5</c:v>
                </c:pt>
                <c:pt idx="126">
                  <c:v>2.4443599733519512E-5</c:v>
                </c:pt>
                <c:pt idx="127">
                  <c:v>2.4171696636545995E-5</c:v>
                </c:pt>
                <c:pt idx="128">
                  <c:v>2.3976982412243659E-5</c:v>
                </c:pt>
                <c:pt idx="129">
                  <c:v>2.3801747039175431E-5</c:v>
                </c:pt>
                <c:pt idx="130">
                  <c:v>2.3619896548949781E-5</c:v>
                </c:pt>
                <c:pt idx="131">
                  <c:v>2.3437369733409236E-5</c:v>
                </c:pt>
                <c:pt idx="132">
                  <c:v>2.3297861882888322E-5</c:v>
                </c:pt>
                <c:pt idx="133">
                  <c:v>2.316461524819902E-5</c:v>
                </c:pt>
                <c:pt idx="134">
                  <c:v>2.3047401416522277E-5</c:v>
                </c:pt>
                <c:pt idx="135">
                  <c:v>2.2964282323539312E-5</c:v>
                </c:pt>
                <c:pt idx="136">
                  <c:v>6.8730068059911738E-5</c:v>
                </c:pt>
                <c:pt idx="137">
                  <c:v>4.5693270533919273E-5</c:v>
                </c:pt>
                <c:pt idx="138">
                  <c:v>2.2783191231228449E-5</c:v>
                </c:pt>
                <c:pt idx="139">
                  <c:v>2.2736646838089486E-5</c:v>
                </c:pt>
                <c:pt idx="140">
                  <c:v>2.2696730269430065E-5</c:v>
                </c:pt>
                <c:pt idx="141">
                  <c:v>2.267140188933896E-5</c:v>
                </c:pt>
                <c:pt idx="142">
                  <c:v>9.0461274175245726E-5</c:v>
                </c:pt>
                <c:pt idx="143">
                  <c:v>1.80804341733165E-4</c:v>
                </c:pt>
                <c:pt idx="144">
                  <c:v>2.4814151031275609E-4</c:v>
                </c:pt>
                <c:pt idx="145">
                  <c:v>2.9294834910404712E-4</c:v>
                </c:pt>
                <c:pt idx="146">
                  <c:v>2.927524854838284E-4</c:v>
                </c:pt>
                <c:pt idx="147">
                  <c:v>2.9222803270639809E-4</c:v>
                </c:pt>
                <c:pt idx="148">
                  <c:v>2.4695758828571307E-4</c:v>
                </c:pt>
                <c:pt idx="149">
                  <c:v>2.4639140916507188E-4</c:v>
                </c:pt>
                <c:pt idx="150">
                  <c:v>2.4661152137459068E-4</c:v>
                </c:pt>
                <c:pt idx="151">
                  <c:v>2.8871399496565794E-4</c:v>
                </c:pt>
                <c:pt idx="152">
                  <c:v>3.3301596229185247E-4</c:v>
                </c:pt>
                <c:pt idx="153">
                  <c:v>3.7961745180452284E-4</c:v>
                </c:pt>
                <c:pt idx="154">
                  <c:v>4.0850494953109835E-4</c:v>
                </c:pt>
                <c:pt idx="155">
                  <c:v>4.3599283712424005E-4</c:v>
                </c:pt>
                <c:pt idx="156">
                  <c:v>4.4080585038728636E-4</c:v>
                </c:pt>
                <c:pt idx="157">
                  <c:v>4.8890802970974793E-4</c:v>
                </c:pt>
                <c:pt idx="158">
                  <c:v>5.1420033256350151E-4</c:v>
                </c:pt>
                <c:pt idx="159">
                  <c:v>5.4092172823560624E-4</c:v>
                </c:pt>
                <c:pt idx="160">
                  <c:v>5.2549521215528115E-4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Calculations!$AD$3:$AD$163</c:f>
              <c:numCache>
                <c:formatCode>General</c:formatCode>
                <c:ptCount val="161"/>
                <c:pt idx="0">
                  <c:v>3.3217575820450049E-3</c:v>
                </c:pt>
                <c:pt idx="1">
                  <c:v>6.0395590725657205E-4</c:v>
                </c:pt>
                <c:pt idx="2">
                  <c:v>6.0395590725657205E-4</c:v>
                </c:pt>
                <c:pt idx="3">
                  <c:v>6.0395590725657205E-4</c:v>
                </c:pt>
                <c:pt idx="4">
                  <c:v>6.0395590725657205E-4</c:v>
                </c:pt>
                <c:pt idx="5">
                  <c:v>6.0395590725657205E-4</c:v>
                </c:pt>
                <c:pt idx="6">
                  <c:v>6.0395590725657205E-4</c:v>
                </c:pt>
                <c:pt idx="7">
                  <c:v>9.0593387931162984E-4</c:v>
                </c:pt>
                <c:pt idx="8">
                  <c:v>9.0593387931162984E-4</c:v>
                </c:pt>
                <c:pt idx="9">
                  <c:v>9.0593387931162984E-4</c:v>
                </c:pt>
                <c:pt idx="10">
                  <c:v>1.2079118145131441E-3</c:v>
                </c:pt>
                <c:pt idx="11">
                  <c:v>1.8118677586232597E-3</c:v>
                </c:pt>
                <c:pt idx="12">
                  <c:v>2.1138456938247737E-3</c:v>
                </c:pt>
                <c:pt idx="13">
                  <c:v>2.3942360848430923E-3</c:v>
                </c:pt>
                <c:pt idx="14">
                  <c:v>2.6167613853659592E-3</c:v>
                </c:pt>
                <c:pt idx="15">
                  <c:v>2.7900956675544065E-3</c:v>
                </c:pt>
                <c:pt idx="16">
                  <c:v>3.1280049404604176E-3</c:v>
                </c:pt>
                <c:pt idx="17">
                  <c:v>3.6699831892811072E-3</c:v>
                </c:pt>
                <c:pt idx="18">
                  <c:v>4.3256869038827625E-3</c:v>
                </c:pt>
                <c:pt idx="19">
                  <c:v>4.974911031845706E-3</c:v>
                </c:pt>
                <c:pt idx="20">
                  <c:v>5.3433532173110298E-3</c:v>
                </c:pt>
                <c:pt idx="21">
                  <c:v>4.6509131614771567E-3</c:v>
                </c:pt>
                <c:pt idx="22">
                  <c:v>4.1376513647743323E-3</c:v>
                </c:pt>
                <c:pt idx="23">
                  <c:v>5.5682184367430044E-3</c:v>
                </c:pt>
                <c:pt idx="24">
                  <c:v>7.3889403799381592E-3</c:v>
                </c:pt>
                <c:pt idx="25">
                  <c:v>7.7249073857068714E-3</c:v>
                </c:pt>
                <c:pt idx="26">
                  <c:v>7.7808171217582578E-3</c:v>
                </c:pt>
                <c:pt idx="27">
                  <c:v>8.7771779271236215E-3</c:v>
                </c:pt>
                <c:pt idx="28">
                  <c:v>9.5879783846546541E-3</c:v>
                </c:pt>
                <c:pt idx="29">
                  <c:v>9.4379061823666958E-3</c:v>
                </c:pt>
                <c:pt idx="30">
                  <c:v>9.5880474568036111E-3</c:v>
                </c:pt>
                <c:pt idx="31">
                  <c:v>1.227995594619914E-2</c:v>
                </c:pt>
                <c:pt idx="32">
                  <c:v>1.6091709929301787E-2</c:v>
                </c:pt>
                <c:pt idx="33">
                  <c:v>1.7553970611277014E-2</c:v>
                </c:pt>
                <c:pt idx="34">
                  <c:v>1.7264904314845887E-2</c:v>
                </c:pt>
                <c:pt idx="35">
                  <c:v>1.8198156949331291E-2</c:v>
                </c:pt>
                <c:pt idx="36">
                  <c:v>2.1927267135679336E-2</c:v>
                </c:pt>
                <c:pt idx="37">
                  <c:v>2.3950097837455657E-2</c:v>
                </c:pt>
                <c:pt idx="38">
                  <c:v>2.4713786208226982E-2</c:v>
                </c:pt>
                <c:pt idx="39">
                  <c:v>2.7298721646199776E-2</c:v>
                </c:pt>
                <c:pt idx="40">
                  <c:v>2.9727824873041677E-2</c:v>
                </c:pt>
                <c:pt idx="41">
                  <c:v>3.0749190297541244E-2</c:v>
                </c:pt>
                <c:pt idx="42">
                  <c:v>3.0644984194440741E-2</c:v>
                </c:pt>
                <c:pt idx="43">
                  <c:v>3.3133569697171801E-2</c:v>
                </c:pt>
                <c:pt idx="44">
                  <c:v>3.700334811614224E-2</c:v>
                </c:pt>
                <c:pt idx="45">
                  <c:v>3.8746989148691548E-2</c:v>
                </c:pt>
                <c:pt idx="46">
                  <c:v>3.9973112465214768E-2</c:v>
                </c:pt>
                <c:pt idx="47">
                  <c:v>3.9810699786897011E-2</c:v>
                </c:pt>
                <c:pt idx="48">
                  <c:v>3.8112280309190547E-2</c:v>
                </c:pt>
                <c:pt idx="49">
                  <c:v>3.9455278370832909E-2</c:v>
                </c:pt>
                <c:pt idx="50">
                  <c:v>4.16294455872252E-2</c:v>
                </c:pt>
                <c:pt idx="51">
                  <c:v>3.8974593277817687E-2</c:v>
                </c:pt>
                <c:pt idx="52">
                  <c:v>3.4954617093677177E-2</c:v>
                </c:pt>
                <c:pt idx="53">
                  <c:v>3.1604626230594242E-2</c:v>
                </c:pt>
                <c:pt idx="54">
                  <c:v>2.6045569822824879E-2</c:v>
                </c:pt>
                <c:pt idx="55">
                  <c:v>1.9525770251132248E-2</c:v>
                </c:pt>
                <c:pt idx="56">
                  <c:v>1.5924841134651493E-2</c:v>
                </c:pt>
                <c:pt idx="57">
                  <c:v>1.4464207921853172E-2</c:v>
                </c:pt>
                <c:pt idx="58">
                  <c:v>1.2657422693044915E-2</c:v>
                </c:pt>
                <c:pt idx="59">
                  <c:v>1.0164088189906875E-2</c:v>
                </c:pt>
                <c:pt idx="60">
                  <c:v>8.0789660362416311E-3</c:v>
                </c:pt>
                <c:pt idx="61">
                  <c:v>6.3599048276980156E-3</c:v>
                </c:pt>
                <c:pt idx="62">
                  <c:v>4.948288913859426E-3</c:v>
                </c:pt>
                <c:pt idx="63">
                  <c:v>4.2665327843972407E-3</c:v>
                </c:pt>
                <c:pt idx="64">
                  <c:v>4.4339500042812714E-3</c:v>
                </c:pt>
                <c:pt idx="65">
                  <c:v>4.9194504974773151E-3</c:v>
                </c:pt>
                <c:pt idx="66">
                  <c:v>4.9155475019303022E-3</c:v>
                </c:pt>
                <c:pt idx="67">
                  <c:v>4.4727012297507609E-3</c:v>
                </c:pt>
                <c:pt idx="68">
                  <c:v>4.3000128403473904E-3</c:v>
                </c:pt>
                <c:pt idx="69">
                  <c:v>4.5560580113532239E-3</c:v>
                </c:pt>
                <c:pt idx="70">
                  <c:v>4.8809485555523285E-3</c:v>
                </c:pt>
                <c:pt idx="71">
                  <c:v>4.9131629875586637E-3</c:v>
                </c:pt>
                <c:pt idx="72">
                  <c:v>4.9220072167564981E-3</c:v>
                </c:pt>
                <c:pt idx="73">
                  <c:v>5.4378725966724092E-3</c:v>
                </c:pt>
                <c:pt idx="74">
                  <c:v>6.410340897854353E-3</c:v>
                </c:pt>
                <c:pt idx="75">
                  <c:v>7.2197858234700693E-3</c:v>
                </c:pt>
                <c:pt idx="76">
                  <c:v>7.2866488555261375E-3</c:v>
                </c:pt>
                <c:pt idx="77">
                  <c:v>6.8533340697554219E-3</c:v>
                </c:pt>
                <c:pt idx="78">
                  <c:v>6.547533151145749E-3</c:v>
                </c:pt>
                <c:pt idx="79">
                  <c:v>6.4839481914114637E-3</c:v>
                </c:pt>
                <c:pt idx="80">
                  <c:v>6.307401693441443E-3</c:v>
                </c:pt>
                <c:pt idx="81">
                  <c:v>5.8238572425643332E-3</c:v>
                </c:pt>
                <c:pt idx="82">
                  <c:v>5.507139036172168E-3</c:v>
                </c:pt>
                <c:pt idx="83">
                  <c:v>5.6573671855437799E-3</c:v>
                </c:pt>
                <c:pt idx="84">
                  <c:v>6.0297153162134718E-3</c:v>
                </c:pt>
                <c:pt idx="85">
                  <c:v>6.2095400978190171E-3</c:v>
                </c:pt>
                <c:pt idx="86">
                  <c:v>6.0559116886918811E-3</c:v>
                </c:pt>
                <c:pt idx="87">
                  <c:v>5.7701390076782934E-3</c:v>
                </c:pt>
                <c:pt idx="88">
                  <c:v>5.4598550873206659E-3</c:v>
                </c:pt>
                <c:pt idx="89">
                  <c:v>5.1556648925880095E-3</c:v>
                </c:pt>
                <c:pt idx="90">
                  <c:v>4.8494248644141459E-3</c:v>
                </c:pt>
                <c:pt idx="91">
                  <c:v>4.6317543442958853E-3</c:v>
                </c:pt>
                <c:pt idx="92">
                  <c:v>4.5033487334307414E-3</c:v>
                </c:pt>
                <c:pt idx="93">
                  <c:v>4.4251648744902021E-3</c:v>
                </c:pt>
                <c:pt idx="94">
                  <c:v>4.2928510864216236E-3</c:v>
                </c:pt>
                <c:pt idx="95">
                  <c:v>4.2069048154517053E-3</c:v>
                </c:pt>
                <c:pt idx="96">
                  <c:v>4.1391341325362303E-3</c:v>
                </c:pt>
                <c:pt idx="97">
                  <c:v>3.9897918995872358E-3</c:v>
                </c:pt>
                <c:pt idx="98">
                  <c:v>3.7538011874537853E-3</c:v>
                </c:pt>
                <c:pt idx="99">
                  <c:v>3.6781431788250837E-3</c:v>
                </c:pt>
                <c:pt idx="100">
                  <c:v>3.7291909604928609E-3</c:v>
                </c:pt>
                <c:pt idx="101">
                  <c:v>3.490929553932405E-3</c:v>
                </c:pt>
                <c:pt idx="102">
                  <c:v>2.823504625545147E-3</c:v>
                </c:pt>
                <c:pt idx="103">
                  <c:v>1.7797850866687268E-3</c:v>
                </c:pt>
                <c:pt idx="104">
                  <c:v>8.2665562047976721E-4</c:v>
                </c:pt>
                <c:pt idx="105">
                  <c:v>3.5519667180540059E-4</c:v>
                </c:pt>
                <c:pt idx="106">
                  <c:v>5.8791867590662471E-4</c:v>
                </c:pt>
                <c:pt idx="107">
                  <c:v>1.1852058003033379E-3</c:v>
                </c:pt>
                <c:pt idx="108">
                  <c:v>1.5210634855503933E-3</c:v>
                </c:pt>
                <c:pt idx="109">
                  <c:v>1.2905447321866327E-3</c:v>
                </c:pt>
                <c:pt idx="110">
                  <c:v>8.5796785992305101E-4</c:v>
                </c:pt>
                <c:pt idx="111">
                  <c:v>6.2312642022939826E-4</c:v>
                </c:pt>
                <c:pt idx="112">
                  <c:v>7.153509606790063E-4</c:v>
                </c:pt>
                <c:pt idx="113">
                  <c:v>8.638365814684644E-4</c:v>
                </c:pt>
                <c:pt idx="114">
                  <c:v>8.850588647748073E-4</c:v>
                </c:pt>
                <c:pt idx="115">
                  <c:v>7.4626187619283358E-4</c:v>
                </c:pt>
                <c:pt idx="116">
                  <c:v>5.8041256014659825E-4</c:v>
                </c:pt>
                <c:pt idx="117">
                  <c:v>4.4955097401792356E-4</c:v>
                </c:pt>
                <c:pt idx="118">
                  <c:v>3.8188588850049865E-4</c:v>
                </c:pt>
                <c:pt idx="119">
                  <c:v>3.1695998296308182E-4</c:v>
                </c:pt>
                <c:pt idx="120">
                  <c:v>2.8271931867966649E-4</c:v>
                </c:pt>
                <c:pt idx="121">
                  <c:v>3.0561973591802268E-4</c:v>
                </c:pt>
                <c:pt idx="122">
                  <c:v>3.8210364926338352E-4</c:v>
                </c:pt>
                <c:pt idx="123">
                  <c:v>4.8423373893297707E-4</c:v>
                </c:pt>
                <c:pt idx="124">
                  <c:v>4.7705329434606007E-4</c:v>
                </c:pt>
                <c:pt idx="125">
                  <c:v>3.6604433990076616E-4</c:v>
                </c:pt>
                <c:pt idx="126">
                  <c:v>1.806383129280473E-4</c:v>
                </c:pt>
                <c:pt idx="127">
                  <c:v>7.6555264236005351E-5</c:v>
                </c:pt>
                <c:pt idx="128">
                  <c:v>5.0625716360640401E-5</c:v>
                </c:pt>
                <c:pt idx="129">
                  <c:v>1.5076716055650516E-4</c:v>
                </c:pt>
                <c:pt idx="130">
                  <c:v>2.7429465796367883E-4</c:v>
                </c:pt>
                <c:pt idx="131">
                  <c:v>3.7114771683612041E-4</c:v>
                </c:pt>
                <c:pt idx="132">
                  <c:v>3.689385090286528E-4</c:v>
                </c:pt>
                <c:pt idx="133">
                  <c:v>2.4455230936313362E-4</c:v>
                </c:pt>
                <c:pt idx="134">
                  <c:v>9.7325942597919728E-5</c:v>
                </c:pt>
                <c:pt idx="135">
                  <c:v>2.424373558249568E-5</c:v>
                </c:pt>
                <c:pt idx="136">
                  <c:v>7.2559358622038662E-5</c:v>
                </c:pt>
                <c:pt idx="137">
                  <c:v>1.4471720591771093E-4</c:v>
                </c:pt>
                <c:pt idx="138">
                  <c:v>2.6457811248833599E-4</c:v>
                </c:pt>
                <c:pt idx="139">
                  <c:v>3.3604784657320549E-4</c:v>
                </c:pt>
                <c:pt idx="140">
                  <c:v>3.8338043017369208E-4</c:v>
                </c:pt>
                <c:pt idx="141">
                  <c:v>3.5901806151514271E-4</c:v>
                </c:pt>
                <c:pt idx="142">
                  <c:v>3.3425461328287541E-4</c:v>
                </c:pt>
                <c:pt idx="143">
                  <c:v>2.8631676883351237E-4</c:v>
                </c:pt>
                <c:pt idx="144">
                  <c:v>2.3815154380346827E-4</c:v>
                </c:pt>
                <c:pt idx="145">
                  <c:v>2.378999625110732E-4</c:v>
                </c:pt>
                <c:pt idx="146">
                  <c:v>2.8528908007715225E-4</c:v>
                </c:pt>
                <c:pt idx="147">
                  <c:v>3.0850949552491407E-4</c:v>
                </c:pt>
                <c:pt idx="148">
                  <c:v>3.5552291663777023E-4</c:v>
                </c:pt>
                <c:pt idx="149">
                  <c:v>3.7835502653478612E-4</c:v>
                </c:pt>
                <c:pt idx="150">
                  <c:v>3.7869302760858701E-4</c:v>
                </c:pt>
                <c:pt idx="151">
                  <c:v>3.7513805433134434E-4</c:v>
                </c:pt>
                <c:pt idx="152">
                  <c:v>3.9844593090301357E-4</c:v>
                </c:pt>
                <c:pt idx="153">
                  <c:v>4.0076780952200066E-4</c:v>
                </c:pt>
                <c:pt idx="154">
                  <c:v>4.312647720073104E-4</c:v>
                </c:pt>
                <c:pt idx="155">
                  <c:v>4.3605866635017606E-4</c:v>
                </c:pt>
                <c:pt idx="156">
                  <c:v>4.408724063153848E-4</c:v>
                </c:pt>
                <c:pt idx="157">
                  <c:v>4.4241215291776487E-4</c:v>
                </c:pt>
                <c:pt idx="158">
                  <c:v>4.9349906377981606E-4</c:v>
                </c:pt>
                <c:pt idx="159">
                  <c:v>5.214018291163665E-4</c:v>
                </c:pt>
                <c:pt idx="160">
                  <c:v>5.7999009689013704E-4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Calculations!$AE$3:$AE$163</c:f>
              <c:numCache>
                <c:formatCode>General</c:formatCode>
                <c:ptCount val="161"/>
                <c:pt idx="0">
                  <c:v>6.3111392038634239E-3</c:v>
                </c:pt>
                <c:pt idx="1">
                  <c:v>4.5079565348914944E-4</c:v>
                </c:pt>
                <c:pt idx="2">
                  <c:v>4.5079565348914944E-4</c:v>
                </c:pt>
                <c:pt idx="3">
                  <c:v>4.5079565348914944E-4</c:v>
                </c:pt>
                <c:pt idx="4">
                  <c:v>9.0159130697829888E-4</c:v>
                </c:pt>
                <c:pt idx="5">
                  <c:v>9.0159130697829888E-4</c:v>
                </c:pt>
                <c:pt idx="6">
                  <c:v>9.0159130697829888E-4</c:v>
                </c:pt>
                <c:pt idx="7">
                  <c:v>9.0159130697829888E-4</c:v>
                </c:pt>
                <c:pt idx="8">
                  <c:v>9.0159130697829888E-4</c:v>
                </c:pt>
                <c:pt idx="9">
                  <c:v>1.352386987975114E-3</c:v>
                </c:pt>
                <c:pt idx="10">
                  <c:v>1.352386987975114E-3</c:v>
                </c:pt>
                <c:pt idx="11">
                  <c:v>1.8031826139565978E-3</c:v>
                </c:pt>
                <c:pt idx="12">
                  <c:v>1.8031826139565978E-3</c:v>
                </c:pt>
                <c:pt idx="13">
                  <c:v>1.9856328284854514E-3</c:v>
                </c:pt>
                <c:pt idx="14">
                  <c:v>2.4858444601143863E-3</c:v>
                </c:pt>
                <c:pt idx="15">
                  <c:v>2.8835185430959261E-3</c:v>
                </c:pt>
                <c:pt idx="16">
                  <c:v>3.5021374317011512E-3</c:v>
                </c:pt>
                <c:pt idx="17">
                  <c:v>3.9132762699076416E-3</c:v>
                </c:pt>
                <c:pt idx="18">
                  <c:v>4.0657880926560676E-3</c:v>
                </c:pt>
                <c:pt idx="19">
                  <c:v>3.4948685288516703E-3</c:v>
                </c:pt>
                <c:pt idx="20">
                  <c:v>3.390059365731279E-3</c:v>
                </c:pt>
                <c:pt idx="21">
                  <c:v>4.2022989489238953E-3</c:v>
                </c:pt>
                <c:pt idx="22">
                  <c:v>5.5089723848933134E-3</c:v>
                </c:pt>
                <c:pt idx="23">
                  <c:v>5.5415276282460421E-3</c:v>
                </c:pt>
                <c:pt idx="24">
                  <c:v>0</c:v>
                </c:pt>
                <c:pt idx="25">
                  <c:v>6.4211253814468097E-3</c:v>
                </c:pt>
                <c:pt idx="26">
                  <c:v>6.8469023366325814E-3</c:v>
                </c:pt>
                <c:pt idx="27">
                  <c:v>7.0110710326904005E-3</c:v>
                </c:pt>
                <c:pt idx="28">
                  <c:v>7.6986740428721286E-3</c:v>
                </c:pt>
                <c:pt idx="29">
                  <c:v>9.9031367317477179E-3</c:v>
                </c:pt>
                <c:pt idx="30">
                  <c:v>1.1719475986443254E-2</c:v>
                </c:pt>
                <c:pt idx="31">
                  <c:v>1.1915564634593602E-2</c:v>
                </c:pt>
                <c:pt idx="32">
                  <c:v>1.1617846700029664E-2</c:v>
                </c:pt>
                <c:pt idx="33">
                  <c:v>1.351181867903066E-2</c:v>
                </c:pt>
                <c:pt idx="34">
                  <c:v>1.7052370902825468E-2</c:v>
                </c:pt>
                <c:pt idx="35">
                  <c:v>1.9785042967084637E-2</c:v>
                </c:pt>
                <c:pt idx="36">
                  <c:v>2.1456017056598262E-2</c:v>
                </c:pt>
                <c:pt idx="37">
                  <c:v>2.2310397565163544E-2</c:v>
                </c:pt>
                <c:pt idx="38">
                  <c:v>2.2041708998101633E-2</c:v>
                </c:pt>
                <c:pt idx="39">
                  <c:v>2.1729994272374528E-2</c:v>
                </c:pt>
                <c:pt idx="40">
                  <c:v>2.3183459047353364E-2</c:v>
                </c:pt>
                <c:pt idx="41">
                  <c:v>2.6751634256909615E-2</c:v>
                </c:pt>
                <c:pt idx="42">
                  <c:v>2.9651989668016226E-2</c:v>
                </c:pt>
                <c:pt idx="43">
                  <c:v>3.1860733099935853E-2</c:v>
                </c:pt>
                <c:pt idx="44">
                  <c:v>3.3337577381831421E-2</c:v>
                </c:pt>
                <c:pt idx="45">
                  <c:v>3.3030069851813483E-2</c:v>
                </c:pt>
                <c:pt idx="46">
                  <c:v>3.4193067857905018E-2</c:v>
                </c:pt>
                <c:pt idx="47">
                  <c:v>3.6572185774819611E-2</c:v>
                </c:pt>
                <c:pt idx="48">
                  <c:v>3.634649578601637E-2</c:v>
                </c:pt>
                <c:pt idx="49">
                  <c:v>3.490324774027085E-2</c:v>
                </c:pt>
                <c:pt idx="50">
                  <c:v>3.4112368443152519E-2</c:v>
                </c:pt>
                <c:pt idx="51">
                  <c:v>3.0863548880698758E-2</c:v>
                </c:pt>
                <c:pt idx="52">
                  <c:v>2.6513624195203141E-2</c:v>
                </c:pt>
                <c:pt idx="53">
                  <c:v>2.481529369470253E-2</c:v>
                </c:pt>
                <c:pt idx="54">
                  <c:v>2.4730778060937184E-2</c:v>
                </c:pt>
                <c:pt idx="55">
                  <c:v>2.282644091054295E-2</c:v>
                </c:pt>
                <c:pt idx="56">
                  <c:v>1.8875905824319139E-2</c:v>
                </c:pt>
                <c:pt idx="57">
                  <c:v>1.4615063219852795E-2</c:v>
                </c:pt>
                <c:pt idx="58">
                  <c:v>1.0651463439669148E-2</c:v>
                </c:pt>
                <c:pt idx="59">
                  <c:v>7.525833387537254E-3</c:v>
                </c:pt>
                <c:pt idx="60">
                  <c:v>5.8498757236383724E-3</c:v>
                </c:pt>
                <c:pt idx="61">
                  <c:v>5.4422409518067125E-3</c:v>
                </c:pt>
                <c:pt idx="62">
                  <c:v>5.3327556370299971E-3</c:v>
                </c:pt>
                <c:pt idx="63">
                  <c:v>4.8358149028332751E-3</c:v>
                </c:pt>
                <c:pt idx="64">
                  <c:v>4.3474197237266376E-3</c:v>
                </c:pt>
                <c:pt idx="65">
                  <c:v>4.2578438567003451E-3</c:v>
                </c:pt>
                <c:pt idx="66">
                  <c:v>4.4886566828906691E-3</c:v>
                </c:pt>
                <c:pt idx="67">
                  <c:v>4.6074458283741175E-3</c:v>
                </c:pt>
                <c:pt idx="68">
                  <c:v>4.5011993050491752E-3</c:v>
                </c:pt>
                <c:pt idx="69">
                  <c:v>4.4817998342934293E-3</c:v>
                </c:pt>
                <c:pt idx="70">
                  <c:v>4.7519528950129E-3</c:v>
                </c:pt>
                <c:pt idx="71">
                  <c:v>5.1300847166020121E-3</c:v>
                </c:pt>
                <c:pt idx="72">
                  <c:v>5.3882552570879887E-3</c:v>
                </c:pt>
                <c:pt idx="73">
                  <c:v>5.5498626209795413E-3</c:v>
                </c:pt>
                <c:pt idx="74">
                  <c:v>5.8571446554858773E-3</c:v>
                </c:pt>
                <c:pt idx="75">
                  <c:v>6.2102373392499983E-3</c:v>
                </c:pt>
                <c:pt idx="76">
                  <c:v>6.5265489215005478E-3</c:v>
                </c:pt>
                <c:pt idx="77">
                  <c:v>6.6028074308370037E-3</c:v>
                </c:pt>
                <c:pt idx="78">
                  <c:v>6.632507389647279E-3</c:v>
                </c:pt>
                <c:pt idx="79">
                  <c:v>6.7687423802970763E-3</c:v>
                </c:pt>
                <c:pt idx="80">
                  <c:v>7.0700731094682752E-3</c:v>
                </c:pt>
                <c:pt idx="81">
                  <c:v>7.293768703865537E-3</c:v>
                </c:pt>
                <c:pt idx="82">
                  <c:v>7.153013979452786E-3</c:v>
                </c:pt>
                <c:pt idx="83">
                  <c:v>6.7951279409209763E-3</c:v>
                </c:pt>
                <c:pt idx="84">
                  <c:v>6.4340837314672454E-3</c:v>
                </c:pt>
                <c:pt idx="85">
                  <c:v>6.2562035305437445E-3</c:v>
                </c:pt>
                <c:pt idx="86">
                  <c:v>6.1924571000962041E-3</c:v>
                </c:pt>
                <c:pt idx="87">
                  <c:v>6.2340541452351869E-3</c:v>
                </c:pt>
                <c:pt idx="88">
                  <c:v>6.3166570710247328E-3</c:v>
                </c:pt>
                <c:pt idx="89">
                  <c:v>6.2468760556434562E-3</c:v>
                </c:pt>
                <c:pt idx="90">
                  <c:v>6.079580215291586E-3</c:v>
                </c:pt>
                <c:pt idx="91">
                  <c:v>5.8753879238771277E-3</c:v>
                </c:pt>
                <c:pt idx="92">
                  <c:v>5.7361683912504763E-3</c:v>
                </c:pt>
                <c:pt idx="93">
                  <c:v>5.672889059945333E-3</c:v>
                </c:pt>
                <c:pt idx="94">
                  <c:v>5.6073585146855214E-3</c:v>
                </c:pt>
                <c:pt idx="95">
                  <c:v>5.5389779028929779E-3</c:v>
                </c:pt>
                <c:pt idx="96">
                  <c:v>5.4613858988172576E-3</c:v>
                </c:pt>
                <c:pt idx="97">
                  <c:v>5.1809045381834831E-3</c:v>
                </c:pt>
                <c:pt idx="98">
                  <c:v>4.6836991546726856E-3</c:v>
                </c:pt>
                <c:pt idx="99">
                  <c:v>4.1180762661530675E-3</c:v>
                </c:pt>
                <c:pt idx="100">
                  <c:v>3.5067546383080548E-3</c:v>
                </c:pt>
                <c:pt idx="101">
                  <c:v>3.234596350737166E-3</c:v>
                </c:pt>
                <c:pt idx="102">
                  <c:v>3.3444754818922591E-3</c:v>
                </c:pt>
                <c:pt idx="103">
                  <c:v>3.6823433195635495E-3</c:v>
                </c:pt>
                <c:pt idx="104">
                  <c:v>3.8445080517128141E-3</c:v>
                </c:pt>
                <c:pt idx="105">
                  <c:v>3.5188725812247633E-3</c:v>
                </c:pt>
                <c:pt idx="106">
                  <c:v>3.1692942007631631E-3</c:v>
                </c:pt>
                <c:pt idx="107">
                  <c:v>2.9488112938023982E-3</c:v>
                </c:pt>
                <c:pt idx="108">
                  <c:v>3.0110904636042215E-3</c:v>
                </c:pt>
                <c:pt idx="109">
                  <c:v>3.062701228441024E-3</c:v>
                </c:pt>
                <c:pt idx="110">
                  <c:v>2.9556526859001423E-3</c:v>
                </c:pt>
                <c:pt idx="111">
                  <c:v>2.6927107678683094E-3</c:v>
                </c:pt>
                <c:pt idx="112">
                  <c:v>2.4755466817452825E-3</c:v>
                </c:pt>
                <c:pt idx="113">
                  <c:v>2.292522204749738E-3</c:v>
                </c:pt>
                <c:pt idx="114">
                  <c:v>2.2177697369007345E-3</c:v>
                </c:pt>
                <c:pt idx="115">
                  <c:v>2.181636227863775E-3</c:v>
                </c:pt>
                <c:pt idx="116">
                  <c:v>2.1433125878942152E-3</c:v>
                </c:pt>
                <c:pt idx="117">
                  <c:v>2.1475011771877849E-3</c:v>
                </c:pt>
                <c:pt idx="118">
                  <c:v>2.1487743204325776E-3</c:v>
                </c:pt>
                <c:pt idx="119">
                  <c:v>2.1077169626892113E-3</c:v>
                </c:pt>
                <c:pt idx="120">
                  <c:v>1.9414123765456519E-3</c:v>
                </c:pt>
                <c:pt idx="121">
                  <c:v>1.7005015496424922E-3</c:v>
                </c:pt>
                <c:pt idx="122">
                  <c:v>1.5075070389633212E-3</c:v>
                </c:pt>
                <c:pt idx="123">
                  <c:v>1.365419002140692E-3</c:v>
                </c:pt>
                <c:pt idx="124">
                  <c:v>1.3451719299222241E-3</c:v>
                </c:pt>
                <c:pt idx="125">
                  <c:v>1.4051175556718909E-3</c:v>
                </c:pt>
                <c:pt idx="126">
                  <c:v>1.4253385371767811E-3</c:v>
                </c:pt>
                <c:pt idx="127">
                  <c:v>1.3713894365038786E-3</c:v>
                </c:pt>
                <c:pt idx="128">
                  <c:v>1.2469803423289549E-3</c:v>
                </c:pt>
                <c:pt idx="129">
                  <c:v>1.0503112416618461E-3</c:v>
                </c:pt>
                <c:pt idx="130">
                  <c:v>8.9338855624206202E-4</c:v>
                </c:pt>
                <c:pt idx="131">
                  <c:v>8.49547881160093E-4</c:v>
                </c:pt>
                <c:pt idx="132">
                  <c:v>8.444910595046196E-4</c:v>
                </c:pt>
                <c:pt idx="133">
                  <c:v>9.1267520223244504E-4</c:v>
                </c:pt>
                <c:pt idx="134">
                  <c:v>9.4437930950267844E-4</c:v>
                </c:pt>
                <c:pt idx="135">
                  <c:v>9.4097346125891648E-4</c:v>
                </c:pt>
                <c:pt idx="136">
                  <c:v>9.0264435387084796E-4</c:v>
                </c:pt>
                <c:pt idx="137">
                  <c:v>8.2813518767063915E-4</c:v>
                </c:pt>
                <c:pt idx="138">
                  <c:v>7.1811783093113704E-4</c:v>
                </c:pt>
                <c:pt idx="139">
                  <c:v>6.4498569885516324E-4</c:v>
                </c:pt>
                <c:pt idx="140">
                  <c:v>6.0808373163595141E-4</c:v>
                </c:pt>
                <c:pt idx="141">
                  <c:v>6.0740514156155479E-4</c:v>
                </c:pt>
                <c:pt idx="142">
                  <c:v>6.0590257402754573E-4</c:v>
                </c:pt>
                <c:pt idx="143">
                  <c:v>6.0550670466599744E-4</c:v>
                </c:pt>
                <c:pt idx="144">
                  <c:v>5.688239189534397E-4</c:v>
                </c:pt>
                <c:pt idx="145">
                  <c:v>5.3270908167220895E-4</c:v>
                </c:pt>
                <c:pt idx="146">
                  <c:v>5.3235291537334162E-4</c:v>
                </c:pt>
                <c:pt idx="147">
                  <c:v>4.9597261632971579E-4</c:v>
                </c:pt>
                <c:pt idx="148">
                  <c:v>4.9534622886163279E-4</c:v>
                </c:pt>
                <c:pt idx="149">
                  <c:v>4.5890983581574135E-4</c:v>
                </c:pt>
                <c:pt idx="150">
                  <c:v>4.5931980001974346E-4</c:v>
                </c:pt>
                <c:pt idx="151">
                  <c:v>4.2000733602932298E-4</c:v>
                </c:pt>
                <c:pt idx="152">
                  <c:v>4.5485009721129264E-4</c:v>
                </c:pt>
                <c:pt idx="153">
                  <c:v>4.5750066190187837E-4</c:v>
                </c:pt>
                <c:pt idx="154">
                  <c:v>4.6496396815366654E-4</c:v>
                </c:pt>
                <c:pt idx="155">
                  <c:v>5.0629649186664588E-4</c:v>
                </c:pt>
                <c:pt idx="156">
                  <c:v>4.7532234672388704E-4</c:v>
                </c:pt>
                <c:pt idx="157">
                  <c:v>4.7698240972152427E-4</c:v>
                </c:pt>
                <c:pt idx="158">
                  <c:v>4.7885514960268976E-4</c:v>
                </c:pt>
                <c:pt idx="159">
                  <c:v>5.1890250043981222E-4</c:v>
                </c:pt>
                <c:pt idx="160">
                  <c:v>5.2701776331895986E-4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Calculations!$AF$3:$AF$163</c:f>
              <c:numCache>
                <c:formatCode>General</c:formatCode>
                <c:ptCount val="161"/>
                <c:pt idx="0">
                  <c:v>8.0515297032377493E-3</c:v>
                </c:pt>
                <c:pt idx="1">
                  <c:v>4.0257648516188746E-3</c:v>
                </c:pt>
                <c:pt idx="2">
                  <c:v>4.0257648516188746E-3</c:v>
                </c:pt>
                <c:pt idx="3">
                  <c:v>4.0257648516188746E-3</c:v>
                </c:pt>
                <c:pt idx="4">
                  <c:v>4.0257648516188746E-3</c:v>
                </c:pt>
                <c:pt idx="5">
                  <c:v>4.0257648516188746E-3</c:v>
                </c:pt>
                <c:pt idx="6">
                  <c:v>4.0257648516188746E-3</c:v>
                </c:pt>
                <c:pt idx="7">
                  <c:v>4.0257648516188746E-3</c:v>
                </c:pt>
                <c:pt idx="8">
                  <c:v>4.0257648516188746E-3</c:v>
                </c:pt>
                <c:pt idx="9">
                  <c:v>4.0257648516188746E-3</c:v>
                </c:pt>
                <c:pt idx="10">
                  <c:v>4.0257648516188746E-3</c:v>
                </c:pt>
                <c:pt idx="11">
                  <c:v>4.0257648516188746E-3</c:v>
                </c:pt>
                <c:pt idx="12">
                  <c:v>4.0257648516188746E-3</c:v>
                </c:pt>
                <c:pt idx="13">
                  <c:v>7.0929615177964325E-3</c:v>
                </c:pt>
                <c:pt idx="14">
                  <c:v>6.3427060826000197E-3</c:v>
                </c:pt>
                <c:pt idx="15">
                  <c:v>5.7224090383317747E-3</c:v>
                </c:pt>
                <c:pt idx="16">
                  <c:v>5.2125545067506713E-3</c:v>
                </c:pt>
                <c:pt idx="17">
                  <c:v>6.9893887381044214E-3</c:v>
                </c:pt>
                <c:pt idx="18">
                  <c:v>6.407457617702627E-3</c:v>
                </c:pt>
                <c:pt idx="19">
                  <c:v>5.8519527064636008E-3</c:v>
                </c:pt>
                <c:pt idx="20">
                  <c:v>7.1233951108056635E-3</c:v>
                </c:pt>
                <c:pt idx="21">
                  <c:v>6.526611672605106E-3</c:v>
                </c:pt>
                <c:pt idx="22">
                  <c:v>7.4541024993467235E-3</c:v>
                </c:pt>
                <c:pt idx="23">
                  <c:v>8.2479671858627316E-3</c:v>
                </c:pt>
                <c:pt idx="24">
                  <c:v>7.57725651203996E-3</c:v>
                </c:pt>
                <c:pt idx="25">
                  <c:v>8.1918465213285403E-3</c:v>
                </c:pt>
                <c:pt idx="26">
                  <c:v>8.7350374881317843E-3</c:v>
                </c:pt>
                <c:pt idx="27">
                  <c:v>1.0264156009970422E-2</c:v>
                </c:pt>
                <c:pt idx="28">
                  <c:v>1.1620037691714762E-2</c:v>
                </c:pt>
                <c:pt idx="29">
                  <c:v>1.1852585138261991E-2</c:v>
                </c:pt>
                <c:pt idx="30">
                  <c:v>1.2010057832035155E-2</c:v>
                </c:pt>
                <c:pt idx="31">
                  <c:v>1.3915182818186919E-2</c:v>
                </c:pt>
                <c:pt idx="32">
                  <c:v>1.6381813406220212E-2</c:v>
                </c:pt>
                <c:pt idx="33">
                  <c:v>1.8282625142892903E-2</c:v>
                </c:pt>
                <c:pt idx="34">
                  <c:v>2.0860782134534531E-2</c:v>
                </c:pt>
                <c:pt idx="35">
                  <c:v>2.24257143568725E-2</c:v>
                </c:pt>
                <c:pt idx="36">
                  <c:v>2.2888545444604964E-2</c:v>
                </c:pt>
                <c:pt idx="37">
                  <c:v>2.2626597955734712E-2</c:v>
                </c:pt>
                <c:pt idx="38">
                  <c:v>2.2804666480483286E-2</c:v>
                </c:pt>
                <c:pt idx="39">
                  <c:v>2.4760924876053959E-2</c:v>
                </c:pt>
                <c:pt idx="40">
                  <c:v>2.7752882102681217E-2</c:v>
                </c:pt>
                <c:pt idx="41">
                  <c:v>3.0463957776094109E-2</c:v>
                </c:pt>
                <c:pt idx="42">
                  <c:v>3.2456368945784179E-2</c:v>
                </c:pt>
                <c:pt idx="43">
                  <c:v>3.4322389653693081E-2</c:v>
                </c:pt>
                <c:pt idx="44">
                  <c:v>3.6612369880403804E-2</c:v>
                </c:pt>
                <c:pt idx="45">
                  <c:v>3.7864642454331444E-2</c:v>
                </c:pt>
                <c:pt idx="46">
                  <c:v>3.7316256378137409E-2</c:v>
                </c:pt>
                <c:pt idx="47">
                  <c:v>3.6831537829311069E-2</c:v>
                </c:pt>
                <c:pt idx="48">
                  <c:v>3.5488188269785052E-2</c:v>
                </c:pt>
                <c:pt idx="49">
                  <c:v>3.3880257452896689E-2</c:v>
                </c:pt>
                <c:pt idx="50">
                  <c:v>3.3157609646479305E-2</c:v>
                </c:pt>
                <c:pt idx="51">
                  <c:v>3.3691694055022391E-2</c:v>
                </c:pt>
                <c:pt idx="52">
                  <c:v>3.302926286058297E-2</c:v>
                </c:pt>
                <c:pt idx="53">
                  <c:v>3.0485944973130331E-2</c:v>
                </c:pt>
                <c:pt idx="54">
                  <c:v>2.611845834694387E-2</c:v>
                </c:pt>
                <c:pt idx="55">
                  <c:v>2.0460600656848193E-2</c:v>
                </c:pt>
                <c:pt idx="56">
                  <c:v>1.5698178306257936E-2</c:v>
                </c:pt>
                <c:pt idx="57">
                  <c:v>1.2166903717305782E-2</c:v>
                </c:pt>
                <c:pt idx="58">
                  <c:v>9.8401389335020985E-3</c:v>
                </c:pt>
                <c:pt idx="59">
                  <c:v>7.9493758471386108E-3</c:v>
                </c:pt>
                <c:pt idx="60">
                  <c:v>6.4407283936090002E-3</c:v>
                </c:pt>
                <c:pt idx="61">
                  <c:v>5.3212927396948367E-3</c:v>
                </c:pt>
                <c:pt idx="62">
                  <c:v>4.9387226008712577E-3</c:v>
                </c:pt>
                <c:pt idx="63">
                  <c:v>4.5643253320856031E-3</c:v>
                </c:pt>
                <c:pt idx="64">
                  <c:v>4.5469546543553431E-3</c:v>
                </c:pt>
                <c:pt idx="65">
                  <c:v>4.5349789800992156E-3</c:v>
                </c:pt>
                <c:pt idx="66">
                  <c:v>4.5313810167140365E-3</c:v>
                </c:pt>
                <c:pt idx="67">
                  <c:v>4.5330476555211722E-3</c:v>
                </c:pt>
                <c:pt idx="68">
                  <c:v>4.5440430231814743E-3</c:v>
                </c:pt>
                <c:pt idx="69">
                  <c:v>4.564147369766733E-3</c:v>
                </c:pt>
                <c:pt idx="70">
                  <c:v>4.597300809546746E-3</c:v>
                </c:pt>
                <c:pt idx="71">
                  <c:v>4.6529309707669898E-3</c:v>
                </c:pt>
                <c:pt idx="72">
                  <c:v>4.7389952470484227E-3</c:v>
                </c:pt>
                <c:pt idx="73">
                  <c:v>5.1781445723155517E-3</c:v>
                </c:pt>
                <c:pt idx="74">
                  <c:v>5.8936764001358164E-3</c:v>
                </c:pt>
                <c:pt idx="75">
                  <c:v>6.4404725042860782E-3</c:v>
                </c:pt>
                <c:pt idx="76">
                  <c:v>6.8168880921982465E-3</c:v>
                </c:pt>
                <c:pt idx="77">
                  <c:v>6.8037015234778059E-3</c:v>
                </c:pt>
                <c:pt idx="78">
                  <c:v>7.1700253200894064E-3</c:v>
                </c:pt>
                <c:pt idx="79">
                  <c:v>6.9514357357242052E-3</c:v>
                </c:pt>
                <c:pt idx="80">
                  <c:v>6.4908488338569128E-3</c:v>
                </c:pt>
                <c:pt idx="81">
                  <c:v>6.3972797352382293E-3</c:v>
                </c:pt>
                <c:pt idx="82">
                  <c:v>6.0699455064644539E-3</c:v>
                </c:pt>
                <c:pt idx="83">
                  <c:v>6.06829015154113E-3</c:v>
                </c:pt>
                <c:pt idx="84">
                  <c:v>5.8039036903193373E-3</c:v>
                </c:pt>
                <c:pt idx="85">
                  <c:v>5.8502739259242639E-3</c:v>
                </c:pt>
                <c:pt idx="86">
                  <c:v>5.9145278496019549E-3</c:v>
                </c:pt>
                <c:pt idx="87">
                  <c:v>5.6869567811864774E-3</c:v>
                </c:pt>
                <c:pt idx="88">
                  <c:v>5.4590310472519233E-3</c:v>
                </c:pt>
                <c:pt idx="89">
                  <c:v>5.2396458833151305E-3</c:v>
                </c:pt>
                <c:pt idx="90">
                  <c:v>5.0212997599248244E-3</c:v>
                </c:pt>
                <c:pt idx="91">
                  <c:v>4.79902098132711E-3</c:v>
                </c:pt>
                <c:pt idx="92">
                  <c:v>4.5679248619008087E-3</c:v>
                </c:pt>
                <c:pt idx="93">
                  <c:v>4.3328407445576492E-3</c:v>
                </c:pt>
                <c:pt idx="94">
                  <c:v>4.0878123264199507E-3</c:v>
                </c:pt>
                <c:pt idx="95">
                  <c:v>3.8317986824260098E-3</c:v>
                </c:pt>
                <c:pt idx="96">
                  <c:v>3.5600082558130651E-3</c:v>
                </c:pt>
                <c:pt idx="97">
                  <c:v>3.6430955508164496E-3</c:v>
                </c:pt>
                <c:pt idx="98">
                  <c:v>3.3611057660164925E-3</c:v>
                </c:pt>
                <c:pt idx="99">
                  <c:v>3.447738808424747E-3</c:v>
                </c:pt>
                <c:pt idx="100">
                  <c:v>3.5231131470065073E-3</c:v>
                </c:pt>
                <c:pt idx="101">
                  <c:v>3.2095655214584083E-3</c:v>
                </c:pt>
                <c:pt idx="102">
                  <c:v>2.8639924954010818E-3</c:v>
                </c:pt>
                <c:pt idx="103">
                  <c:v>2.4975669831291888E-3</c:v>
                </c:pt>
                <c:pt idx="104">
                  <c:v>2.1193098423216172E-3</c:v>
                </c:pt>
                <c:pt idx="105">
                  <c:v>2.1523821257284216E-3</c:v>
                </c:pt>
                <c:pt idx="106">
                  <c:v>2.1771478191281754E-3</c:v>
                </c:pt>
                <c:pt idx="107">
                  <c:v>1.7555952784772332E-3</c:v>
                </c:pt>
                <c:pt idx="108">
                  <c:v>1.7632855809285278E-3</c:v>
                </c:pt>
                <c:pt idx="109">
                  <c:v>1.3234358342625945E-3</c:v>
                </c:pt>
                <c:pt idx="110">
                  <c:v>1.3197512884176011E-3</c:v>
                </c:pt>
                <c:pt idx="111">
                  <c:v>1.3116470172517679E-3</c:v>
                </c:pt>
                <c:pt idx="112">
                  <c:v>1.3004417427459366E-3</c:v>
                </c:pt>
                <c:pt idx="113">
                  <c:v>1.2795647043737869E-3</c:v>
                </c:pt>
                <c:pt idx="114">
                  <c:v>1.2641789389968565E-3</c:v>
                </c:pt>
                <c:pt idx="115">
                  <c:v>1.243582021130887E-3</c:v>
                </c:pt>
                <c:pt idx="116">
                  <c:v>8.1449110281308094E-4</c:v>
                </c:pt>
                <c:pt idx="117">
                  <c:v>7.9908107246701697E-4</c:v>
                </c:pt>
                <c:pt idx="118">
                  <c:v>7.8323739410774188E-4</c:v>
                </c:pt>
                <c:pt idx="119">
                  <c:v>7.6827181229578603E-4</c:v>
                </c:pt>
                <c:pt idx="120">
                  <c:v>7.5380433615673391E-4</c:v>
                </c:pt>
                <c:pt idx="121">
                  <c:v>7.4078445547634715E-4</c:v>
                </c:pt>
                <c:pt idx="122">
                  <c:v>7.2770658964066697E-4</c:v>
                </c:pt>
                <c:pt idx="123">
                  <c:v>7.1727497919140716E-4</c:v>
                </c:pt>
                <c:pt idx="124">
                  <c:v>7.0663888998990934E-4</c:v>
                </c:pt>
                <c:pt idx="125">
                  <c:v>6.9712204727687696E-4</c:v>
                </c:pt>
                <c:pt idx="126">
                  <c:v>3.4402102914411964E-4</c:v>
                </c:pt>
                <c:pt idx="127">
                  <c:v>3.4019424486242357E-4</c:v>
                </c:pt>
                <c:pt idx="128">
                  <c:v>6.7490764495862956E-4</c:v>
                </c:pt>
                <c:pt idx="129">
                  <c:v>6.6997509377610316E-4</c:v>
                </c:pt>
                <c:pt idx="130">
                  <c:v>6.6485633929805462E-4</c:v>
                </c:pt>
                <c:pt idx="131">
                  <c:v>6.5971854751507516E-4</c:v>
                </c:pt>
                <c:pt idx="132">
                  <c:v>6.5579165991806743E-4</c:v>
                </c:pt>
                <c:pt idx="133">
                  <c:v>6.5204101394975337E-4</c:v>
                </c:pt>
                <c:pt idx="134">
                  <c:v>6.4874166169043269E-4</c:v>
                </c:pt>
                <c:pt idx="135">
                  <c:v>6.4640201317538095E-4</c:v>
                </c:pt>
                <c:pt idx="136">
                  <c:v>6.4487469177898168E-4</c:v>
                </c:pt>
                <c:pt idx="137">
                  <c:v>6.4309046643745791E-4</c:v>
                </c:pt>
                <c:pt idx="138">
                  <c:v>6.4130463434208362E-4</c:v>
                </c:pt>
                <c:pt idx="139">
                  <c:v>6.3999449588431827E-4</c:v>
                </c:pt>
                <c:pt idx="140">
                  <c:v>6.3887091840965642E-4</c:v>
                </c:pt>
                <c:pt idx="141">
                  <c:v>6.3815797142308421E-4</c:v>
                </c:pt>
                <c:pt idx="142">
                  <c:v>6.3657932912354045E-4</c:v>
                </c:pt>
                <c:pt idx="143">
                  <c:v>6.3616341695647393E-4</c:v>
                </c:pt>
                <c:pt idx="144">
                  <c:v>6.3497488328655204E-4</c:v>
                </c:pt>
                <c:pt idx="145">
                  <c:v>6.3430410114832044E-4</c:v>
                </c:pt>
                <c:pt idx="146">
                  <c:v>6.3388000899026445E-4</c:v>
                </c:pt>
                <c:pt idx="147">
                  <c:v>6.3274444175255833E-4</c:v>
                </c:pt>
                <c:pt idx="148">
                  <c:v>6.3194531862405571E-4</c:v>
                </c:pt>
                <c:pt idx="149">
                  <c:v>6.3049651015748638E-4</c:v>
                </c:pt>
                <c:pt idx="150">
                  <c:v>6.3105976023351341E-4</c:v>
                </c:pt>
                <c:pt idx="151">
                  <c:v>6.2513569926481757E-4</c:v>
                </c:pt>
                <c:pt idx="152">
                  <c:v>6.249188327522797E-4</c:v>
                </c:pt>
                <c:pt idx="153">
                  <c:v>6.2856044523676771E-4</c:v>
                </c:pt>
                <c:pt idx="154">
                  <c:v>6.3881428635922813E-4</c:v>
                </c:pt>
                <c:pt idx="155">
                  <c:v>6.4591527951307506E-4</c:v>
                </c:pt>
                <c:pt idx="156">
                  <c:v>6.5304566914884516E-4</c:v>
                </c:pt>
                <c:pt idx="157">
                  <c:v>6.5532643073851855E-4</c:v>
                </c:pt>
                <c:pt idx="158">
                  <c:v>6.578993892313534E-4</c:v>
                </c:pt>
                <c:pt idx="159">
                  <c:v>6.6199758243613307E-4</c:v>
                </c:pt>
                <c:pt idx="160">
                  <c:v>6.7235074975037024E-4</c:v>
                </c:pt>
              </c:numCache>
            </c:numRef>
          </c:yVal>
        </c:ser>
        <c:axId val="72480640"/>
        <c:axId val="72482176"/>
      </c:scatterChart>
      <c:valAx>
        <c:axId val="7248064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2482176"/>
        <c:crosses val="autoZero"/>
        <c:crossBetween val="midCat"/>
        <c:majorUnit val="50"/>
        <c:minorUnit val="5"/>
      </c:valAx>
      <c:valAx>
        <c:axId val="72482176"/>
        <c:scaling>
          <c:orientation val="minMax"/>
        </c:scaling>
        <c:axPos val="l"/>
        <c:majorGridlines/>
        <c:numFmt formatCode="General" sourceLinked="1"/>
        <c:tickLblPos val="nextTo"/>
        <c:crossAx val="72480640"/>
        <c:crosses val="autoZero"/>
        <c:crossBetween val="midCat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Calculations!$AG$3:$AG$163</c:f>
              <c:numCache>
                <c:formatCode>General</c:formatCode>
                <c:ptCount val="161"/>
                <c:pt idx="0">
                  <c:v>2.0618556388439124E-2</c:v>
                </c:pt>
                <c:pt idx="1">
                  <c:v>1.0309278194219562E-2</c:v>
                </c:pt>
                <c:pt idx="2">
                  <c:v>1.0309278194219562E-2</c:v>
                </c:pt>
                <c:pt idx="3">
                  <c:v>1.0309278194219562E-2</c:v>
                </c:pt>
                <c:pt idx="4">
                  <c:v>1.0309278194219562E-2</c:v>
                </c:pt>
                <c:pt idx="5">
                  <c:v>1.0309278194219562E-2</c:v>
                </c:pt>
                <c:pt idx="6">
                  <c:v>1.0309278194219562E-2</c:v>
                </c:pt>
                <c:pt idx="7">
                  <c:v>1.0309278194219562E-2</c:v>
                </c:pt>
                <c:pt idx="8">
                  <c:v>1.0309278194219562E-2</c:v>
                </c:pt>
                <c:pt idx="9">
                  <c:v>1.0309278194219562E-2</c:v>
                </c:pt>
                <c:pt idx="10">
                  <c:v>1.0309278194219562E-2</c:v>
                </c:pt>
                <c:pt idx="11">
                  <c:v>1.0309278194219562E-2</c:v>
                </c:pt>
                <c:pt idx="12">
                  <c:v>1.0309278194219562E-2</c:v>
                </c:pt>
                <c:pt idx="13">
                  <c:v>9.081915636286143E-3</c:v>
                </c:pt>
                <c:pt idx="14">
                  <c:v>8.1212792996835734E-3</c:v>
                </c:pt>
                <c:pt idx="15">
                  <c:v>7.3270432938421087E-3</c:v>
                </c:pt>
                <c:pt idx="16">
                  <c:v>6.6742192469359148E-3</c:v>
                </c:pt>
                <c:pt idx="17">
                  <c:v>5.9661997242645756E-3</c:v>
                </c:pt>
                <c:pt idx="18">
                  <c:v>1.0938917065397669E-2</c:v>
                </c:pt>
                <c:pt idx="19">
                  <c:v>9.9905499413333269E-3</c:v>
                </c:pt>
                <c:pt idx="20">
                  <c:v>9.1208831851055504E-3</c:v>
                </c:pt>
                <c:pt idx="21">
                  <c:v>8.3567542912335781E-3</c:v>
                </c:pt>
                <c:pt idx="22">
                  <c:v>7.6354597322869384E-3</c:v>
                </c:pt>
                <c:pt idx="23">
                  <c:v>1.0560799176044761E-2</c:v>
                </c:pt>
                <c:pt idx="24">
                  <c:v>9.7020129355256616E-3</c:v>
                </c:pt>
                <c:pt idx="25">
                  <c:v>8.9905214615315053E-3</c:v>
                </c:pt>
                <c:pt idx="26">
                  <c:v>8.3883376811184317E-3</c:v>
                </c:pt>
                <c:pt idx="27">
                  <c:v>1.0513881437357294E-2</c:v>
                </c:pt>
                <c:pt idx="28">
                  <c:v>9.9189597645780343E-3</c:v>
                </c:pt>
                <c:pt idx="29">
                  <c:v>1.1673997628905707E-2</c:v>
                </c:pt>
                <c:pt idx="30">
                  <c:v>1.3180994347491159E-2</c:v>
                </c:pt>
                <c:pt idx="31">
                  <c:v>1.2576826978895382E-2</c:v>
                </c:pt>
                <c:pt idx="32">
                  <c:v>1.3983650646058414E-2</c:v>
                </c:pt>
                <c:pt idx="33">
                  <c:v>1.6854696014461979E-2</c:v>
                </c:pt>
                <c:pt idx="34">
                  <c:v>1.7806936180617482E-2</c:v>
                </c:pt>
                <c:pt idx="35">
                  <c:v>2.088302735101745E-2</c:v>
                </c:pt>
                <c:pt idx="36">
                  <c:v>2.177074876555652E-2</c:v>
                </c:pt>
                <c:pt idx="37">
                  <c:v>2.0923770723205701E-2</c:v>
                </c:pt>
                <c:pt idx="38">
                  <c:v>2.1515329677577428E-2</c:v>
                </c:pt>
                <c:pt idx="39">
                  <c:v>2.2119205827538742E-2</c:v>
                </c:pt>
                <c:pt idx="40">
                  <c:v>2.4163891617838239E-2</c:v>
                </c:pt>
                <c:pt idx="41">
                  <c:v>2.737293383468507E-2</c:v>
                </c:pt>
                <c:pt idx="42">
                  <c:v>2.9024312632449832E-2</c:v>
                </c:pt>
                <c:pt idx="43">
                  <c:v>3.184551582021479E-2</c:v>
                </c:pt>
                <c:pt idx="44">
                  <c:v>3.3308713209456102E-2</c:v>
                </c:pt>
                <c:pt idx="45">
                  <c:v>3.351866607928914E-2</c:v>
                </c:pt>
                <c:pt idx="46">
                  <c:v>3.379574913080232E-2</c:v>
                </c:pt>
                <c:pt idx="47">
                  <c:v>3.409124706627828E-2</c:v>
                </c:pt>
                <c:pt idx="48">
                  <c:v>3.4356707062499929E-2</c:v>
                </c:pt>
                <c:pt idx="49">
                  <c:v>3.4704559203979121E-2</c:v>
                </c:pt>
                <c:pt idx="50">
                  <c:v>3.2902944249695809E-2</c:v>
                </c:pt>
                <c:pt idx="51">
                  <c:v>3.2224510001636092E-2</c:v>
                </c:pt>
                <c:pt idx="52">
                  <c:v>3.0571863868825187E-2</c:v>
                </c:pt>
                <c:pt idx="53">
                  <c:v>2.8024827879382454E-2</c:v>
                </c:pt>
                <c:pt idx="54">
                  <c:v>2.4589996918587438E-2</c:v>
                </c:pt>
                <c:pt idx="55">
                  <c:v>2.0376227379249479E-2</c:v>
                </c:pt>
                <c:pt idx="56">
                  <c:v>1.6271543573086848E-2</c:v>
                </c:pt>
                <c:pt idx="57">
                  <c:v>1.3218251993851671E-2</c:v>
                </c:pt>
                <c:pt idx="58">
                  <c:v>1.0266206929415671E-2</c:v>
                </c:pt>
                <c:pt idx="59">
                  <c:v>8.3278467281711777E-3</c:v>
                </c:pt>
                <c:pt idx="60">
                  <c:v>6.414168412789756E-3</c:v>
                </c:pt>
                <c:pt idx="61">
                  <c:v>5.4507593087061599E-3</c:v>
                </c:pt>
                <c:pt idx="62">
                  <c:v>5.4202299103234108E-3</c:v>
                </c:pt>
                <c:pt idx="63">
                  <c:v>4.4955528673920071E-3</c:v>
                </c:pt>
                <c:pt idx="64">
                  <c:v>4.4784439204179904E-3</c:v>
                </c:pt>
                <c:pt idx="65">
                  <c:v>4.4666486883028229E-3</c:v>
                </c:pt>
                <c:pt idx="66">
                  <c:v>4.4631049368310978E-3</c:v>
                </c:pt>
                <c:pt idx="67">
                  <c:v>4.4647464637432256E-3</c:v>
                </c:pt>
                <c:pt idx="68">
                  <c:v>4.4755761599232554E-3</c:v>
                </c:pt>
                <c:pt idx="69">
                  <c:v>4.495377586500599E-3</c:v>
                </c:pt>
                <c:pt idx="70">
                  <c:v>4.5280314905111717E-3</c:v>
                </c:pt>
                <c:pt idx="71">
                  <c:v>4.5828234504595809E-3</c:v>
                </c:pt>
                <c:pt idx="72">
                  <c:v>5.6011090642456539E-3</c:v>
                </c:pt>
                <c:pt idx="73">
                  <c:v>5.6829946443827852E-3</c:v>
                </c:pt>
                <c:pt idx="74">
                  <c:v>5.6597522214127723E-3</c:v>
                </c:pt>
                <c:pt idx="75">
                  <c:v>6.4139135786915064E-3</c:v>
                </c:pt>
                <c:pt idx="76">
                  <c:v>6.982741991010683E-3</c:v>
                </c:pt>
                <c:pt idx="77">
                  <c:v>6.6373663117966376E-3</c:v>
                </c:pt>
                <c:pt idx="78">
                  <c:v>7.184809015972635E-3</c:v>
                </c:pt>
                <c:pt idx="79">
                  <c:v>6.9657687272104158E-3</c:v>
                </c:pt>
                <c:pt idx="80">
                  <c:v>6.7998790425220735E-3</c:v>
                </c:pt>
                <c:pt idx="81">
                  <c:v>6.7018551062063671E-3</c:v>
                </c:pt>
                <c:pt idx="82">
                  <c:v>5.9215489803636405E-3</c:v>
                </c:pt>
                <c:pt idx="83">
                  <c:v>5.9199340951479641E-3</c:v>
                </c:pt>
                <c:pt idx="84">
                  <c:v>5.9451118255200632E-3</c:v>
                </c:pt>
                <c:pt idx="85">
                  <c:v>5.9926102422334232E-3</c:v>
                </c:pt>
                <c:pt idx="86">
                  <c:v>6.058427454557167E-3</c:v>
                </c:pt>
                <c:pt idx="87">
                  <c:v>6.1319153527494719E-3</c:v>
                </c:pt>
                <c:pt idx="88">
                  <c:v>5.4365193449962372E-3</c:v>
                </c:pt>
                <c:pt idx="89">
                  <c:v>5.5249822993289899E-3</c:v>
                </c:pt>
                <c:pt idx="90">
                  <c:v>5.6256675651411838E-3</c:v>
                </c:pt>
                <c:pt idx="91">
                  <c:v>4.9157807258965102E-3</c:v>
                </c:pt>
                <c:pt idx="92">
                  <c:v>5.0132807540591243E-3</c:v>
                </c:pt>
                <c:pt idx="93">
                  <c:v>4.2675561481610317E-3</c:v>
                </c:pt>
                <c:pt idx="94">
                  <c:v>4.3617379468918784E-3</c:v>
                </c:pt>
                <c:pt idx="95">
                  <c:v>4.4602567810081437E-3</c:v>
                </c:pt>
                <c:pt idx="96">
                  <c:v>4.5582785924687926E-3</c:v>
                </c:pt>
                <c:pt idx="97">
                  <c:v>3.7317315373072155E-3</c:v>
                </c:pt>
                <c:pt idx="98">
                  <c:v>3.825423271759974E-3</c:v>
                </c:pt>
                <c:pt idx="99">
                  <c:v>3.9240241726547663E-3</c:v>
                </c:pt>
                <c:pt idx="100">
                  <c:v>4.009811044290738E-3</c:v>
                </c:pt>
                <c:pt idx="101">
                  <c:v>3.0821755991600522E-3</c:v>
                </c:pt>
                <c:pt idx="102">
                  <c:v>3.1432212418199333E-3</c:v>
                </c:pt>
                <c:pt idx="103">
                  <c:v>3.1979156491743969E-3</c:v>
                </c:pt>
                <c:pt idx="104">
                  <c:v>2.1708723434785437E-3</c:v>
                </c:pt>
                <c:pt idx="105">
                  <c:v>2.2047492707450477E-3</c:v>
                </c:pt>
                <c:pt idx="106">
                  <c:v>2.2301175098741119E-3</c:v>
                </c:pt>
                <c:pt idx="107">
                  <c:v>2.2478859035944525E-3</c:v>
                </c:pt>
                <c:pt idx="108">
                  <c:v>2.2577326619484831E-3</c:v>
                </c:pt>
                <c:pt idx="109">
                  <c:v>2.2593914304445389E-3</c:v>
                </c:pt>
                <c:pt idx="110">
                  <c:v>2.2531011131569642E-3</c:v>
                </c:pt>
                <c:pt idx="111">
                  <c:v>2.2392653680849074E-3</c:v>
                </c:pt>
                <c:pt idx="112">
                  <c:v>2.2201355390906964E-3</c:v>
                </c:pt>
                <c:pt idx="113">
                  <c:v>1.0922469578482782E-3</c:v>
                </c:pt>
                <c:pt idx="114">
                  <c:v>1.0791135419532657E-3</c:v>
                </c:pt>
                <c:pt idx="115">
                  <c:v>1.0615318434246512E-3</c:v>
                </c:pt>
                <c:pt idx="116">
                  <c:v>1.0428844797331046E-3</c:v>
                </c:pt>
                <c:pt idx="117">
                  <c:v>1.0231532863233537E-3</c:v>
                </c:pt>
                <c:pt idx="118">
                  <c:v>1.0028668446351585E-3</c:v>
                </c:pt>
                <c:pt idx="119">
                  <c:v>9.8370472862436349E-4</c:v>
                </c:pt>
                <c:pt idx="120">
                  <c:v>9.6518039327654192E-4</c:v>
                </c:pt>
                <c:pt idx="121">
                  <c:v>9.4850957705441754E-4</c:v>
                </c:pt>
                <c:pt idx="122">
                  <c:v>9.3176451592243289E-4</c:v>
                </c:pt>
                <c:pt idx="123">
                  <c:v>9.184077529098215E-4</c:v>
                </c:pt>
                <c:pt idx="124">
                  <c:v>9.0478917277433729E-4</c:v>
                </c:pt>
                <c:pt idx="125">
                  <c:v>8.9260368968286611E-4</c:v>
                </c:pt>
                <c:pt idx="126">
                  <c:v>8.809775595020788E-4</c:v>
                </c:pt>
                <c:pt idx="127">
                  <c:v>8.7117783567235564E-4</c:v>
                </c:pt>
                <c:pt idx="128">
                  <c:v>8.6416009425962169E-4</c:v>
                </c:pt>
                <c:pt idx="129">
                  <c:v>8.5784439473143858E-4</c:v>
                </c:pt>
                <c:pt idx="130">
                  <c:v>8.5129027820114874E-4</c:v>
                </c:pt>
                <c:pt idx="131">
                  <c:v>8.4471178607021732E-4</c:v>
                </c:pt>
                <c:pt idx="132">
                  <c:v>8.3968375063259073E-4</c:v>
                </c:pt>
                <c:pt idx="133">
                  <c:v>8.3488137715568124E-4</c:v>
                </c:pt>
                <c:pt idx="134">
                  <c:v>8.3065684572429554E-4</c:v>
                </c:pt>
                <c:pt idx="135">
                  <c:v>8.2766113083440791E-4</c:v>
                </c:pt>
                <c:pt idx="136">
                  <c:v>8.2570552963217518E-4</c:v>
                </c:pt>
                <c:pt idx="137">
                  <c:v>8.2342098544182737E-4</c:v>
                </c:pt>
                <c:pt idx="138">
                  <c:v>8.2113438394398083E-4</c:v>
                </c:pt>
                <c:pt idx="139">
                  <c:v>8.1945686646197778E-4</c:v>
                </c:pt>
                <c:pt idx="140">
                  <c:v>8.1801822396968351E-4</c:v>
                </c:pt>
                <c:pt idx="141">
                  <c:v>8.1710535783204149E-4</c:v>
                </c:pt>
                <c:pt idx="142">
                  <c:v>8.1508404471080764E-4</c:v>
                </c:pt>
                <c:pt idx="143">
                  <c:v>8.1455150562908195E-4</c:v>
                </c:pt>
                <c:pt idx="144">
                  <c:v>8.1302969242115269E-4</c:v>
                </c:pt>
                <c:pt idx="145">
                  <c:v>8.121708146767208E-4</c:v>
                </c:pt>
                <c:pt idx="146">
                  <c:v>8.1162780183338147E-4</c:v>
                </c:pt>
                <c:pt idx="147">
                  <c:v>8.1017380750022432E-4</c:v>
                </c:pt>
                <c:pt idx="148">
                  <c:v>8.0915060036483306E-4</c:v>
                </c:pt>
                <c:pt idx="149">
                  <c:v>8.0729552808881592E-4</c:v>
                </c:pt>
                <c:pt idx="150">
                  <c:v>8.0801672045110009E-4</c:v>
                </c:pt>
                <c:pt idx="151">
                  <c:v>8.0043147953206769E-4</c:v>
                </c:pt>
                <c:pt idx="152">
                  <c:v>8.0015380096772428E-4</c:v>
                </c:pt>
                <c:pt idx="153">
                  <c:v>8.048165666236758E-4</c:v>
                </c:pt>
                <c:pt idx="154">
                  <c:v>8.1794571159202439E-4</c:v>
                </c:pt>
                <c:pt idx="155">
                  <c:v>8.2703791103442572E-4</c:v>
                </c:pt>
                <c:pt idx="156">
                  <c:v>8.3616775009578742E-4</c:v>
                </c:pt>
                <c:pt idx="157">
                  <c:v>8.3908806543824682E-4</c:v>
                </c:pt>
                <c:pt idx="158">
                  <c:v>8.4238251330871164E-4</c:v>
                </c:pt>
                <c:pt idx="159">
                  <c:v>8.4762989056483024E-4</c:v>
                </c:pt>
                <c:pt idx="160">
                  <c:v>8.6088621401736009E-4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Calculations!$AH$3:$AH$163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Calculations!$AI$3:$AI$163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Calculations!$AJ$3:$AJ$163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Calculations!$AK$3:$AK$163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Calculations!$AL$3:$AL$163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Calculations!$AM$3:$AM$163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Calculations!$AN$3:$AN$163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72531328"/>
        <c:axId val="72635520"/>
      </c:scatterChart>
      <c:valAx>
        <c:axId val="7253132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2635520"/>
        <c:crosses val="autoZero"/>
        <c:crossBetween val="midCat"/>
        <c:majorUnit val="50"/>
        <c:minorUnit val="5"/>
      </c:valAx>
      <c:valAx>
        <c:axId val="72635520"/>
        <c:scaling>
          <c:orientation val="minMax"/>
        </c:scaling>
        <c:axPos val="l"/>
        <c:majorGridlines/>
        <c:numFmt formatCode="General" sourceLinked="1"/>
        <c:tickLblPos val="nextTo"/>
        <c:crossAx val="72531328"/>
        <c:crosses val="autoZero"/>
        <c:crossBetween val="midCat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IRcal!$N$5:$N$165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IRcal!$L$5:$L$165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0.17637648083191332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0.14692829374723804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4.7837343612853418E-2</c:v>
                </c:pt>
                <c:pt idx="27">
                  <c:v>4.7553673603857434E-2</c:v>
                </c:pt>
                <c:pt idx="28">
                  <c:v>9.4120973595117258E-2</c:v>
                </c:pt>
                <c:pt idx="29">
                  <c:v>0</c:v>
                </c:pt>
                <c:pt idx="30">
                  <c:v>3.7584547721494548E-2</c:v>
                </c:pt>
                <c:pt idx="31">
                  <c:v>7.3784649630970575E-2</c:v>
                </c:pt>
                <c:pt idx="32">
                  <c:v>0.1119645981639855</c:v>
                </c:pt>
                <c:pt idx="33">
                  <c:v>0</c:v>
                </c:pt>
                <c:pt idx="34">
                  <c:v>3.0465029304458036E-2</c:v>
                </c:pt>
                <c:pt idx="35">
                  <c:v>2.9773138404880026E-2</c:v>
                </c:pt>
                <c:pt idx="36">
                  <c:v>2.8651173959950264E-2</c:v>
                </c:pt>
                <c:pt idx="37">
                  <c:v>5.6655592580888259E-2</c:v>
                </c:pt>
                <c:pt idx="38">
                  <c:v>5.4096125122025635E-2</c:v>
                </c:pt>
                <c:pt idx="39">
                  <c:v>8.2648784949883855E-2</c:v>
                </c:pt>
                <c:pt idx="40">
                  <c:v>7.9666573529560678E-2</c:v>
                </c:pt>
                <c:pt idx="41">
                  <c:v>7.6709568574601025E-2</c:v>
                </c:pt>
                <c:pt idx="42">
                  <c:v>4.64392762568007E-2</c:v>
                </c:pt>
                <c:pt idx="43">
                  <c:v>4.4838849837758647E-2</c:v>
                </c:pt>
                <c:pt idx="44">
                  <c:v>4.3425045127479391E-2</c:v>
                </c:pt>
                <c:pt idx="45">
                  <c:v>4.2138093659757181E-2</c:v>
                </c:pt>
                <c:pt idx="46">
                  <c:v>4.1021380272809188E-2</c:v>
                </c:pt>
                <c:pt idx="47">
                  <c:v>4.0000721412803558E-2</c:v>
                </c:pt>
                <c:pt idx="48">
                  <c:v>6.2116652226451304E-2</c:v>
                </c:pt>
                <c:pt idx="49">
                  <c:v>6.0784767300944641E-2</c:v>
                </c:pt>
                <c:pt idx="50">
                  <c:v>6.2110742991201846E-2</c:v>
                </c:pt>
                <c:pt idx="51">
                  <c:v>3.6590708595062998E-2</c:v>
                </c:pt>
                <c:pt idx="52">
                  <c:v>3.5871278258303212E-2</c:v>
                </c:pt>
                <c:pt idx="53">
                  <c:v>3.523149815050864E-2</c:v>
                </c:pt>
                <c:pt idx="54">
                  <c:v>3.4622996391962778E-2</c:v>
                </c:pt>
                <c:pt idx="55">
                  <c:v>5.4382938936511215E-2</c:v>
                </c:pt>
                <c:pt idx="56">
                  <c:v>5.3646082469092964E-2</c:v>
                </c:pt>
                <c:pt idx="57">
                  <c:v>7.4934298568341898E-2</c:v>
                </c:pt>
                <c:pt idx="58">
                  <c:v>0.1053266567257793</c:v>
                </c:pt>
                <c:pt idx="59">
                  <c:v>0.10442660907517932</c:v>
                </c:pt>
                <c:pt idx="60">
                  <c:v>7.2723868653008047E-2</c:v>
                </c:pt>
                <c:pt idx="61">
                  <c:v>5.0917133971805098E-2</c:v>
                </c:pt>
                <c:pt idx="62">
                  <c:v>9.642558154264555E-2</c:v>
                </c:pt>
                <c:pt idx="63">
                  <c:v>7.135883446259611E-2</c:v>
                </c:pt>
                <c:pt idx="64">
                  <c:v>7.1087260631532159E-2</c:v>
                </c:pt>
                <c:pt idx="65">
                  <c:v>7.0900032488346657E-2</c:v>
                </c:pt>
                <c:pt idx="66">
                  <c:v>7.0843781793024696E-2</c:v>
                </c:pt>
                <c:pt idx="67">
                  <c:v>7.0869838087020937E-2</c:v>
                </c:pt>
                <c:pt idx="68">
                  <c:v>7.1041740079898469E-2</c:v>
                </c:pt>
                <c:pt idx="69">
                  <c:v>7.1356052192988045E-2</c:v>
                </c:pt>
                <c:pt idx="70">
                  <c:v>7.1874374321451787E-2</c:v>
                </c:pt>
                <c:pt idx="71">
                  <c:v>0.13585822441548553</c:v>
                </c:pt>
                <c:pt idx="72">
                  <c:v>0.13266234175748073</c:v>
                </c:pt>
                <c:pt idx="73">
                  <c:v>0.10110015120293177</c:v>
                </c:pt>
                <c:pt idx="74">
                  <c:v>0.16564122691442171</c:v>
                </c:pt>
                <c:pt idx="75">
                  <c:v>0.16089677507582414</c:v>
                </c:pt>
                <c:pt idx="76">
                  <c:v>0.12403975435477044</c:v>
                </c:pt>
                <c:pt idx="77">
                  <c:v>0.14568944169975573</c:v>
                </c:pt>
                <c:pt idx="78">
                  <c:v>0.14018287982917807</c:v>
                </c:pt>
                <c:pt idx="79">
                  <c:v>0.13590918258697715</c:v>
                </c:pt>
                <c:pt idx="80">
                  <c:v>0.13267250730697069</c:v>
                </c:pt>
                <c:pt idx="81">
                  <c:v>0.13075996131522905</c:v>
                </c:pt>
                <c:pt idx="82">
                  <c:v>0.12997733203509368</c:v>
                </c:pt>
                <c:pt idx="83">
                  <c:v>0.10516028974060661</c:v>
                </c:pt>
                <c:pt idx="84">
                  <c:v>7.932240231362267E-2</c:v>
                </c:pt>
                <c:pt idx="85">
                  <c:v>7.9956147923524234E-2</c:v>
                </c:pt>
                <c:pt idx="86">
                  <c:v>0.10619565781917405</c:v>
                </c:pt>
                <c:pt idx="87">
                  <c:v>8.1814820450635359E-2</c:v>
                </c:pt>
                <c:pt idx="88">
                  <c:v>8.2898889241942567E-2</c:v>
                </c:pt>
                <c:pt idx="89">
                  <c:v>0.11068013539870411</c:v>
                </c:pt>
                <c:pt idx="90">
                  <c:v>8.5783120191389756E-2</c:v>
                </c:pt>
                <c:pt idx="91">
                  <c:v>8.7451459268895942E-2</c:v>
                </c:pt>
                <c:pt idx="92">
                  <c:v>8.9185979219442352E-2</c:v>
                </c:pt>
                <c:pt idx="93">
                  <c:v>9.1103495637169796E-2</c:v>
                </c:pt>
                <c:pt idx="94">
                  <c:v>9.3114082209879295E-2</c:v>
                </c:pt>
                <c:pt idx="95">
                  <c:v>9.5217255516212462E-2</c:v>
                </c:pt>
                <c:pt idx="96">
                  <c:v>9.7309818417019481E-2</c:v>
                </c:pt>
                <c:pt idx="97">
                  <c:v>9.9580939439376251E-2</c:v>
                </c:pt>
                <c:pt idx="98">
                  <c:v>0.10208109542359869</c:v>
                </c:pt>
                <c:pt idx="99">
                  <c:v>0.13756517889801889</c:v>
                </c:pt>
                <c:pt idx="100">
                  <c:v>0.17602980005064728</c:v>
                </c:pt>
                <c:pt idx="101">
                  <c:v>0.29853370054512995</c:v>
                </c:pt>
                <c:pt idx="102">
                  <c:v>0.44729997026552226</c:v>
                </c:pt>
                <c:pt idx="103">
                  <c:v>0.65160514372042366</c:v>
                </c:pt>
                <c:pt idx="104">
                  <c:v>0.7184236426386289</c:v>
                </c:pt>
                <c:pt idx="105">
                  <c:v>0.93993751111002277</c:v>
                </c:pt>
                <c:pt idx="106">
                  <c:v>1</c:v>
                </c:pt>
                <c:pt idx="107">
                  <c:v>0.95832769264047635</c:v>
                </c:pt>
                <c:pt idx="108">
                  <c:v>0.94911240274505126</c:v>
                </c:pt>
                <c:pt idx="109">
                  <c:v>0.92346716249739269</c:v>
                </c:pt>
                <c:pt idx="110">
                  <c:v>0.77190546656188208</c:v>
                </c:pt>
                <c:pt idx="111">
                  <c:v>0.76716538313077787</c:v>
                </c:pt>
                <c:pt idx="112">
                  <c:v>0.7694885427263356</c:v>
                </c:pt>
                <c:pt idx="113">
                  <c:v>0.78703408793638163</c:v>
                </c:pt>
                <c:pt idx="114">
                  <c:v>0.67810039832173064</c:v>
                </c:pt>
                <c:pt idx="115">
                  <c:v>0.66967514046951071</c:v>
                </c:pt>
                <c:pt idx="116">
                  <c:v>0.65110527984214928</c:v>
                </c:pt>
                <c:pt idx="117">
                  <c:v>0.63878648091826162</c:v>
                </c:pt>
                <c:pt idx="118">
                  <c:v>0.56743469593614959</c:v>
                </c:pt>
                <c:pt idx="119">
                  <c:v>0.4407800513044467</c:v>
                </c:pt>
                <c:pt idx="120">
                  <c:v>0.49502814766946585</c:v>
                </c:pt>
                <c:pt idx="121">
                  <c:v>0.55029245562389972</c:v>
                </c:pt>
                <c:pt idx="122">
                  <c:v>0.52372028360023803</c:v>
                </c:pt>
                <c:pt idx="123">
                  <c:v>0.50050020264578998</c:v>
                </c:pt>
                <c:pt idx="124">
                  <c:v>0.40541943775434536</c:v>
                </c:pt>
                <c:pt idx="125">
                  <c:v>0.44253339751455778</c:v>
                </c:pt>
                <c:pt idx="126">
                  <c:v>0.48010205234022962</c:v>
                </c:pt>
                <c:pt idx="127">
                  <c:v>0.43320943100189641</c:v>
                </c:pt>
                <c:pt idx="128">
                  <c:v>0.38721429266247176</c:v>
                </c:pt>
                <c:pt idx="129">
                  <c:v>0.30183134634904635</c:v>
                </c:pt>
                <c:pt idx="130">
                  <c:v>0.29952528964620428</c:v>
                </c:pt>
                <c:pt idx="131">
                  <c:v>0.29721065642248629</c:v>
                </c:pt>
                <c:pt idx="132">
                  <c:v>0.26067020754205084</c:v>
                </c:pt>
                <c:pt idx="133">
                  <c:v>0.2274906201127441</c:v>
                </c:pt>
                <c:pt idx="134">
                  <c:v>0.22633950894736418</c:v>
                </c:pt>
                <c:pt idx="135">
                  <c:v>0.22552322886658999</c:v>
                </c:pt>
                <c:pt idx="136">
                  <c:v>0.2249903616325587</c:v>
                </c:pt>
                <c:pt idx="137">
                  <c:v>0.22436786316899521</c:v>
                </c:pt>
                <c:pt idx="138">
                  <c:v>0.22374480412500503</c:v>
                </c:pt>
                <c:pt idx="139">
                  <c:v>0.14389588612542403</c:v>
                </c:pt>
                <c:pt idx="140">
                  <c:v>0.14364326180226694</c:v>
                </c:pt>
                <c:pt idx="141">
                  <c:v>0.14348296333243166</c:v>
                </c:pt>
                <c:pt idx="142">
                  <c:v>0.1431280225727396</c:v>
                </c:pt>
                <c:pt idx="143">
                  <c:v>0.14303450919064764</c:v>
                </c:pt>
                <c:pt idx="144">
                  <c:v>8.678251343002788E-2</c:v>
                </c:pt>
                <c:pt idx="145">
                  <c:v>6.4458773538311753E-2</c:v>
                </c:pt>
                <c:pt idx="146">
                  <c:v>8.663287610448521E-2</c:v>
                </c:pt>
                <c:pt idx="147">
                  <c:v>8.6477677242843845E-2</c:v>
                </c:pt>
                <c:pt idx="148">
                  <c:v>4.5351072788344639E-2</c:v>
                </c:pt>
                <c:pt idx="149">
                  <c:v>4.5247100156081424E-2</c:v>
                </c:pt>
                <c:pt idx="150">
                  <c:v>4.5287521367289314E-2</c:v>
                </c:pt>
                <c:pt idx="151">
                  <c:v>4.4862385659695386E-2</c:v>
                </c:pt>
                <c:pt idx="152">
                  <c:v>2.8165642648288042E-2</c:v>
                </c:pt>
                <c:pt idx="153">
                  <c:v>2.8329773332988164E-2</c:v>
                </c:pt>
                <c:pt idx="154">
                  <c:v>2.8791922990977471E-2</c:v>
                </c:pt>
                <c:pt idx="155">
                  <c:v>2.9111971011835359E-2</c:v>
                </c:pt>
                <c:pt idx="156">
                  <c:v>2.943334395804607E-2</c:v>
                </c:pt>
                <c:pt idx="157">
                  <c:v>1.4355554026375731E-2</c:v>
                </c:pt>
                <c:pt idx="158">
                  <c:v>1.4411917150032885E-2</c:v>
                </c:pt>
                <c:pt idx="159">
                  <c:v>1.4501692002994998E-2</c:v>
                </c:pt>
                <c:pt idx="160">
                  <c:v>1.4728488063328084E-2</c:v>
                </c:pt>
              </c:numCache>
            </c:numRef>
          </c:yVal>
        </c:ser>
        <c:axId val="72688384"/>
        <c:axId val="72689920"/>
      </c:scatterChart>
      <c:valAx>
        <c:axId val="72688384"/>
        <c:scaling>
          <c:orientation val="minMax"/>
          <c:max val="1100"/>
          <c:min val="300"/>
        </c:scaling>
        <c:axPos val="b"/>
        <c:majorGridlines/>
        <c:minorGridlines/>
        <c:numFmt formatCode="General" sourceLinked="1"/>
        <c:tickLblPos val="nextTo"/>
        <c:crossAx val="72689920"/>
        <c:crosses val="autoZero"/>
        <c:crossBetween val="midCat"/>
        <c:majorUnit val="100"/>
        <c:minorUnit val="20"/>
      </c:valAx>
      <c:valAx>
        <c:axId val="72689920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72688384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-60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data0!$B$2:$B$162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0.97680097818374634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0.97680097818374634</c:v>
                </c:pt>
                <c:pt idx="11">
                  <c:v>0.97680097818374634</c:v>
                </c:pt>
                <c:pt idx="12">
                  <c:v>0.97680097818374634</c:v>
                </c:pt>
                <c:pt idx="13">
                  <c:v>0.97680097818374634</c:v>
                </c:pt>
                <c:pt idx="14">
                  <c:v>0.97680097818374634</c:v>
                </c:pt>
                <c:pt idx="15">
                  <c:v>0.97680097818374634</c:v>
                </c:pt>
                <c:pt idx="16">
                  <c:v>0.97680097818374634</c:v>
                </c:pt>
                <c:pt idx="17">
                  <c:v>0.97680097818374634</c:v>
                </c:pt>
                <c:pt idx="18">
                  <c:v>0.97680097818374634</c:v>
                </c:pt>
                <c:pt idx="19">
                  <c:v>0.97680097818374634</c:v>
                </c:pt>
                <c:pt idx="20">
                  <c:v>0.97680097818374634</c:v>
                </c:pt>
                <c:pt idx="21">
                  <c:v>0.97680097818374634</c:v>
                </c:pt>
                <c:pt idx="22">
                  <c:v>0.97680097818374634</c:v>
                </c:pt>
                <c:pt idx="23">
                  <c:v>1.4652014970779419</c:v>
                </c:pt>
                <c:pt idx="24">
                  <c:v>1.4652014970779419</c:v>
                </c:pt>
                <c:pt idx="25">
                  <c:v>1.4652014970779419</c:v>
                </c:pt>
                <c:pt idx="26">
                  <c:v>1.4652014970779419</c:v>
                </c:pt>
                <c:pt idx="27">
                  <c:v>1.9536019563674927</c:v>
                </c:pt>
                <c:pt idx="28">
                  <c:v>1.9536019563674927</c:v>
                </c:pt>
                <c:pt idx="29">
                  <c:v>1.9536019563674927</c:v>
                </c:pt>
                <c:pt idx="30">
                  <c:v>2.442002534866333</c:v>
                </c:pt>
                <c:pt idx="31">
                  <c:v>2.442002534866333</c:v>
                </c:pt>
                <c:pt idx="32">
                  <c:v>2.9304029941558838</c:v>
                </c:pt>
                <c:pt idx="33">
                  <c:v>3.4188034534454346</c:v>
                </c:pt>
                <c:pt idx="34">
                  <c:v>3.9072039127349854</c:v>
                </c:pt>
                <c:pt idx="35">
                  <c:v>3.9072039127349854</c:v>
                </c:pt>
                <c:pt idx="36">
                  <c:v>4.3956046104431152</c:v>
                </c:pt>
                <c:pt idx="37">
                  <c:v>4.884005069732666</c:v>
                </c:pt>
                <c:pt idx="38">
                  <c:v>4.884005069732666</c:v>
                </c:pt>
                <c:pt idx="39">
                  <c:v>5.3724055290222168</c:v>
                </c:pt>
                <c:pt idx="40">
                  <c:v>5.8608059883117676</c:v>
                </c:pt>
                <c:pt idx="41">
                  <c:v>6.8376069068908691</c:v>
                </c:pt>
                <c:pt idx="42">
                  <c:v>7.8144078254699707</c:v>
                </c:pt>
                <c:pt idx="43">
                  <c:v>8.3028087615966797</c:v>
                </c:pt>
                <c:pt idx="44">
                  <c:v>8.7912092208862305</c:v>
                </c:pt>
                <c:pt idx="45">
                  <c:v>9.2796096801757812</c:v>
                </c:pt>
                <c:pt idx="46">
                  <c:v>9.768010139465332</c:v>
                </c:pt>
                <c:pt idx="47">
                  <c:v>9.768010139465332</c:v>
                </c:pt>
                <c:pt idx="48">
                  <c:v>10.256410598754883</c:v>
                </c:pt>
                <c:pt idx="49">
                  <c:v>10.256410598754883</c:v>
                </c:pt>
                <c:pt idx="50">
                  <c:v>10.744811058044434</c:v>
                </c:pt>
                <c:pt idx="51">
                  <c:v>10.744811058044434</c:v>
                </c:pt>
                <c:pt idx="52">
                  <c:v>10.256410598754883</c:v>
                </c:pt>
                <c:pt idx="53">
                  <c:v>9.2796096801757812</c:v>
                </c:pt>
                <c:pt idx="54">
                  <c:v>8.3028087615966797</c:v>
                </c:pt>
                <c:pt idx="55">
                  <c:v>7.3260073661804199</c:v>
                </c:pt>
                <c:pt idx="56">
                  <c:v>5.8608059883117676</c:v>
                </c:pt>
                <c:pt idx="57">
                  <c:v>4.884005069732666</c:v>
                </c:pt>
                <c:pt idx="58">
                  <c:v>3.9072039127349854</c:v>
                </c:pt>
                <c:pt idx="59">
                  <c:v>3.4188034534454346</c:v>
                </c:pt>
                <c:pt idx="60">
                  <c:v>2.9304029941558838</c:v>
                </c:pt>
                <c:pt idx="61">
                  <c:v>2.442002534866333</c:v>
                </c:pt>
                <c:pt idx="62">
                  <c:v>2.442002534866333</c:v>
                </c:pt>
                <c:pt idx="63">
                  <c:v>2.442002534866333</c:v>
                </c:pt>
                <c:pt idx="64">
                  <c:v>1.9536019563674927</c:v>
                </c:pt>
                <c:pt idx="65">
                  <c:v>1.9536019563674927</c:v>
                </c:pt>
                <c:pt idx="66">
                  <c:v>1.9536019563674927</c:v>
                </c:pt>
                <c:pt idx="67">
                  <c:v>1.9536019563674927</c:v>
                </c:pt>
                <c:pt idx="68">
                  <c:v>1.9536019563674927</c:v>
                </c:pt>
                <c:pt idx="69">
                  <c:v>1.9536019563674927</c:v>
                </c:pt>
                <c:pt idx="70">
                  <c:v>1.9536019563674927</c:v>
                </c:pt>
                <c:pt idx="71">
                  <c:v>2.442002534866333</c:v>
                </c:pt>
                <c:pt idx="72">
                  <c:v>2.442002534866333</c:v>
                </c:pt>
                <c:pt idx="73">
                  <c:v>2.442002534866333</c:v>
                </c:pt>
                <c:pt idx="74">
                  <c:v>2.442002534866333</c:v>
                </c:pt>
                <c:pt idx="75">
                  <c:v>2.442002534866333</c:v>
                </c:pt>
                <c:pt idx="76">
                  <c:v>2.9304029941558838</c:v>
                </c:pt>
                <c:pt idx="77">
                  <c:v>2.9304029941558838</c:v>
                </c:pt>
                <c:pt idx="78">
                  <c:v>2.9304029941558838</c:v>
                </c:pt>
                <c:pt idx="79">
                  <c:v>2.9304029941558838</c:v>
                </c:pt>
                <c:pt idx="80">
                  <c:v>2.9304029941558838</c:v>
                </c:pt>
                <c:pt idx="81">
                  <c:v>2.9304029941558838</c:v>
                </c:pt>
                <c:pt idx="82">
                  <c:v>2.9304029941558838</c:v>
                </c:pt>
                <c:pt idx="83">
                  <c:v>2.9304029941558838</c:v>
                </c:pt>
                <c:pt idx="84">
                  <c:v>2.9304029941558838</c:v>
                </c:pt>
                <c:pt idx="85">
                  <c:v>2.9304029941558838</c:v>
                </c:pt>
                <c:pt idx="86">
                  <c:v>2.9304029941558838</c:v>
                </c:pt>
                <c:pt idx="87">
                  <c:v>2.442002534866333</c:v>
                </c:pt>
                <c:pt idx="88">
                  <c:v>2.442002534866333</c:v>
                </c:pt>
                <c:pt idx="89">
                  <c:v>2.442002534866333</c:v>
                </c:pt>
                <c:pt idx="90">
                  <c:v>2.442002534866333</c:v>
                </c:pt>
                <c:pt idx="91">
                  <c:v>1.9536019563674927</c:v>
                </c:pt>
                <c:pt idx="92">
                  <c:v>1.9536019563674927</c:v>
                </c:pt>
                <c:pt idx="93">
                  <c:v>1.9536019563674927</c:v>
                </c:pt>
                <c:pt idx="94">
                  <c:v>1.9536019563674927</c:v>
                </c:pt>
                <c:pt idx="95">
                  <c:v>1.9536019563674927</c:v>
                </c:pt>
                <c:pt idx="96">
                  <c:v>1.9536019563674927</c:v>
                </c:pt>
                <c:pt idx="97">
                  <c:v>1.4652014970779419</c:v>
                </c:pt>
                <c:pt idx="98">
                  <c:v>1.4652014970779419</c:v>
                </c:pt>
                <c:pt idx="99">
                  <c:v>1.4652014970779419</c:v>
                </c:pt>
                <c:pt idx="100">
                  <c:v>1.4652014970779419</c:v>
                </c:pt>
                <c:pt idx="101">
                  <c:v>1.4652014970779419</c:v>
                </c:pt>
                <c:pt idx="102">
                  <c:v>1.4652014970779419</c:v>
                </c:pt>
                <c:pt idx="103">
                  <c:v>0.97680097818374634</c:v>
                </c:pt>
                <c:pt idx="104">
                  <c:v>0.97680097818374634</c:v>
                </c:pt>
                <c:pt idx="105">
                  <c:v>0.97680097818374634</c:v>
                </c:pt>
                <c:pt idx="106">
                  <c:v>0.97680097818374634</c:v>
                </c:pt>
                <c:pt idx="107">
                  <c:v>0.97680097818374634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0.97680097818374634</c:v>
                </c:pt>
                <c:pt idx="136">
                  <c:v>0.97680097818374634</c:v>
                </c:pt>
                <c:pt idx="137">
                  <c:v>0.97680097818374634</c:v>
                </c:pt>
                <c:pt idx="138">
                  <c:v>0.97680097818374634</c:v>
                </c:pt>
                <c:pt idx="139">
                  <c:v>0.97680097818374634</c:v>
                </c:pt>
                <c:pt idx="140">
                  <c:v>0.97680097818374634</c:v>
                </c:pt>
                <c:pt idx="141">
                  <c:v>0.97680097818374634</c:v>
                </c:pt>
                <c:pt idx="142">
                  <c:v>0.97680097818374634</c:v>
                </c:pt>
                <c:pt idx="143">
                  <c:v>0.97680097818374634</c:v>
                </c:pt>
                <c:pt idx="144">
                  <c:v>0.97680097818374634</c:v>
                </c:pt>
                <c:pt idx="145">
                  <c:v>0.97680097818374634</c:v>
                </c:pt>
                <c:pt idx="146">
                  <c:v>0.97680097818374634</c:v>
                </c:pt>
                <c:pt idx="147">
                  <c:v>0.97680097818374634</c:v>
                </c:pt>
                <c:pt idx="148">
                  <c:v>0.97680097818374634</c:v>
                </c:pt>
                <c:pt idx="149">
                  <c:v>0.97680097818374634</c:v>
                </c:pt>
                <c:pt idx="150">
                  <c:v>0.97680097818374634</c:v>
                </c:pt>
                <c:pt idx="151">
                  <c:v>0.97680097818374634</c:v>
                </c:pt>
                <c:pt idx="152">
                  <c:v>0.97680097818374634</c:v>
                </c:pt>
                <c:pt idx="153">
                  <c:v>0.97680097818374634</c:v>
                </c:pt>
                <c:pt idx="154">
                  <c:v>0.97680097818374634</c:v>
                </c:pt>
                <c:pt idx="155">
                  <c:v>0.97680097818374634</c:v>
                </c:pt>
                <c:pt idx="156">
                  <c:v>0.97680097818374634</c:v>
                </c:pt>
                <c:pt idx="157">
                  <c:v>0.97680097818374634</c:v>
                </c:pt>
                <c:pt idx="158">
                  <c:v>0.97680097818374634</c:v>
                </c:pt>
                <c:pt idx="159">
                  <c:v>0.97680097818374634</c:v>
                </c:pt>
                <c:pt idx="160">
                  <c:v>0.97680097818374634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-55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data0!$C$2:$C$162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0.97680097818374634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0.97680097818374634</c:v>
                </c:pt>
                <c:pt idx="11">
                  <c:v>0.97680097818374634</c:v>
                </c:pt>
                <c:pt idx="12">
                  <c:v>0.97680097818374634</c:v>
                </c:pt>
                <c:pt idx="13">
                  <c:v>0.97680097818374634</c:v>
                </c:pt>
                <c:pt idx="14">
                  <c:v>0.97680097818374634</c:v>
                </c:pt>
                <c:pt idx="15">
                  <c:v>0.97680097818374634</c:v>
                </c:pt>
                <c:pt idx="16">
                  <c:v>0.97680097818374634</c:v>
                </c:pt>
                <c:pt idx="17">
                  <c:v>0.97680097818374634</c:v>
                </c:pt>
                <c:pt idx="18">
                  <c:v>0.97680097818374634</c:v>
                </c:pt>
                <c:pt idx="19">
                  <c:v>0.97680097818374634</c:v>
                </c:pt>
                <c:pt idx="20">
                  <c:v>0.97680097818374634</c:v>
                </c:pt>
                <c:pt idx="21">
                  <c:v>1.4652014970779419</c:v>
                </c:pt>
                <c:pt idx="22">
                  <c:v>1.4652014970779419</c:v>
                </c:pt>
                <c:pt idx="23">
                  <c:v>1.4652014970779419</c:v>
                </c:pt>
                <c:pt idx="24">
                  <c:v>1.4652014970779419</c:v>
                </c:pt>
                <c:pt idx="25">
                  <c:v>1.4652014970779419</c:v>
                </c:pt>
                <c:pt idx="26">
                  <c:v>1.9536019563674927</c:v>
                </c:pt>
                <c:pt idx="27">
                  <c:v>1.9536019563674927</c:v>
                </c:pt>
                <c:pt idx="28">
                  <c:v>2.442002534866333</c:v>
                </c:pt>
                <c:pt idx="29">
                  <c:v>2.442002534866333</c:v>
                </c:pt>
                <c:pt idx="30">
                  <c:v>2.9304029941558838</c:v>
                </c:pt>
                <c:pt idx="31">
                  <c:v>2.9304029941558838</c:v>
                </c:pt>
                <c:pt idx="32">
                  <c:v>3.4188034534454346</c:v>
                </c:pt>
                <c:pt idx="33">
                  <c:v>3.9072039127349854</c:v>
                </c:pt>
                <c:pt idx="34">
                  <c:v>4.884005069732666</c:v>
                </c:pt>
                <c:pt idx="35">
                  <c:v>5.3724055290222168</c:v>
                </c:pt>
                <c:pt idx="36">
                  <c:v>5.8608059883117676</c:v>
                </c:pt>
                <c:pt idx="37">
                  <c:v>6.3492064476013184</c:v>
                </c:pt>
                <c:pt idx="38">
                  <c:v>6.8376069068908691</c:v>
                </c:pt>
                <c:pt idx="39">
                  <c:v>7.3260073661804199</c:v>
                </c:pt>
                <c:pt idx="40">
                  <c:v>8.3028087615966797</c:v>
                </c:pt>
                <c:pt idx="41">
                  <c:v>9.2796096801757812</c:v>
                </c:pt>
                <c:pt idx="42">
                  <c:v>10.256410598754883</c:v>
                </c:pt>
                <c:pt idx="43">
                  <c:v>11.721611976623535</c:v>
                </c:pt>
                <c:pt idx="44">
                  <c:v>12.698412895202637</c:v>
                </c:pt>
                <c:pt idx="45">
                  <c:v>13.186813354492187</c:v>
                </c:pt>
                <c:pt idx="46">
                  <c:v>14.163614273071289</c:v>
                </c:pt>
                <c:pt idx="47">
                  <c:v>14.163614273071289</c:v>
                </c:pt>
                <c:pt idx="48">
                  <c:v>14.65201473236084</c:v>
                </c:pt>
                <c:pt idx="49">
                  <c:v>15.140415191650391</c:v>
                </c:pt>
                <c:pt idx="50">
                  <c:v>15.140415191650391</c:v>
                </c:pt>
                <c:pt idx="51">
                  <c:v>15.140415191650391</c:v>
                </c:pt>
                <c:pt idx="52">
                  <c:v>14.65201473236084</c:v>
                </c:pt>
                <c:pt idx="53">
                  <c:v>13.675213813781738</c:v>
                </c:pt>
                <c:pt idx="54">
                  <c:v>12.210012435913086</c:v>
                </c:pt>
                <c:pt idx="55">
                  <c:v>10.744811058044434</c:v>
                </c:pt>
                <c:pt idx="56">
                  <c:v>9.2796096801757812</c:v>
                </c:pt>
                <c:pt idx="57">
                  <c:v>7.3260073661804199</c:v>
                </c:pt>
                <c:pt idx="58">
                  <c:v>6.3492064476013184</c:v>
                </c:pt>
                <c:pt idx="59">
                  <c:v>5.3724055290222168</c:v>
                </c:pt>
                <c:pt idx="60">
                  <c:v>4.3956046104431152</c:v>
                </c:pt>
                <c:pt idx="61">
                  <c:v>3.9072039127349854</c:v>
                </c:pt>
                <c:pt idx="62">
                  <c:v>3.4188034534454346</c:v>
                </c:pt>
                <c:pt idx="63">
                  <c:v>3.4188034534454346</c:v>
                </c:pt>
                <c:pt idx="64">
                  <c:v>2.9304029941558838</c:v>
                </c:pt>
                <c:pt idx="65">
                  <c:v>2.9304029941558838</c:v>
                </c:pt>
                <c:pt idx="66">
                  <c:v>2.9304029941558838</c:v>
                </c:pt>
                <c:pt idx="67">
                  <c:v>3.4188034534454346</c:v>
                </c:pt>
                <c:pt idx="68">
                  <c:v>3.4188034534454346</c:v>
                </c:pt>
                <c:pt idx="69">
                  <c:v>3.4188034534454346</c:v>
                </c:pt>
                <c:pt idx="70">
                  <c:v>3.4188034534454346</c:v>
                </c:pt>
                <c:pt idx="71">
                  <c:v>3.4188034534454346</c:v>
                </c:pt>
                <c:pt idx="72">
                  <c:v>3.4188034534454346</c:v>
                </c:pt>
                <c:pt idx="73">
                  <c:v>3.4188034534454346</c:v>
                </c:pt>
                <c:pt idx="74">
                  <c:v>3.9072039127349854</c:v>
                </c:pt>
                <c:pt idx="75">
                  <c:v>4.3956046104431152</c:v>
                </c:pt>
                <c:pt idx="76">
                  <c:v>4.884005069732666</c:v>
                </c:pt>
                <c:pt idx="77">
                  <c:v>5.3724055290222168</c:v>
                </c:pt>
                <c:pt idx="78">
                  <c:v>5.3724055290222168</c:v>
                </c:pt>
                <c:pt idx="79">
                  <c:v>5.8608059883117676</c:v>
                </c:pt>
                <c:pt idx="80">
                  <c:v>5.8608059883117676</c:v>
                </c:pt>
                <c:pt idx="81">
                  <c:v>5.8608059883117676</c:v>
                </c:pt>
                <c:pt idx="82">
                  <c:v>5.8608059883117676</c:v>
                </c:pt>
                <c:pt idx="83">
                  <c:v>5.8608059883117676</c:v>
                </c:pt>
                <c:pt idx="84">
                  <c:v>5.8608059883117676</c:v>
                </c:pt>
                <c:pt idx="85">
                  <c:v>5.3724055290222168</c:v>
                </c:pt>
                <c:pt idx="86">
                  <c:v>5.3724055290222168</c:v>
                </c:pt>
                <c:pt idx="87">
                  <c:v>5.3724055290222168</c:v>
                </c:pt>
                <c:pt idx="88">
                  <c:v>5.3724055290222168</c:v>
                </c:pt>
                <c:pt idx="89">
                  <c:v>5.3724055290222168</c:v>
                </c:pt>
                <c:pt idx="90">
                  <c:v>5.3724055290222168</c:v>
                </c:pt>
                <c:pt idx="91">
                  <c:v>5.3724055290222168</c:v>
                </c:pt>
                <c:pt idx="92">
                  <c:v>4.884005069732666</c:v>
                </c:pt>
                <c:pt idx="93">
                  <c:v>4.884005069732666</c:v>
                </c:pt>
                <c:pt idx="94">
                  <c:v>4.884005069732666</c:v>
                </c:pt>
                <c:pt idx="95">
                  <c:v>4.3956046104431152</c:v>
                </c:pt>
                <c:pt idx="96">
                  <c:v>4.3956046104431152</c:v>
                </c:pt>
                <c:pt idx="97">
                  <c:v>4.3956046104431152</c:v>
                </c:pt>
                <c:pt idx="98">
                  <c:v>3.9072039127349854</c:v>
                </c:pt>
                <c:pt idx="99">
                  <c:v>3.9072039127349854</c:v>
                </c:pt>
                <c:pt idx="100">
                  <c:v>3.9072039127349854</c:v>
                </c:pt>
                <c:pt idx="101">
                  <c:v>3.9072039127349854</c:v>
                </c:pt>
                <c:pt idx="102">
                  <c:v>3.9072039127349854</c:v>
                </c:pt>
                <c:pt idx="103">
                  <c:v>3.4188034534454346</c:v>
                </c:pt>
                <c:pt idx="104">
                  <c:v>3.4188034534454346</c:v>
                </c:pt>
                <c:pt idx="105">
                  <c:v>3.4188034534454346</c:v>
                </c:pt>
                <c:pt idx="106">
                  <c:v>2.9304029941558838</c:v>
                </c:pt>
                <c:pt idx="107">
                  <c:v>2.9304029941558838</c:v>
                </c:pt>
                <c:pt idx="108">
                  <c:v>2.9304029941558838</c:v>
                </c:pt>
                <c:pt idx="109">
                  <c:v>2.9304029941558838</c:v>
                </c:pt>
                <c:pt idx="110">
                  <c:v>2.9304029941558838</c:v>
                </c:pt>
                <c:pt idx="111">
                  <c:v>2.9304029941558838</c:v>
                </c:pt>
                <c:pt idx="112">
                  <c:v>2.9304029941558838</c:v>
                </c:pt>
                <c:pt idx="113">
                  <c:v>2.9304029941558838</c:v>
                </c:pt>
                <c:pt idx="114">
                  <c:v>2.9304029941558838</c:v>
                </c:pt>
                <c:pt idx="115">
                  <c:v>2.9304029941558838</c:v>
                </c:pt>
                <c:pt idx="116">
                  <c:v>2.9304029941558838</c:v>
                </c:pt>
                <c:pt idx="117">
                  <c:v>2.9304029941558838</c:v>
                </c:pt>
                <c:pt idx="118">
                  <c:v>2.442002534866333</c:v>
                </c:pt>
                <c:pt idx="119">
                  <c:v>2.442002534866333</c:v>
                </c:pt>
                <c:pt idx="120">
                  <c:v>2.442002534866333</c:v>
                </c:pt>
                <c:pt idx="121">
                  <c:v>2.442002534866333</c:v>
                </c:pt>
                <c:pt idx="122">
                  <c:v>2.442002534866333</c:v>
                </c:pt>
                <c:pt idx="123">
                  <c:v>2.442002534866333</c:v>
                </c:pt>
                <c:pt idx="124">
                  <c:v>2.442002534866333</c:v>
                </c:pt>
                <c:pt idx="125">
                  <c:v>2.442002534866333</c:v>
                </c:pt>
                <c:pt idx="126">
                  <c:v>2.442002534866333</c:v>
                </c:pt>
                <c:pt idx="127">
                  <c:v>2.442002534866333</c:v>
                </c:pt>
                <c:pt idx="128">
                  <c:v>2.442002534866333</c:v>
                </c:pt>
                <c:pt idx="129">
                  <c:v>1.9536019563674927</c:v>
                </c:pt>
                <c:pt idx="130">
                  <c:v>1.9536019563674927</c:v>
                </c:pt>
                <c:pt idx="131">
                  <c:v>1.9536019563674927</c:v>
                </c:pt>
                <c:pt idx="132">
                  <c:v>1.9536019563674927</c:v>
                </c:pt>
                <c:pt idx="133">
                  <c:v>1.9536019563674927</c:v>
                </c:pt>
                <c:pt idx="134">
                  <c:v>1.9536019563674927</c:v>
                </c:pt>
                <c:pt idx="135">
                  <c:v>1.9536019563674927</c:v>
                </c:pt>
                <c:pt idx="136">
                  <c:v>1.4652014970779419</c:v>
                </c:pt>
                <c:pt idx="137">
                  <c:v>1.4652014970779419</c:v>
                </c:pt>
                <c:pt idx="138">
                  <c:v>1.4652014970779419</c:v>
                </c:pt>
                <c:pt idx="139">
                  <c:v>1.4652014970779419</c:v>
                </c:pt>
                <c:pt idx="140">
                  <c:v>1.4652014970779419</c:v>
                </c:pt>
                <c:pt idx="141">
                  <c:v>1.4652014970779419</c:v>
                </c:pt>
                <c:pt idx="142">
                  <c:v>1.4652014970779419</c:v>
                </c:pt>
                <c:pt idx="143">
                  <c:v>1.4652014970779419</c:v>
                </c:pt>
                <c:pt idx="144">
                  <c:v>1.4652014970779419</c:v>
                </c:pt>
                <c:pt idx="145">
                  <c:v>0.97680097818374634</c:v>
                </c:pt>
                <c:pt idx="146">
                  <c:v>0.97680097818374634</c:v>
                </c:pt>
                <c:pt idx="147">
                  <c:v>0.97680097818374634</c:v>
                </c:pt>
                <c:pt idx="148">
                  <c:v>0.97680097818374634</c:v>
                </c:pt>
                <c:pt idx="149">
                  <c:v>0.97680097818374634</c:v>
                </c:pt>
                <c:pt idx="150">
                  <c:v>0.97680097818374634</c:v>
                </c:pt>
                <c:pt idx="151">
                  <c:v>0.97680097818374634</c:v>
                </c:pt>
                <c:pt idx="152">
                  <c:v>0.97680097818374634</c:v>
                </c:pt>
                <c:pt idx="153">
                  <c:v>0.97680097818374634</c:v>
                </c:pt>
                <c:pt idx="154">
                  <c:v>0.97680097818374634</c:v>
                </c:pt>
                <c:pt idx="155">
                  <c:v>0.97680097818374634</c:v>
                </c:pt>
                <c:pt idx="156">
                  <c:v>0.97680097818374634</c:v>
                </c:pt>
                <c:pt idx="157">
                  <c:v>0.97680097818374634</c:v>
                </c:pt>
                <c:pt idx="158">
                  <c:v>0.97680097818374634</c:v>
                </c:pt>
                <c:pt idx="159">
                  <c:v>0.97680097818374634</c:v>
                </c:pt>
                <c:pt idx="160">
                  <c:v>0.97680097818374634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-50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data0!$D$2:$D$162</c:f>
              <c:numCache>
                <c:formatCode>General</c:formatCode>
                <c:ptCount val="161"/>
                <c:pt idx="0">
                  <c:v>1.4652014970779419</c:v>
                </c:pt>
                <c:pt idx="1">
                  <c:v>0.48840048909187317</c:v>
                </c:pt>
                <c:pt idx="2">
                  <c:v>0.48840048909187317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0.97680097818374634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0.97680097818374634</c:v>
                </c:pt>
                <c:pt idx="11">
                  <c:v>0.97680097818374634</c:v>
                </c:pt>
                <c:pt idx="12">
                  <c:v>0.97680097818374634</c:v>
                </c:pt>
                <c:pt idx="13">
                  <c:v>0.97680097818374634</c:v>
                </c:pt>
                <c:pt idx="14">
                  <c:v>0.97680097818374634</c:v>
                </c:pt>
                <c:pt idx="15">
                  <c:v>0.97680097818374634</c:v>
                </c:pt>
                <c:pt idx="16">
                  <c:v>0.97680097818374634</c:v>
                </c:pt>
                <c:pt idx="17">
                  <c:v>1.4652014970779419</c:v>
                </c:pt>
                <c:pt idx="18">
                  <c:v>1.4652014970779419</c:v>
                </c:pt>
                <c:pt idx="19">
                  <c:v>1.4652014970779419</c:v>
                </c:pt>
                <c:pt idx="20">
                  <c:v>1.4652014970779419</c:v>
                </c:pt>
                <c:pt idx="21">
                  <c:v>1.4652014970779419</c:v>
                </c:pt>
                <c:pt idx="22">
                  <c:v>1.9536019563674927</c:v>
                </c:pt>
                <c:pt idx="23">
                  <c:v>2.442002534866333</c:v>
                </c:pt>
                <c:pt idx="24">
                  <c:v>2.442002534866333</c:v>
                </c:pt>
                <c:pt idx="25">
                  <c:v>2.9304029941558838</c:v>
                </c:pt>
                <c:pt idx="26">
                  <c:v>2.9304029941558838</c:v>
                </c:pt>
                <c:pt idx="27">
                  <c:v>3.4188034534454346</c:v>
                </c:pt>
                <c:pt idx="28">
                  <c:v>3.9072039127349854</c:v>
                </c:pt>
                <c:pt idx="29">
                  <c:v>4.3956046104431152</c:v>
                </c:pt>
                <c:pt idx="30">
                  <c:v>4.884005069732666</c:v>
                </c:pt>
                <c:pt idx="31">
                  <c:v>5.8608059883117676</c:v>
                </c:pt>
                <c:pt idx="32">
                  <c:v>6.8376069068908691</c:v>
                </c:pt>
                <c:pt idx="33">
                  <c:v>7.8144078254699707</c:v>
                </c:pt>
                <c:pt idx="34">
                  <c:v>9.2796096801757812</c:v>
                </c:pt>
                <c:pt idx="35">
                  <c:v>10.744811058044434</c:v>
                </c:pt>
                <c:pt idx="36">
                  <c:v>12.210012435913086</c:v>
                </c:pt>
                <c:pt idx="37">
                  <c:v>13.186813354492187</c:v>
                </c:pt>
                <c:pt idx="38">
                  <c:v>14.163614273071289</c:v>
                </c:pt>
                <c:pt idx="39">
                  <c:v>15.628815650939941</c:v>
                </c:pt>
                <c:pt idx="40">
                  <c:v>17.094017028808594</c:v>
                </c:pt>
                <c:pt idx="41">
                  <c:v>18.559219360351562</c:v>
                </c:pt>
                <c:pt idx="42">
                  <c:v>21.489622116088867</c:v>
                </c:pt>
                <c:pt idx="43">
                  <c:v>24.420024871826172</c:v>
                </c:pt>
                <c:pt idx="44">
                  <c:v>26.862026214599609</c:v>
                </c:pt>
                <c:pt idx="45">
                  <c:v>29.30402946472168</c:v>
                </c:pt>
                <c:pt idx="46">
                  <c:v>30.280830383300781</c:v>
                </c:pt>
                <c:pt idx="47">
                  <c:v>30.769229888916016</c:v>
                </c:pt>
                <c:pt idx="48">
                  <c:v>32.234432220458984</c:v>
                </c:pt>
                <c:pt idx="49">
                  <c:v>33.211235046386719</c:v>
                </c:pt>
                <c:pt idx="50">
                  <c:v>33.211235046386719</c:v>
                </c:pt>
                <c:pt idx="51">
                  <c:v>32.722831726074219</c:v>
                </c:pt>
                <c:pt idx="52">
                  <c:v>31.257631301879883</c:v>
                </c:pt>
                <c:pt idx="53">
                  <c:v>28.815628051757813</c:v>
                </c:pt>
                <c:pt idx="54">
                  <c:v>25.885225296020508</c:v>
                </c:pt>
                <c:pt idx="55">
                  <c:v>23.44322395324707</c:v>
                </c:pt>
                <c:pt idx="56">
                  <c:v>21.489622116088867</c:v>
                </c:pt>
                <c:pt idx="57">
                  <c:v>18.559219360351562</c:v>
                </c:pt>
                <c:pt idx="58">
                  <c:v>15.140415191650391</c:v>
                </c:pt>
                <c:pt idx="59">
                  <c:v>12.698412895202637</c:v>
                </c:pt>
                <c:pt idx="60">
                  <c:v>10.256410598754883</c:v>
                </c:pt>
                <c:pt idx="61">
                  <c:v>8.3028087615966797</c:v>
                </c:pt>
                <c:pt idx="62">
                  <c:v>7.3260073661804199</c:v>
                </c:pt>
                <c:pt idx="63">
                  <c:v>7.3260073661804199</c:v>
                </c:pt>
                <c:pt idx="64">
                  <c:v>6.8376069068908691</c:v>
                </c:pt>
                <c:pt idx="65">
                  <c:v>6.3492064476013184</c:v>
                </c:pt>
                <c:pt idx="66">
                  <c:v>6.3492064476013184</c:v>
                </c:pt>
                <c:pt idx="67">
                  <c:v>6.3492064476013184</c:v>
                </c:pt>
                <c:pt idx="68">
                  <c:v>6.8376069068908691</c:v>
                </c:pt>
                <c:pt idx="69">
                  <c:v>6.8376069068908691</c:v>
                </c:pt>
                <c:pt idx="70">
                  <c:v>6.8376069068908691</c:v>
                </c:pt>
                <c:pt idx="71">
                  <c:v>6.8376069068908691</c:v>
                </c:pt>
                <c:pt idx="72">
                  <c:v>7.3260073661804199</c:v>
                </c:pt>
                <c:pt idx="73">
                  <c:v>7.8144078254699707</c:v>
                </c:pt>
                <c:pt idx="74">
                  <c:v>8.7912092208862305</c:v>
                </c:pt>
                <c:pt idx="75">
                  <c:v>9.2796096801757812</c:v>
                </c:pt>
                <c:pt idx="76">
                  <c:v>10.256410598754883</c:v>
                </c:pt>
                <c:pt idx="77">
                  <c:v>11.233211517333984</c:v>
                </c:pt>
                <c:pt idx="78">
                  <c:v>12.210012435913086</c:v>
                </c:pt>
                <c:pt idx="79">
                  <c:v>12.698412895202637</c:v>
                </c:pt>
                <c:pt idx="80">
                  <c:v>13.186813354492187</c:v>
                </c:pt>
                <c:pt idx="81">
                  <c:v>13.675213813781738</c:v>
                </c:pt>
                <c:pt idx="82">
                  <c:v>13.675213813781738</c:v>
                </c:pt>
                <c:pt idx="83">
                  <c:v>14.163614273071289</c:v>
                </c:pt>
                <c:pt idx="84">
                  <c:v>13.675213813781738</c:v>
                </c:pt>
                <c:pt idx="85">
                  <c:v>13.186813354492187</c:v>
                </c:pt>
                <c:pt idx="86">
                  <c:v>12.698412895202637</c:v>
                </c:pt>
                <c:pt idx="87">
                  <c:v>12.210012435913086</c:v>
                </c:pt>
                <c:pt idx="88">
                  <c:v>12.698412895202637</c:v>
                </c:pt>
                <c:pt idx="89">
                  <c:v>12.698412895202637</c:v>
                </c:pt>
                <c:pt idx="90">
                  <c:v>12.698412895202637</c:v>
                </c:pt>
                <c:pt idx="91">
                  <c:v>12.210012435913086</c:v>
                </c:pt>
                <c:pt idx="92">
                  <c:v>12.210012435913086</c:v>
                </c:pt>
                <c:pt idx="93">
                  <c:v>11.721611976623535</c:v>
                </c:pt>
                <c:pt idx="94">
                  <c:v>11.233211517333984</c:v>
                </c:pt>
                <c:pt idx="95">
                  <c:v>11.233211517333984</c:v>
                </c:pt>
                <c:pt idx="96">
                  <c:v>10.744811058044434</c:v>
                </c:pt>
                <c:pt idx="97">
                  <c:v>9.768010139465332</c:v>
                </c:pt>
                <c:pt idx="98">
                  <c:v>9.2796096801757812</c:v>
                </c:pt>
                <c:pt idx="99">
                  <c:v>8.7912092208862305</c:v>
                </c:pt>
                <c:pt idx="100">
                  <c:v>8.3028087615966797</c:v>
                </c:pt>
                <c:pt idx="101">
                  <c:v>7.8144078254699707</c:v>
                </c:pt>
                <c:pt idx="102">
                  <c:v>7.8144078254699707</c:v>
                </c:pt>
                <c:pt idx="103">
                  <c:v>7.3260073661804199</c:v>
                </c:pt>
                <c:pt idx="104">
                  <c:v>7.3260073661804199</c:v>
                </c:pt>
                <c:pt idx="105">
                  <c:v>7.3260073661804199</c:v>
                </c:pt>
                <c:pt idx="106">
                  <c:v>6.8376069068908691</c:v>
                </c:pt>
                <c:pt idx="107">
                  <c:v>6.8376069068908691</c:v>
                </c:pt>
                <c:pt idx="108">
                  <c:v>6.3492064476013184</c:v>
                </c:pt>
                <c:pt idx="109">
                  <c:v>6.3492064476013184</c:v>
                </c:pt>
                <c:pt idx="110">
                  <c:v>6.3492064476013184</c:v>
                </c:pt>
                <c:pt idx="111">
                  <c:v>6.3492064476013184</c:v>
                </c:pt>
                <c:pt idx="112">
                  <c:v>6.3492064476013184</c:v>
                </c:pt>
                <c:pt idx="113">
                  <c:v>5.8608059883117676</c:v>
                </c:pt>
                <c:pt idx="114">
                  <c:v>5.8608059883117676</c:v>
                </c:pt>
                <c:pt idx="115">
                  <c:v>5.3724055290222168</c:v>
                </c:pt>
                <c:pt idx="116">
                  <c:v>5.3724055290222168</c:v>
                </c:pt>
                <c:pt idx="117">
                  <c:v>5.3724055290222168</c:v>
                </c:pt>
                <c:pt idx="118">
                  <c:v>5.3724055290222168</c:v>
                </c:pt>
                <c:pt idx="119">
                  <c:v>5.3724055290222168</c:v>
                </c:pt>
                <c:pt idx="120">
                  <c:v>5.3724055290222168</c:v>
                </c:pt>
                <c:pt idx="121">
                  <c:v>4.884005069732666</c:v>
                </c:pt>
                <c:pt idx="122">
                  <c:v>4.884005069732666</c:v>
                </c:pt>
                <c:pt idx="123">
                  <c:v>4.3956046104431152</c:v>
                </c:pt>
                <c:pt idx="124">
                  <c:v>4.3956046104431152</c:v>
                </c:pt>
                <c:pt idx="125">
                  <c:v>3.9072039127349854</c:v>
                </c:pt>
                <c:pt idx="126">
                  <c:v>3.9072039127349854</c:v>
                </c:pt>
                <c:pt idx="127">
                  <c:v>3.9072039127349854</c:v>
                </c:pt>
                <c:pt idx="128">
                  <c:v>3.9072039127349854</c:v>
                </c:pt>
                <c:pt idx="129">
                  <c:v>3.9072039127349854</c:v>
                </c:pt>
                <c:pt idx="130">
                  <c:v>3.4188034534454346</c:v>
                </c:pt>
                <c:pt idx="131">
                  <c:v>3.4188034534454346</c:v>
                </c:pt>
                <c:pt idx="132">
                  <c:v>2.9304029941558838</c:v>
                </c:pt>
                <c:pt idx="133">
                  <c:v>2.9304029941558838</c:v>
                </c:pt>
                <c:pt idx="134">
                  <c:v>2.442002534866333</c:v>
                </c:pt>
                <c:pt idx="135">
                  <c:v>2.442002534866333</c:v>
                </c:pt>
                <c:pt idx="136">
                  <c:v>2.442002534866333</c:v>
                </c:pt>
                <c:pt idx="137">
                  <c:v>2.442002534866333</c:v>
                </c:pt>
                <c:pt idx="138">
                  <c:v>2.442002534866333</c:v>
                </c:pt>
                <c:pt idx="139">
                  <c:v>2.442002534866333</c:v>
                </c:pt>
                <c:pt idx="140">
                  <c:v>1.9536019563674927</c:v>
                </c:pt>
                <c:pt idx="141">
                  <c:v>1.9536019563674927</c:v>
                </c:pt>
                <c:pt idx="142">
                  <c:v>1.9536019563674927</c:v>
                </c:pt>
                <c:pt idx="143">
                  <c:v>1.9536019563674927</c:v>
                </c:pt>
                <c:pt idx="144">
                  <c:v>1.4652014970779419</c:v>
                </c:pt>
                <c:pt idx="145">
                  <c:v>1.4652014970779419</c:v>
                </c:pt>
                <c:pt idx="146">
                  <c:v>1.4652014970779419</c:v>
                </c:pt>
                <c:pt idx="147">
                  <c:v>1.4652014970779419</c:v>
                </c:pt>
                <c:pt idx="148">
                  <c:v>1.4652014970779419</c:v>
                </c:pt>
                <c:pt idx="149">
                  <c:v>1.4652014970779419</c:v>
                </c:pt>
                <c:pt idx="150">
                  <c:v>1.4652014970779419</c:v>
                </c:pt>
                <c:pt idx="151">
                  <c:v>1.4652014970779419</c:v>
                </c:pt>
                <c:pt idx="152">
                  <c:v>1.4652014970779419</c:v>
                </c:pt>
                <c:pt idx="153">
                  <c:v>1.4652014970779419</c:v>
                </c:pt>
                <c:pt idx="154">
                  <c:v>1.4652014970779419</c:v>
                </c:pt>
                <c:pt idx="155">
                  <c:v>1.4652014970779419</c:v>
                </c:pt>
                <c:pt idx="156">
                  <c:v>1.4652014970779419</c:v>
                </c:pt>
                <c:pt idx="157">
                  <c:v>1.4652014970779419</c:v>
                </c:pt>
                <c:pt idx="158">
                  <c:v>1.4652014970779419</c:v>
                </c:pt>
                <c:pt idx="159">
                  <c:v>1.4652014970779419</c:v>
                </c:pt>
                <c:pt idx="160">
                  <c:v>1.4652014970779419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-45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data0!$E$2:$E$162</c:f>
              <c:numCache>
                <c:formatCode>General</c:formatCode>
                <c:ptCount val="161"/>
                <c:pt idx="0">
                  <c:v>4.3956046104431152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0.97680097818374634</c:v>
                </c:pt>
                <c:pt idx="8">
                  <c:v>1.4652014970779419</c:v>
                </c:pt>
                <c:pt idx="9">
                  <c:v>1.4652014970779419</c:v>
                </c:pt>
                <c:pt idx="10">
                  <c:v>1.4652014970779419</c:v>
                </c:pt>
                <c:pt idx="11">
                  <c:v>1.9536019563674927</c:v>
                </c:pt>
                <c:pt idx="12">
                  <c:v>2.442002534866333</c:v>
                </c:pt>
                <c:pt idx="13">
                  <c:v>2.9304029941558838</c:v>
                </c:pt>
                <c:pt idx="14">
                  <c:v>2.9304029941558838</c:v>
                </c:pt>
                <c:pt idx="15">
                  <c:v>3.9072039127349854</c:v>
                </c:pt>
                <c:pt idx="16">
                  <c:v>4.3956046104431152</c:v>
                </c:pt>
                <c:pt idx="17">
                  <c:v>5.8608059883117676</c:v>
                </c:pt>
                <c:pt idx="18">
                  <c:v>7.3260073661804199</c:v>
                </c:pt>
                <c:pt idx="19">
                  <c:v>8.7912092208862305</c:v>
                </c:pt>
                <c:pt idx="20">
                  <c:v>10.256410598754883</c:v>
                </c:pt>
                <c:pt idx="21">
                  <c:v>10.256410598754883</c:v>
                </c:pt>
                <c:pt idx="22">
                  <c:v>10.744811058044434</c:v>
                </c:pt>
                <c:pt idx="23">
                  <c:v>13.675213813781738</c:v>
                </c:pt>
                <c:pt idx="24">
                  <c:v>18.070817947387695</c:v>
                </c:pt>
                <c:pt idx="25">
                  <c:v>21.978021621704102</c:v>
                </c:pt>
                <c:pt idx="26">
                  <c:v>24.908424377441406</c:v>
                </c:pt>
                <c:pt idx="27">
                  <c:v>28.327228546142578</c:v>
                </c:pt>
                <c:pt idx="28">
                  <c:v>32.234432220458984</c:v>
                </c:pt>
                <c:pt idx="29">
                  <c:v>34.676433563232422</c:v>
                </c:pt>
                <c:pt idx="30">
                  <c:v>39.072040557861328</c:v>
                </c:pt>
                <c:pt idx="31">
                  <c:v>48.351650238037109</c:v>
                </c:pt>
                <c:pt idx="32">
                  <c:v>63.003662109375</c:v>
                </c:pt>
                <c:pt idx="33">
                  <c:v>75.702072143554688</c:v>
                </c:pt>
                <c:pt idx="34">
                  <c:v>84.0048828125</c:v>
                </c:pt>
                <c:pt idx="35">
                  <c:v>93.772895812988281</c:v>
                </c:pt>
                <c:pt idx="36">
                  <c:v>106.47130584716797</c:v>
                </c:pt>
                <c:pt idx="37">
                  <c:v>120.63491821289062</c:v>
                </c:pt>
                <c:pt idx="38">
                  <c:v>133.82173156738281</c:v>
                </c:pt>
                <c:pt idx="39">
                  <c:v>150.91575622558594</c:v>
                </c:pt>
                <c:pt idx="40">
                  <c:v>170.94017028808594</c:v>
                </c:pt>
                <c:pt idx="41">
                  <c:v>187.54579162597656</c:v>
                </c:pt>
                <c:pt idx="42">
                  <c:v>202.19779968261719</c:v>
                </c:pt>
                <c:pt idx="43">
                  <c:v>223.19902038574219</c:v>
                </c:pt>
                <c:pt idx="44">
                  <c:v>250.54945373535156</c:v>
                </c:pt>
                <c:pt idx="45">
                  <c:v>277.89987182617187</c:v>
                </c:pt>
                <c:pt idx="46">
                  <c:v>293.5286865234375</c:v>
                </c:pt>
                <c:pt idx="47">
                  <c:v>300.36630249023437</c:v>
                </c:pt>
                <c:pt idx="48">
                  <c:v>306.22711181640625</c:v>
                </c:pt>
                <c:pt idx="49">
                  <c:v>316.4835205078125</c:v>
                </c:pt>
                <c:pt idx="50">
                  <c:v>326.25152587890625</c:v>
                </c:pt>
                <c:pt idx="51">
                  <c:v>323.32113647460937</c:v>
                </c:pt>
                <c:pt idx="52">
                  <c:v>303.78509521484375</c:v>
                </c:pt>
                <c:pt idx="53">
                  <c:v>274.969482421875</c:v>
                </c:pt>
                <c:pt idx="54">
                  <c:v>240.78144836425781</c:v>
                </c:pt>
                <c:pt idx="55">
                  <c:v>201.70939636230469</c:v>
                </c:pt>
                <c:pt idx="56">
                  <c:v>173.38217163085937</c:v>
                </c:pt>
                <c:pt idx="57">
                  <c:v>156.77655029296875</c:v>
                </c:pt>
                <c:pt idx="58">
                  <c:v>142.12454223632812</c:v>
                </c:pt>
                <c:pt idx="59">
                  <c:v>122.58852386474609</c:v>
                </c:pt>
                <c:pt idx="60">
                  <c:v>100.12210083007812</c:v>
                </c:pt>
                <c:pt idx="61">
                  <c:v>80.586082458496094</c:v>
                </c:pt>
                <c:pt idx="62">
                  <c:v>65.934066772460938</c:v>
                </c:pt>
                <c:pt idx="63">
                  <c:v>58.119659423828125</c:v>
                </c:pt>
                <c:pt idx="64">
                  <c:v>57.631256103515625</c:v>
                </c:pt>
                <c:pt idx="65">
                  <c:v>60.561660766601562</c:v>
                </c:pt>
                <c:pt idx="66">
                  <c:v>61.538459777832031</c:v>
                </c:pt>
                <c:pt idx="67">
                  <c:v>59.584857940673828</c:v>
                </c:pt>
                <c:pt idx="68">
                  <c:v>58.119659423828125</c:v>
                </c:pt>
                <c:pt idx="69">
                  <c:v>59.584857940673828</c:v>
                </c:pt>
                <c:pt idx="70">
                  <c:v>61.538459777832031</c:v>
                </c:pt>
                <c:pt idx="71">
                  <c:v>62.515262603759766</c:v>
                </c:pt>
                <c:pt idx="72">
                  <c:v>64.468864440917969</c:v>
                </c:pt>
                <c:pt idx="73">
                  <c:v>71.794868469238281</c:v>
                </c:pt>
                <c:pt idx="74">
                  <c:v>85.470085144042969</c:v>
                </c:pt>
                <c:pt idx="75">
                  <c:v>100.12210083007812</c:v>
                </c:pt>
                <c:pt idx="76">
                  <c:v>110.86691284179687</c:v>
                </c:pt>
                <c:pt idx="77">
                  <c:v>117.21611785888672</c:v>
                </c:pt>
                <c:pt idx="78">
                  <c:v>121.61172485351563</c:v>
                </c:pt>
                <c:pt idx="79">
                  <c:v>126.4957275390625</c:v>
                </c:pt>
                <c:pt idx="80">
                  <c:v>130.40292358398438</c:v>
                </c:pt>
                <c:pt idx="81">
                  <c:v>131.86813354492187</c:v>
                </c:pt>
                <c:pt idx="82">
                  <c:v>131.86813354492187</c:v>
                </c:pt>
                <c:pt idx="83">
                  <c:v>132.84494018554687</c:v>
                </c:pt>
                <c:pt idx="84">
                  <c:v>136.75213623046875</c:v>
                </c:pt>
                <c:pt idx="85">
                  <c:v>139.19413757324219</c:v>
                </c:pt>
                <c:pt idx="86">
                  <c:v>138.70573425292969</c:v>
                </c:pt>
                <c:pt idx="87">
                  <c:v>134.79853820800781</c:v>
                </c:pt>
                <c:pt idx="88">
                  <c:v>130.89132690429687</c:v>
                </c:pt>
                <c:pt idx="89">
                  <c:v>128.93772888183594</c:v>
                </c:pt>
                <c:pt idx="90">
                  <c:v>129.91453552246094</c:v>
                </c:pt>
                <c:pt idx="91">
                  <c:v>131.86813354492187</c:v>
                </c:pt>
                <c:pt idx="92">
                  <c:v>133.33332824707031</c:v>
                </c:pt>
                <c:pt idx="93">
                  <c:v>132.35653686523437</c:v>
                </c:pt>
                <c:pt idx="94">
                  <c:v>128.93772888183594</c:v>
                </c:pt>
                <c:pt idx="95">
                  <c:v>125.03052520751953</c:v>
                </c:pt>
                <c:pt idx="96">
                  <c:v>121.61172485351563</c:v>
                </c:pt>
                <c:pt idx="97">
                  <c:v>118.19291687011719</c:v>
                </c:pt>
                <c:pt idx="98">
                  <c:v>113.79731750488281</c:v>
                </c:pt>
                <c:pt idx="99">
                  <c:v>107.93650817871094</c:v>
                </c:pt>
                <c:pt idx="100">
                  <c:v>101.09889984130859</c:v>
                </c:pt>
                <c:pt idx="101">
                  <c:v>93.284492492675781</c:v>
                </c:pt>
                <c:pt idx="102">
                  <c:v>85.470085144042969</c:v>
                </c:pt>
                <c:pt idx="103">
                  <c:v>78.632476806640625</c:v>
                </c:pt>
                <c:pt idx="104">
                  <c:v>74.725273132324219</c:v>
                </c:pt>
                <c:pt idx="105">
                  <c:v>73.74847412109375</c:v>
                </c:pt>
                <c:pt idx="106">
                  <c:v>76.190475463867187</c:v>
                </c:pt>
                <c:pt idx="107">
                  <c:v>80.097679138183594</c:v>
                </c:pt>
                <c:pt idx="108">
                  <c:v>83.028083801269531</c:v>
                </c:pt>
                <c:pt idx="109">
                  <c:v>83.516487121582031</c:v>
                </c:pt>
                <c:pt idx="110">
                  <c:v>82.051284790039062</c:v>
                </c:pt>
                <c:pt idx="111">
                  <c:v>80.097679138183594</c:v>
                </c:pt>
                <c:pt idx="112">
                  <c:v>79.120880126953125</c:v>
                </c:pt>
                <c:pt idx="113">
                  <c:v>78.144081115722656</c:v>
                </c:pt>
                <c:pt idx="114">
                  <c:v>77.167274475097656</c:v>
                </c:pt>
                <c:pt idx="115">
                  <c:v>75.213676452636719</c:v>
                </c:pt>
                <c:pt idx="116">
                  <c:v>72.283271789550781</c:v>
                </c:pt>
                <c:pt idx="117">
                  <c:v>69.352867126464844</c:v>
                </c:pt>
                <c:pt idx="118">
                  <c:v>67.399269104003906</c:v>
                </c:pt>
                <c:pt idx="119">
                  <c:v>65.934066772460938</c:v>
                </c:pt>
                <c:pt idx="120">
                  <c:v>65.445663452148438</c:v>
                </c:pt>
                <c:pt idx="121">
                  <c:v>65.445663452148438</c:v>
                </c:pt>
                <c:pt idx="122">
                  <c:v>64.957267761230469</c:v>
                </c:pt>
                <c:pt idx="123">
                  <c:v>63.003662109375</c:v>
                </c:pt>
                <c:pt idx="124">
                  <c:v>60.561660766601562</c:v>
                </c:pt>
                <c:pt idx="125">
                  <c:v>56.654457092285156</c:v>
                </c:pt>
                <c:pt idx="126">
                  <c:v>52.74725341796875</c:v>
                </c:pt>
                <c:pt idx="127">
                  <c:v>48.840049743652344</c:v>
                </c:pt>
                <c:pt idx="128">
                  <c:v>46.398044586181641</c:v>
                </c:pt>
                <c:pt idx="129">
                  <c:v>44.444442749023438</c:v>
                </c:pt>
                <c:pt idx="130">
                  <c:v>43.467643737792969</c:v>
                </c:pt>
                <c:pt idx="131">
                  <c:v>42.490840911865234</c:v>
                </c:pt>
                <c:pt idx="132">
                  <c:v>40.537239074707031</c:v>
                </c:pt>
                <c:pt idx="133">
                  <c:v>37.606838226318359</c:v>
                </c:pt>
                <c:pt idx="134">
                  <c:v>34.188034057617187</c:v>
                </c:pt>
                <c:pt idx="135">
                  <c:v>30.769229888916016</c:v>
                </c:pt>
                <c:pt idx="136">
                  <c:v>27.838827133178711</c:v>
                </c:pt>
                <c:pt idx="137">
                  <c:v>25.885225296020508</c:v>
                </c:pt>
                <c:pt idx="138">
                  <c:v>24.420024871826172</c:v>
                </c:pt>
                <c:pt idx="139">
                  <c:v>23.44322395324707</c:v>
                </c:pt>
                <c:pt idx="140">
                  <c:v>22.466423034667969</c:v>
                </c:pt>
                <c:pt idx="141">
                  <c:v>21.489622116088867</c:v>
                </c:pt>
                <c:pt idx="142">
                  <c:v>20.512821197509766</c:v>
                </c:pt>
                <c:pt idx="143">
                  <c:v>19.047618865966797</c:v>
                </c:pt>
                <c:pt idx="144">
                  <c:v>17.582418441772461</c:v>
                </c:pt>
                <c:pt idx="145">
                  <c:v>16.117216110229492</c:v>
                </c:pt>
                <c:pt idx="146">
                  <c:v>14.65201473236084</c:v>
                </c:pt>
                <c:pt idx="147">
                  <c:v>13.675213813781738</c:v>
                </c:pt>
                <c:pt idx="148">
                  <c:v>12.698412895202637</c:v>
                </c:pt>
                <c:pt idx="149">
                  <c:v>11.721611976623535</c:v>
                </c:pt>
                <c:pt idx="150">
                  <c:v>10.744811058044434</c:v>
                </c:pt>
                <c:pt idx="151">
                  <c:v>9.768010139465332</c:v>
                </c:pt>
                <c:pt idx="152">
                  <c:v>9.2796096801757812</c:v>
                </c:pt>
                <c:pt idx="153">
                  <c:v>8.7912092208862305</c:v>
                </c:pt>
                <c:pt idx="154">
                  <c:v>8.3028087615966797</c:v>
                </c:pt>
                <c:pt idx="155">
                  <c:v>8.3028087615966797</c:v>
                </c:pt>
                <c:pt idx="156">
                  <c:v>7.8144078254699707</c:v>
                </c:pt>
                <c:pt idx="157">
                  <c:v>7.8144078254699707</c:v>
                </c:pt>
                <c:pt idx="158">
                  <c:v>7.3260073661804199</c:v>
                </c:pt>
                <c:pt idx="159">
                  <c:v>7.3260073661804199</c:v>
                </c:pt>
                <c:pt idx="160">
                  <c:v>7.3260073661804199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-40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data0!$F$2:$F$162</c:f>
              <c:numCache>
                <c:formatCode>General</c:formatCode>
                <c:ptCount val="161"/>
                <c:pt idx="0">
                  <c:v>1.4652014970779419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1.4652014970779419</c:v>
                </c:pt>
                <c:pt idx="8">
                  <c:v>1.4652014970779419</c:v>
                </c:pt>
                <c:pt idx="9">
                  <c:v>1.9536019563674927</c:v>
                </c:pt>
                <c:pt idx="10">
                  <c:v>1.9536019563674927</c:v>
                </c:pt>
                <c:pt idx="11">
                  <c:v>1.9536019563674927</c:v>
                </c:pt>
                <c:pt idx="12">
                  <c:v>2.9304029941558838</c:v>
                </c:pt>
                <c:pt idx="13">
                  <c:v>3.9072039127349854</c:v>
                </c:pt>
                <c:pt idx="14">
                  <c:v>4.884005069732666</c:v>
                </c:pt>
                <c:pt idx="15">
                  <c:v>6.3492064476013184</c:v>
                </c:pt>
                <c:pt idx="16">
                  <c:v>7.3260073661804199</c:v>
                </c:pt>
                <c:pt idx="17">
                  <c:v>8.3028087615966797</c:v>
                </c:pt>
                <c:pt idx="18">
                  <c:v>10.256410598754883</c:v>
                </c:pt>
                <c:pt idx="19">
                  <c:v>12.698412895202637</c:v>
                </c:pt>
                <c:pt idx="20">
                  <c:v>16.605617523193359</c:v>
                </c:pt>
                <c:pt idx="21">
                  <c:v>20.024419784545898</c:v>
                </c:pt>
                <c:pt idx="22">
                  <c:v>22.466423034667969</c:v>
                </c:pt>
                <c:pt idx="23">
                  <c:v>22.954822540283203</c:v>
                </c:pt>
                <c:pt idx="24">
                  <c:v>24.420024871826172</c:v>
                </c:pt>
                <c:pt idx="25">
                  <c:v>32.234432220458984</c:v>
                </c:pt>
                <c:pt idx="26">
                  <c:v>43.467643737792969</c:v>
                </c:pt>
                <c:pt idx="27">
                  <c:v>51.770450592041016</c:v>
                </c:pt>
                <c:pt idx="28">
                  <c:v>57.142856597900391</c:v>
                </c:pt>
                <c:pt idx="29">
                  <c:v>63.980464935302734</c:v>
                </c:pt>
                <c:pt idx="30">
                  <c:v>70.818069458007812</c:v>
                </c:pt>
                <c:pt idx="31">
                  <c:v>76.678878784179687</c:v>
                </c:pt>
                <c:pt idx="32">
                  <c:v>88.400489807128906</c:v>
                </c:pt>
                <c:pt idx="33">
                  <c:v>113.30891418457031</c:v>
                </c:pt>
                <c:pt idx="34">
                  <c:v>149.45054626464844</c:v>
                </c:pt>
                <c:pt idx="35">
                  <c:v>176.80097961425781</c:v>
                </c:pt>
                <c:pt idx="36">
                  <c:v>183.15017700195312</c:v>
                </c:pt>
                <c:pt idx="37">
                  <c:v>185.10379028320312</c:v>
                </c:pt>
                <c:pt idx="38">
                  <c:v>204.15139770507812</c:v>
                </c:pt>
                <c:pt idx="39">
                  <c:v>239.80464172363281</c:v>
                </c:pt>
                <c:pt idx="40">
                  <c:v>282.29547119140625</c:v>
                </c:pt>
                <c:pt idx="41">
                  <c:v>329.67031860351562</c:v>
                </c:pt>
                <c:pt idx="42">
                  <c:v>377.045166015625</c:v>
                </c:pt>
                <c:pt idx="43">
                  <c:v>405.37240600585937</c:v>
                </c:pt>
                <c:pt idx="44">
                  <c:v>414.65200805664062</c:v>
                </c:pt>
                <c:pt idx="45">
                  <c:v>426.86203002929687</c:v>
                </c:pt>
                <c:pt idx="46">
                  <c:v>453.72406005859375</c:v>
                </c:pt>
                <c:pt idx="47">
                  <c:v>488.40048217773437</c:v>
                </c:pt>
                <c:pt idx="48">
                  <c:v>513.30889892578125</c:v>
                </c:pt>
                <c:pt idx="49">
                  <c:v>527.4725341796875</c:v>
                </c:pt>
                <c:pt idx="50">
                  <c:v>527.4725341796875</c:v>
                </c:pt>
                <c:pt idx="51">
                  <c:v>517.70452880859375</c:v>
                </c:pt>
                <c:pt idx="52">
                  <c:v>505.006103515625</c:v>
                </c:pt>
                <c:pt idx="53">
                  <c:v>475.70208740234375</c:v>
                </c:pt>
                <c:pt idx="54">
                  <c:v>416.60562133789062</c:v>
                </c:pt>
                <c:pt idx="55">
                  <c:v>336.996337890625</c:v>
                </c:pt>
                <c:pt idx="56">
                  <c:v>262.75946044921875</c:v>
                </c:pt>
                <c:pt idx="57">
                  <c:v>194.87179565429687</c:v>
                </c:pt>
                <c:pt idx="58">
                  <c:v>140.65934753417969</c:v>
                </c:pt>
                <c:pt idx="59">
                  <c:v>109.89010620117187</c:v>
                </c:pt>
                <c:pt idx="60">
                  <c:v>98.168495178222656</c:v>
                </c:pt>
                <c:pt idx="61">
                  <c:v>93.284492492675781</c:v>
                </c:pt>
                <c:pt idx="62">
                  <c:v>86.935287475585938</c:v>
                </c:pt>
                <c:pt idx="63">
                  <c:v>79.120880126953125</c:v>
                </c:pt>
                <c:pt idx="64">
                  <c:v>70.329673767089844</c:v>
                </c:pt>
                <c:pt idx="65">
                  <c:v>62.515262603759766</c:v>
                </c:pt>
                <c:pt idx="66">
                  <c:v>58.119659423828125</c:v>
                </c:pt>
                <c:pt idx="67">
                  <c:v>59.584857940673828</c:v>
                </c:pt>
                <c:pt idx="68">
                  <c:v>63.980464935302734</c:v>
                </c:pt>
                <c:pt idx="69">
                  <c:v>65.445663452148438</c:v>
                </c:pt>
                <c:pt idx="70">
                  <c:v>63.492061614990234</c:v>
                </c:pt>
                <c:pt idx="71">
                  <c:v>60.073261260986328</c:v>
                </c:pt>
                <c:pt idx="72">
                  <c:v>60.073261260986328</c:v>
                </c:pt>
                <c:pt idx="73">
                  <c:v>64.957267761230469</c:v>
                </c:pt>
                <c:pt idx="74">
                  <c:v>70.818069458007812</c:v>
                </c:pt>
                <c:pt idx="75">
                  <c:v>75.213676452636719</c:v>
                </c:pt>
                <c:pt idx="76">
                  <c:v>79.609275817871094</c:v>
                </c:pt>
                <c:pt idx="77">
                  <c:v>85.958488464355469</c:v>
                </c:pt>
                <c:pt idx="78">
                  <c:v>92.307693481445313</c:v>
                </c:pt>
                <c:pt idx="79">
                  <c:v>92.796089172363281</c:v>
                </c:pt>
                <c:pt idx="80">
                  <c:v>85.958488464355469</c:v>
                </c:pt>
                <c:pt idx="81">
                  <c:v>76.678878784179687</c:v>
                </c:pt>
                <c:pt idx="82">
                  <c:v>70.329673767089844</c:v>
                </c:pt>
                <c:pt idx="83">
                  <c:v>65.934066772460938</c:v>
                </c:pt>
                <c:pt idx="84">
                  <c:v>61.538459777832031</c:v>
                </c:pt>
                <c:pt idx="85">
                  <c:v>57.142856597900391</c:v>
                </c:pt>
                <c:pt idx="86">
                  <c:v>54.212455749511719</c:v>
                </c:pt>
                <c:pt idx="87">
                  <c:v>53.235652923583984</c:v>
                </c:pt>
                <c:pt idx="88">
                  <c:v>50.793651580810547</c:v>
                </c:pt>
                <c:pt idx="89">
                  <c:v>44.932846069335937</c:v>
                </c:pt>
                <c:pt idx="90">
                  <c:v>36.630035400390625</c:v>
                </c:pt>
                <c:pt idx="91">
                  <c:v>28.815628051757813</c:v>
                </c:pt>
                <c:pt idx="92">
                  <c:v>22.954822540283203</c:v>
                </c:pt>
                <c:pt idx="93">
                  <c:v>17.094017028808594</c:v>
                </c:pt>
                <c:pt idx="94">
                  <c:v>11.721611976623535</c:v>
                </c:pt>
                <c:pt idx="95">
                  <c:v>8.7912092208862305</c:v>
                </c:pt>
                <c:pt idx="96">
                  <c:v>6.8376069068908691</c:v>
                </c:pt>
                <c:pt idx="97">
                  <c:v>5.3724055290222168</c:v>
                </c:pt>
                <c:pt idx="98">
                  <c:v>3.4188034534454346</c:v>
                </c:pt>
                <c:pt idx="99">
                  <c:v>0.48840048909187317</c:v>
                </c:pt>
                <c:pt idx="100">
                  <c:v>0.48840048909187317</c:v>
                </c:pt>
                <c:pt idx="101">
                  <c:v>0.48840048909187317</c:v>
                </c:pt>
                <c:pt idx="102">
                  <c:v>0.48840048909187317</c:v>
                </c:pt>
                <c:pt idx="103">
                  <c:v>0.48840048909187317</c:v>
                </c:pt>
                <c:pt idx="104">
                  <c:v>0.48840048909187317</c:v>
                </c:pt>
                <c:pt idx="105">
                  <c:v>0.48840048909187317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0.48840048909187317</c:v>
                </c:pt>
                <c:pt idx="146">
                  <c:v>0.48840048909187317</c:v>
                </c:pt>
                <c:pt idx="147">
                  <c:v>0.48840048909187317</c:v>
                </c:pt>
                <c:pt idx="148">
                  <c:v>0.97680097818374634</c:v>
                </c:pt>
                <c:pt idx="149">
                  <c:v>0.97680097818374634</c:v>
                </c:pt>
                <c:pt idx="150">
                  <c:v>1.9536019563674927</c:v>
                </c:pt>
                <c:pt idx="151">
                  <c:v>2.442002534866333</c:v>
                </c:pt>
                <c:pt idx="152">
                  <c:v>3.4188034534454346</c:v>
                </c:pt>
                <c:pt idx="153">
                  <c:v>4.3956046104431152</c:v>
                </c:pt>
                <c:pt idx="154">
                  <c:v>5.3724055290222168</c:v>
                </c:pt>
                <c:pt idx="155">
                  <c:v>5.8608059883117676</c:v>
                </c:pt>
                <c:pt idx="156">
                  <c:v>6.3492064476013184</c:v>
                </c:pt>
                <c:pt idx="157">
                  <c:v>6.8376069068908691</c:v>
                </c:pt>
                <c:pt idx="158">
                  <c:v>7.3260073661804199</c:v>
                </c:pt>
                <c:pt idx="159">
                  <c:v>7.8144078254699707</c:v>
                </c:pt>
                <c:pt idx="160">
                  <c:v>8.3028087615966797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-35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data0!$G$2:$G$162</c:f>
              <c:numCache>
                <c:formatCode>General</c:formatCode>
                <c:ptCount val="161"/>
                <c:pt idx="0">
                  <c:v>15.628815650939941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1.9536019563674927</c:v>
                </c:pt>
                <c:pt idx="9">
                  <c:v>1.9536019563674927</c:v>
                </c:pt>
                <c:pt idx="10">
                  <c:v>2.442002534866333</c:v>
                </c:pt>
                <c:pt idx="11">
                  <c:v>2.9304029941558838</c:v>
                </c:pt>
                <c:pt idx="12">
                  <c:v>3.4188034534454346</c:v>
                </c:pt>
                <c:pt idx="13">
                  <c:v>4.3956046104431152</c:v>
                </c:pt>
                <c:pt idx="14">
                  <c:v>6.3492064476013184</c:v>
                </c:pt>
                <c:pt idx="15">
                  <c:v>8.7912092208862305</c:v>
                </c:pt>
                <c:pt idx="16">
                  <c:v>10.744811058044434</c:v>
                </c:pt>
                <c:pt idx="17">
                  <c:v>12.698412895202637</c:v>
                </c:pt>
                <c:pt idx="18">
                  <c:v>14.163614273071289</c:v>
                </c:pt>
                <c:pt idx="19">
                  <c:v>16.117216110229492</c:v>
                </c:pt>
                <c:pt idx="20">
                  <c:v>21.001220703125</c:v>
                </c:pt>
                <c:pt idx="21">
                  <c:v>26.862026214599609</c:v>
                </c:pt>
                <c:pt idx="22">
                  <c:v>33.699634552001953</c:v>
                </c:pt>
                <c:pt idx="23">
                  <c:v>40.537239074707031</c:v>
                </c:pt>
                <c:pt idx="24">
                  <c:v>43.467643737792969</c:v>
                </c:pt>
                <c:pt idx="25">
                  <c:v>42.979244232177734</c:v>
                </c:pt>
                <c:pt idx="26">
                  <c:v>46.886447906494141</c:v>
                </c:pt>
                <c:pt idx="27">
                  <c:v>63.492061614990234</c:v>
                </c:pt>
                <c:pt idx="28">
                  <c:v>83.028083801269531</c:v>
                </c:pt>
                <c:pt idx="29">
                  <c:v>93.772895812988281</c:v>
                </c:pt>
                <c:pt idx="30">
                  <c:v>100.12210083007812</c:v>
                </c:pt>
                <c:pt idx="31">
                  <c:v>112.33211517333984</c:v>
                </c:pt>
                <c:pt idx="32">
                  <c:v>129.42613220214844</c:v>
                </c:pt>
                <c:pt idx="33">
                  <c:v>144.07814025878906</c:v>
                </c:pt>
                <c:pt idx="34">
                  <c:v>166.54457092285156</c:v>
                </c:pt>
                <c:pt idx="35">
                  <c:v>207.08180236816406</c:v>
                </c:pt>
                <c:pt idx="36">
                  <c:v>256.41024780273437</c:v>
                </c:pt>
                <c:pt idx="37">
                  <c:v>285.22589111328125</c:v>
                </c:pt>
                <c:pt idx="38">
                  <c:v>285.22589111328125</c:v>
                </c:pt>
                <c:pt idx="39">
                  <c:v>294.5054931640625</c:v>
                </c:pt>
                <c:pt idx="40">
                  <c:v>342.36874389648438</c:v>
                </c:pt>
                <c:pt idx="41">
                  <c:v>419.047607421875</c:v>
                </c:pt>
                <c:pt idx="42">
                  <c:v>493.77288818359375</c:v>
                </c:pt>
                <c:pt idx="43">
                  <c:v>558.24176025390625</c:v>
                </c:pt>
                <c:pt idx="44">
                  <c:v>616.36138916015625</c:v>
                </c:pt>
                <c:pt idx="45">
                  <c:v>645.66546630859375</c:v>
                </c:pt>
                <c:pt idx="46">
                  <c:v>636.87420654296875</c:v>
                </c:pt>
                <c:pt idx="47">
                  <c:v>628.5714111328125</c:v>
                </c:pt>
                <c:pt idx="48">
                  <c:v>651.5262451171875</c:v>
                </c:pt>
                <c:pt idx="49">
                  <c:v>698.4127197265625</c:v>
                </c:pt>
                <c:pt idx="50">
                  <c:v>734.06591796875</c:v>
                </c:pt>
                <c:pt idx="51">
                  <c:v>735.042724609375</c:v>
                </c:pt>
                <c:pt idx="52">
                  <c:v>698.901123046875</c:v>
                </c:pt>
                <c:pt idx="53">
                  <c:v>633.4554443359375</c:v>
                </c:pt>
                <c:pt idx="54">
                  <c:v>568.4981689453125</c:v>
                </c:pt>
                <c:pt idx="55">
                  <c:v>501.58731079101562</c:v>
                </c:pt>
                <c:pt idx="56">
                  <c:v>417.58242797851562</c:v>
                </c:pt>
                <c:pt idx="57">
                  <c:v>324.78631591796875</c:v>
                </c:pt>
                <c:pt idx="58">
                  <c:v>248.10745239257812</c:v>
                </c:pt>
                <c:pt idx="59">
                  <c:v>192.42979431152344</c:v>
                </c:pt>
                <c:pt idx="60">
                  <c:v>148.96214294433594</c:v>
                </c:pt>
                <c:pt idx="61">
                  <c:v>124.05372619628906</c:v>
                </c:pt>
                <c:pt idx="62">
                  <c:v>119.16971588134766</c:v>
                </c:pt>
                <c:pt idx="63">
                  <c:v>124.05372619628906</c:v>
                </c:pt>
                <c:pt idx="64">
                  <c:v>127.47252655029297</c:v>
                </c:pt>
                <c:pt idx="65">
                  <c:v>125.51892852783203</c:v>
                </c:pt>
                <c:pt idx="66">
                  <c:v>118.68132019042969</c:v>
                </c:pt>
                <c:pt idx="67">
                  <c:v>108.91330718994141</c:v>
                </c:pt>
                <c:pt idx="68">
                  <c:v>99.145301818847656</c:v>
                </c:pt>
                <c:pt idx="69">
                  <c:v>95.726493835449219</c:v>
                </c:pt>
                <c:pt idx="70">
                  <c:v>101.09889984130859</c:v>
                </c:pt>
                <c:pt idx="71">
                  <c:v>108.91330718994141</c:v>
                </c:pt>
                <c:pt idx="72">
                  <c:v>112.33211517333984</c:v>
                </c:pt>
                <c:pt idx="73">
                  <c:v>113.30891418457031</c:v>
                </c:pt>
                <c:pt idx="74">
                  <c:v>119.16971588134766</c:v>
                </c:pt>
                <c:pt idx="75">
                  <c:v>133.33332824707031</c:v>
                </c:pt>
                <c:pt idx="76">
                  <c:v>151.40414428710937</c:v>
                </c:pt>
                <c:pt idx="77">
                  <c:v>164.59095764160156</c:v>
                </c:pt>
                <c:pt idx="78">
                  <c:v>170.45176696777344</c:v>
                </c:pt>
                <c:pt idx="79">
                  <c:v>174.35897827148437</c:v>
                </c:pt>
                <c:pt idx="80">
                  <c:v>180.70817565917969</c:v>
                </c:pt>
                <c:pt idx="81">
                  <c:v>185.10379028320312</c:v>
                </c:pt>
                <c:pt idx="82">
                  <c:v>181.68498229980469</c:v>
                </c:pt>
                <c:pt idx="83">
                  <c:v>169.96336364746094</c:v>
                </c:pt>
                <c:pt idx="84">
                  <c:v>156.77655029296875</c:v>
                </c:pt>
                <c:pt idx="85">
                  <c:v>148.96214294433594</c:v>
                </c:pt>
                <c:pt idx="86">
                  <c:v>143.58973693847656</c:v>
                </c:pt>
                <c:pt idx="87">
                  <c:v>136.26373291015625</c:v>
                </c:pt>
                <c:pt idx="88">
                  <c:v>127.47252655029297</c:v>
                </c:pt>
                <c:pt idx="89">
                  <c:v>121.61172485351563</c:v>
                </c:pt>
                <c:pt idx="90">
                  <c:v>121.61172485351563</c:v>
                </c:pt>
                <c:pt idx="91">
                  <c:v>122.10012054443359</c:v>
                </c:pt>
                <c:pt idx="92">
                  <c:v>117.70452117919922</c:v>
                </c:pt>
                <c:pt idx="93">
                  <c:v>108.91330718994141</c:v>
                </c:pt>
                <c:pt idx="94">
                  <c:v>101.09889984130859</c:v>
                </c:pt>
                <c:pt idx="95">
                  <c:v>94.74969482421875</c:v>
                </c:pt>
                <c:pt idx="96">
                  <c:v>88.888885498046875</c:v>
                </c:pt>
                <c:pt idx="97">
                  <c:v>83.028083801269531</c:v>
                </c:pt>
                <c:pt idx="98">
                  <c:v>78.632476806640625</c:v>
                </c:pt>
                <c:pt idx="99">
                  <c:v>74.23687744140625</c:v>
                </c:pt>
                <c:pt idx="100">
                  <c:v>69.352867126464844</c:v>
                </c:pt>
                <c:pt idx="101">
                  <c:v>63.980464935302734</c:v>
                </c:pt>
                <c:pt idx="102">
                  <c:v>58.608058929443359</c:v>
                </c:pt>
                <c:pt idx="103">
                  <c:v>54.212455749511719</c:v>
                </c:pt>
                <c:pt idx="104">
                  <c:v>48.840049743652344</c:v>
                </c:pt>
                <c:pt idx="105">
                  <c:v>43.467643737792969</c:v>
                </c:pt>
                <c:pt idx="106">
                  <c:v>40.537239074707031</c:v>
                </c:pt>
                <c:pt idx="107">
                  <c:v>41.025642395019531</c:v>
                </c:pt>
                <c:pt idx="108">
                  <c:v>41.025642395019531</c:v>
                </c:pt>
                <c:pt idx="109">
                  <c:v>35.164836883544922</c:v>
                </c:pt>
                <c:pt idx="110">
                  <c:v>24.420024871826172</c:v>
                </c:pt>
                <c:pt idx="111">
                  <c:v>12.210012435913086</c:v>
                </c:pt>
                <c:pt idx="112">
                  <c:v>4.3956046104431152</c:v>
                </c:pt>
                <c:pt idx="113">
                  <c:v>4.884005069732666</c:v>
                </c:pt>
                <c:pt idx="114">
                  <c:v>12.210012435913086</c:v>
                </c:pt>
                <c:pt idx="115">
                  <c:v>20.024419784545898</c:v>
                </c:pt>
                <c:pt idx="116">
                  <c:v>23.931623458862305</c:v>
                </c:pt>
                <c:pt idx="117">
                  <c:v>22.466423034667969</c:v>
                </c:pt>
                <c:pt idx="118">
                  <c:v>18.559219360351562</c:v>
                </c:pt>
                <c:pt idx="119">
                  <c:v>16.117216110229492</c:v>
                </c:pt>
                <c:pt idx="120">
                  <c:v>16.117216110229492</c:v>
                </c:pt>
                <c:pt idx="121">
                  <c:v>17.582418441772461</c:v>
                </c:pt>
                <c:pt idx="122">
                  <c:v>18.559219360351562</c:v>
                </c:pt>
                <c:pt idx="123">
                  <c:v>17.582418441772461</c:v>
                </c:pt>
                <c:pt idx="124">
                  <c:v>15.628815650939941</c:v>
                </c:pt>
                <c:pt idx="125">
                  <c:v>14.163614273071289</c:v>
                </c:pt>
                <c:pt idx="126">
                  <c:v>12.698412895202637</c:v>
                </c:pt>
                <c:pt idx="127">
                  <c:v>11.721611976623535</c:v>
                </c:pt>
                <c:pt idx="128">
                  <c:v>10.744811058044434</c:v>
                </c:pt>
                <c:pt idx="129">
                  <c:v>10.744811058044434</c:v>
                </c:pt>
                <c:pt idx="130">
                  <c:v>11.233211517333984</c:v>
                </c:pt>
                <c:pt idx="131">
                  <c:v>12.210012435913086</c:v>
                </c:pt>
                <c:pt idx="132">
                  <c:v>12.698412895202637</c:v>
                </c:pt>
                <c:pt idx="133">
                  <c:v>11.721611976623535</c:v>
                </c:pt>
                <c:pt idx="134">
                  <c:v>9.768010139465332</c:v>
                </c:pt>
                <c:pt idx="135">
                  <c:v>7.3260073661804199</c:v>
                </c:pt>
                <c:pt idx="136">
                  <c:v>5.8608059883117676</c:v>
                </c:pt>
                <c:pt idx="137">
                  <c:v>5.8608059883117676</c:v>
                </c:pt>
                <c:pt idx="138">
                  <c:v>6.8376069068908691</c:v>
                </c:pt>
                <c:pt idx="139">
                  <c:v>8.7912092208862305</c:v>
                </c:pt>
                <c:pt idx="140">
                  <c:v>9.768010139465332</c:v>
                </c:pt>
                <c:pt idx="141">
                  <c:v>9.768010139465332</c:v>
                </c:pt>
                <c:pt idx="142">
                  <c:v>8.7912092208862305</c:v>
                </c:pt>
                <c:pt idx="143">
                  <c:v>7.8144078254699707</c:v>
                </c:pt>
                <c:pt idx="144">
                  <c:v>6.8376069068908691</c:v>
                </c:pt>
                <c:pt idx="145">
                  <c:v>7.3260073661804199</c:v>
                </c:pt>
                <c:pt idx="146">
                  <c:v>7.8144078254699707</c:v>
                </c:pt>
                <c:pt idx="147">
                  <c:v>9.2796096801757812</c:v>
                </c:pt>
                <c:pt idx="148">
                  <c:v>10.256410598754883</c:v>
                </c:pt>
                <c:pt idx="149">
                  <c:v>10.744811058044434</c:v>
                </c:pt>
                <c:pt idx="150">
                  <c:v>10.744811058044434</c:v>
                </c:pt>
                <c:pt idx="151">
                  <c:v>10.744811058044434</c:v>
                </c:pt>
                <c:pt idx="152">
                  <c:v>10.256410598754883</c:v>
                </c:pt>
                <c:pt idx="153">
                  <c:v>9.768010139465332</c:v>
                </c:pt>
                <c:pt idx="154">
                  <c:v>9.768010139465332</c:v>
                </c:pt>
                <c:pt idx="155">
                  <c:v>9.768010139465332</c:v>
                </c:pt>
                <c:pt idx="156">
                  <c:v>10.256410598754883</c:v>
                </c:pt>
                <c:pt idx="157">
                  <c:v>11.233211517333984</c:v>
                </c:pt>
                <c:pt idx="158">
                  <c:v>11.721611976623535</c:v>
                </c:pt>
                <c:pt idx="159">
                  <c:v>12.210012435913086</c:v>
                </c:pt>
                <c:pt idx="160">
                  <c:v>12.698412895202637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-30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data0!$H$2:$H$162</c:f>
              <c:numCache>
                <c:formatCode>General</c:formatCode>
                <c:ptCount val="161"/>
                <c:pt idx="0">
                  <c:v>10.256410598754883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1.9536019563674927</c:v>
                </c:pt>
                <c:pt idx="10">
                  <c:v>2.442002534866333</c:v>
                </c:pt>
                <c:pt idx="11">
                  <c:v>3.4188034534454346</c:v>
                </c:pt>
                <c:pt idx="12">
                  <c:v>3.9072039127349854</c:v>
                </c:pt>
                <c:pt idx="13">
                  <c:v>4.3956046104431152</c:v>
                </c:pt>
                <c:pt idx="14">
                  <c:v>5.8608059883117676</c:v>
                </c:pt>
                <c:pt idx="15">
                  <c:v>8.3028087615966797</c:v>
                </c:pt>
                <c:pt idx="16">
                  <c:v>11.233211517333984</c:v>
                </c:pt>
                <c:pt idx="17">
                  <c:v>14.163614273071289</c:v>
                </c:pt>
                <c:pt idx="18">
                  <c:v>17.094017028808594</c:v>
                </c:pt>
                <c:pt idx="19">
                  <c:v>18.559219360351562</c:v>
                </c:pt>
                <c:pt idx="20">
                  <c:v>21.001220703125</c:v>
                </c:pt>
                <c:pt idx="21">
                  <c:v>25.396825790405273</c:v>
                </c:pt>
                <c:pt idx="22">
                  <c:v>33.211235046386719</c:v>
                </c:pt>
                <c:pt idx="23">
                  <c:v>42.490840911865234</c:v>
                </c:pt>
                <c:pt idx="24">
                  <c:v>52.258853912353516</c:v>
                </c:pt>
                <c:pt idx="25">
                  <c:v>60.561660766601562</c:v>
                </c:pt>
                <c:pt idx="26">
                  <c:v>63.003662109375</c:v>
                </c:pt>
                <c:pt idx="27">
                  <c:v>61.050060272216797</c:v>
                </c:pt>
                <c:pt idx="28">
                  <c:v>69.352867126464844</c:v>
                </c:pt>
                <c:pt idx="29">
                  <c:v>94.26129150390625</c:v>
                </c:pt>
                <c:pt idx="30">
                  <c:v>117.70452117919922</c:v>
                </c:pt>
                <c:pt idx="31">
                  <c:v>128.93772888183594</c:v>
                </c:pt>
                <c:pt idx="32">
                  <c:v>142.12454223632812</c:v>
                </c:pt>
                <c:pt idx="33">
                  <c:v>166.54457092285156</c:v>
                </c:pt>
                <c:pt idx="34">
                  <c:v>192.42979431152344</c:v>
                </c:pt>
                <c:pt idx="35">
                  <c:v>206.59339904785156</c:v>
                </c:pt>
                <c:pt idx="36">
                  <c:v>222.71061706542969</c:v>
                </c:pt>
                <c:pt idx="37">
                  <c:v>260.80584716796875</c:v>
                </c:pt>
                <c:pt idx="38">
                  <c:v>317.4603271484375</c:v>
                </c:pt>
                <c:pt idx="39">
                  <c:v>360.92794799804687</c:v>
                </c:pt>
                <c:pt idx="40">
                  <c:v>377.045166015625</c:v>
                </c:pt>
                <c:pt idx="41">
                  <c:v>399.023193359375</c:v>
                </c:pt>
                <c:pt idx="42">
                  <c:v>464.4688720703125</c:v>
                </c:pt>
                <c:pt idx="43">
                  <c:v>554.33453369140625</c:v>
                </c:pt>
                <c:pt idx="44">
                  <c:v>627.106201171875</c:v>
                </c:pt>
                <c:pt idx="45">
                  <c:v>683.27227783203125</c:v>
                </c:pt>
                <c:pt idx="46">
                  <c:v>731.13555908203125</c:v>
                </c:pt>
                <c:pt idx="47">
                  <c:v>752.62518310546875</c:v>
                </c:pt>
                <c:pt idx="48">
                  <c:v>734.5543212890625</c:v>
                </c:pt>
                <c:pt idx="49">
                  <c:v>710.13433837890625</c:v>
                </c:pt>
                <c:pt idx="50">
                  <c:v>715.9951171875</c:v>
                </c:pt>
                <c:pt idx="51">
                  <c:v>741.3919677734375</c:v>
                </c:pt>
                <c:pt idx="52">
                  <c:v>743.83392333984375</c:v>
                </c:pt>
                <c:pt idx="53">
                  <c:v>703.29669189453125</c:v>
                </c:pt>
                <c:pt idx="54">
                  <c:v>626.6177978515625</c:v>
                </c:pt>
                <c:pt idx="55">
                  <c:v>519.65814208984375</c:v>
                </c:pt>
                <c:pt idx="56">
                  <c:v>421.001220703125</c:v>
                </c:pt>
                <c:pt idx="57">
                  <c:v>347.74114990234375</c:v>
                </c:pt>
                <c:pt idx="58">
                  <c:v>285.71429443359375</c:v>
                </c:pt>
                <c:pt idx="59">
                  <c:v>226.61782836914062</c:v>
                </c:pt>
                <c:pt idx="60">
                  <c:v>180.70817565917969</c:v>
                </c:pt>
                <c:pt idx="61">
                  <c:v>151.40414428710937</c:v>
                </c:pt>
                <c:pt idx="62">
                  <c:v>128.44932556152344</c:v>
                </c:pt>
                <c:pt idx="63">
                  <c:v>111.84371185302734</c:v>
                </c:pt>
                <c:pt idx="64">
                  <c:v>108.91330718994141</c:v>
                </c:pt>
                <c:pt idx="65">
                  <c:v>119.16971588134766</c:v>
                </c:pt>
                <c:pt idx="66">
                  <c:v>129.91453552246094</c:v>
                </c:pt>
                <c:pt idx="67">
                  <c:v>134.31013488769531</c:v>
                </c:pt>
                <c:pt idx="68">
                  <c:v>131.86813354492187</c:v>
                </c:pt>
                <c:pt idx="69">
                  <c:v>124.05372619628906</c:v>
                </c:pt>
                <c:pt idx="70">
                  <c:v>112.82051086425781</c:v>
                </c:pt>
                <c:pt idx="71">
                  <c:v>103.05250549316406</c:v>
                </c:pt>
                <c:pt idx="72">
                  <c:v>104.51770782470703</c:v>
                </c:pt>
                <c:pt idx="73">
                  <c:v>120.14652252197266</c:v>
                </c:pt>
                <c:pt idx="74">
                  <c:v>140.65934753417969</c:v>
                </c:pt>
                <c:pt idx="75">
                  <c:v>152.38095092773437</c:v>
                </c:pt>
                <c:pt idx="76">
                  <c:v>154.33454895019531</c:v>
                </c:pt>
                <c:pt idx="77">
                  <c:v>159.21855163574219</c:v>
                </c:pt>
                <c:pt idx="78">
                  <c:v>172.40536499023437</c:v>
                </c:pt>
                <c:pt idx="79">
                  <c:v>183.63858032226562</c:v>
                </c:pt>
                <c:pt idx="80">
                  <c:v>184.61538696289062</c:v>
                </c:pt>
                <c:pt idx="81">
                  <c:v>177.28938293457031</c:v>
                </c:pt>
                <c:pt idx="82">
                  <c:v>172.40536499023437</c:v>
                </c:pt>
                <c:pt idx="83">
                  <c:v>175.82417297363281</c:v>
                </c:pt>
                <c:pt idx="84">
                  <c:v>180.21978759765625</c:v>
                </c:pt>
                <c:pt idx="85">
                  <c:v>177.28938293457031</c:v>
                </c:pt>
                <c:pt idx="86">
                  <c:v>164.59095764160156</c:v>
                </c:pt>
                <c:pt idx="87">
                  <c:v>150.42735290527344</c:v>
                </c:pt>
                <c:pt idx="88">
                  <c:v>141.63613891601562</c:v>
                </c:pt>
                <c:pt idx="89">
                  <c:v>134.31013488769531</c:v>
                </c:pt>
                <c:pt idx="90">
                  <c:v>122.58852386474609</c:v>
                </c:pt>
                <c:pt idx="91">
                  <c:v>108.42491149902344</c:v>
                </c:pt>
                <c:pt idx="92">
                  <c:v>101.58730316162109</c:v>
                </c:pt>
                <c:pt idx="93">
                  <c:v>104.02930450439453</c:v>
                </c:pt>
                <c:pt idx="94">
                  <c:v>107.44810485839844</c:v>
                </c:pt>
                <c:pt idx="95">
                  <c:v>105.006103515625</c:v>
                </c:pt>
                <c:pt idx="96">
                  <c:v>98.168495178222656</c:v>
                </c:pt>
                <c:pt idx="97">
                  <c:v>90.842491149902344</c:v>
                </c:pt>
                <c:pt idx="98">
                  <c:v>84.0048828125</c:v>
                </c:pt>
                <c:pt idx="99">
                  <c:v>76.678878784179687</c:v>
                </c:pt>
                <c:pt idx="100">
                  <c:v>69.841270446777344</c:v>
                </c:pt>
                <c:pt idx="101">
                  <c:v>63.492061614990234</c:v>
                </c:pt>
                <c:pt idx="102">
                  <c:v>58.608058929443359</c:v>
                </c:pt>
                <c:pt idx="103">
                  <c:v>53.724052429199219</c:v>
                </c:pt>
                <c:pt idx="104">
                  <c:v>49.816848754882812</c:v>
                </c:pt>
                <c:pt idx="105">
                  <c:v>46.886447906494141</c:v>
                </c:pt>
                <c:pt idx="106">
                  <c:v>44.444442749023438</c:v>
                </c:pt>
                <c:pt idx="107">
                  <c:v>40.537239074707031</c:v>
                </c:pt>
                <c:pt idx="108">
                  <c:v>35.653236389160156</c:v>
                </c:pt>
                <c:pt idx="109">
                  <c:v>33.211235046386719</c:v>
                </c:pt>
                <c:pt idx="110">
                  <c:v>35.164836883544922</c:v>
                </c:pt>
                <c:pt idx="111">
                  <c:v>38.583637237548828</c:v>
                </c:pt>
                <c:pt idx="112">
                  <c:v>37.118438720703125</c:v>
                </c:pt>
                <c:pt idx="113">
                  <c:v>27.350427627563477</c:v>
                </c:pt>
                <c:pt idx="114">
                  <c:v>14.163614273071289</c:v>
                </c:pt>
                <c:pt idx="115">
                  <c:v>3.4188034534454346</c:v>
                </c:pt>
                <c:pt idx="116">
                  <c:v>0.97680097818374634</c:v>
                </c:pt>
                <c:pt idx="117">
                  <c:v>6.3492064476013184</c:v>
                </c:pt>
                <c:pt idx="118">
                  <c:v>15.628815650939941</c:v>
                </c:pt>
                <c:pt idx="119">
                  <c:v>22.954822540283203</c:v>
                </c:pt>
                <c:pt idx="120">
                  <c:v>23.44322395324707</c:v>
                </c:pt>
                <c:pt idx="121">
                  <c:v>19.536020278930664</c:v>
                </c:pt>
                <c:pt idx="122">
                  <c:v>15.628815650939941</c:v>
                </c:pt>
                <c:pt idx="123">
                  <c:v>14.163614273071289</c:v>
                </c:pt>
                <c:pt idx="124">
                  <c:v>15.140415191650391</c:v>
                </c:pt>
                <c:pt idx="125">
                  <c:v>16.605617523193359</c:v>
                </c:pt>
                <c:pt idx="126">
                  <c:v>17.094017028808594</c:v>
                </c:pt>
                <c:pt idx="127">
                  <c:v>16.117216110229492</c:v>
                </c:pt>
                <c:pt idx="128">
                  <c:v>14.65201473236084</c:v>
                </c:pt>
                <c:pt idx="129">
                  <c:v>12.698412895202637</c:v>
                </c:pt>
                <c:pt idx="130">
                  <c:v>11.233211517333984</c:v>
                </c:pt>
                <c:pt idx="131">
                  <c:v>9.768010139465332</c:v>
                </c:pt>
                <c:pt idx="132">
                  <c:v>8.7912092208862305</c:v>
                </c:pt>
                <c:pt idx="133">
                  <c:v>8.7912092208862305</c:v>
                </c:pt>
                <c:pt idx="134">
                  <c:v>9.768010139465332</c:v>
                </c:pt>
                <c:pt idx="135">
                  <c:v>10.744811058044434</c:v>
                </c:pt>
                <c:pt idx="136">
                  <c:v>11.233211517333984</c:v>
                </c:pt>
                <c:pt idx="137">
                  <c:v>10.256410598754883</c:v>
                </c:pt>
                <c:pt idx="138">
                  <c:v>8.7912092208862305</c:v>
                </c:pt>
                <c:pt idx="139">
                  <c:v>6.8376069068908691</c:v>
                </c:pt>
                <c:pt idx="140">
                  <c:v>5.8608059883117676</c:v>
                </c:pt>
                <c:pt idx="141">
                  <c:v>5.8608059883117676</c:v>
                </c:pt>
                <c:pt idx="142">
                  <c:v>6.8376069068908691</c:v>
                </c:pt>
                <c:pt idx="143">
                  <c:v>8.3028087615966797</c:v>
                </c:pt>
                <c:pt idx="144">
                  <c:v>9.2796096801757812</c:v>
                </c:pt>
                <c:pt idx="145">
                  <c:v>10.256410598754883</c:v>
                </c:pt>
                <c:pt idx="146">
                  <c:v>9.768010139465332</c:v>
                </c:pt>
                <c:pt idx="147">
                  <c:v>9.2796096801757812</c:v>
                </c:pt>
                <c:pt idx="148">
                  <c:v>8.7912092208862305</c:v>
                </c:pt>
                <c:pt idx="149">
                  <c:v>8.7912092208862305</c:v>
                </c:pt>
                <c:pt idx="150">
                  <c:v>9.2796096801757812</c:v>
                </c:pt>
                <c:pt idx="151">
                  <c:v>10.256410598754883</c:v>
                </c:pt>
                <c:pt idx="152">
                  <c:v>11.233211517333984</c:v>
                </c:pt>
                <c:pt idx="153">
                  <c:v>11.721611976623535</c:v>
                </c:pt>
                <c:pt idx="154">
                  <c:v>12.210012435913086</c:v>
                </c:pt>
                <c:pt idx="155">
                  <c:v>12.210012435913086</c:v>
                </c:pt>
                <c:pt idx="156">
                  <c:v>11.721611976623535</c:v>
                </c:pt>
                <c:pt idx="157">
                  <c:v>11.721611976623535</c:v>
                </c:pt>
                <c:pt idx="158">
                  <c:v>11.233211517333984</c:v>
                </c:pt>
                <c:pt idx="159">
                  <c:v>11.233211517333984</c:v>
                </c:pt>
                <c:pt idx="160">
                  <c:v>11.721611976623535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-25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data0!$I$2:$I$162</c:f>
              <c:numCache>
                <c:formatCode>General</c:formatCode>
                <c:ptCount val="161"/>
                <c:pt idx="0">
                  <c:v>32.234432220458984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2.442002534866333</c:v>
                </c:pt>
                <c:pt idx="11">
                  <c:v>2.9304029941558838</c:v>
                </c:pt>
                <c:pt idx="12">
                  <c:v>3.9072039127349854</c:v>
                </c:pt>
                <c:pt idx="13">
                  <c:v>4.884005069732666</c:v>
                </c:pt>
                <c:pt idx="14">
                  <c:v>5.3724055290222168</c:v>
                </c:pt>
                <c:pt idx="15">
                  <c:v>7.3260073661804199</c:v>
                </c:pt>
                <c:pt idx="16">
                  <c:v>10.744811058044434</c:v>
                </c:pt>
                <c:pt idx="17">
                  <c:v>14.163614273071289</c:v>
                </c:pt>
                <c:pt idx="18">
                  <c:v>17.582418441772461</c:v>
                </c:pt>
                <c:pt idx="19">
                  <c:v>21.489622116088867</c:v>
                </c:pt>
                <c:pt idx="20">
                  <c:v>24.420024871826172</c:v>
                </c:pt>
                <c:pt idx="21">
                  <c:v>26.373626708984375</c:v>
                </c:pt>
                <c:pt idx="22">
                  <c:v>30.769229888916016</c:v>
                </c:pt>
                <c:pt idx="23">
                  <c:v>40.048839569091797</c:v>
                </c:pt>
                <c:pt idx="24">
                  <c:v>51.282051086425781</c:v>
                </c:pt>
                <c:pt idx="25">
                  <c:v>63.980464935302734</c:v>
                </c:pt>
                <c:pt idx="26">
                  <c:v>76.678878784179687</c:v>
                </c:pt>
                <c:pt idx="27">
                  <c:v>84.4932861328125</c:v>
                </c:pt>
                <c:pt idx="28">
                  <c:v>81.074478149414063</c:v>
                </c:pt>
                <c:pt idx="29">
                  <c:v>79.120880126953125</c:v>
                </c:pt>
                <c:pt idx="30">
                  <c:v>99.633697509765625</c:v>
                </c:pt>
                <c:pt idx="31">
                  <c:v>135.77532958984375</c:v>
                </c:pt>
                <c:pt idx="32">
                  <c:v>162.14895629882812</c:v>
                </c:pt>
                <c:pt idx="33">
                  <c:v>177.28938293457031</c:v>
                </c:pt>
                <c:pt idx="34">
                  <c:v>201.70939636230469</c:v>
                </c:pt>
                <c:pt idx="35">
                  <c:v>231.5018310546875</c:v>
                </c:pt>
                <c:pt idx="36">
                  <c:v>246.64224243164062</c:v>
                </c:pt>
                <c:pt idx="37">
                  <c:v>246.64224243164062</c:v>
                </c:pt>
                <c:pt idx="38">
                  <c:v>268.13186645507812</c:v>
                </c:pt>
                <c:pt idx="39">
                  <c:v>334.06594848632812</c:v>
                </c:pt>
                <c:pt idx="40">
                  <c:v>419.5360107421875</c:v>
                </c:pt>
                <c:pt idx="41">
                  <c:v>474.23687744140625</c:v>
                </c:pt>
                <c:pt idx="42">
                  <c:v>485.4700927734375</c:v>
                </c:pt>
                <c:pt idx="43">
                  <c:v>505.98291015625</c:v>
                </c:pt>
                <c:pt idx="44">
                  <c:v>576.31256103515625</c:v>
                </c:pt>
                <c:pt idx="45">
                  <c:v>666.17828369140625</c:v>
                </c:pt>
                <c:pt idx="46">
                  <c:v>719.90234375</c:v>
                </c:pt>
                <c:pt idx="47">
                  <c:v>763.36993408203125</c:v>
                </c:pt>
                <c:pt idx="48">
                  <c:v>810.25640869140625</c:v>
                </c:pt>
                <c:pt idx="49">
                  <c:v>828.81561279296875</c:v>
                </c:pt>
                <c:pt idx="50">
                  <c:v>793.16241455078125</c:v>
                </c:pt>
                <c:pt idx="51">
                  <c:v>738.949951171875</c:v>
                </c:pt>
                <c:pt idx="52">
                  <c:v>704.76190185546875</c:v>
                </c:pt>
                <c:pt idx="53">
                  <c:v>684.73748779296875</c:v>
                </c:pt>
                <c:pt idx="54">
                  <c:v>637.85101318359375</c:v>
                </c:pt>
                <c:pt idx="55">
                  <c:v>554.33453369140625</c:v>
                </c:pt>
                <c:pt idx="56">
                  <c:v>454.70086669921875</c:v>
                </c:pt>
                <c:pt idx="57">
                  <c:v>352.62515258789063</c:v>
                </c:pt>
                <c:pt idx="58">
                  <c:v>271.5506591796875</c:v>
                </c:pt>
                <c:pt idx="59">
                  <c:v>226.61782836914062</c:v>
                </c:pt>
                <c:pt idx="60">
                  <c:v>196.82539367675781</c:v>
                </c:pt>
                <c:pt idx="61">
                  <c:v>168.009765625</c:v>
                </c:pt>
                <c:pt idx="62">
                  <c:v>145.05494689941406</c:v>
                </c:pt>
                <c:pt idx="63">
                  <c:v>131.37973022460937</c:v>
                </c:pt>
                <c:pt idx="64">
                  <c:v>119.65811920166016</c:v>
                </c:pt>
                <c:pt idx="65">
                  <c:v>107.44810485839844</c:v>
                </c:pt>
                <c:pt idx="66">
                  <c:v>105.4945068359375</c:v>
                </c:pt>
                <c:pt idx="67">
                  <c:v>115.75091552734375</c:v>
                </c:pt>
                <c:pt idx="68">
                  <c:v>128.93772888183594</c:v>
                </c:pt>
                <c:pt idx="69">
                  <c:v>135.77532958984375</c:v>
                </c:pt>
                <c:pt idx="70">
                  <c:v>135.77532958984375</c:v>
                </c:pt>
                <c:pt idx="71">
                  <c:v>129.42613220214844</c:v>
                </c:pt>
                <c:pt idx="72">
                  <c:v>120.14652252197266</c:v>
                </c:pt>
                <c:pt idx="73">
                  <c:v>114.28571319580078</c:v>
                </c:pt>
                <c:pt idx="74">
                  <c:v>118.68132019042969</c:v>
                </c:pt>
                <c:pt idx="75">
                  <c:v>137.24053955078125</c:v>
                </c:pt>
                <c:pt idx="76">
                  <c:v>163.12576293945312</c:v>
                </c:pt>
                <c:pt idx="77">
                  <c:v>178.26617431640625</c:v>
                </c:pt>
                <c:pt idx="78">
                  <c:v>174.35897827148437</c:v>
                </c:pt>
                <c:pt idx="79">
                  <c:v>164.59095764160156</c:v>
                </c:pt>
                <c:pt idx="80">
                  <c:v>164.10256958007812</c:v>
                </c:pt>
                <c:pt idx="81">
                  <c:v>170.45176696777344</c:v>
                </c:pt>
                <c:pt idx="82">
                  <c:v>170.45176696777344</c:v>
                </c:pt>
                <c:pt idx="83">
                  <c:v>162.63735961914062</c:v>
                </c:pt>
                <c:pt idx="84">
                  <c:v>154.33454895019531</c:v>
                </c:pt>
                <c:pt idx="85">
                  <c:v>153.84616088867187</c:v>
                </c:pt>
                <c:pt idx="86">
                  <c:v>159.21855163574219</c:v>
                </c:pt>
                <c:pt idx="87">
                  <c:v>161.17216491699219</c:v>
                </c:pt>
                <c:pt idx="88">
                  <c:v>151.40414428710937</c:v>
                </c:pt>
                <c:pt idx="89">
                  <c:v>133.82173156738281</c:v>
                </c:pt>
                <c:pt idx="90">
                  <c:v>120.63491821289062</c:v>
                </c:pt>
                <c:pt idx="91">
                  <c:v>114.28571319580078</c:v>
                </c:pt>
                <c:pt idx="92">
                  <c:v>104.51770782470703</c:v>
                </c:pt>
                <c:pt idx="93">
                  <c:v>88.888885498046875</c:v>
                </c:pt>
                <c:pt idx="94">
                  <c:v>77.655677795410156</c:v>
                </c:pt>
                <c:pt idx="95">
                  <c:v>78.144081115722656</c:v>
                </c:pt>
                <c:pt idx="96">
                  <c:v>84.4932861328125</c:v>
                </c:pt>
                <c:pt idx="97">
                  <c:v>86.446884155273437</c:v>
                </c:pt>
                <c:pt idx="98">
                  <c:v>80.097679138183594</c:v>
                </c:pt>
                <c:pt idx="99">
                  <c:v>70.329673767089844</c:v>
                </c:pt>
                <c:pt idx="100">
                  <c:v>62.515262603759766</c:v>
                </c:pt>
                <c:pt idx="101">
                  <c:v>56.654457092285156</c:v>
                </c:pt>
                <c:pt idx="102">
                  <c:v>50.305252075195313</c:v>
                </c:pt>
                <c:pt idx="103">
                  <c:v>43.956043243408203</c:v>
                </c:pt>
                <c:pt idx="104">
                  <c:v>39.072040557861328</c:v>
                </c:pt>
                <c:pt idx="105">
                  <c:v>34.676433563232422</c:v>
                </c:pt>
                <c:pt idx="106">
                  <c:v>30.280830383300781</c:v>
                </c:pt>
                <c:pt idx="107">
                  <c:v>27.350427627563477</c:v>
                </c:pt>
                <c:pt idx="108">
                  <c:v>27.350427627563477</c:v>
                </c:pt>
                <c:pt idx="109">
                  <c:v>28.327228546142578</c:v>
                </c:pt>
                <c:pt idx="110">
                  <c:v>25.885225296020508</c:v>
                </c:pt>
                <c:pt idx="111">
                  <c:v>21.001220703125</c:v>
                </c:pt>
                <c:pt idx="112">
                  <c:v>18.559219360351562</c:v>
                </c:pt>
                <c:pt idx="113">
                  <c:v>21.489622116088867</c:v>
                </c:pt>
                <c:pt idx="114">
                  <c:v>26.862026214599609</c:v>
                </c:pt>
                <c:pt idx="115">
                  <c:v>26.373626708984375</c:v>
                </c:pt>
                <c:pt idx="116">
                  <c:v>17.582418441772461</c:v>
                </c:pt>
                <c:pt idx="117">
                  <c:v>4.3956046104431152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6.3492064476013184</c:v>
                </c:pt>
                <c:pt idx="122">
                  <c:v>13.675213813781738</c:v>
                </c:pt>
                <c:pt idx="123">
                  <c:v>14.65201473236084</c:v>
                </c:pt>
                <c:pt idx="124">
                  <c:v>11.233211517333984</c:v>
                </c:pt>
                <c:pt idx="125">
                  <c:v>7.3260073661804199</c:v>
                </c:pt>
                <c:pt idx="126">
                  <c:v>5.8608059883117676</c:v>
                </c:pt>
                <c:pt idx="127">
                  <c:v>7.3260073661804199</c:v>
                </c:pt>
                <c:pt idx="128">
                  <c:v>8.7912092208862305</c:v>
                </c:pt>
                <c:pt idx="129">
                  <c:v>9.768010139465332</c:v>
                </c:pt>
                <c:pt idx="130">
                  <c:v>9.2796096801757812</c:v>
                </c:pt>
                <c:pt idx="131">
                  <c:v>7.8144078254699707</c:v>
                </c:pt>
                <c:pt idx="132">
                  <c:v>6.8376069068908691</c:v>
                </c:pt>
                <c:pt idx="133">
                  <c:v>6.3492064476013184</c:v>
                </c:pt>
                <c:pt idx="134">
                  <c:v>5.3724055290222168</c:v>
                </c:pt>
                <c:pt idx="135">
                  <c:v>4.3956046104431152</c:v>
                </c:pt>
                <c:pt idx="136">
                  <c:v>3.9072039127349854</c:v>
                </c:pt>
                <c:pt idx="137">
                  <c:v>4.3956046104431152</c:v>
                </c:pt>
                <c:pt idx="138">
                  <c:v>5.8608059883117676</c:v>
                </c:pt>
                <c:pt idx="139">
                  <c:v>7.3260073661804199</c:v>
                </c:pt>
                <c:pt idx="140">
                  <c:v>7.8144078254699707</c:v>
                </c:pt>
                <c:pt idx="141">
                  <c:v>6.8376069068908691</c:v>
                </c:pt>
                <c:pt idx="142">
                  <c:v>5.8608059883117676</c:v>
                </c:pt>
                <c:pt idx="143">
                  <c:v>4.884005069732666</c:v>
                </c:pt>
                <c:pt idx="144">
                  <c:v>4.884005069732666</c:v>
                </c:pt>
                <c:pt idx="145">
                  <c:v>5.3724055290222168</c:v>
                </c:pt>
                <c:pt idx="146">
                  <c:v>6.3492064476013184</c:v>
                </c:pt>
                <c:pt idx="147">
                  <c:v>7.8144078254699707</c:v>
                </c:pt>
                <c:pt idx="148">
                  <c:v>9.2796096801757812</c:v>
                </c:pt>
                <c:pt idx="149">
                  <c:v>9.768010139465332</c:v>
                </c:pt>
                <c:pt idx="150">
                  <c:v>9.768010139465332</c:v>
                </c:pt>
                <c:pt idx="151">
                  <c:v>9.2796096801757812</c:v>
                </c:pt>
                <c:pt idx="152">
                  <c:v>9.2796096801757812</c:v>
                </c:pt>
                <c:pt idx="153">
                  <c:v>9.768010139465332</c:v>
                </c:pt>
                <c:pt idx="154">
                  <c:v>10.744811058044434</c:v>
                </c:pt>
                <c:pt idx="155">
                  <c:v>11.721611976623535</c:v>
                </c:pt>
                <c:pt idx="156">
                  <c:v>12.698412895202637</c:v>
                </c:pt>
                <c:pt idx="157">
                  <c:v>13.186813354492187</c:v>
                </c:pt>
                <c:pt idx="158">
                  <c:v>13.675213813781738</c:v>
                </c:pt>
                <c:pt idx="159">
                  <c:v>13.675213813781738</c:v>
                </c:pt>
                <c:pt idx="160">
                  <c:v>13.186813354492187</c:v>
                </c:pt>
              </c:numCache>
            </c:numRef>
          </c:yVal>
          <c:smooth val="1"/>
        </c:ser>
        <c:axId val="72780800"/>
        <c:axId val="72798976"/>
      </c:scatterChart>
      <c:valAx>
        <c:axId val="72780800"/>
        <c:scaling>
          <c:orientation val="minMax"/>
        </c:scaling>
        <c:axPos val="b"/>
        <c:numFmt formatCode="General" sourceLinked="1"/>
        <c:tickLblPos val="nextTo"/>
        <c:crossAx val="72798976"/>
        <c:crosses val="autoZero"/>
        <c:crossBetween val="midCat"/>
      </c:valAx>
      <c:valAx>
        <c:axId val="72798976"/>
        <c:scaling>
          <c:orientation val="minMax"/>
        </c:scaling>
        <c:axPos val="l"/>
        <c:majorGridlines/>
        <c:numFmt formatCode="General" sourceLinked="1"/>
        <c:tickLblPos val="nextTo"/>
        <c:crossAx val="727808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-20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data0!$J$2:$J$162</c:f>
              <c:numCache>
                <c:formatCode>General</c:formatCode>
                <c:ptCount val="161"/>
                <c:pt idx="0">
                  <c:v>6.8376069068908691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2.442002534866333</c:v>
                </c:pt>
                <c:pt idx="11">
                  <c:v>2.9304029941558838</c:v>
                </c:pt>
                <c:pt idx="12">
                  <c:v>3.4188034534454346</c:v>
                </c:pt>
                <c:pt idx="13">
                  <c:v>5.3724055290222168</c:v>
                </c:pt>
                <c:pt idx="14">
                  <c:v>6.3492064476013184</c:v>
                </c:pt>
                <c:pt idx="15">
                  <c:v>7.3260073661804199</c:v>
                </c:pt>
                <c:pt idx="16">
                  <c:v>8.7912092208862305</c:v>
                </c:pt>
                <c:pt idx="17">
                  <c:v>13.186813354492187</c:v>
                </c:pt>
                <c:pt idx="18">
                  <c:v>17.582418441772461</c:v>
                </c:pt>
                <c:pt idx="19">
                  <c:v>21.978021621704102</c:v>
                </c:pt>
                <c:pt idx="20">
                  <c:v>26.862026214599609</c:v>
                </c:pt>
                <c:pt idx="21">
                  <c:v>31.257631301879883</c:v>
                </c:pt>
                <c:pt idx="22">
                  <c:v>33.211235046386719</c:v>
                </c:pt>
                <c:pt idx="23">
                  <c:v>38.095237731933594</c:v>
                </c:pt>
                <c:pt idx="24">
                  <c:v>48.351650238037109</c:v>
                </c:pt>
                <c:pt idx="25">
                  <c:v>63.003662109375</c:v>
                </c:pt>
                <c:pt idx="26">
                  <c:v>78.144081115722656</c:v>
                </c:pt>
                <c:pt idx="27">
                  <c:v>93.772895812988281</c:v>
                </c:pt>
                <c:pt idx="28">
                  <c:v>105.4945068359375</c:v>
                </c:pt>
                <c:pt idx="29">
                  <c:v>103.05250549316406</c:v>
                </c:pt>
                <c:pt idx="30">
                  <c:v>94.26129150390625</c:v>
                </c:pt>
                <c:pt idx="31">
                  <c:v>109.89010620117187</c:v>
                </c:pt>
                <c:pt idx="32">
                  <c:v>159.21855163574219</c:v>
                </c:pt>
                <c:pt idx="33">
                  <c:v>202.19779968261719</c:v>
                </c:pt>
                <c:pt idx="34">
                  <c:v>221.24542236328125</c:v>
                </c:pt>
                <c:pt idx="35">
                  <c:v>237.36264038085937</c:v>
                </c:pt>
                <c:pt idx="36">
                  <c:v>263.73626708984375</c:v>
                </c:pt>
                <c:pt idx="37">
                  <c:v>279.36508178710937</c:v>
                </c:pt>
                <c:pt idx="38">
                  <c:v>280.34188842773437</c:v>
                </c:pt>
                <c:pt idx="39">
                  <c:v>295.970703125</c:v>
                </c:pt>
                <c:pt idx="40">
                  <c:v>363.85836791992187</c:v>
                </c:pt>
                <c:pt idx="41">
                  <c:v>475.70208740234375</c:v>
                </c:pt>
                <c:pt idx="42">
                  <c:v>562.14898681640625</c:v>
                </c:pt>
                <c:pt idx="43">
                  <c:v>583.63861083984375</c:v>
                </c:pt>
                <c:pt idx="44">
                  <c:v>571.4285888671875</c:v>
                </c:pt>
                <c:pt idx="45">
                  <c:v>600.24420166015625</c:v>
                </c:pt>
                <c:pt idx="46">
                  <c:v>688.15631103515625</c:v>
                </c:pt>
                <c:pt idx="47">
                  <c:v>757.020751953125</c:v>
                </c:pt>
                <c:pt idx="48">
                  <c:v>796.0927734375</c:v>
                </c:pt>
                <c:pt idx="49">
                  <c:v>846.3980712890625</c:v>
                </c:pt>
                <c:pt idx="50">
                  <c:v>882.5396728515625</c:v>
                </c:pt>
                <c:pt idx="51">
                  <c:v>852.74725341796875</c:v>
                </c:pt>
                <c:pt idx="52">
                  <c:v>763.36993408203125</c:v>
                </c:pt>
                <c:pt idx="53">
                  <c:v>665.20147705078125</c:v>
                </c:pt>
                <c:pt idx="54">
                  <c:v>600.73260498046875</c:v>
                </c:pt>
                <c:pt idx="55">
                  <c:v>539.68255615234375</c:v>
                </c:pt>
                <c:pt idx="56">
                  <c:v>457.63125610351562</c:v>
                </c:pt>
                <c:pt idx="57">
                  <c:v>369.71917724609375</c:v>
                </c:pt>
                <c:pt idx="58">
                  <c:v>291.08670043945312</c:v>
                </c:pt>
                <c:pt idx="59">
                  <c:v>225.64102172851562</c:v>
                </c:pt>
                <c:pt idx="60">
                  <c:v>183.63858032226562</c:v>
                </c:pt>
                <c:pt idx="61">
                  <c:v>168.4981689453125</c:v>
                </c:pt>
                <c:pt idx="62">
                  <c:v>156.77655029296875</c:v>
                </c:pt>
                <c:pt idx="63">
                  <c:v>141.63613891601562</c:v>
                </c:pt>
                <c:pt idx="64">
                  <c:v>130.40292358398438</c:v>
                </c:pt>
                <c:pt idx="65">
                  <c:v>124.05372619628906</c:v>
                </c:pt>
                <c:pt idx="66">
                  <c:v>115.26251220703125</c:v>
                </c:pt>
                <c:pt idx="67">
                  <c:v>105.4945068359375</c:v>
                </c:pt>
                <c:pt idx="68">
                  <c:v>105.006103515625</c:v>
                </c:pt>
                <c:pt idx="69">
                  <c:v>116.23931884765625</c:v>
                </c:pt>
                <c:pt idx="70">
                  <c:v>129.91453552246094</c:v>
                </c:pt>
                <c:pt idx="71">
                  <c:v>136.75213623046875</c:v>
                </c:pt>
                <c:pt idx="72">
                  <c:v>137.72894287109375</c:v>
                </c:pt>
                <c:pt idx="73">
                  <c:v>138.21733093261719</c:v>
                </c:pt>
                <c:pt idx="74">
                  <c:v>138.21733093261719</c:v>
                </c:pt>
                <c:pt idx="75">
                  <c:v>135.77532958984375</c:v>
                </c:pt>
                <c:pt idx="76">
                  <c:v>137.24053955078125</c:v>
                </c:pt>
                <c:pt idx="77">
                  <c:v>151.89254760742187</c:v>
                </c:pt>
                <c:pt idx="78">
                  <c:v>174.35897827148437</c:v>
                </c:pt>
                <c:pt idx="79">
                  <c:v>183.63858032226562</c:v>
                </c:pt>
                <c:pt idx="80">
                  <c:v>170.45176696777344</c:v>
                </c:pt>
                <c:pt idx="81">
                  <c:v>151.40414428710937</c:v>
                </c:pt>
                <c:pt idx="82">
                  <c:v>146.5201416015625</c:v>
                </c:pt>
                <c:pt idx="83">
                  <c:v>151.40414428710937</c:v>
                </c:pt>
                <c:pt idx="84">
                  <c:v>153.84616088867187</c:v>
                </c:pt>
                <c:pt idx="85">
                  <c:v>148.96214294433594</c:v>
                </c:pt>
                <c:pt idx="86">
                  <c:v>139.68254089355469</c:v>
                </c:pt>
                <c:pt idx="87">
                  <c:v>133.33332824707031</c:v>
                </c:pt>
                <c:pt idx="88">
                  <c:v>133.33332824707031</c:v>
                </c:pt>
                <c:pt idx="89">
                  <c:v>133.33332824707031</c:v>
                </c:pt>
                <c:pt idx="90">
                  <c:v>123.07691955566406</c:v>
                </c:pt>
                <c:pt idx="91">
                  <c:v>105.98290252685547</c:v>
                </c:pt>
                <c:pt idx="92">
                  <c:v>95.23809814453125</c:v>
                </c:pt>
                <c:pt idx="93">
                  <c:v>92.307693481445313</c:v>
                </c:pt>
                <c:pt idx="94">
                  <c:v>86.446884155273437</c:v>
                </c:pt>
                <c:pt idx="95">
                  <c:v>72.283271789550781</c:v>
                </c:pt>
                <c:pt idx="96">
                  <c:v>59.584857940673828</c:v>
                </c:pt>
                <c:pt idx="97">
                  <c:v>58.119659423828125</c:v>
                </c:pt>
                <c:pt idx="98">
                  <c:v>63.980464935302734</c:v>
                </c:pt>
                <c:pt idx="99">
                  <c:v>65.445663452148438</c:v>
                </c:pt>
                <c:pt idx="100">
                  <c:v>58.119659423828125</c:v>
                </c:pt>
                <c:pt idx="101">
                  <c:v>46.886447906494141</c:v>
                </c:pt>
                <c:pt idx="102">
                  <c:v>39.560440063476563</c:v>
                </c:pt>
                <c:pt idx="103">
                  <c:v>36.630035400390625</c:v>
                </c:pt>
                <c:pt idx="104">
                  <c:v>33.211235046386719</c:v>
                </c:pt>
                <c:pt idx="105">
                  <c:v>28.327228546142578</c:v>
                </c:pt>
                <c:pt idx="106">
                  <c:v>23.931623458862305</c:v>
                </c:pt>
                <c:pt idx="107">
                  <c:v>19.536020278930664</c:v>
                </c:pt>
                <c:pt idx="108">
                  <c:v>15.628815650939941</c:v>
                </c:pt>
                <c:pt idx="109">
                  <c:v>12.698412895202637</c:v>
                </c:pt>
                <c:pt idx="110">
                  <c:v>13.186813354492187</c:v>
                </c:pt>
                <c:pt idx="111">
                  <c:v>16.605617523193359</c:v>
                </c:pt>
                <c:pt idx="112">
                  <c:v>17.094017028808594</c:v>
                </c:pt>
                <c:pt idx="113">
                  <c:v>12.210012435913086</c:v>
                </c:pt>
                <c:pt idx="114">
                  <c:v>6.8376069068908691</c:v>
                </c:pt>
                <c:pt idx="115">
                  <c:v>7.3260073661804199</c:v>
                </c:pt>
                <c:pt idx="116">
                  <c:v>14.163614273071289</c:v>
                </c:pt>
                <c:pt idx="117">
                  <c:v>20.024419784545898</c:v>
                </c:pt>
                <c:pt idx="118">
                  <c:v>16.605617523193359</c:v>
                </c:pt>
                <c:pt idx="119">
                  <c:v>4.3956046104431152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4.3956046104431152</c:v>
                </c:pt>
                <c:pt idx="125">
                  <c:v>9.2796096801757812</c:v>
                </c:pt>
                <c:pt idx="126">
                  <c:v>8.3028087615966797</c:v>
                </c:pt>
                <c:pt idx="127">
                  <c:v>3.9072039127349854</c:v>
                </c:pt>
                <c:pt idx="128">
                  <c:v>0.97680097818374634</c:v>
                </c:pt>
                <c:pt idx="129">
                  <c:v>0.97680097818374634</c:v>
                </c:pt>
                <c:pt idx="130">
                  <c:v>2.442002534866333</c:v>
                </c:pt>
                <c:pt idx="131">
                  <c:v>4.3956046104431152</c:v>
                </c:pt>
                <c:pt idx="132">
                  <c:v>4.884005069732666</c:v>
                </c:pt>
                <c:pt idx="133">
                  <c:v>4.3956046104431152</c:v>
                </c:pt>
                <c:pt idx="134">
                  <c:v>3.9072039127349854</c:v>
                </c:pt>
                <c:pt idx="135">
                  <c:v>3.4188034534454346</c:v>
                </c:pt>
                <c:pt idx="136">
                  <c:v>2.9304029941558838</c:v>
                </c:pt>
                <c:pt idx="137">
                  <c:v>2.442002534866333</c:v>
                </c:pt>
                <c:pt idx="138">
                  <c:v>1.4652014970779419</c:v>
                </c:pt>
                <c:pt idx="139">
                  <c:v>1.4652014970779419</c:v>
                </c:pt>
                <c:pt idx="140">
                  <c:v>2.442002534866333</c:v>
                </c:pt>
                <c:pt idx="141">
                  <c:v>4.3956046104431152</c:v>
                </c:pt>
                <c:pt idx="142">
                  <c:v>6.3492064476013184</c:v>
                </c:pt>
                <c:pt idx="143">
                  <c:v>6.8376069068908691</c:v>
                </c:pt>
                <c:pt idx="144">
                  <c:v>6.3492064476013184</c:v>
                </c:pt>
                <c:pt idx="145">
                  <c:v>5.8608059883117676</c:v>
                </c:pt>
                <c:pt idx="146">
                  <c:v>5.3724055290222168</c:v>
                </c:pt>
                <c:pt idx="147">
                  <c:v>5.3724055290222168</c:v>
                </c:pt>
                <c:pt idx="148">
                  <c:v>5.8608059883117676</c:v>
                </c:pt>
                <c:pt idx="149">
                  <c:v>6.3492064476013184</c:v>
                </c:pt>
                <c:pt idx="150">
                  <c:v>7.8144078254699707</c:v>
                </c:pt>
                <c:pt idx="151">
                  <c:v>9.2796096801757812</c:v>
                </c:pt>
                <c:pt idx="152">
                  <c:v>10.256410598754883</c:v>
                </c:pt>
                <c:pt idx="153">
                  <c:v>10.744811058044434</c:v>
                </c:pt>
                <c:pt idx="154">
                  <c:v>10.744811058044434</c:v>
                </c:pt>
                <c:pt idx="155">
                  <c:v>10.256410598754883</c:v>
                </c:pt>
                <c:pt idx="156">
                  <c:v>10.744811058044434</c:v>
                </c:pt>
                <c:pt idx="157">
                  <c:v>12.210012435913086</c:v>
                </c:pt>
                <c:pt idx="158">
                  <c:v>13.186813354492187</c:v>
                </c:pt>
                <c:pt idx="159">
                  <c:v>14.163614273071289</c:v>
                </c:pt>
                <c:pt idx="160">
                  <c:v>14.65201473236084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-15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data0!$K$2:$K$162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2.9304029941558838</c:v>
                </c:pt>
                <c:pt idx="12">
                  <c:v>3.4188034534454346</c:v>
                </c:pt>
                <c:pt idx="13">
                  <c:v>4.884005069732666</c:v>
                </c:pt>
                <c:pt idx="14">
                  <c:v>6.8376069068908691</c:v>
                </c:pt>
                <c:pt idx="15">
                  <c:v>8.3028087615966797</c:v>
                </c:pt>
                <c:pt idx="16">
                  <c:v>9.2796096801757812</c:v>
                </c:pt>
                <c:pt idx="17">
                  <c:v>11.233211517333984</c:v>
                </c:pt>
                <c:pt idx="18">
                  <c:v>16.605617523193359</c:v>
                </c:pt>
                <c:pt idx="19">
                  <c:v>21.978021621704102</c:v>
                </c:pt>
                <c:pt idx="20">
                  <c:v>26.862026214599609</c:v>
                </c:pt>
                <c:pt idx="21">
                  <c:v>33.211235046386719</c:v>
                </c:pt>
                <c:pt idx="22">
                  <c:v>38.095237731933594</c:v>
                </c:pt>
                <c:pt idx="23">
                  <c:v>40.048839569091797</c:v>
                </c:pt>
                <c:pt idx="24">
                  <c:v>46.398044586181641</c:v>
                </c:pt>
                <c:pt idx="25">
                  <c:v>59.096458435058594</c:v>
                </c:pt>
                <c:pt idx="26">
                  <c:v>76.190475463867187</c:v>
                </c:pt>
                <c:pt idx="27">
                  <c:v>94.26129150390625</c:v>
                </c:pt>
                <c:pt idx="28">
                  <c:v>111.35530853271484</c:v>
                </c:pt>
                <c:pt idx="29">
                  <c:v>123.07691955566406</c:v>
                </c:pt>
                <c:pt idx="30">
                  <c:v>119.65811920166016</c:v>
                </c:pt>
                <c:pt idx="31">
                  <c:v>107.93650817871094</c:v>
                </c:pt>
                <c:pt idx="32">
                  <c:v>129.42613220214844</c:v>
                </c:pt>
                <c:pt idx="33">
                  <c:v>190.96458435058594</c:v>
                </c:pt>
                <c:pt idx="34">
                  <c:v>243.22344970703125</c:v>
                </c:pt>
                <c:pt idx="35">
                  <c:v>259.34066772460937</c:v>
                </c:pt>
                <c:pt idx="36">
                  <c:v>264.22467041015625</c:v>
                </c:pt>
                <c:pt idx="37">
                  <c:v>285.71429443359375</c:v>
                </c:pt>
                <c:pt idx="38">
                  <c:v>305.73870849609375</c:v>
                </c:pt>
                <c:pt idx="39">
                  <c:v>315.9951171875</c:v>
                </c:pt>
                <c:pt idx="40">
                  <c:v>337.4847412109375</c:v>
                </c:pt>
                <c:pt idx="41">
                  <c:v>409.27960205078125</c:v>
                </c:pt>
                <c:pt idx="42">
                  <c:v>532.84490966796875</c:v>
                </c:pt>
                <c:pt idx="43">
                  <c:v>631.5018310546875</c:v>
                </c:pt>
                <c:pt idx="44">
                  <c:v>655.4334716796875</c:v>
                </c:pt>
                <c:pt idx="45">
                  <c:v>622.22222900390625</c:v>
                </c:pt>
                <c:pt idx="46">
                  <c:v>623.68743896484375</c:v>
                </c:pt>
                <c:pt idx="47">
                  <c:v>706.22711181640625</c:v>
                </c:pt>
                <c:pt idx="48">
                  <c:v>790.72039794921875</c:v>
                </c:pt>
                <c:pt idx="49">
                  <c:v>829.79241943359375</c:v>
                </c:pt>
                <c:pt idx="50">
                  <c:v>869.84124755859375</c:v>
                </c:pt>
                <c:pt idx="51">
                  <c:v>892.30767822265625</c:v>
                </c:pt>
                <c:pt idx="52">
                  <c:v>850.30523681640625</c:v>
                </c:pt>
                <c:pt idx="53">
                  <c:v>739.9267578125</c:v>
                </c:pt>
                <c:pt idx="54">
                  <c:v>609.5238037109375</c:v>
                </c:pt>
                <c:pt idx="55">
                  <c:v>508.42489624023437</c:v>
                </c:pt>
                <c:pt idx="56">
                  <c:v>440.048828125</c:v>
                </c:pt>
                <c:pt idx="57">
                  <c:v>365.81195068359375</c:v>
                </c:pt>
                <c:pt idx="58">
                  <c:v>294.01708984375</c:v>
                </c:pt>
                <c:pt idx="59">
                  <c:v>237.85104370117187</c:v>
                </c:pt>
                <c:pt idx="60">
                  <c:v>190.96458435058594</c:v>
                </c:pt>
                <c:pt idx="61">
                  <c:v>160.19535827636719</c:v>
                </c:pt>
                <c:pt idx="62">
                  <c:v>150.42735290527344</c:v>
                </c:pt>
                <c:pt idx="63">
                  <c:v>148.96214294433594</c:v>
                </c:pt>
                <c:pt idx="64">
                  <c:v>140.17094421386719</c:v>
                </c:pt>
                <c:pt idx="65">
                  <c:v>129.91453552246094</c:v>
                </c:pt>
                <c:pt idx="66">
                  <c:v>125.51892852783203</c:v>
                </c:pt>
                <c:pt idx="67">
                  <c:v>120.14652252197266</c:v>
                </c:pt>
                <c:pt idx="68">
                  <c:v>109.40171051025391</c:v>
                </c:pt>
                <c:pt idx="69">
                  <c:v>103.05250549316406</c:v>
                </c:pt>
                <c:pt idx="70">
                  <c:v>109.40171051025391</c:v>
                </c:pt>
                <c:pt idx="71">
                  <c:v>123.56532287597656</c:v>
                </c:pt>
                <c:pt idx="72">
                  <c:v>136.75213623046875</c:v>
                </c:pt>
                <c:pt idx="73">
                  <c:v>146.03175354003906</c:v>
                </c:pt>
                <c:pt idx="74">
                  <c:v>154.33454895019531</c:v>
                </c:pt>
                <c:pt idx="75">
                  <c:v>157.75335693359375</c:v>
                </c:pt>
                <c:pt idx="76">
                  <c:v>155.31135559082031</c:v>
                </c:pt>
                <c:pt idx="77">
                  <c:v>148.4737548828125</c:v>
                </c:pt>
                <c:pt idx="78">
                  <c:v>147.4969482421875</c:v>
                </c:pt>
                <c:pt idx="79">
                  <c:v>159.70695495605469</c:v>
                </c:pt>
                <c:pt idx="80">
                  <c:v>174.84738159179687</c:v>
                </c:pt>
                <c:pt idx="81">
                  <c:v>169.96336364746094</c:v>
                </c:pt>
                <c:pt idx="82">
                  <c:v>148.4737548828125</c:v>
                </c:pt>
                <c:pt idx="83">
                  <c:v>134.79853820800781</c:v>
                </c:pt>
                <c:pt idx="84">
                  <c:v>136.26373291015625</c:v>
                </c:pt>
                <c:pt idx="85">
                  <c:v>142.12454223632812</c:v>
                </c:pt>
                <c:pt idx="86">
                  <c:v>142.12454223632812</c:v>
                </c:pt>
                <c:pt idx="87">
                  <c:v>133.82173156738281</c:v>
                </c:pt>
                <c:pt idx="88">
                  <c:v>121.12332153320312</c:v>
                </c:pt>
                <c:pt idx="89">
                  <c:v>111.84371185302734</c:v>
                </c:pt>
                <c:pt idx="90">
                  <c:v>109.40171051025391</c:v>
                </c:pt>
                <c:pt idx="91">
                  <c:v>106.47130584716797</c:v>
                </c:pt>
                <c:pt idx="92">
                  <c:v>94.26129150390625</c:v>
                </c:pt>
                <c:pt idx="93">
                  <c:v>81.562881469726563</c:v>
                </c:pt>
                <c:pt idx="94">
                  <c:v>79.120880126953125</c:v>
                </c:pt>
                <c:pt idx="95">
                  <c:v>80.586082458496094</c:v>
                </c:pt>
                <c:pt idx="96">
                  <c:v>72.771675109863281</c:v>
                </c:pt>
                <c:pt idx="97">
                  <c:v>56.654457092285156</c:v>
                </c:pt>
                <c:pt idx="98">
                  <c:v>44.444442749023438</c:v>
                </c:pt>
                <c:pt idx="99">
                  <c:v>44.932846069335937</c:v>
                </c:pt>
                <c:pt idx="100">
                  <c:v>50.305252075195313</c:v>
                </c:pt>
                <c:pt idx="101">
                  <c:v>48.840049743652344</c:v>
                </c:pt>
                <c:pt idx="102">
                  <c:v>38.095237731933594</c:v>
                </c:pt>
                <c:pt idx="103">
                  <c:v>26.862026214599609</c:v>
                </c:pt>
                <c:pt idx="104">
                  <c:v>22.954822540283203</c:v>
                </c:pt>
                <c:pt idx="105">
                  <c:v>23.44322395324707</c:v>
                </c:pt>
                <c:pt idx="106">
                  <c:v>21.489622116088867</c:v>
                </c:pt>
                <c:pt idx="107">
                  <c:v>18.070817947387695</c:v>
                </c:pt>
                <c:pt idx="108">
                  <c:v>15.140415191650391</c:v>
                </c:pt>
                <c:pt idx="109">
                  <c:v>11.233211517333984</c:v>
                </c:pt>
                <c:pt idx="110">
                  <c:v>7.3260073661804199</c:v>
                </c:pt>
                <c:pt idx="111">
                  <c:v>4.3956046104431152</c:v>
                </c:pt>
                <c:pt idx="112">
                  <c:v>6.3492064476013184</c:v>
                </c:pt>
                <c:pt idx="113">
                  <c:v>10.744811058044434</c:v>
                </c:pt>
                <c:pt idx="114">
                  <c:v>11.233211517333984</c:v>
                </c:pt>
                <c:pt idx="115">
                  <c:v>5.8608059883117676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7.3260073661804199</c:v>
                </c:pt>
                <c:pt idx="119">
                  <c:v>14.65201473236084</c:v>
                </c:pt>
                <c:pt idx="120">
                  <c:v>12.210012435913086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0.97680097818374634</c:v>
                </c:pt>
                <c:pt idx="127">
                  <c:v>6.3492064476013184</c:v>
                </c:pt>
                <c:pt idx="128">
                  <c:v>5.3724055290222168</c:v>
                </c:pt>
                <c:pt idx="129">
                  <c:v>1.4652014970779419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0.97680097818374634</c:v>
                </c:pt>
                <c:pt idx="134">
                  <c:v>2.442002534866333</c:v>
                </c:pt>
                <c:pt idx="135">
                  <c:v>2.442002534866333</c:v>
                </c:pt>
                <c:pt idx="136">
                  <c:v>1.9536019563674927</c:v>
                </c:pt>
                <c:pt idx="137">
                  <c:v>1.9536019563674927</c:v>
                </c:pt>
                <c:pt idx="138">
                  <c:v>1.9536019563674927</c:v>
                </c:pt>
                <c:pt idx="139">
                  <c:v>1.4652014970779419</c:v>
                </c:pt>
                <c:pt idx="140">
                  <c:v>0.97680097818374634</c:v>
                </c:pt>
                <c:pt idx="141">
                  <c:v>0.48840048909187317</c:v>
                </c:pt>
                <c:pt idx="142">
                  <c:v>1.4652014970779419</c:v>
                </c:pt>
                <c:pt idx="143">
                  <c:v>3.9072039127349854</c:v>
                </c:pt>
                <c:pt idx="144">
                  <c:v>5.8608059883117676</c:v>
                </c:pt>
                <c:pt idx="145">
                  <c:v>6.8376069068908691</c:v>
                </c:pt>
                <c:pt idx="146">
                  <c:v>6.8376069068908691</c:v>
                </c:pt>
                <c:pt idx="147">
                  <c:v>6.8376069068908691</c:v>
                </c:pt>
                <c:pt idx="148">
                  <c:v>6.3492064476013184</c:v>
                </c:pt>
                <c:pt idx="149">
                  <c:v>6.3492064476013184</c:v>
                </c:pt>
                <c:pt idx="150">
                  <c:v>6.3492064476013184</c:v>
                </c:pt>
                <c:pt idx="151">
                  <c:v>6.8376069068908691</c:v>
                </c:pt>
                <c:pt idx="152">
                  <c:v>7.8144078254699707</c:v>
                </c:pt>
                <c:pt idx="153">
                  <c:v>9.2796096801757812</c:v>
                </c:pt>
                <c:pt idx="154">
                  <c:v>10.744811058044434</c:v>
                </c:pt>
                <c:pt idx="155">
                  <c:v>11.721611976623535</c:v>
                </c:pt>
                <c:pt idx="156">
                  <c:v>11.721611976623535</c:v>
                </c:pt>
                <c:pt idx="157">
                  <c:v>11.721611976623535</c:v>
                </c:pt>
                <c:pt idx="158">
                  <c:v>11.721611976623535</c:v>
                </c:pt>
                <c:pt idx="159">
                  <c:v>12.698412895202637</c:v>
                </c:pt>
                <c:pt idx="160">
                  <c:v>13.675213813781738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-10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data0!$L$2:$L$162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3.4188034534454346</c:v>
                </c:pt>
                <c:pt idx="12">
                  <c:v>3.4188034534454346</c:v>
                </c:pt>
                <c:pt idx="13">
                  <c:v>4.3956046104431152</c:v>
                </c:pt>
                <c:pt idx="14">
                  <c:v>6.8376069068908691</c:v>
                </c:pt>
                <c:pt idx="15">
                  <c:v>9.2796096801757812</c:v>
                </c:pt>
                <c:pt idx="16">
                  <c:v>10.256410598754883</c:v>
                </c:pt>
                <c:pt idx="17">
                  <c:v>10.744811058044434</c:v>
                </c:pt>
                <c:pt idx="18">
                  <c:v>15.140415191650391</c:v>
                </c:pt>
                <c:pt idx="19">
                  <c:v>21.978021621704102</c:v>
                </c:pt>
                <c:pt idx="20">
                  <c:v>27.350427627563477</c:v>
                </c:pt>
                <c:pt idx="21">
                  <c:v>34.188034057617187</c:v>
                </c:pt>
                <c:pt idx="22">
                  <c:v>41.514041900634766</c:v>
                </c:pt>
                <c:pt idx="23">
                  <c:v>45.421245574951172</c:v>
                </c:pt>
                <c:pt idx="24">
                  <c:v>48.351650238037109</c:v>
                </c:pt>
                <c:pt idx="25">
                  <c:v>57.631256103515625</c:v>
                </c:pt>
                <c:pt idx="26">
                  <c:v>74.725273132324219</c:v>
                </c:pt>
                <c:pt idx="27">
                  <c:v>94.74969482421875</c:v>
                </c:pt>
                <c:pt idx="28">
                  <c:v>114.28571319580078</c:v>
                </c:pt>
                <c:pt idx="29">
                  <c:v>131.86813354492187</c:v>
                </c:pt>
                <c:pt idx="30">
                  <c:v>141.14773559570312</c:v>
                </c:pt>
                <c:pt idx="31">
                  <c:v>133.33332824707031</c:v>
                </c:pt>
                <c:pt idx="32">
                  <c:v>125.03052520751953</c:v>
                </c:pt>
                <c:pt idx="33">
                  <c:v>164.59095764160156</c:v>
                </c:pt>
                <c:pt idx="34">
                  <c:v>240.29304504394531</c:v>
                </c:pt>
                <c:pt idx="35">
                  <c:v>289.13308715820312</c:v>
                </c:pt>
                <c:pt idx="36">
                  <c:v>288.15628051757812</c:v>
                </c:pt>
                <c:pt idx="37">
                  <c:v>290.10989379882813</c:v>
                </c:pt>
                <c:pt idx="38">
                  <c:v>318.92550659179687</c:v>
                </c:pt>
                <c:pt idx="39">
                  <c:v>345.78753662109375</c:v>
                </c:pt>
                <c:pt idx="40">
                  <c:v>363.85836791992187</c:v>
                </c:pt>
                <c:pt idx="41">
                  <c:v>395.11599731445312</c:v>
                </c:pt>
                <c:pt idx="42">
                  <c:v>483.028076171875</c:v>
                </c:pt>
                <c:pt idx="43">
                  <c:v>619.29180908203125</c:v>
                </c:pt>
                <c:pt idx="44">
                  <c:v>707.20391845703125</c:v>
                </c:pt>
                <c:pt idx="45">
                  <c:v>711.111083984375</c:v>
                </c:pt>
                <c:pt idx="46">
                  <c:v>661.29425048828125</c:v>
                </c:pt>
                <c:pt idx="47">
                  <c:v>661.78265380859375</c:v>
                </c:pt>
                <c:pt idx="48">
                  <c:v>761.90478515625</c:v>
                </c:pt>
                <c:pt idx="49">
                  <c:v>849.81683349609375</c:v>
                </c:pt>
                <c:pt idx="50">
                  <c:v>875.21368408203125</c:v>
                </c:pt>
                <c:pt idx="51">
                  <c:v>894.74969482421875</c:v>
                </c:pt>
                <c:pt idx="52">
                  <c:v>889.86566162109375</c:v>
                </c:pt>
                <c:pt idx="53">
                  <c:v>814.16363525390625</c:v>
                </c:pt>
                <c:pt idx="54">
                  <c:v>680.34185791015625</c:v>
                </c:pt>
                <c:pt idx="55">
                  <c:v>528.4493408203125</c:v>
                </c:pt>
                <c:pt idx="56">
                  <c:v>424.90841674804687</c:v>
                </c:pt>
                <c:pt idx="57">
                  <c:v>357.020751953125</c:v>
                </c:pt>
                <c:pt idx="58">
                  <c:v>294.01708984375</c:v>
                </c:pt>
                <c:pt idx="59">
                  <c:v>240.29304504394531</c:v>
                </c:pt>
                <c:pt idx="60">
                  <c:v>200.73260498046875</c:v>
                </c:pt>
                <c:pt idx="61">
                  <c:v>169.4749755859375</c:v>
                </c:pt>
                <c:pt idx="62">
                  <c:v>146.5201416015625</c:v>
                </c:pt>
                <c:pt idx="63">
                  <c:v>142.61294555664062</c:v>
                </c:pt>
                <c:pt idx="64">
                  <c:v>146.03175354003906</c:v>
                </c:pt>
                <c:pt idx="65">
                  <c:v>139.68254089355469</c:v>
                </c:pt>
                <c:pt idx="66">
                  <c:v>129.91453552246094</c:v>
                </c:pt>
                <c:pt idx="67">
                  <c:v>126.00732421875</c:v>
                </c:pt>
                <c:pt idx="68">
                  <c:v>121.61172485351563</c:v>
                </c:pt>
                <c:pt idx="69">
                  <c:v>111.35530853271484</c:v>
                </c:pt>
                <c:pt idx="70">
                  <c:v>103.05250549316406</c:v>
                </c:pt>
                <c:pt idx="71">
                  <c:v>107.93650817871094</c:v>
                </c:pt>
                <c:pt idx="72">
                  <c:v>124.54212188720703</c:v>
                </c:pt>
                <c:pt idx="73">
                  <c:v>144.56654357910156</c:v>
                </c:pt>
                <c:pt idx="74">
                  <c:v>159.21855163574219</c:v>
                </c:pt>
                <c:pt idx="75">
                  <c:v>167.5213623046875</c:v>
                </c:pt>
                <c:pt idx="76">
                  <c:v>169.96336364746094</c:v>
                </c:pt>
                <c:pt idx="77">
                  <c:v>165.07936096191406</c:v>
                </c:pt>
                <c:pt idx="78">
                  <c:v>152.86935424804687</c:v>
                </c:pt>
                <c:pt idx="79">
                  <c:v>143.58973693847656</c:v>
                </c:pt>
                <c:pt idx="80">
                  <c:v>148.4737548828125</c:v>
                </c:pt>
                <c:pt idx="81">
                  <c:v>162.63735961914062</c:v>
                </c:pt>
                <c:pt idx="82">
                  <c:v>161.66056823730469</c:v>
                </c:pt>
                <c:pt idx="83">
                  <c:v>141.14773559570312</c:v>
                </c:pt>
                <c:pt idx="84">
                  <c:v>126.00732421875</c:v>
                </c:pt>
                <c:pt idx="85">
                  <c:v>126.00732421875</c:v>
                </c:pt>
                <c:pt idx="86">
                  <c:v>131.37973022460937</c:v>
                </c:pt>
                <c:pt idx="87">
                  <c:v>131.86813354492187</c:v>
                </c:pt>
                <c:pt idx="88">
                  <c:v>122.58852386474609</c:v>
                </c:pt>
                <c:pt idx="89">
                  <c:v>107.44810485839844</c:v>
                </c:pt>
                <c:pt idx="90">
                  <c:v>93.284492492675781</c:v>
                </c:pt>
                <c:pt idx="91">
                  <c:v>88.400489807128906</c:v>
                </c:pt>
                <c:pt idx="92">
                  <c:v>87.912086486816406</c:v>
                </c:pt>
                <c:pt idx="93">
                  <c:v>79.609275817871094</c:v>
                </c:pt>
                <c:pt idx="94">
                  <c:v>67.887664794921875</c:v>
                </c:pt>
                <c:pt idx="95">
                  <c:v>64.957267761230469</c:v>
                </c:pt>
                <c:pt idx="96">
                  <c:v>69.841270446777344</c:v>
                </c:pt>
                <c:pt idx="97">
                  <c:v>66.422470092773437</c:v>
                </c:pt>
                <c:pt idx="98">
                  <c:v>49.816848754882812</c:v>
                </c:pt>
                <c:pt idx="99">
                  <c:v>32.234432220458984</c:v>
                </c:pt>
                <c:pt idx="100">
                  <c:v>27.838827133178711</c:v>
                </c:pt>
                <c:pt idx="101">
                  <c:v>34.676433563232422</c:v>
                </c:pt>
                <c:pt idx="102">
                  <c:v>37.606838226318359</c:v>
                </c:pt>
                <c:pt idx="103">
                  <c:v>28.327228546142578</c:v>
                </c:pt>
                <c:pt idx="104">
                  <c:v>14.65201473236084</c:v>
                </c:pt>
                <c:pt idx="105">
                  <c:v>7.8144078254699707</c:v>
                </c:pt>
                <c:pt idx="106">
                  <c:v>8.7912092208862305</c:v>
                </c:pt>
                <c:pt idx="107">
                  <c:v>9.768010139465332</c:v>
                </c:pt>
                <c:pt idx="108">
                  <c:v>8.3028087615966797</c:v>
                </c:pt>
                <c:pt idx="109">
                  <c:v>6.3492064476013184</c:v>
                </c:pt>
                <c:pt idx="110">
                  <c:v>3.9072039127349854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3.4188034534454346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2.9304029941558838</c:v>
                </c:pt>
                <c:pt idx="121">
                  <c:v>6.8376069068908691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1.9536019563674927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1.4652014970779419</c:v>
                </c:pt>
                <c:pt idx="145">
                  <c:v>3.9072039127349854</c:v>
                </c:pt>
                <c:pt idx="146">
                  <c:v>5.8608059883117676</c:v>
                </c:pt>
                <c:pt idx="147">
                  <c:v>6.8376069068908691</c:v>
                </c:pt>
                <c:pt idx="148">
                  <c:v>6.8376069068908691</c:v>
                </c:pt>
                <c:pt idx="149">
                  <c:v>6.8376069068908691</c:v>
                </c:pt>
                <c:pt idx="150">
                  <c:v>6.8376069068908691</c:v>
                </c:pt>
                <c:pt idx="151">
                  <c:v>6.8376069068908691</c:v>
                </c:pt>
                <c:pt idx="152">
                  <c:v>6.8376069068908691</c:v>
                </c:pt>
                <c:pt idx="153">
                  <c:v>7.3260073661804199</c:v>
                </c:pt>
                <c:pt idx="154">
                  <c:v>8.3028087615966797</c:v>
                </c:pt>
                <c:pt idx="155">
                  <c:v>9.768010139465332</c:v>
                </c:pt>
                <c:pt idx="156">
                  <c:v>11.721611976623535</c:v>
                </c:pt>
                <c:pt idx="157">
                  <c:v>12.698412895202637</c:v>
                </c:pt>
                <c:pt idx="158">
                  <c:v>12.698412895202637</c:v>
                </c:pt>
                <c:pt idx="159">
                  <c:v>12.698412895202637</c:v>
                </c:pt>
                <c:pt idx="160">
                  <c:v>12.698412895202637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-5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data0!$M$2:$M$162</c:f>
              <c:numCache>
                <c:formatCode>General</c:formatCode>
                <c:ptCount val="161"/>
                <c:pt idx="0">
                  <c:v>7.3260073661804199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3.4188034534454346</c:v>
                </c:pt>
                <c:pt idx="12">
                  <c:v>3.4188034534454346</c:v>
                </c:pt>
                <c:pt idx="13">
                  <c:v>4.3956046104431152</c:v>
                </c:pt>
                <c:pt idx="14">
                  <c:v>6.3492064476013184</c:v>
                </c:pt>
                <c:pt idx="15">
                  <c:v>9.2796096801757812</c:v>
                </c:pt>
                <c:pt idx="16">
                  <c:v>11.233211517333984</c:v>
                </c:pt>
                <c:pt idx="17">
                  <c:v>11.233211517333984</c:v>
                </c:pt>
                <c:pt idx="18">
                  <c:v>14.163614273071289</c:v>
                </c:pt>
                <c:pt idx="19">
                  <c:v>21.489622116088867</c:v>
                </c:pt>
                <c:pt idx="20">
                  <c:v>27.350427627563477</c:v>
                </c:pt>
                <c:pt idx="21">
                  <c:v>33.699634552001953</c:v>
                </c:pt>
                <c:pt idx="22">
                  <c:v>42.00244140625</c:v>
                </c:pt>
                <c:pt idx="23">
                  <c:v>48.351650238037109</c:v>
                </c:pt>
                <c:pt idx="24">
                  <c:v>50.793651580810547</c:v>
                </c:pt>
                <c:pt idx="25">
                  <c:v>56.654457092285156</c:v>
                </c:pt>
                <c:pt idx="26">
                  <c:v>71.794868469238281</c:v>
                </c:pt>
                <c:pt idx="27">
                  <c:v>92.796089172363281</c:v>
                </c:pt>
                <c:pt idx="28">
                  <c:v>114.28571319580078</c:v>
                </c:pt>
                <c:pt idx="29">
                  <c:v>132.84494018554687</c:v>
                </c:pt>
                <c:pt idx="30">
                  <c:v>147.9853515625</c:v>
                </c:pt>
                <c:pt idx="31">
                  <c:v>149.45054626464844</c:v>
                </c:pt>
                <c:pt idx="32">
                  <c:v>133.33332824707031</c:v>
                </c:pt>
                <c:pt idx="33">
                  <c:v>148.96214294433594</c:v>
                </c:pt>
                <c:pt idx="34">
                  <c:v>221.24542236328125</c:v>
                </c:pt>
                <c:pt idx="35">
                  <c:v>292.06350708007812</c:v>
                </c:pt>
                <c:pt idx="36">
                  <c:v>307.20391845703125</c:v>
                </c:pt>
                <c:pt idx="37">
                  <c:v>294.01708984375</c:v>
                </c:pt>
                <c:pt idx="38">
                  <c:v>314.04150390625</c:v>
                </c:pt>
                <c:pt idx="39">
                  <c:v>353.11355590820312</c:v>
                </c:pt>
                <c:pt idx="40">
                  <c:v>379.9755859375</c:v>
                </c:pt>
                <c:pt idx="41">
                  <c:v>400.976806640625</c:v>
                </c:pt>
                <c:pt idx="42">
                  <c:v>452.25885009765625</c:v>
                </c:pt>
                <c:pt idx="43">
                  <c:v>575.82415771484375</c:v>
                </c:pt>
                <c:pt idx="44">
                  <c:v>699.3895263671875</c:v>
                </c:pt>
                <c:pt idx="45">
                  <c:v>743.83392333984375</c:v>
                </c:pt>
                <c:pt idx="46">
                  <c:v>707.20391845703125</c:v>
                </c:pt>
                <c:pt idx="47">
                  <c:v>656.4102783203125</c:v>
                </c:pt>
                <c:pt idx="48">
                  <c:v>711.5994873046875</c:v>
                </c:pt>
                <c:pt idx="49">
                  <c:v>831.74603271484375</c:v>
                </c:pt>
                <c:pt idx="50">
                  <c:v>875.21368408203125</c:v>
                </c:pt>
                <c:pt idx="51">
                  <c:v>875.21368408203125</c:v>
                </c:pt>
                <c:pt idx="52">
                  <c:v>879.120849609375</c:v>
                </c:pt>
                <c:pt idx="53">
                  <c:v>828.81561279296875</c:v>
                </c:pt>
                <c:pt idx="54">
                  <c:v>713.5531005859375</c:v>
                </c:pt>
                <c:pt idx="55">
                  <c:v>555.31134033203125</c:v>
                </c:pt>
                <c:pt idx="56">
                  <c:v>421.4896240234375</c:v>
                </c:pt>
                <c:pt idx="57">
                  <c:v>342.85714721679687</c:v>
                </c:pt>
                <c:pt idx="58">
                  <c:v>288.15628051757812</c:v>
                </c:pt>
                <c:pt idx="59">
                  <c:v>237.85104370117187</c:v>
                </c:pt>
                <c:pt idx="60">
                  <c:v>200.73260498046875</c:v>
                </c:pt>
                <c:pt idx="61">
                  <c:v>174.84738159179687</c:v>
                </c:pt>
                <c:pt idx="62">
                  <c:v>149.45054626464844</c:v>
                </c:pt>
                <c:pt idx="63">
                  <c:v>137.24053955078125</c:v>
                </c:pt>
                <c:pt idx="64">
                  <c:v>141.63613891601562</c:v>
                </c:pt>
                <c:pt idx="65">
                  <c:v>144.07814025878906</c:v>
                </c:pt>
                <c:pt idx="66">
                  <c:v>135.28694152832031</c:v>
                </c:pt>
                <c:pt idx="67">
                  <c:v>126.4957275390625</c:v>
                </c:pt>
                <c:pt idx="68">
                  <c:v>124.54212188720703</c:v>
                </c:pt>
                <c:pt idx="69">
                  <c:v>118.68132019042969</c:v>
                </c:pt>
                <c:pt idx="70">
                  <c:v>106.95970916748047</c:v>
                </c:pt>
                <c:pt idx="71">
                  <c:v>102.07569885253906</c:v>
                </c:pt>
                <c:pt idx="72">
                  <c:v>113.79731750488281</c:v>
                </c:pt>
                <c:pt idx="73">
                  <c:v>136.26373291015625</c:v>
                </c:pt>
                <c:pt idx="74">
                  <c:v>157.75335693359375</c:v>
                </c:pt>
                <c:pt idx="75">
                  <c:v>170.45176696777344</c:v>
                </c:pt>
                <c:pt idx="76">
                  <c:v>175.33576965332031</c:v>
                </c:pt>
                <c:pt idx="77">
                  <c:v>173.87057495117187</c:v>
                </c:pt>
                <c:pt idx="78">
                  <c:v>164.59095764160156</c:v>
                </c:pt>
                <c:pt idx="79">
                  <c:v>148.4737548828125</c:v>
                </c:pt>
                <c:pt idx="80">
                  <c:v>138.21733093261719</c:v>
                </c:pt>
                <c:pt idx="81">
                  <c:v>146.5201416015625</c:v>
                </c:pt>
                <c:pt idx="82">
                  <c:v>159.70695495605469</c:v>
                </c:pt>
                <c:pt idx="83">
                  <c:v>151.40414428710937</c:v>
                </c:pt>
                <c:pt idx="84">
                  <c:v>129.42613220214844</c:v>
                </c:pt>
                <c:pt idx="85">
                  <c:v>119.65811920166016</c:v>
                </c:pt>
                <c:pt idx="86">
                  <c:v>122.58852386474609</c:v>
                </c:pt>
                <c:pt idx="87">
                  <c:v>126.4957275390625</c:v>
                </c:pt>
                <c:pt idx="88">
                  <c:v>123.07691955566406</c:v>
                </c:pt>
                <c:pt idx="89">
                  <c:v>110.37850952148437</c:v>
                </c:pt>
                <c:pt idx="90">
                  <c:v>92.796089172363281</c:v>
                </c:pt>
                <c:pt idx="91">
                  <c:v>79.609275817871094</c:v>
                </c:pt>
                <c:pt idx="92">
                  <c:v>77.655677795410156</c:v>
                </c:pt>
                <c:pt idx="93">
                  <c:v>78.144081115722656</c:v>
                </c:pt>
                <c:pt idx="94">
                  <c:v>68.376068115234375</c:v>
                </c:pt>
                <c:pt idx="95">
                  <c:v>57.631256103515625</c:v>
                </c:pt>
                <c:pt idx="96">
                  <c:v>59.584857940673828</c:v>
                </c:pt>
                <c:pt idx="97">
                  <c:v>64.957267761230469</c:v>
                </c:pt>
                <c:pt idx="98">
                  <c:v>57.631256103515625</c:v>
                </c:pt>
                <c:pt idx="99">
                  <c:v>38.095237731933594</c:v>
                </c:pt>
                <c:pt idx="100">
                  <c:v>21.001220703125</c:v>
                </c:pt>
                <c:pt idx="101">
                  <c:v>20.024419784545898</c:v>
                </c:pt>
                <c:pt idx="102">
                  <c:v>28.815628051757813</c:v>
                </c:pt>
                <c:pt idx="103">
                  <c:v>29.792428970336914</c:v>
                </c:pt>
                <c:pt idx="104">
                  <c:v>18.070817947387695</c:v>
                </c:pt>
                <c:pt idx="105">
                  <c:v>3.9072039127349854</c:v>
                </c:pt>
                <c:pt idx="106">
                  <c:v>0.48840048909187317</c:v>
                </c:pt>
                <c:pt idx="107">
                  <c:v>2.442002534866333</c:v>
                </c:pt>
                <c:pt idx="108">
                  <c:v>3.4188034534454346</c:v>
                </c:pt>
                <c:pt idx="109">
                  <c:v>2.442002534866333</c:v>
                </c:pt>
                <c:pt idx="110">
                  <c:v>1.4652014970779419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2.9304029941558838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1.4652014970779419</c:v>
                </c:pt>
                <c:pt idx="146">
                  <c:v>3.9072039127349854</c:v>
                </c:pt>
                <c:pt idx="147">
                  <c:v>6.3492064476013184</c:v>
                </c:pt>
                <c:pt idx="148">
                  <c:v>7.3260073661804199</c:v>
                </c:pt>
                <c:pt idx="149">
                  <c:v>7.3260073661804199</c:v>
                </c:pt>
                <c:pt idx="150">
                  <c:v>7.3260073661804199</c:v>
                </c:pt>
                <c:pt idx="151">
                  <c:v>7.3260073661804199</c:v>
                </c:pt>
                <c:pt idx="152">
                  <c:v>7.3260073661804199</c:v>
                </c:pt>
                <c:pt idx="153">
                  <c:v>7.3260073661804199</c:v>
                </c:pt>
                <c:pt idx="154">
                  <c:v>7.3260073661804199</c:v>
                </c:pt>
                <c:pt idx="155">
                  <c:v>8.3028087615966797</c:v>
                </c:pt>
                <c:pt idx="156">
                  <c:v>9.768010139465332</c:v>
                </c:pt>
                <c:pt idx="157">
                  <c:v>11.721611976623535</c:v>
                </c:pt>
                <c:pt idx="158">
                  <c:v>13.186813354492187</c:v>
                </c:pt>
                <c:pt idx="159">
                  <c:v>13.186813354492187</c:v>
                </c:pt>
                <c:pt idx="160">
                  <c:v>12.698412895202637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data0!$N$2:$N$162</c:f>
              <c:numCache>
                <c:formatCode>General</c:formatCode>
                <c:ptCount val="161"/>
                <c:pt idx="0">
                  <c:v>14.163614273071289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3.9072039127349854</c:v>
                </c:pt>
                <c:pt idx="12">
                  <c:v>3.4188034534454346</c:v>
                </c:pt>
                <c:pt idx="13">
                  <c:v>3.9072039127349854</c:v>
                </c:pt>
                <c:pt idx="14">
                  <c:v>6.3492064476013184</c:v>
                </c:pt>
                <c:pt idx="15">
                  <c:v>8.7912092208862305</c:v>
                </c:pt>
                <c:pt idx="16">
                  <c:v>11.233211517333984</c:v>
                </c:pt>
                <c:pt idx="17">
                  <c:v>11.721611976623535</c:v>
                </c:pt>
                <c:pt idx="18">
                  <c:v>13.675213813781738</c:v>
                </c:pt>
                <c:pt idx="19">
                  <c:v>21.001220703125</c:v>
                </c:pt>
                <c:pt idx="20">
                  <c:v>27.838827133178711</c:v>
                </c:pt>
                <c:pt idx="21">
                  <c:v>33.211235046386719</c:v>
                </c:pt>
                <c:pt idx="22">
                  <c:v>42.00244140625</c:v>
                </c:pt>
                <c:pt idx="23">
                  <c:v>49.816848754882812</c:v>
                </c:pt>
                <c:pt idx="24">
                  <c:v>51.770450592041016</c:v>
                </c:pt>
                <c:pt idx="25">
                  <c:v>56.654457092285156</c:v>
                </c:pt>
                <c:pt idx="26">
                  <c:v>71.306472778320313</c:v>
                </c:pt>
                <c:pt idx="27">
                  <c:v>92.307693481445313</c:v>
                </c:pt>
                <c:pt idx="28">
                  <c:v>114.28571319580078</c:v>
                </c:pt>
                <c:pt idx="29">
                  <c:v>132.84494018554687</c:v>
                </c:pt>
                <c:pt idx="30">
                  <c:v>149.45054626464844</c:v>
                </c:pt>
                <c:pt idx="31">
                  <c:v>155.79975891113281</c:v>
                </c:pt>
                <c:pt idx="32">
                  <c:v>139.19413757324219</c:v>
                </c:pt>
                <c:pt idx="33">
                  <c:v>145.05494689941406</c:v>
                </c:pt>
                <c:pt idx="34">
                  <c:v>212.94261169433594</c:v>
                </c:pt>
                <c:pt idx="35">
                  <c:v>292.06350708007812</c:v>
                </c:pt>
                <c:pt idx="36">
                  <c:v>315.9951171875</c:v>
                </c:pt>
                <c:pt idx="37">
                  <c:v>298.41268920898437</c:v>
                </c:pt>
                <c:pt idx="38">
                  <c:v>314.04150390625</c:v>
                </c:pt>
                <c:pt idx="39">
                  <c:v>357.5091552734375</c:v>
                </c:pt>
                <c:pt idx="40">
                  <c:v>385.83639526367187</c:v>
                </c:pt>
                <c:pt idx="41">
                  <c:v>407.81442260742187</c:v>
                </c:pt>
                <c:pt idx="42">
                  <c:v>445.90963745117187</c:v>
                </c:pt>
                <c:pt idx="43">
                  <c:v>561.17218017578125</c:v>
                </c:pt>
                <c:pt idx="44">
                  <c:v>696.947509765625</c:v>
                </c:pt>
                <c:pt idx="45">
                  <c:v>755.067138671875</c:v>
                </c:pt>
                <c:pt idx="46">
                  <c:v>727.22833251953125</c:v>
                </c:pt>
                <c:pt idx="47">
                  <c:v>665.20147705078125</c:v>
                </c:pt>
                <c:pt idx="48">
                  <c:v>695.4822998046875</c:v>
                </c:pt>
                <c:pt idx="49">
                  <c:v>824.908447265625</c:v>
                </c:pt>
                <c:pt idx="50">
                  <c:v>881.5628662109375</c:v>
                </c:pt>
                <c:pt idx="51">
                  <c:v>873.74847412109375</c:v>
                </c:pt>
                <c:pt idx="52">
                  <c:v>877.16729736328125</c:v>
                </c:pt>
                <c:pt idx="53">
                  <c:v>836.14166259765625</c:v>
                </c:pt>
                <c:pt idx="54">
                  <c:v>727.71673583984375</c:v>
                </c:pt>
                <c:pt idx="55">
                  <c:v>568.4981689453125</c:v>
                </c:pt>
                <c:pt idx="56">
                  <c:v>425.39682006835937</c:v>
                </c:pt>
                <c:pt idx="57">
                  <c:v>339.4383544921875</c:v>
                </c:pt>
                <c:pt idx="58">
                  <c:v>286.69110107421875</c:v>
                </c:pt>
                <c:pt idx="59">
                  <c:v>239.31623840332031</c:v>
                </c:pt>
                <c:pt idx="60">
                  <c:v>201.70939636230469</c:v>
                </c:pt>
                <c:pt idx="61">
                  <c:v>177.28938293457031</c:v>
                </c:pt>
                <c:pt idx="62">
                  <c:v>152.38095092773437</c:v>
                </c:pt>
                <c:pt idx="63">
                  <c:v>137.24053955078125</c:v>
                </c:pt>
                <c:pt idx="64">
                  <c:v>140.17094421386719</c:v>
                </c:pt>
                <c:pt idx="65">
                  <c:v>145.54335021972656</c:v>
                </c:pt>
                <c:pt idx="66">
                  <c:v>138.21733093261719</c:v>
                </c:pt>
                <c:pt idx="67">
                  <c:v>127.96092987060547</c:v>
                </c:pt>
                <c:pt idx="68">
                  <c:v>125.51892852783203</c:v>
                </c:pt>
                <c:pt idx="69">
                  <c:v>121.61172485351563</c:v>
                </c:pt>
                <c:pt idx="70">
                  <c:v>109.89010620117187</c:v>
                </c:pt>
                <c:pt idx="71">
                  <c:v>102.07569885253906</c:v>
                </c:pt>
                <c:pt idx="72">
                  <c:v>110.86691284179687</c:v>
                </c:pt>
                <c:pt idx="73">
                  <c:v>134.31013488769531</c:v>
                </c:pt>
                <c:pt idx="74">
                  <c:v>158.24176025390625</c:v>
                </c:pt>
                <c:pt idx="75">
                  <c:v>172.89376831054687</c:v>
                </c:pt>
                <c:pt idx="76">
                  <c:v>178.26617431640625</c:v>
                </c:pt>
                <c:pt idx="77">
                  <c:v>177.77777099609375</c:v>
                </c:pt>
                <c:pt idx="78">
                  <c:v>168.986572265625</c:v>
                </c:pt>
                <c:pt idx="79">
                  <c:v>152.38095092773437</c:v>
                </c:pt>
                <c:pt idx="80">
                  <c:v>137.72894287109375</c:v>
                </c:pt>
                <c:pt idx="81">
                  <c:v>141.14773559570312</c:v>
                </c:pt>
                <c:pt idx="82">
                  <c:v>156.77655029296875</c:v>
                </c:pt>
                <c:pt idx="83">
                  <c:v>155.79975891113281</c:v>
                </c:pt>
                <c:pt idx="84">
                  <c:v>133.82173156738281</c:v>
                </c:pt>
                <c:pt idx="85">
                  <c:v>120.14652252197266</c:v>
                </c:pt>
                <c:pt idx="86">
                  <c:v>121.12332153320312</c:v>
                </c:pt>
                <c:pt idx="87">
                  <c:v>125.03052520751953</c:v>
                </c:pt>
                <c:pt idx="88">
                  <c:v>123.07691955566406</c:v>
                </c:pt>
                <c:pt idx="89">
                  <c:v>112.82051086425781</c:v>
                </c:pt>
                <c:pt idx="90">
                  <c:v>95.23809814453125</c:v>
                </c:pt>
                <c:pt idx="91">
                  <c:v>79.609275817871094</c:v>
                </c:pt>
                <c:pt idx="92">
                  <c:v>74.725273132324219</c:v>
                </c:pt>
                <c:pt idx="93">
                  <c:v>77.167274475097656</c:v>
                </c:pt>
                <c:pt idx="94">
                  <c:v>70.818069458007812</c:v>
                </c:pt>
                <c:pt idx="95">
                  <c:v>58.119659423828125</c:v>
                </c:pt>
                <c:pt idx="96">
                  <c:v>57.142856597900391</c:v>
                </c:pt>
                <c:pt idx="97">
                  <c:v>63.980464935302734</c:v>
                </c:pt>
                <c:pt idx="98">
                  <c:v>61.050060272216797</c:v>
                </c:pt>
                <c:pt idx="99">
                  <c:v>42.979244232177734</c:v>
                </c:pt>
                <c:pt idx="100">
                  <c:v>22.466423034667969</c:v>
                </c:pt>
                <c:pt idx="101">
                  <c:v>17.094017028808594</c:v>
                </c:pt>
                <c:pt idx="102">
                  <c:v>25.885225296020508</c:v>
                </c:pt>
                <c:pt idx="103">
                  <c:v>31.257631301879883</c:v>
                </c:pt>
                <c:pt idx="104">
                  <c:v>22.466423034667969</c:v>
                </c:pt>
                <c:pt idx="105">
                  <c:v>6.8376069068908691</c:v>
                </c:pt>
                <c:pt idx="106">
                  <c:v>0.48840048909187317</c:v>
                </c:pt>
                <c:pt idx="107">
                  <c:v>1.9536019563674927</c:v>
                </c:pt>
                <c:pt idx="108">
                  <c:v>4.3956046104431152</c:v>
                </c:pt>
                <c:pt idx="109">
                  <c:v>3.9072039127349854</c:v>
                </c:pt>
                <c:pt idx="110">
                  <c:v>2.442002534866333</c:v>
                </c:pt>
                <c:pt idx="111">
                  <c:v>0.97680097818374634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4.884005069732666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0.97680097818374634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0.97680097818374634</c:v>
                </c:pt>
                <c:pt idx="146">
                  <c:v>3.4188034534454346</c:v>
                </c:pt>
                <c:pt idx="147">
                  <c:v>5.8608059883117676</c:v>
                </c:pt>
                <c:pt idx="148">
                  <c:v>7.3260073661804199</c:v>
                </c:pt>
                <c:pt idx="149">
                  <c:v>7.8144078254699707</c:v>
                </c:pt>
                <c:pt idx="150">
                  <c:v>7.8144078254699707</c:v>
                </c:pt>
                <c:pt idx="151">
                  <c:v>7.8144078254699707</c:v>
                </c:pt>
                <c:pt idx="152">
                  <c:v>7.8144078254699707</c:v>
                </c:pt>
                <c:pt idx="153">
                  <c:v>7.8144078254699707</c:v>
                </c:pt>
                <c:pt idx="154">
                  <c:v>7.3260073661804199</c:v>
                </c:pt>
                <c:pt idx="155">
                  <c:v>7.8144078254699707</c:v>
                </c:pt>
                <c:pt idx="156">
                  <c:v>9.2796096801757812</c:v>
                </c:pt>
                <c:pt idx="157">
                  <c:v>11.233211517333984</c:v>
                </c:pt>
                <c:pt idx="158">
                  <c:v>13.186813354492187</c:v>
                </c:pt>
                <c:pt idx="159">
                  <c:v>13.675213813781738</c:v>
                </c:pt>
                <c:pt idx="160">
                  <c:v>13.186813354492187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data0!$O$2:$O$162</c:f>
              <c:numCache>
                <c:formatCode>General</c:formatCode>
                <c:ptCount val="161"/>
                <c:pt idx="0">
                  <c:v>7.8144078254699707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3.4188034534454346</c:v>
                </c:pt>
                <c:pt idx="12">
                  <c:v>3.4188034534454346</c:v>
                </c:pt>
                <c:pt idx="13">
                  <c:v>3.9072039127349854</c:v>
                </c:pt>
                <c:pt idx="14">
                  <c:v>6.3492064476013184</c:v>
                </c:pt>
                <c:pt idx="15">
                  <c:v>9.2796096801757812</c:v>
                </c:pt>
                <c:pt idx="16">
                  <c:v>11.233211517333984</c:v>
                </c:pt>
                <c:pt idx="17">
                  <c:v>11.233211517333984</c:v>
                </c:pt>
                <c:pt idx="18">
                  <c:v>13.675213813781738</c:v>
                </c:pt>
                <c:pt idx="19">
                  <c:v>21.489622116088867</c:v>
                </c:pt>
                <c:pt idx="20">
                  <c:v>27.350427627563477</c:v>
                </c:pt>
                <c:pt idx="21">
                  <c:v>33.211235046386719</c:v>
                </c:pt>
                <c:pt idx="22">
                  <c:v>42.00244140625</c:v>
                </c:pt>
                <c:pt idx="23">
                  <c:v>48.351650238037109</c:v>
                </c:pt>
                <c:pt idx="24">
                  <c:v>50.793651580810547</c:v>
                </c:pt>
                <c:pt idx="25">
                  <c:v>56.166057586669922</c:v>
                </c:pt>
                <c:pt idx="26">
                  <c:v>71.794868469238281</c:v>
                </c:pt>
                <c:pt idx="27">
                  <c:v>92.796089172363281</c:v>
                </c:pt>
                <c:pt idx="28">
                  <c:v>114.28571319580078</c:v>
                </c:pt>
                <c:pt idx="29">
                  <c:v>132.35653686523437</c:v>
                </c:pt>
                <c:pt idx="30">
                  <c:v>148.4737548828125</c:v>
                </c:pt>
                <c:pt idx="31">
                  <c:v>151.89254760742187</c:v>
                </c:pt>
                <c:pt idx="32">
                  <c:v>132.35653686523437</c:v>
                </c:pt>
                <c:pt idx="33">
                  <c:v>146.03175354003906</c:v>
                </c:pt>
                <c:pt idx="34">
                  <c:v>221.73382568359375</c:v>
                </c:pt>
                <c:pt idx="35">
                  <c:v>295.4822998046875</c:v>
                </c:pt>
                <c:pt idx="36">
                  <c:v>309.64590454101562</c:v>
                </c:pt>
                <c:pt idx="37">
                  <c:v>292.06350708007812</c:v>
                </c:pt>
                <c:pt idx="38">
                  <c:v>315.018310546875</c:v>
                </c:pt>
                <c:pt idx="39">
                  <c:v>356.0439453125</c:v>
                </c:pt>
                <c:pt idx="40">
                  <c:v>380.4639892578125</c:v>
                </c:pt>
                <c:pt idx="41">
                  <c:v>401.4652099609375</c:v>
                </c:pt>
                <c:pt idx="42">
                  <c:v>447.86325073242187</c:v>
                </c:pt>
                <c:pt idx="43">
                  <c:v>578.26617431640625</c:v>
                </c:pt>
                <c:pt idx="44">
                  <c:v>705.73870849609375</c:v>
                </c:pt>
                <c:pt idx="45">
                  <c:v>748.22955322265625</c:v>
                </c:pt>
                <c:pt idx="46">
                  <c:v>710.13433837890625</c:v>
                </c:pt>
                <c:pt idx="47">
                  <c:v>649.5726318359375</c:v>
                </c:pt>
                <c:pt idx="48">
                  <c:v>707.20391845703125</c:v>
                </c:pt>
                <c:pt idx="49">
                  <c:v>839.5604248046875</c:v>
                </c:pt>
                <c:pt idx="50">
                  <c:v>875.70208740234375</c:v>
                </c:pt>
                <c:pt idx="51">
                  <c:v>874.23687744140625</c:v>
                </c:pt>
                <c:pt idx="52">
                  <c:v>883.5164794921875</c:v>
                </c:pt>
                <c:pt idx="53">
                  <c:v>832.23443603515625</c:v>
                </c:pt>
                <c:pt idx="54">
                  <c:v>716.4835205078125</c:v>
                </c:pt>
                <c:pt idx="55">
                  <c:v>552.86932373046875</c:v>
                </c:pt>
                <c:pt idx="56">
                  <c:v>417.09402465820312</c:v>
                </c:pt>
                <c:pt idx="57">
                  <c:v>339.4383544921875</c:v>
                </c:pt>
                <c:pt idx="58">
                  <c:v>286.69110107421875</c:v>
                </c:pt>
                <c:pt idx="59">
                  <c:v>235.89743041992187</c:v>
                </c:pt>
                <c:pt idx="60">
                  <c:v>198.77899169921875</c:v>
                </c:pt>
                <c:pt idx="61">
                  <c:v>173.38217163085937</c:v>
                </c:pt>
                <c:pt idx="62">
                  <c:v>147.008544921875</c:v>
                </c:pt>
                <c:pt idx="63">
                  <c:v>134.31013488769531</c:v>
                </c:pt>
                <c:pt idx="64">
                  <c:v>140.17094421386719</c:v>
                </c:pt>
                <c:pt idx="65">
                  <c:v>143.10134887695312</c:v>
                </c:pt>
                <c:pt idx="66">
                  <c:v>133.33332824707031</c:v>
                </c:pt>
                <c:pt idx="67">
                  <c:v>125.03052520751953</c:v>
                </c:pt>
                <c:pt idx="68">
                  <c:v>123.56532287597656</c:v>
                </c:pt>
                <c:pt idx="69">
                  <c:v>117.70452117919922</c:v>
                </c:pt>
                <c:pt idx="70">
                  <c:v>105.4945068359375</c:v>
                </c:pt>
                <c:pt idx="71">
                  <c:v>100.12210083007812</c:v>
                </c:pt>
                <c:pt idx="72">
                  <c:v>111.84371185302734</c:v>
                </c:pt>
                <c:pt idx="73">
                  <c:v>134.79853820800781</c:v>
                </c:pt>
                <c:pt idx="74">
                  <c:v>155.79975891113281</c:v>
                </c:pt>
                <c:pt idx="75">
                  <c:v>167.5213623046875</c:v>
                </c:pt>
                <c:pt idx="76">
                  <c:v>171.91697692871094</c:v>
                </c:pt>
                <c:pt idx="77">
                  <c:v>170.45176696777344</c:v>
                </c:pt>
                <c:pt idx="78">
                  <c:v>161.17216491699219</c:v>
                </c:pt>
                <c:pt idx="79">
                  <c:v>145.05494689941406</c:v>
                </c:pt>
                <c:pt idx="80">
                  <c:v>134.31013488769531</c:v>
                </c:pt>
                <c:pt idx="81">
                  <c:v>141.63613891601562</c:v>
                </c:pt>
                <c:pt idx="82">
                  <c:v>155.79975891113281</c:v>
                </c:pt>
                <c:pt idx="83">
                  <c:v>147.008544921875</c:v>
                </c:pt>
                <c:pt idx="84">
                  <c:v>124.05372619628906</c:v>
                </c:pt>
                <c:pt idx="85">
                  <c:v>115.75091552734375</c:v>
                </c:pt>
                <c:pt idx="86">
                  <c:v>119.16971588134766</c:v>
                </c:pt>
                <c:pt idx="87">
                  <c:v>122.58852386474609</c:v>
                </c:pt>
                <c:pt idx="88">
                  <c:v>118.19291687011719</c:v>
                </c:pt>
                <c:pt idx="89">
                  <c:v>105.98290252685547</c:v>
                </c:pt>
                <c:pt idx="90">
                  <c:v>87.912086486816406</c:v>
                </c:pt>
                <c:pt idx="91">
                  <c:v>73.74847412109375</c:v>
                </c:pt>
                <c:pt idx="92">
                  <c:v>70.818069458007812</c:v>
                </c:pt>
                <c:pt idx="93">
                  <c:v>72.283271789550781</c:v>
                </c:pt>
                <c:pt idx="94">
                  <c:v>62.026863098144531</c:v>
                </c:pt>
                <c:pt idx="95">
                  <c:v>51.282051086425781</c:v>
                </c:pt>
                <c:pt idx="96">
                  <c:v>55.189254760742187</c:v>
                </c:pt>
                <c:pt idx="97">
                  <c:v>62.515262603759766</c:v>
                </c:pt>
                <c:pt idx="98">
                  <c:v>55.677654266357422</c:v>
                </c:pt>
                <c:pt idx="99">
                  <c:v>34.676433563232422</c:v>
                </c:pt>
                <c:pt idx="100">
                  <c:v>16.117216110229492</c:v>
                </c:pt>
                <c:pt idx="101">
                  <c:v>15.628815650939941</c:v>
                </c:pt>
                <c:pt idx="102">
                  <c:v>25.396825790405273</c:v>
                </c:pt>
                <c:pt idx="103">
                  <c:v>26.862026214599609</c:v>
                </c:pt>
                <c:pt idx="104">
                  <c:v>14.163614273071289</c:v>
                </c:pt>
                <c:pt idx="105">
                  <c:v>0.48840048909187317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0.97680097818374634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1.9536019563674927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0.48840048909187317</c:v>
                </c:pt>
                <c:pt idx="146">
                  <c:v>3.4188034534454346</c:v>
                </c:pt>
                <c:pt idx="147">
                  <c:v>5.8608059883117676</c:v>
                </c:pt>
                <c:pt idx="148">
                  <c:v>6.8376069068908691</c:v>
                </c:pt>
                <c:pt idx="149">
                  <c:v>6.8376069068908691</c:v>
                </c:pt>
                <c:pt idx="150">
                  <c:v>6.8376069068908691</c:v>
                </c:pt>
                <c:pt idx="151">
                  <c:v>7.3260073661804199</c:v>
                </c:pt>
                <c:pt idx="152">
                  <c:v>7.3260073661804199</c:v>
                </c:pt>
                <c:pt idx="153">
                  <c:v>6.8376069068908691</c:v>
                </c:pt>
                <c:pt idx="154">
                  <c:v>7.3260073661804199</c:v>
                </c:pt>
                <c:pt idx="155">
                  <c:v>7.8144078254699707</c:v>
                </c:pt>
                <c:pt idx="156">
                  <c:v>9.768010139465332</c:v>
                </c:pt>
                <c:pt idx="157">
                  <c:v>11.721611976623535</c:v>
                </c:pt>
                <c:pt idx="158">
                  <c:v>13.186813354492187</c:v>
                </c:pt>
                <c:pt idx="159">
                  <c:v>13.186813354492187</c:v>
                </c:pt>
                <c:pt idx="160">
                  <c:v>12.698412895202637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data0!$P$2:$P$162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3.4188034534454346</c:v>
                </c:pt>
                <c:pt idx="12">
                  <c:v>3.4188034534454346</c:v>
                </c:pt>
                <c:pt idx="13">
                  <c:v>4.3956046104431152</c:v>
                </c:pt>
                <c:pt idx="14">
                  <c:v>6.3492064476013184</c:v>
                </c:pt>
                <c:pt idx="15">
                  <c:v>9.2796096801757812</c:v>
                </c:pt>
                <c:pt idx="16">
                  <c:v>10.256410598754883</c:v>
                </c:pt>
                <c:pt idx="17">
                  <c:v>10.256410598754883</c:v>
                </c:pt>
                <c:pt idx="18">
                  <c:v>15.140415191650391</c:v>
                </c:pt>
                <c:pt idx="19">
                  <c:v>21.978021621704102</c:v>
                </c:pt>
                <c:pt idx="20">
                  <c:v>26.862026214599609</c:v>
                </c:pt>
                <c:pt idx="21">
                  <c:v>33.211235046386719</c:v>
                </c:pt>
                <c:pt idx="22">
                  <c:v>41.514041900634766</c:v>
                </c:pt>
                <c:pt idx="23">
                  <c:v>45.421245574951172</c:v>
                </c:pt>
                <c:pt idx="24">
                  <c:v>47.374847412109375</c:v>
                </c:pt>
                <c:pt idx="25">
                  <c:v>56.654457092285156</c:v>
                </c:pt>
                <c:pt idx="26">
                  <c:v>73.74847412109375</c:v>
                </c:pt>
                <c:pt idx="27">
                  <c:v>94.26129150390625</c:v>
                </c:pt>
                <c:pt idx="28">
                  <c:v>113.79731750488281</c:v>
                </c:pt>
                <c:pt idx="29">
                  <c:v>130.40292358398438</c:v>
                </c:pt>
                <c:pt idx="30">
                  <c:v>143.10134887695312</c:v>
                </c:pt>
                <c:pt idx="31">
                  <c:v>133.33332824707031</c:v>
                </c:pt>
                <c:pt idx="32">
                  <c:v>119.16971588134766</c:v>
                </c:pt>
                <c:pt idx="33">
                  <c:v>160.68376159667969</c:v>
                </c:pt>
                <c:pt idx="34">
                  <c:v>242.24664306640625</c:v>
                </c:pt>
                <c:pt idx="35">
                  <c:v>292.5518798828125</c:v>
                </c:pt>
                <c:pt idx="36">
                  <c:v>285.22589111328125</c:v>
                </c:pt>
                <c:pt idx="37">
                  <c:v>282.78387451171875</c:v>
                </c:pt>
                <c:pt idx="38">
                  <c:v>319.90231323242187</c:v>
                </c:pt>
                <c:pt idx="39">
                  <c:v>345.29913330078125</c:v>
                </c:pt>
                <c:pt idx="40">
                  <c:v>363.85836791992187</c:v>
                </c:pt>
                <c:pt idx="41">
                  <c:v>385.83639526367187</c:v>
                </c:pt>
                <c:pt idx="42">
                  <c:v>473.74847412109375</c:v>
                </c:pt>
                <c:pt idx="43">
                  <c:v>620.26861572265625</c:v>
                </c:pt>
                <c:pt idx="44">
                  <c:v>707.69232177734375</c:v>
                </c:pt>
                <c:pt idx="45">
                  <c:v>712.5762939453125</c:v>
                </c:pt>
                <c:pt idx="46">
                  <c:v>650.5494384765625</c:v>
                </c:pt>
                <c:pt idx="47">
                  <c:v>639.80462646484375</c:v>
                </c:pt>
                <c:pt idx="48">
                  <c:v>759.4627685546875</c:v>
                </c:pt>
                <c:pt idx="49">
                  <c:v>851.77044677734375</c:v>
                </c:pt>
                <c:pt idx="50">
                  <c:v>860.0732421875</c:v>
                </c:pt>
                <c:pt idx="51">
                  <c:v>886.4468994140625</c:v>
                </c:pt>
                <c:pt idx="52">
                  <c:v>887.4237060546875</c:v>
                </c:pt>
                <c:pt idx="53">
                  <c:v>811.23321533203125</c:v>
                </c:pt>
                <c:pt idx="54">
                  <c:v>674.4810791015625</c:v>
                </c:pt>
                <c:pt idx="55">
                  <c:v>516.72772216796875</c:v>
                </c:pt>
                <c:pt idx="56">
                  <c:v>414.16360473632812</c:v>
                </c:pt>
                <c:pt idx="57">
                  <c:v>352.62515258789063</c:v>
                </c:pt>
                <c:pt idx="58">
                  <c:v>288.64468383789062</c:v>
                </c:pt>
                <c:pt idx="59">
                  <c:v>234.92063903808594</c:v>
                </c:pt>
                <c:pt idx="60">
                  <c:v>198.29060363769531</c:v>
                </c:pt>
                <c:pt idx="61">
                  <c:v>165.07936096191406</c:v>
                </c:pt>
                <c:pt idx="62">
                  <c:v>140.65934753417969</c:v>
                </c:pt>
                <c:pt idx="63">
                  <c:v>138.70573425292969</c:v>
                </c:pt>
                <c:pt idx="64">
                  <c:v>144.07814025878906</c:v>
                </c:pt>
                <c:pt idx="65">
                  <c:v>137.24053955078125</c:v>
                </c:pt>
                <c:pt idx="66">
                  <c:v>125.51892852783203</c:v>
                </c:pt>
                <c:pt idx="67">
                  <c:v>123.07691955566406</c:v>
                </c:pt>
                <c:pt idx="68">
                  <c:v>120.14652252197266</c:v>
                </c:pt>
                <c:pt idx="69">
                  <c:v>108.91330718994141</c:v>
                </c:pt>
                <c:pt idx="70">
                  <c:v>99.633697509765625</c:v>
                </c:pt>
                <c:pt idx="71">
                  <c:v>104.51770782470703</c:v>
                </c:pt>
                <c:pt idx="72">
                  <c:v>122.58852386474609</c:v>
                </c:pt>
                <c:pt idx="73">
                  <c:v>141.63613891601562</c:v>
                </c:pt>
                <c:pt idx="74">
                  <c:v>155.31135559082031</c:v>
                </c:pt>
                <c:pt idx="75">
                  <c:v>162.63735961914062</c:v>
                </c:pt>
                <c:pt idx="76">
                  <c:v>165.07936096191406</c:v>
                </c:pt>
                <c:pt idx="77">
                  <c:v>160.68376159667969</c:v>
                </c:pt>
                <c:pt idx="78">
                  <c:v>147.9853515625</c:v>
                </c:pt>
                <c:pt idx="79">
                  <c:v>137.24053955078125</c:v>
                </c:pt>
                <c:pt idx="80">
                  <c:v>141.14773559570312</c:v>
                </c:pt>
                <c:pt idx="81">
                  <c:v>158.24176025390625</c:v>
                </c:pt>
                <c:pt idx="82">
                  <c:v>157.75335693359375</c:v>
                </c:pt>
                <c:pt idx="83">
                  <c:v>133.33332824707031</c:v>
                </c:pt>
                <c:pt idx="84">
                  <c:v>118.68132019042969</c:v>
                </c:pt>
                <c:pt idx="85">
                  <c:v>121.12332153320312</c:v>
                </c:pt>
                <c:pt idx="86">
                  <c:v>127.47252655029297</c:v>
                </c:pt>
                <c:pt idx="87">
                  <c:v>126.98412322998047</c:v>
                </c:pt>
                <c:pt idx="88">
                  <c:v>117.70452117919922</c:v>
                </c:pt>
                <c:pt idx="89">
                  <c:v>101.58730316162109</c:v>
                </c:pt>
                <c:pt idx="90">
                  <c:v>85.470085144042969</c:v>
                </c:pt>
                <c:pt idx="91">
                  <c:v>79.120880126953125</c:v>
                </c:pt>
                <c:pt idx="92">
                  <c:v>80.097679138183594</c:v>
                </c:pt>
                <c:pt idx="93">
                  <c:v>71.306472778320313</c:v>
                </c:pt>
                <c:pt idx="94">
                  <c:v>56.166057586669922</c:v>
                </c:pt>
                <c:pt idx="95">
                  <c:v>56.166057586669922</c:v>
                </c:pt>
                <c:pt idx="96">
                  <c:v>65.445663452148438</c:v>
                </c:pt>
                <c:pt idx="97">
                  <c:v>63.492061614990234</c:v>
                </c:pt>
                <c:pt idx="98">
                  <c:v>44.932846069335937</c:v>
                </c:pt>
                <c:pt idx="99">
                  <c:v>24.908424377441406</c:v>
                </c:pt>
                <c:pt idx="100">
                  <c:v>20.024419784545898</c:v>
                </c:pt>
                <c:pt idx="101">
                  <c:v>29.30402946472168</c:v>
                </c:pt>
                <c:pt idx="102">
                  <c:v>33.211235046386719</c:v>
                </c:pt>
                <c:pt idx="103">
                  <c:v>21.978021621704102</c:v>
                </c:pt>
                <c:pt idx="104">
                  <c:v>5.3724055290222168</c:v>
                </c:pt>
                <c:pt idx="105">
                  <c:v>0.48840048909187317</c:v>
                </c:pt>
                <c:pt idx="106">
                  <c:v>1.4652014970779419</c:v>
                </c:pt>
                <c:pt idx="107">
                  <c:v>3.9072039127349854</c:v>
                </c:pt>
                <c:pt idx="108">
                  <c:v>2.442002534866333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2.9304029941558838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2.442002534866333</c:v>
                </c:pt>
                <c:pt idx="146">
                  <c:v>4.884005069732666</c:v>
                </c:pt>
                <c:pt idx="147">
                  <c:v>5.8608059883117676</c:v>
                </c:pt>
                <c:pt idx="148">
                  <c:v>5.8608059883117676</c:v>
                </c:pt>
                <c:pt idx="149">
                  <c:v>5.8608059883117676</c:v>
                </c:pt>
                <c:pt idx="150">
                  <c:v>6.3492064476013184</c:v>
                </c:pt>
                <c:pt idx="151">
                  <c:v>6.3492064476013184</c:v>
                </c:pt>
                <c:pt idx="152">
                  <c:v>6.3492064476013184</c:v>
                </c:pt>
                <c:pt idx="153">
                  <c:v>6.3492064476013184</c:v>
                </c:pt>
                <c:pt idx="154">
                  <c:v>7.3260073661804199</c:v>
                </c:pt>
                <c:pt idx="155">
                  <c:v>9.2796096801757812</c:v>
                </c:pt>
                <c:pt idx="156">
                  <c:v>11.233211517333984</c:v>
                </c:pt>
                <c:pt idx="157">
                  <c:v>12.698412895202637</c:v>
                </c:pt>
                <c:pt idx="158">
                  <c:v>12.210012435913086</c:v>
                </c:pt>
                <c:pt idx="159">
                  <c:v>12.210012435913086</c:v>
                </c:pt>
                <c:pt idx="160">
                  <c:v>12.210012435913086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data0!$Q$2:$Q$162</c:f>
              <c:numCache>
                <c:formatCode>General</c:formatCode>
                <c:ptCount val="161"/>
                <c:pt idx="0">
                  <c:v>9.2796096801757812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2.9304029941558838</c:v>
                </c:pt>
                <c:pt idx="12">
                  <c:v>3.4188034534454346</c:v>
                </c:pt>
                <c:pt idx="13">
                  <c:v>4.884005069732666</c:v>
                </c:pt>
                <c:pt idx="14">
                  <c:v>6.8376069068908691</c:v>
                </c:pt>
                <c:pt idx="15">
                  <c:v>8.7912092208862305</c:v>
                </c:pt>
                <c:pt idx="16">
                  <c:v>8.7912092208862305</c:v>
                </c:pt>
                <c:pt idx="17">
                  <c:v>10.744811058044434</c:v>
                </c:pt>
                <c:pt idx="18">
                  <c:v>17.094017028808594</c:v>
                </c:pt>
                <c:pt idx="19">
                  <c:v>21.978021621704102</c:v>
                </c:pt>
                <c:pt idx="20">
                  <c:v>26.862026214599609</c:v>
                </c:pt>
                <c:pt idx="21">
                  <c:v>34.188034057617187</c:v>
                </c:pt>
                <c:pt idx="22">
                  <c:v>38.583637237548828</c:v>
                </c:pt>
                <c:pt idx="23">
                  <c:v>40.048839569091797</c:v>
                </c:pt>
                <c:pt idx="24">
                  <c:v>45.909645080566406</c:v>
                </c:pt>
                <c:pt idx="25">
                  <c:v>59.584857940673828</c:v>
                </c:pt>
                <c:pt idx="26">
                  <c:v>77.655677795410156</c:v>
                </c:pt>
                <c:pt idx="27">
                  <c:v>95.726493835449219</c:v>
                </c:pt>
                <c:pt idx="28">
                  <c:v>112.82051086425781</c:v>
                </c:pt>
                <c:pt idx="29">
                  <c:v>127.96092987060547</c:v>
                </c:pt>
                <c:pt idx="30">
                  <c:v>125.03052520751953</c:v>
                </c:pt>
                <c:pt idx="31">
                  <c:v>105.4945068359375</c:v>
                </c:pt>
                <c:pt idx="32">
                  <c:v>126.4957275390625</c:v>
                </c:pt>
                <c:pt idx="33">
                  <c:v>195.36019897460937</c:v>
                </c:pt>
                <c:pt idx="34">
                  <c:v>255.43345642089844</c:v>
                </c:pt>
                <c:pt idx="35">
                  <c:v>264.22467041015625</c:v>
                </c:pt>
                <c:pt idx="36">
                  <c:v>261.78265380859375</c:v>
                </c:pt>
                <c:pt idx="37">
                  <c:v>293.5286865234375</c:v>
                </c:pt>
                <c:pt idx="38">
                  <c:v>314.04150390625</c:v>
                </c:pt>
                <c:pt idx="39">
                  <c:v>323.32113647460937</c:v>
                </c:pt>
                <c:pt idx="40">
                  <c:v>337.4847412109375</c:v>
                </c:pt>
                <c:pt idx="41">
                  <c:v>402.93038940429687</c:v>
                </c:pt>
                <c:pt idx="42">
                  <c:v>547.008544921875</c:v>
                </c:pt>
                <c:pt idx="43">
                  <c:v>651.037841796875</c:v>
                </c:pt>
                <c:pt idx="44">
                  <c:v>675.4578857421875</c:v>
                </c:pt>
                <c:pt idx="45">
                  <c:v>629.059814453125</c:v>
                </c:pt>
                <c:pt idx="46">
                  <c:v>607.081787109375</c:v>
                </c:pt>
                <c:pt idx="47">
                  <c:v>715.5067138671875</c:v>
                </c:pt>
                <c:pt idx="48">
                  <c:v>811.72161865234375</c:v>
                </c:pt>
                <c:pt idx="49">
                  <c:v>831.74603271484375</c:v>
                </c:pt>
                <c:pt idx="50">
                  <c:v>879.120849609375</c:v>
                </c:pt>
                <c:pt idx="51">
                  <c:v>909.89013671875</c:v>
                </c:pt>
                <c:pt idx="52">
                  <c:v>865.93408203125</c:v>
                </c:pt>
                <c:pt idx="53">
                  <c:v>749.20635986328125</c:v>
                </c:pt>
                <c:pt idx="54">
                  <c:v>603.17462158203125</c:v>
                </c:pt>
                <c:pt idx="55">
                  <c:v>498.65689086914063</c:v>
                </c:pt>
                <c:pt idx="56">
                  <c:v>437.11843872070312</c:v>
                </c:pt>
                <c:pt idx="57">
                  <c:v>360.4395751953125</c:v>
                </c:pt>
                <c:pt idx="58">
                  <c:v>285.22589111328125</c:v>
                </c:pt>
                <c:pt idx="59">
                  <c:v>231.990234375</c:v>
                </c:pt>
                <c:pt idx="60">
                  <c:v>183.63858032226562</c:v>
                </c:pt>
                <c:pt idx="61">
                  <c:v>149.93894958496094</c:v>
                </c:pt>
                <c:pt idx="62">
                  <c:v>143.10134887695312</c:v>
                </c:pt>
                <c:pt idx="63">
                  <c:v>145.05494689941406</c:v>
                </c:pt>
                <c:pt idx="64">
                  <c:v>135.28694152832031</c:v>
                </c:pt>
                <c:pt idx="65">
                  <c:v>122.58852386474609</c:v>
                </c:pt>
                <c:pt idx="66">
                  <c:v>120.14652252197266</c:v>
                </c:pt>
                <c:pt idx="67">
                  <c:v>116.72771453857422</c:v>
                </c:pt>
                <c:pt idx="68">
                  <c:v>104.51770782470703</c:v>
                </c:pt>
                <c:pt idx="69">
                  <c:v>96.214897155761719</c:v>
                </c:pt>
                <c:pt idx="70">
                  <c:v>103.05250549316406</c:v>
                </c:pt>
                <c:pt idx="71">
                  <c:v>118.68132019042969</c:v>
                </c:pt>
                <c:pt idx="72">
                  <c:v>131.37973022460937</c:v>
                </c:pt>
                <c:pt idx="73">
                  <c:v>138.21733093261719</c:v>
                </c:pt>
                <c:pt idx="74">
                  <c:v>144.56654357910156</c:v>
                </c:pt>
                <c:pt idx="75">
                  <c:v>147.9853515625</c:v>
                </c:pt>
                <c:pt idx="76">
                  <c:v>144.56654357910156</c:v>
                </c:pt>
                <c:pt idx="77">
                  <c:v>135.77532958984375</c:v>
                </c:pt>
                <c:pt idx="78">
                  <c:v>131.37973022460937</c:v>
                </c:pt>
                <c:pt idx="79">
                  <c:v>142.12454223632812</c:v>
                </c:pt>
                <c:pt idx="80">
                  <c:v>160.19535827636719</c:v>
                </c:pt>
                <c:pt idx="81">
                  <c:v>153.35775756835937</c:v>
                </c:pt>
                <c:pt idx="82">
                  <c:v>126.00732421875</c:v>
                </c:pt>
                <c:pt idx="83">
                  <c:v>113.30891418457031</c:v>
                </c:pt>
                <c:pt idx="84">
                  <c:v>118.68132019042969</c:v>
                </c:pt>
                <c:pt idx="85">
                  <c:v>126.4957275390625</c:v>
                </c:pt>
                <c:pt idx="86">
                  <c:v>126.00732421875</c:v>
                </c:pt>
                <c:pt idx="87">
                  <c:v>115.75091552734375</c:v>
                </c:pt>
                <c:pt idx="88">
                  <c:v>100.61050415039062</c:v>
                </c:pt>
                <c:pt idx="89">
                  <c:v>87.423690795898438</c:v>
                </c:pt>
                <c:pt idx="90">
                  <c:v>83.516487121582031</c:v>
                </c:pt>
                <c:pt idx="91">
                  <c:v>82.051284790039062</c:v>
                </c:pt>
                <c:pt idx="92">
                  <c:v>67.399269104003906</c:v>
                </c:pt>
                <c:pt idx="93">
                  <c:v>52.258853912353516</c:v>
                </c:pt>
                <c:pt idx="94">
                  <c:v>54.700855255126953</c:v>
                </c:pt>
                <c:pt idx="95">
                  <c:v>62.515262603759766</c:v>
                </c:pt>
                <c:pt idx="96">
                  <c:v>57.142856597900391</c:v>
                </c:pt>
                <c:pt idx="97">
                  <c:v>37.118438720703125</c:v>
                </c:pt>
                <c:pt idx="98">
                  <c:v>21.001220703125</c:v>
                </c:pt>
                <c:pt idx="99">
                  <c:v>22.466423034667969</c:v>
                </c:pt>
                <c:pt idx="100">
                  <c:v>31.257631301879883</c:v>
                </c:pt>
                <c:pt idx="101">
                  <c:v>30.769229888916016</c:v>
                </c:pt>
                <c:pt idx="102">
                  <c:v>15.628815650939941</c:v>
                </c:pt>
                <c:pt idx="103">
                  <c:v>0.48840048909187317</c:v>
                </c:pt>
                <c:pt idx="104">
                  <c:v>0.48840048909187317</c:v>
                </c:pt>
                <c:pt idx="105">
                  <c:v>0.48840048909187317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1.4652014970779419</c:v>
                </c:pt>
                <c:pt idx="145">
                  <c:v>2.9304029941558838</c:v>
                </c:pt>
                <c:pt idx="146">
                  <c:v>3.4188034534454346</c:v>
                </c:pt>
                <c:pt idx="147">
                  <c:v>3.4188034534454346</c:v>
                </c:pt>
                <c:pt idx="148">
                  <c:v>3.4188034534454346</c:v>
                </c:pt>
                <c:pt idx="149">
                  <c:v>3.9072039127349854</c:v>
                </c:pt>
                <c:pt idx="150">
                  <c:v>4.3956046104431152</c:v>
                </c:pt>
                <c:pt idx="151">
                  <c:v>4.884005069732666</c:v>
                </c:pt>
                <c:pt idx="152">
                  <c:v>5.8608059883117676</c:v>
                </c:pt>
                <c:pt idx="153">
                  <c:v>7.3260073661804199</c:v>
                </c:pt>
                <c:pt idx="154">
                  <c:v>9.768010139465332</c:v>
                </c:pt>
                <c:pt idx="155">
                  <c:v>10.744811058044434</c:v>
                </c:pt>
                <c:pt idx="156">
                  <c:v>11.233211517333984</c:v>
                </c:pt>
                <c:pt idx="157">
                  <c:v>10.744811058044434</c:v>
                </c:pt>
                <c:pt idx="158">
                  <c:v>10.744811058044434</c:v>
                </c:pt>
                <c:pt idx="159">
                  <c:v>12.210012435913086</c:v>
                </c:pt>
                <c:pt idx="160">
                  <c:v>13.186813354492187</c:v>
                </c:pt>
              </c:numCache>
            </c:numRef>
          </c:yVal>
          <c:smooth val="1"/>
        </c:ser>
        <c:axId val="73205248"/>
        <c:axId val="73206784"/>
      </c:scatterChart>
      <c:valAx>
        <c:axId val="73205248"/>
        <c:scaling>
          <c:orientation val="minMax"/>
        </c:scaling>
        <c:axPos val="b"/>
        <c:numFmt formatCode="General" sourceLinked="1"/>
        <c:tickLblPos val="nextTo"/>
        <c:crossAx val="73206784"/>
        <c:crosses val="autoZero"/>
        <c:crossBetween val="midCat"/>
      </c:valAx>
      <c:valAx>
        <c:axId val="73206784"/>
        <c:scaling>
          <c:orientation val="minMax"/>
        </c:scaling>
        <c:axPos val="l"/>
        <c:majorGridlines/>
        <c:numFmt formatCode="General" sourceLinked="1"/>
        <c:tickLblPos val="nextTo"/>
        <c:crossAx val="732052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data0!$R$2:$R$162</c:f>
              <c:numCache>
                <c:formatCode>General</c:formatCode>
                <c:ptCount val="161"/>
                <c:pt idx="0">
                  <c:v>2.9304029941558838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2.442002534866333</c:v>
                </c:pt>
                <c:pt idx="11">
                  <c:v>2.442002534866333</c:v>
                </c:pt>
                <c:pt idx="12">
                  <c:v>3.4188034534454346</c:v>
                </c:pt>
                <c:pt idx="13">
                  <c:v>4.884005069732666</c:v>
                </c:pt>
                <c:pt idx="14">
                  <c:v>6.8376069068908691</c:v>
                </c:pt>
                <c:pt idx="15">
                  <c:v>6.8376069068908691</c:v>
                </c:pt>
                <c:pt idx="16">
                  <c:v>8.3028087615966797</c:v>
                </c:pt>
                <c:pt idx="17">
                  <c:v>13.186813354492187</c:v>
                </c:pt>
                <c:pt idx="18">
                  <c:v>17.094017028808594</c:v>
                </c:pt>
                <c:pt idx="19">
                  <c:v>21.001220703125</c:v>
                </c:pt>
                <c:pt idx="20">
                  <c:v>26.862026214599609</c:v>
                </c:pt>
                <c:pt idx="21">
                  <c:v>30.769229888916016</c:v>
                </c:pt>
                <c:pt idx="22">
                  <c:v>32.234432220458984</c:v>
                </c:pt>
                <c:pt idx="23">
                  <c:v>36.630035400390625</c:v>
                </c:pt>
                <c:pt idx="24">
                  <c:v>47.374847412109375</c:v>
                </c:pt>
                <c:pt idx="25">
                  <c:v>62.515262603759766</c:v>
                </c:pt>
                <c:pt idx="26">
                  <c:v>77.655677795410156</c:v>
                </c:pt>
                <c:pt idx="27">
                  <c:v>92.307693481445313</c:v>
                </c:pt>
                <c:pt idx="28">
                  <c:v>106.95970916748047</c:v>
                </c:pt>
                <c:pt idx="29">
                  <c:v>105.006103515625</c:v>
                </c:pt>
                <c:pt idx="30">
                  <c:v>87.912086486816406</c:v>
                </c:pt>
                <c:pt idx="31">
                  <c:v>104.02930450439453</c:v>
                </c:pt>
                <c:pt idx="32">
                  <c:v>161.66056823730469</c:v>
                </c:pt>
                <c:pt idx="33">
                  <c:v>208.54701232910156</c:v>
                </c:pt>
                <c:pt idx="34">
                  <c:v>219.29182434082031</c:v>
                </c:pt>
                <c:pt idx="35">
                  <c:v>228.57142639160156</c:v>
                </c:pt>
                <c:pt idx="36">
                  <c:v>264.71307373046875</c:v>
                </c:pt>
                <c:pt idx="37">
                  <c:v>279.36508178710937</c:v>
                </c:pt>
                <c:pt idx="38">
                  <c:v>279.36508178710937</c:v>
                </c:pt>
                <c:pt idx="39">
                  <c:v>285.22589111328125</c:v>
                </c:pt>
                <c:pt idx="40">
                  <c:v>351.15994262695312</c:v>
                </c:pt>
                <c:pt idx="41">
                  <c:v>479.12088012695312</c:v>
                </c:pt>
                <c:pt idx="42">
                  <c:v>566.05615234375</c:v>
                </c:pt>
                <c:pt idx="43">
                  <c:v>587.5457763671875</c:v>
                </c:pt>
                <c:pt idx="44">
                  <c:v>551.4041748046875</c:v>
                </c:pt>
                <c:pt idx="45">
                  <c:v>568.4981689453125</c:v>
                </c:pt>
                <c:pt idx="46">
                  <c:v>689.13311767578125</c:v>
                </c:pt>
                <c:pt idx="47">
                  <c:v>752.62518310546875</c:v>
                </c:pt>
                <c:pt idx="48">
                  <c:v>771.67279052734375</c:v>
                </c:pt>
                <c:pt idx="49">
                  <c:v>836.14166259765625</c:v>
                </c:pt>
                <c:pt idx="50">
                  <c:v>878.63250732421875</c:v>
                </c:pt>
                <c:pt idx="51">
                  <c:v>848.84002685546875</c:v>
                </c:pt>
                <c:pt idx="52">
                  <c:v>747.74114990234375</c:v>
                </c:pt>
                <c:pt idx="53">
                  <c:v>632.967041015625</c:v>
                </c:pt>
                <c:pt idx="54">
                  <c:v>578.75457763671875</c:v>
                </c:pt>
                <c:pt idx="55">
                  <c:v>526.984130859375</c:v>
                </c:pt>
                <c:pt idx="56">
                  <c:v>436.63003540039062</c:v>
                </c:pt>
                <c:pt idx="57">
                  <c:v>347.25274658203125</c:v>
                </c:pt>
                <c:pt idx="58">
                  <c:v>272.0390625</c:v>
                </c:pt>
                <c:pt idx="59">
                  <c:v>202.68620300292969</c:v>
                </c:pt>
                <c:pt idx="60">
                  <c:v>161.66056823730469</c:v>
                </c:pt>
                <c:pt idx="61">
                  <c:v>153.84616088867187</c:v>
                </c:pt>
                <c:pt idx="62">
                  <c:v>145.54335021972656</c:v>
                </c:pt>
                <c:pt idx="63">
                  <c:v>126.98412322998047</c:v>
                </c:pt>
                <c:pt idx="64">
                  <c:v>116.72771453857422</c:v>
                </c:pt>
                <c:pt idx="65">
                  <c:v>114.28571319580078</c:v>
                </c:pt>
                <c:pt idx="66">
                  <c:v>105.4945068359375</c:v>
                </c:pt>
                <c:pt idx="67">
                  <c:v>93.284492492675781</c:v>
                </c:pt>
                <c:pt idx="68">
                  <c:v>92.796089172363281</c:v>
                </c:pt>
                <c:pt idx="69">
                  <c:v>105.006103515625</c:v>
                </c:pt>
                <c:pt idx="70">
                  <c:v>119.65811920166016</c:v>
                </c:pt>
                <c:pt idx="71">
                  <c:v>123.56532287597656</c:v>
                </c:pt>
                <c:pt idx="72">
                  <c:v>122.10012054443359</c:v>
                </c:pt>
                <c:pt idx="73">
                  <c:v>122.58852386474609</c:v>
                </c:pt>
                <c:pt idx="74">
                  <c:v>122.10012054443359</c:v>
                </c:pt>
                <c:pt idx="75">
                  <c:v>118.19291687011719</c:v>
                </c:pt>
                <c:pt idx="76">
                  <c:v>116.23931884765625</c:v>
                </c:pt>
                <c:pt idx="77">
                  <c:v>126.00732421875</c:v>
                </c:pt>
                <c:pt idx="78">
                  <c:v>148.4737548828125</c:v>
                </c:pt>
                <c:pt idx="79">
                  <c:v>157.75335693359375</c:v>
                </c:pt>
                <c:pt idx="80">
                  <c:v>136.75213623046875</c:v>
                </c:pt>
                <c:pt idx="81">
                  <c:v>115.26251220703125</c:v>
                </c:pt>
                <c:pt idx="82">
                  <c:v>113.79731750488281</c:v>
                </c:pt>
                <c:pt idx="83">
                  <c:v>121.12332153320312</c:v>
                </c:pt>
                <c:pt idx="84">
                  <c:v>124.05372619628906</c:v>
                </c:pt>
                <c:pt idx="85">
                  <c:v>118.68132019042969</c:v>
                </c:pt>
                <c:pt idx="86">
                  <c:v>108.42491149902344</c:v>
                </c:pt>
                <c:pt idx="87">
                  <c:v>99.145301818847656</c:v>
                </c:pt>
                <c:pt idx="88">
                  <c:v>95.23809814453125</c:v>
                </c:pt>
                <c:pt idx="89">
                  <c:v>93.772895812988281</c:v>
                </c:pt>
                <c:pt idx="90">
                  <c:v>81.074478149414063</c:v>
                </c:pt>
                <c:pt idx="91">
                  <c:v>61.050060272216797</c:v>
                </c:pt>
                <c:pt idx="92">
                  <c:v>54.700855255126953</c:v>
                </c:pt>
                <c:pt idx="93">
                  <c:v>60.561660766601562</c:v>
                </c:pt>
                <c:pt idx="94">
                  <c:v>58.608058929443359</c:v>
                </c:pt>
                <c:pt idx="95">
                  <c:v>41.025642395019531</c:v>
                </c:pt>
                <c:pt idx="96">
                  <c:v>23.931623458862305</c:v>
                </c:pt>
                <c:pt idx="97">
                  <c:v>23.931623458862305</c:v>
                </c:pt>
                <c:pt idx="98">
                  <c:v>33.699634552001953</c:v>
                </c:pt>
                <c:pt idx="99">
                  <c:v>35.653236389160156</c:v>
                </c:pt>
                <c:pt idx="100">
                  <c:v>23.44322395324707</c:v>
                </c:pt>
                <c:pt idx="101">
                  <c:v>6.8376069068908691</c:v>
                </c:pt>
                <c:pt idx="102">
                  <c:v>0.97680097818374634</c:v>
                </c:pt>
                <c:pt idx="103">
                  <c:v>2.9304029941558838</c:v>
                </c:pt>
                <c:pt idx="104">
                  <c:v>2.442002534866333</c:v>
                </c:pt>
                <c:pt idx="105">
                  <c:v>0.48840048909187317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0.48840048909187317</c:v>
                </c:pt>
                <c:pt idx="146">
                  <c:v>0.48840048909187317</c:v>
                </c:pt>
                <c:pt idx="147">
                  <c:v>0.97680097818374634</c:v>
                </c:pt>
                <c:pt idx="148">
                  <c:v>1.9536019563674927</c:v>
                </c:pt>
                <c:pt idx="149">
                  <c:v>2.9304029941558838</c:v>
                </c:pt>
                <c:pt idx="150">
                  <c:v>4.884005069732666</c:v>
                </c:pt>
                <c:pt idx="151">
                  <c:v>6.3492064476013184</c:v>
                </c:pt>
                <c:pt idx="152">
                  <c:v>8.3028087615966797</c:v>
                </c:pt>
                <c:pt idx="153">
                  <c:v>8.7912092208862305</c:v>
                </c:pt>
                <c:pt idx="154">
                  <c:v>8.7912092208862305</c:v>
                </c:pt>
                <c:pt idx="155">
                  <c:v>8.3028087615966797</c:v>
                </c:pt>
                <c:pt idx="156">
                  <c:v>9.2796096801757812</c:v>
                </c:pt>
                <c:pt idx="157">
                  <c:v>10.744811058044434</c:v>
                </c:pt>
                <c:pt idx="158">
                  <c:v>12.210012435913086</c:v>
                </c:pt>
                <c:pt idx="159">
                  <c:v>13.186813354492187</c:v>
                </c:pt>
                <c:pt idx="160">
                  <c:v>13.675213813781738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data0!$S$2:$S$162</c:f>
              <c:numCache>
                <c:formatCode>General</c:formatCode>
                <c:ptCount val="161"/>
                <c:pt idx="0">
                  <c:v>22.954822540283203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1.9536019563674927</c:v>
                </c:pt>
                <c:pt idx="9">
                  <c:v>1.9536019563674927</c:v>
                </c:pt>
                <c:pt idx="10">
                  <c:v>1.9536019563674927</c:v>
                </c:pt>
                <c:pt idx="11">
                  <c:v>2.9304029941558838</c:v>
                </c:pt>
                <c:pt idx="12">
                  <c:v>3.9072039127349854</c:v>
                </c:pt>
                <c:pt idx="13">
                  <c:v>4.884005069732666</c:v>
                </c:pt>
                <c:pt idx="14">
                  <c:v>5.3724055290222168</c:v>
                </c:pt>
                <c:pt idx="15">
                  <c:v>6.3492064476013184</c:v>
                </c:pt>
                <c:pt idx="16">
                  <c:v>10.744811058044434</c:v>
                </c:pt>
                <c:pt idx="17">
                  <c:v>13.675213813781738</c:v>
                </c:pt>
                <c:pt idx="18">
                  <c:v>17.094017028808594</c:v>
                </c:pt>
                <c:pt idx="19">
                  <c:v>21.489622116088867</c:v>
                </c:pt>
                <c:pt idx="20">
                  <c:v>24.420024871826172</c:v>
                </c:pt>
                <c:pt idx="21">
                  <c:v>25.396825790405273</c:v>
                </c:pt>
                <c:pt idx="22">
                  <c:v>29.792428970336914</c:v>
                </c:pt>
                <c:pt idx="23">
                  <c:v>39.072040557861328</c:v>
                </c:pt>
                <c:pt idx="24">
                  <c:v>51.282051086425781</c:v>
                </c:pt>
                <c:pt idx="25">
                  <c:v>63.980464935302734</c:v>
                </c:pt>
                <c:pt idx="26">
                  <c:v>76.190475463867187</c:v>
                </c:pt>
                <c:pt idx="27">
                  <c:v>87.423690795898438</c:v>
                </c:pt>
                <c:pt idx="28">
                  <c:v>82.051284790039062</c:v>
                </c:pt>
                <c:pt idx="29">
                  <c:v>71.794868469238281</c:v>
                </c:pt>
                <c:pt idx="30">
                  <c:v>96.703300476074219</c:v>
                </c:pt>
                <c:pt idx="31">
                  <c:v>141.14773559570312</c:v>
                </c:pt>
                <c:pt idx="32">
                  <c:v>166.54457092285156</c:v>
                </c:pt>
                <c:pt idx="33">
                  <c:v>172.89376831054687</c:v>
                </c:pt>
                <c:pt idx="34">
                  <c:v>198.29060363769531</c:v>
                </c:pt>
                <c:pt idx="35">
                  <c:v>236.87423706054687</c:v>
                </c:pt>
                <c:pt idx="36">
                  <c:v>248.10745239257812</c:v>
                </c:pt>
                <c:pt idx="37">
                  <c:v>246.15383911132812</c:v>
                </c:pt>
                <c:pt idx="38">
                  <c:v>253.4798583984375</c:v>
                </c:pt>
                <c:pt idx="39">
                  <c:v>332.11233520507812</c:v>
                </c:pt>
                <c:pt idx="40">
                  <c:v>430.76922607421875</c:v>
                </c:pt>
                <c:pt idx="41">
                  <c:v>484.981689453125</c:v>
                </c:pt>
                <c:pt idx="42">
                  <c:v>487.91207885742187</c:v>
                </c:pt>
                <c:pt idx="43">
                  <c:v>477.16726684570312</c:v>
                </c:pt>
                <c:pt idx="44">
                  <c:v>567.032958984375</c:v>
                </c:pt>
                <c:pt idx="45">
                  <c:v>678.876708984375</c:v>
                </c:pt>
                <c:pt idx="46">
                  <c:v>706.71551513671875</c:v>
                </c:pt>
                <c:pt idx="47">
                  <c:v>749.69476318359375</c:v>
                </c:pt>
                <c:pt idx="48">
                  <c:v>809.76800537109375</c:v>
                </c:pt>
                <c:pt idx="49">
                  <c:v>829.79241943359375</c:v>
                </c:pt>
                <c:pt idx="50">
                  <c:v>791.69720458984375</c:v>
                </c:pt>
                <c:pt idx="51">
                  <c:v>712.5762939453125</c:v>
                </c:pt>
                <c:pt idx="52">
                  <c:v>677.4114990234375</c:v>
                </c:pt>
                <c:pt idx="53">
                  <c:v>678.876708984375</c:v>
                </c:pt>
                <c:pt idx="54">
                  <c:v>625.64105224609375</c:v>
                </c:pt>
                <c:pt idx="55">
                  <c:v>532.35650634765625</c:v>
                </c:pt>
                <c:pt idx="56">
                  <c:v>441.5140380859375</c:v>
                </c:pt>
                <c:pt idx="57">
                  <c:v>332.11233520507812</c:v>
                </c:pt>
                <c:pt idx="58">
                  <c:v>243.71183776855469</c:v>
                </c:pt>
                <c:pt idx="59">
                  <c:v>207.08180236816406</c:v>
                </c:pt>
                <c:pt idx="60">
                  <c:v>184.61538696289062</c:v>
                </c:pt>
                <c:pt idx="61">
                  <c:v>152.86935424804687</c:v>
                </c:pt>
                <c:pt idx="62">
                  <c:v>128.93772888183594</c:v>
                </c:pt>
                <c:pt idx="63">
                  <c:v>121.12332153320312</c:v>
                </c:pt>
                <c:pt idx="64">
                  <c:v>110.86691284179687</c:v>
                </c:pt>
                <c:pt idx="65">
                  <c:v>95.726493835449219</c:v>
                </c:pt>
                <c:pt idx="66">
                  <c:v>92.307693481445313</c:v>
                </c:pt>
                <c:pt idx="67">
                  <c:v>104.51770782470703</c:v>
                </c:pt>
                <c:pt idx="68">
                  <c:v>119.16971588134766</c:v>
                </c:pt>
                <c:pt idx="69">
                  <c:v>125.03052520751953</c:v>
                </c:pt>
                <c:pt idx="70">
                  <c:v>123.07691955566406</c:v>
                </c:pt>
                <c:pt idx="71">
                  <c:v>118.19291687011719</c:v>
                </c:pt>
                <c:pt idx="72">
                  <c:v>109.89010620117187</c:v>
                </c:pt>
                <c:pt idx="73">
                  <c:v>102.07569885253906</c:v>
                </c:pt>
                <c:pt idx="74">
                  <c:v>102.56410217285156</c:v>
                </c:pt>
                <c:pt idx="75">
                  <c:v>116.23931884765625</c:v>
                </c:pt>
                <c:pt idx="76">
                  <c:v>143.10134887695312</c:v>
                </c:pt>
                <c:pt idx="77">
                  <c:v>159.70695495605469</c:v>
                </c:pt>
                <c:pt idx="78">
                  <c:v>148.4737548828125</c:v>
                </c:pt>
                <c:pt idx="79">
                  <c:v>132.84494018554687</c:v>
                </c:pt>
                <c:pt idx="80">
                  <c:v>132.84494018554687</c:v>
                </c:pt>
                <c:pt idx="81">
                  <c:v>140.17094421386719</c:v>
                </c:pt>
                <c:pt idx="82">
                  <c:v>140.65934753417969</c:v>
                </c:pt>
                <c:pt idx="83">
                  <c:v>132.35653686523437</c:v>
                </c:pt>
                <c:pt idx="84">
                  <c:v>123.07691955566406</c:v>
                </c:pt>
                <c:pt idx="85">
                  <c:v>119.16971588134766</c:v>
                </c:pt>
                <c:pt idx="86">
                  <c:v>123.07691955566406</c:v>
                </c:pt>
                <c:pt idx="87">
                  <c:v>126.98412322998047</c:v>
                </c:pt>
                <c:pt idx="88">
                  <c:v>115.75091552734375</c:v>
                </c:pt>
                <c:pt idx="89">
                  <c:v>95.23809814453125</c:v>
                </c:pt>
                <c:pt idx="90">
                  <c:v>84.981681823730469</c:v>
                </c:pt>
                <c:pt idx="91">
                  <c:v>84.4932861328125</c:v>
                </c:pt>
                <c:pt idx="92">
                  <c:v>75.702072143554688</c:v>
                </c:pt>
                <c:pt idx="93">
                  <c:v>54.212455749511719</c:v>
                </c:pt>
                <c:pt idx="94">
                  <c:v>39.072040557861328</c:v>
                </c:pt>
                <c:pt idx="95">
                  <c:v>42.490840911865234</c:v>
                </c:pt>
                <c:pt idx="96">
                  <c:v>53.724052429199219</c:v>
                </c:pt>
                <c:pt idx="97">
                  <c:v>54.700855255126953</c:v>
                </c:pt>
                <c:pt idx="98">
                  <c:v>42.979244232177734</c:v>
                </c:pt>
                <c:pt idx="99">
                  <c:v>31.746030807495117</c:v>
                </c:pt>
                <c:pt idx="100">
                  <c:v>28.327228546142578</c:v>
                </c:pt>
                <c:pt idx="101">
                  <c:v>27.350427627563477</c:v>
                </c:pt>
                <c:pt idx="102">
                  <c:v>21.978021621704102</c:v>
                </c:pt>
                <c:pt idx="103">
                  <c:v>14.65201473236084</c:v>
                </c:pt>
                <c:pt idx="104">
                  <c:v>8.3028087615966797</c:v>
                </c:pt>
                <c:pt idx="105">
                  <c:v>1.9536019563674927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1.4652014970779419</c:v>
                </c:pt>
                <c:pt idx="115">
                  <c:v>6.3492064476013184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0.48840048909187317</c:v>
                </c:pt>
                <c:pt idx="146">
                  <c:v>1.9536019563674927</c:v>
                </c:pt>
                <c:pt idx="147">
                  <c:v>3.9072039127349854</c:v>
                </c:pt>
                <c:pt idx="148">
                  <c:v>5.8608059883117676</c:v>
                </c:pt>
                <c:pt idx="149">
                  <c:v>6.8376069068908691</c:v>
                </c:pt>
                <c:pt idx="150">
                  <c:v>7.3260073661804199</c:v>
                </c:pt>
                <c:pt idx="151">
                  <c:v>6.8376069068908691</c:v>
                </c:pt>
                <c:pt idx="152">
                  <c:v>6.8376069068908691</c:v>
                </c:pt>
                <c:pt idx="153">
                  <c:v>7.8144078254699707</c:v>
                </c:pt>
                <c:pt idx="154">
                  <c:v>9.2796096801757812</c:v>
                </c:pt>
                <c:pt idx="155">
                  <c:v>10.744811058044434</c:v>
                </c:pt>
                <c:pt idx="156">
                  <c:v>11.721611976623535</c:v>
                </c:pt>
                <c:pt idx="157">
                  <c:v>12.210012435913086</c:v>
                </c:pt>
                <c:pt idx="158">
                  <c:v>12.698412895202637</c:v>
                </c:pt>
                <c:pt idx="159">
                  <c:v>12.698412895202637</c:v>
                </c:pt>
                <c:pt idx="160">
                  <c:v>12.210012435913086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data0!$T$2:$T$162</c:f>
              <c:numCache>
                <c:formatCode>General</c:formatCode>
                <c:ptCount val="161"/>
                <c:pt idx="0">
                  <c:v>1.4652014970779419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1.4652014970779419</c:v>
                </c:pt>
                <c:pt idx="9">
                  <c:v>1.9536019563674927</c:v>
                </c:pt>
                <c:pt idx="10">
                  <c:v>2.442002534866333</c:v>
                </c:pt>
                <c:pt idx="11">
                  <c:v>3.4188034534454346</c:v>
                </c:pt>
                <c:pt idx="12">
                  <c:v>3.9072039127349854</c:v>
                </c:pt>
                <c:pt idx="13">
                  <c:v>3.9072039127349854</c:v>
                </c:pt>
                <c:pt idx="14">
                  <c:v>5.3724055290222168</c:v>
                </c:pt>
                <c:pt idx="15">
                  <c:v>8.7912092208862305</c:v>
                </c:pt>
                <c:pt idx="16">
                  <c:v>11.233211517333984</c:v>
                </c:pt>
                <c:pt idx="17">
                  <c:v>13.675213813781738</c:v>
                </c:pt>
                <c:pt idx="18">
                  <c:v>17.094017028808594</c:v>
                </c:pt>
                <c:pt idx="19">
                  <c:v>18.559219360351562</c:v>
                </c:pt>
                <c:pt idx="20">
                  <c:v>20.024419784545898</c:v>
                </c:pt>
                <c:pt idx="21">
                  <c:v>24.908424377441406</c:v>
                </c:pt>
                <c:pt idx="22">
                  <c:v>32.722831726074219</c:v>
                </c:pt>
                <c:pt idx="23">
                  <c:v>42.00244140625</c:v>
                </c:pt>
                <c:pt idx="24">
                  <c:v>52.258853912353516</c:v>
                </c:pt>
                <c:pt idx="25">
                  <c:v>62.026863098144531</c:v>
                </c:pt>
                <c:pt idx="26">
                  <c:v>65.934066772460938</c:v>
                </c:pt>
                <c:pt idx="27">
                  <c:v>58.119659423828125</c:v>
                </c:pt>
                <c:pt idx="28">
                  <c:v>63.980464935302734</c:v>
                </c:pt>
                <c:pt idx="29">
                  <c:v>96.703300476074219</c:v>
                </c:pt>
                <c:pt idx="30">
                  <c:v>124.05372619628906</c:v>
                </c:pt>
                <c:pt idx="31">
                  <c:v>128.93772888183594</c:v>
                </c:pt>
                <c:pt idx="32">
                  <c:v>138.70573425292969</c:v>
                </c:pt>
                <c:pt idx="33">
                  <c:v>170.45176696777344</c:v>
                </c:pt>
                <c:pt idx="34">
                  <c:v>196.82539367675781</c:v>
                </c:pt>
                <c:pt idx="35">
                  <c:v>209.03541564941406</c:v>
                </c:pt>
                <c:pt idx="36">
                  <c:v>213.91941833496094</c:v>
                </c:pt>
                <c:pt idx="37">
                  <c:v>254.45664978027344</c:v>
                </c:pt>
                <c:pt idx="38">
                  <c:v>327.71673583984375</c:v>
                </c:pt>
                <c:pt idx="39">
                  <c:v>373.13796997070312</c:v>
                </c:pt>
                <c:pt idx="40">
                  <c:v>385.34799194335937</c:v>
                </c:pt>
                <c:pt idx="41">
                  <c:v>380.4639892578125</c:v>
                </c:pt>
                <c:pt idx="42">
                  <c:v>452.25885009765625</c:v>
                </c:pt>
                <c:pt idx="43">
                  <c:v>568.986572265625</c:v>
                </c:pt>
                <c:pt idx="44">
                  <c:v>622.22222900390625</c:v>
                </c:pt>
                <c:pt idx="45">
                  <c:v>673.5042724609375</c:v>
                </c:pt>
                <c:pt idx="46">
                  <c:v>736.01953125</c:v>
                </c:pt>
                <c:pt idx="47">
                  <c:v>758.974365234375</c:v>
                </c:pt>
                <c:pt idx="48">
                  <c:v>738.4615478515625</c:v>
                </c:pt>
                <c:pt idx="49">
                  <c:v>688.64471435546875</c:v>
                </c:pt>
                <c:pt idx="50">
                  <c:v>692.0634765625</c:v>
                </c:pt>
                <c:pt idx="51">
                  <c:v>742.36871337890625</c:v>
                </c:pt>
                <c:pt idx="52">
                  <c:v>738.4615478515625</c:v>
                </c:pt>
                <c:pt idx="53">
                  <c:v>690.5982666015625</c:v>
                </c:pt>
                <c:pt idx="54">
                  <c:v>624.66424560546875</c:v>
                </c:pt>
                <c:pt idx="55">
                  <c:v>504.5177001953125</c:v>
                </c:pt>
                <c:pt idx="56">
                  <c:v>389.25518798828125</c:v>
                </c:pt>
                <c:pt idx="57">
                  <c:v>327.71673583984375</c:v>
                </c:pt>
                <c:pt idx="58">
                  <c:v>274.969482421875</c:v>
                </c:pt>
                <c:pt idx="59">
                  <c:v>208.54701232910156</c:v>
                </c:pt>
                <c:pt idx="60">
                  <c:v>162.14895629882812</c:v>
                </c:pt>
                <c:pt idx="61">
                  <c:v>141.14773559570312</c:v>
                </c:pt>
                <c:pt idx="62">
                  <c:v>119.65811920166016</c:v>
                </c:pt>
                <c:pt idx="63">
                  <c:v>98.656898498535156</c:v>
                </c:pt>
                <c:pt idx="64">
                  <c:v>95.726493835449219</c:v>
                </c:pt>
                <c:pt idx="65">
                  <c:v>107.93650817871094</c:v>
                </c:pt>
                <c:pt idx="66">
                  <c:v>120.63491821289062</c:v>
                </c:pt>
                <c:pt idx="67">
                  <c:v>123.56532287597656</c:v>
                </c:pt>
                <c:pt idx="68">
                  <c:v>121.12332153320312</c:v>
                </c:pt>
                <c:pt idx="69">
                  <c:v>115.26251220703125</c:v>
                </c:pt>
                <c:pt idx="70">
                  <c:v>104.02930450439453</c:v>
                </c:pt>
                <c:pt idx="71">
                  <c:v>92.307693481445313</c:v>
                </c:pt>
                <c:pt idx="72">
                  <c:v>90.842491149902344</c:v>
                </c:pt>
                <c:pt idx="73">
                  <c:v>105.4945068359375</c:v>
                </c:pt>
                <c:pt idx="74">
                  <c:v>128.44932556152344</c:v>
                </c:pt>
                <c:pt idx="75">
                  <c:v>138.70573425292969</c:v>
                </c:pt>
                <c:pt idx="76">
                  <c:v>132.84494018554687</c:v>
                </c:pt>
                <c:pt idx="77">
                  <c:v>132.84494018554687</c:v>
                </c:pt>
                <c:pt idx="78">
                  <c:v>146.03175354003906</c:v>
                </c:pt>
                <c:pt idx="79">
                  <c:v>158.24176025390625</c:v>
                </c:pt>
                <c:pt idx="80">
                  <c:v>156.77655029296875</c:v>
                </c:pt>
                <c:pt idx="81">
                  <c:v>145.54335021972656</c:v>
                </c:pt>
                <c:pt idx="82">
                  <c:v>137.72894287109375</c:v>
                </c:pt>
                <c:pt idx="83">
                  <c:v>139.19413757324219</c:v>
                </c:pt>
                <c:pt idx="84">
                  <c:v>147.4969482421875</c:v>
                </c:pt>
                <c:pt idx="85">
                  <c:v>147.008544921875</c:v>
                </c:pt>
                <c:pt idx="86">
                  <c:v>131.86813354492187</c:v>
                </c:pt>
                <c:pt idx="87">
                  <c:v>117.21611785888672</c:v>
                </c:pt>
                <c:pt idx="88">
                  <c:v>112.33211517333984</c:v>
                </c:pt>
                <c:pt idx="89">
                  <c:v>107.44810485839844</c:v>
                </c:pt>
                <c:pt idx="90">
                  <c:v>91.330894470214844</c:v>
                </c:pt>
                <c:pt idx="91">
                  <c:v>69.841270446777344</c:v>
                </c:pt>
                <c:pt idx="92">
                  <c:v>62.026863098144531</c:v>
                </c:pt>
                <c:pt idx="93">
                  <c:v>69.352867126464844</c:v>
                </c:pt>
                <c:pt idx="94">
                  <c:v>74.725273132324219</c:v>
                </c:pt>
                <c:pt idx="95">
                  <c:v>68.376068115234375</c:v>
                </c:pt>
                <c:pt idx="96">
                  <c:v>58.119659423828125</c:v>
                </c:pt>
                <c:pt idx="97">
                  <c:v>55.189254760742187</c:v>
                </c:pt>
                <c:pt idx="98">
                  <c:v>54.212455749511719</c:v>
                </c:pt>
                <c:pt idx="99">
                  <c:v>49.328449249267578</c:v>
                </c:pt>
                <c:pt idx="100">
                  <c:v>41.025642395019531</c:v>
                </c:pt>
                <c:pt idx="101">
                  <c:v>32.722831726074219</c:v>
                </c:pt>
                <c:pt idx="102">
                  <c:v>25.885225296020508</c:v>
                </c:pt>
                <c:pt idx="103">
                  <c:v>19.047618865966797</c:v>
                </c:pt>
                <c:pt idx="104">
                  <c:v>14.163614273071289</c:v>
                </c:pt>
                <c:pt idx="105">
                  <c:v>13.675213813781738</c:v>
                </c:pt>
                <c:pt idx="106">
                  <c:v>14.65201473236084</c:v>
                </c:pt>
                <c:pt idx="107">
                  <c:v>11.233211517333984</c:v>
                </c:pt>
                <c:pt idx="108">
                  <c:v>1.9536019563674927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12.698412895202637</c:v>
                </c:pt>
                <c:pt idx="112">
                  <c:v>16.117216110229492</c:v>
                </c:pt>
                <c:pt idx="113">
                  <c:v>6.8376069068908691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2.442002534866333</c:v>
                </c:pt>
                <c:pt idx="144">
                  <c:v>4.3956046104431152</c:v>
                </c:pt>
                <c:pt idx="145">
                  <c:v>5.3724055290222168</c:v>
                </c:pt>
                <c:pt idx="146">
                  <c:v>5.8608059883117676</c:v>
                </c:pt>
                <c:pt idx="147">
                  <c:v>4.884005069732666</c:v>
                </c:pt>
                <c:pt idx="148">
                  <c:v>4.3956046104431152</c:v>
                </c:pt>
                <c:pt idx="149">
                  <c:v>5.3724055290222168</c:v>
                </c:pt>
                <c:pt idx="150">
                  <c:v>6.8376069068908691</c:v>
                </c:pt>
                <c:pt idx="151">
                  <c:v>8.3028087615966797</c:v>
                </c:pt>
                <c:pt idx="152">
                  <c:v>9.768010139465332</c:v>
                </c:pt>
                <c:pt idx="153">
                  <c:v>10.256410598754883</c:v>
                </c:pt>
                <c:pt idx="154">
                  <c:v>10.744811058044434</c:v>
                </c:pt>
                <c:pt idx="155">
                  <c:v>11.233211517333984</c:v>
                </c:pt>
                <c:pt idx="156">
                  <c:v>10.744811058044434</c:v>
                </c:pt>
                <c:pt idx="157">
                  <c:v>10.256410598754883</c:v>
                </c:pt>
                <c:pt idx="158">
                  <c:v>9.768010139465332</c:v>
                </c:pt>
                <c:pt idx="159">
                  <c:v>9.768010139465332</c:v>
                </c:pt>
                <c:pt idx="160">
                  <c:v>10.744811058044434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35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data0!$U$2:$U$162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40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data0!$V$2:$V$162</c:f>
              <c:numCache>
                <c:formatCode>General</c:formatCode>
                <c:ptCount val="161"/>
                <c:pt idx="0">
                  <c:v>1.9536019563674927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45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data0!$W$2:$W$162</c:f>
              <c:numCache>
                <c:formatCode>General</c:formatCode>
                <c:ptCount val="161"/>
                <c:pt idx="0">
                  <c:v>5.3724055290222168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50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data0!$X$2:$X$162</c:f>
              <c:numCache>
                <c:formatCode>General</c:formatCode>
                <c:ptCount val="161"/>
                <c:pt idx="0">
                  <c:v>6.8376069068908691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55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data0!$Y$2:$Y$162</c:f>
              <c:numCache>
                <c:formatCode>General</c:formatCode>
                <c:ptCount val="161"/>
                <c:pt idx="0">
                  <c:v>0.97680097818374634</c:v>
                </c:pt>
              </c:numCache>
            </c:numRef>
          </c:yVal>
          <c:smooth val="1"/>
        </c:ser>
        <c:axId val="73339264"/>
        <c:axId val="73340800"/>
      </c:scatterChart>
      <c:valAx>
        <c:axId val="73339264"/>
        <c:scaling>
          <c:orientation val="minMax"/>
        </c:scaling>
        <c:axPos val="b"/>
        <c:numFmt formatCode="General" sourceLinked="1"/>
        <c:tickLblPos val="nextTo"/>
        <c:crossAx val="73340800"/>
        <c:crosses val="autoZero"/>
        <c:crossBetween val="midCat"/>
      </c:valAx>
      <c:valAx>
        <c:axId val="73340800"/>
        <c:scaling>
          <c:orientation val="minMax"/>
        </c:scaling>
        <c:axPos val="l"/>
        <c:majorGridlines/>
        <c:numFmt formatCode="General" sourceLinked="1"/>
        <c:tickLblPos val="nextTo"/>
        <c:crossAx val="733392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view3D>
      <c:rotX val="90"/>
      <c:rotY val="0"/>
      <c:perspective val="0"/>
    </c:view3D>
    <c:plotArea>
      <c:layout>
        <c:manualLayout>
          <c:layoutTarget val="inner"/>
          <c:xMode val="edge"/>
          <c:yMode val="edge"/>
          <c:x val="1.3397712683414159E-2"/>
          <c:y val="8.6620286164097362E-3"/>
          <c:w val="0.85336994671508126"/>
          <c:h val="0.89074283204343563"/>
        </c:manualLayout>
      </c:layout>
      <c:surfaceChart>
        <c:ser>
          <c:idx val="0"/>
          <c:order val="0"/>
          <c:tx>
            <c:strRef>
              <c:f>data0!$B$1</c:f>
              <c:strCache>
                <c:ptCount val="1"/>
                <c:pt idx="0">
                  <c:v>-60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data0!$B$2:$B$162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0.97680097818374634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0.97680097818374634</c:v>
                </c:pt>
                <c:pt idx="11">
                  <c:v>0.97680097818374634</c:v>
                </c:pt>
                <c:pt idx="12">
                  <c:v>0.97680097818374634</c:v>
                </c:pt>
                <c:pt idx="13">
                  <c:v>0.97680097818374634</c:v>
                </c:pt>
                <c:pt idx="14">
                  <c:v>0.97680097818374634</c:v>
                </c:pt>
                <c:pt idx="15">
                  <c:v>0.97680097818374634</c:v>
                </c:pt>
                <c:pt idx="16">
                  <c:v>0.97680097818374634</c:v>
                </c:pt>
                <c:pt idx="17">
                  <c:v>0.97680097818374634</c:v>
                </c:pt>
                <c:pt idx="18">
                  <c:v>0.97680097818374634</c:v>
                </c:pt>
                <c:pt idx="19">
                  <c:v>0.97680097818374634</c:v>
                </c:pt>
                <c:pt idx="20">
                  <c:v>0.97680097818374634</c:v>
                </c:pt>
                <c:pt idx="21">
                  <c:v>0.97680097818374634</c:v>
                </c:pt>
                <c:pt idx="22">
                  <c:v>0.97680097818374634</c:v>
                </c:pt>
                <c:pt idx="23">
                  <c:v>1.4652014970779419</c:v>
                </c:pt>
                <c:pt idx="24">
                  <c:v>1.4652014970779419</c:v>
                </c:pt>
                <c:pt idx="25">
                  <c:v>1.4652014970779419</c:v>
                </c:pt>
                <c:pt idx="26">
                  <c:v>1.4652014970779419</c:v>
                </c:pt>
                <c:pt idx="27">
                  <c:v>1.9536019563674927</c:v>
                </c:pt>
                <c:pt idx="28">
                  <c:v>1.9536019563674927</c:v>
                </c:pt>
                <c:pt idx="29">
                  <c:v>1.9536019563674927</c:v>
                </c:pt>
                <c:pt idx="30">
                  <c:v>2.442002534866333</c:v>
                </c:pt>
                <c:pt idx="31">
                  <c:v>2.442002534866333</c:v>
                </c:pt>
                <c:pt idx="32">
                  <c:v>2.9304029941558838</c:v>
                </c:pt>
                <c:pt idx="33">
                  <c:v>3.4188034534454346</c:v>
                </c:pt>
                <c:pt idx="34">
                  <c:v>3.9072039127349854</c:v>
                </c:pt>
                <c:pt idx="35">
                  <c:v>3.9072039127349854</c:v>
                </c:pt>
                <c:pt idx="36">
                  <c:v>4.3956046104431152</c:v>
                </c:pt>
                <c:pt idx="37">
                  <c:v>4.884005069732666</c:v>
                </c:pt>
                <c:pt idx="38">
                  <c:v>4.884005069732666</c:v>
                </c:pt>
                <c:pt idx="39">
                  <c:v>5.3724055290222168</c:v>
                </c:pt>
                <c:pt idx="40">
                  <c:v>5.8608059883117676</c:v>
                </c:pt>
                <c:pt idx="41">
                  <c:v>6.8376069068908691</c:v>
                </c:pt>
                <c:pt idx="42">
                  <c:v>7.8144078254699707</c:v>
                </c:pt>
                <c:pt idx="43">
                  <c:v>8.3028087615966797</c:v>
                </c:pt>
                <c:pt idx="44">
                  <c:v>8.7912092208862305</c:v>
                </c:pt>
                <c:pt idx="45">
                  <c:v>9.2796096801757812</c:v>
                </c:pt>
                <c:pt idx="46">
                  <c:v>9.768010139465332</c:v>
                </c:pt>
                <c:pt idx="47">
                  <c:v>9.768010139465332</c:v>
                </c:pt>
                <c:pt idx="48">
                  <c:v>10.256410598754883</c:v>
                </c:pt>
                <c:pt idx="49">
                  <c:v>10.256410598754883</c:v>
                </c:pt>
                <c:pt idx="50">
                  <c:v>10.744811058044434</c:v>
                </c:pt>
                <c:pt idx="51">
                  <c:v>10.744811058044434</c:v>
                </c:pt>
                <c:pt idx="52">
                  <c:v>10.256410598754883</c:v>
                </c:pt>
                <c:pt idx="53">
                  <c:v>9.2796096801757812</c:v>
                </c:pt>
                <c:pt idx="54">
                  <c:v>8.3028087615966797</c:v>
                </c:pt>
                <c:pt idx="55">
                  <c:v>7.3260073661804199</c:v>
                </c:pt>
                <c:pt idx="56">
                  <c:v>5.8608059883117676</c:v>
                </c:pt>
                <c:pt idx="57">
                  <c:v>4.884005069732666</c:v>
                </c:pt>
                <c:pt idx="58">
                  <c:v>3.9072039127349854</c:v>
                </c:pt>
                <c:pt idx="59">
                  <c:v>3.4188034534454346</c:v>
                </c:pt>
                <c:pt idx="60">
                  <c:v>2.9304029941558838</c:v>
                </c:pt>
                <c:pt idx="61">
                  <c:v>2.442002534866333</c:v>
                </c:pt>
                <c:pt idx="62">
                  <c:v>2.442002534866333</c:v>
                </c:pt>
                <c:pt idx="63">
                  <c:v>2.442002534866333</c:v>
                </c:pt>
                <c:pt idx="64">
                  <c:v>1.9536019563674927</c:v>
                </c:pt>
                <c:pt idx="65">
                  <c:v>1.9536019563674927</c:v>
                </c:pt>
                <c:pt idx="66">
                  <c:v>1.9536019563674927</c:v>
                </c:pt>
                <c:pt idx="67">
                  <c:v>1.9536019563674927</c:v>
                </c:pt>
                <c:pt idx="68">
                  <c:v>1.9536019563674927</c:v>
                </c:pt>
                <c:pt idx="69">
                  <c:v>1.9536019563674927</c:v>
                </c:pt>
                <c:pt idx="70">
                  <c:v>1.9536019563674927</c:v>
                </c:pt>
                <c:pt idx="71">
                  <c:v>2.442002534866333</c:v>
                </c:pt>
                <c:pt idx="72">
                  <c:v>2.442002534866333</c:v>
                </c:pt>
                <c:pt idx="73">
                  <c:v>2.442002534866333</c:v>
                </c:pt>
                <c:pt idx="74">
                  <c:v>2.442002534866333</c:v>
                </c:pt>
                <c:pt idx="75">
                  <c:v>2.442002534866333</c:v>
                </c:pt>
                <c:pt idx="76">
                  <c:v>2.9304029941558838</c:v>
                </c:pt>
                <c:pt idx="77">
                  <c:v>2.9304029941558838</c:v>
                </c:pt>
                <c:pt idx="78">
                  <c:v>2.9304029941558838</c:v>
                </c:pt>
                <c:pt idx="79">
                  <c:v>2.9304029941558838</c:v>
                </c:pt>
                <c:pt idx="80">
                  <c:v>2.9304029941558838</c:v>
                </c:pt>
                <c:pt idx="81">
                  <c:v>2.9304029941558838</c:v>
                </c:pt>
                <c:pt idx="82">
                  <c:v>2.9304029941558838</c:v>
                </c:pt>
                <c:pt idx="83">
                  <c:v>2.9304029941558838</c:v>
                </c:pt>
                <c:pt idx="84">
                  <c:v>2.9304029941558838</c:v>
                </c:pt>
                <c:pt idx="85">
                  <c:v>2.9304029941558838</c:v>
                </c:pt>
                <c:pt idx="86">
                  <c:v>2.9304029941558838</c:v>
                </c:pt>
                <c:pt idx="87">
                  <c:v>2.442002534866333</c:v>
                </c:pt>
                <c:pt idx="88">
                  <c:v>2.442002534866333</c:v>
                </c:pt>
                <c:pt idx="89">
                  <c:v>2.442002534866333</c:v>
                </c:pt>
                <c:pt idx="90">
                  <c:v>2.442002534866333</c:v>
                </c:pt>
                <c:pt idx="91">
                  <c:v>1.9536019563674927</c:v>
                </c:pt>
                <c:pt idx="92">
                  <c:v>1.9536019563674927</c:v>
                </c:pt>
                <c:pt idx="93">
                  <c:v>1.9536019563674927</c:v>
                </c:pt>
                <c:pt idx="94">
                  <c:v>1.9536019563674927</c:v>
                </c:pt>
                <c:pt idx="95">
                  <c:v>1.9536019563674927</c:v>
                </c:pt>
                <c:pt idx="96">
                  <c:v>1.9536019563674927</c:v>
                </c:pt>
                <c:pt idx="97">
                  <c:v>1.4652014970779419</c:v>
                </c:pt>
                <c:pt idx="98">
                  <c:v>1.4652014970779419</c:v>
                </c:pt>
                <c:pt idx="99">
                  <c:v>1.4652014970779419</c:v>
                </c:pt>
                <c:pt idx="100">
                  <c:v>1.4652014970779419</c:v>
                </c:pt>
                <c:pt idx="101">
                  <c:v>1.4652014970779419</c:v>
                </c:pt>
                <c:pt idx="102">
                  <c:v>1.4652014970779419</c:v>
                </c:pt>
                <c:pt idx="103">
                  <c:v>0.97680097818374634</c:v>
                </c:pt>
                <c:pt idx="104">
                  <c:v>0.97680097818374634</c:v>
                </c:pt>
                <c:pt idx="105">
                  <c:v>0.97680097818374634</c:v>
                </c:pt>
                <c:pt idx="106">
                  <c:v>0.97680097818374634</c:v>
                </c:pt>
                <c:pt idx="107">
                  <c:v>0.97680097818374634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0.97680097818374634</c:v>
                </c:pt>
                <c:pt idx="136">
                  <c:v>0.97680097818374634</c:v>
                </c:pt>
                <c:pt idx="137">
                  <c:v>0.97680097818374634</c:v>
                </c:pt>
                <c:pt idx="138">
                  <c:v>0.97680097818374634</c:v>
                </c:pt>
                <c:pt idx="139">
                  <c:v>0.97680097818374634</c:v>
                </c:pt>
                <c:pt idx="140">
                  <c:v>0.97680097818374634</c:v>
                </c:pt>
                <c:pt idx="141">
                  <c:v>0.97680097818374634</c:v>
                </c:pt>
                <c:pt idx="142">
                  <c:v>0.97680097818374634</c:v>
                </c:pt>
                <c:pt idx="143">
                  <c:v>0.97680097818374634</c:v>
                </c:pt>
                <c:pt idx="144">
                  <c:v>0.97680097818374634</c:v>
                </c:pt>
                <c:pt idx="145">
                  <c:v>0.97680097818374634</c:v>
                </c:pt>
                <c:pt idx="146">
                  <c:v>0.97680097818374634</c:v>
                </c:pt>
                <c:pt idx="147">
                  <c:v>0.97680097818374634</c:v>
                </c:pt>
                <c:pt idx="148">
                  <c:v>0.97680097818374634</c:v>
                </c:pt>
                <c:pt idx="149">
                  <c:v>0.97680097818374634</c:v>
                </c:pt>
                <c:pt idx="150">
                  <c:v>0.97680097818374634</c:v>
                </c:pt>
                <c:pt idx="151">
                  <c:v>0.97680097818374634</c:v>
                </c:pt>
                <c:pt idx="152">
                  <c:v>0.97680097818374634</c:v>
                </c:pt>
                <c:pt idx="153">
                  <c:v>0.97680097818374634</c:v>
                </c:pt>
                <c:pt idx="154">
                  <c:v>0.97680097818374634</c:v>
                </c:pt>
                <c:pt idx="155">
                  <c:v>0.97680097818374634</c:v>
                </c:pt>
                <c:pt idx="156">
                  <c:v>0.97680097818374634</c:v>
                </c:pt>
                <c:pt idx="157">
                  <c:v>0.97680097818374634</c:v>
                </c:pt>
                <c:pt idx="158">
                  <c:v>0.97680097818374634</c:v>
                </c:pt>
                <c:pt idx="159">
                  <c:v>0.97680097818374634</c:v>
                </c:pt>
                <c:pt idx="160">
                  <c:v>0.97680097818374634</c:v>
                </c:pt>
              </c:numCache>
            </c:numRef>
          </c:val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-55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data0!$C$2:$C$162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0.97680097818374634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0.97680097818374634</c:v>
                </c:pt>
                <c:pt idx="11">
                  <c:v>0.97680097818374634</c:v>
                </c:pt>
                <c:pt idx="12">
                  <c:v>0.97680097818374634</c:v>
                </c:pt>
                <c:pt idx="13">
                  <c:v>0.97680097818374634</c:v>
                </c:pt>
                <c:pt idx="14">
                  <c:v>0.97680097818374634</c:v>
                </c:pt>
                <c:pt idx="15">
                  <c:v>0.97680097818374634</c:v>
                </c:pt>
                <c:pt idx="16">
                  <c:v>0.97680097818374634</c:v>
                </c:pt>
                <c:pt idx="17">
                  <c:v>0.97680097818374634</c:v>
                </c:pt>
                <c:pt idx="18">
                  <c:v>0.97680097818374634</c:v>
                </c:pt>
                <c:pt idx="19">
                  <c:v>0.97680097818374634</c:v>
                </c:pt>
                <c:pt idx="20">
                  <c:v>0.97680097818374634</c:v>
                </c:pt>
                <c:pt idx="21">
                  <c:v>1.4652014970779419</c:v>
                </c:pt>
                <c:pt idx="22">
                  <c:v>1.4652014970779419</c:v>
                </c:pt>
                <c:pt idx="23">
                  <c:v>1.4652014970779419</c:v>
                </c:pt>
                <c:pt idx="24">
                  <c:v>1.4652014970779419</c:v>
                </c:pt>
                <c:pt idx="25">
                  <c:v>1.4652014970779419</c:v>
                </c:pt>
                <c:pt idx="26">
                  <c:v>1.9536019563674927</c:v>
                </c:pt>
                <c:pt idx="27">
                  <c:v>1.9536019563674927</c:v>
                </c:pt>
                <c:pt idx="28">
                  <c:v>2.442002534866333</c:v>
                </c:pt>
                <c:pt idx="29">
                  <c:v>2.442002534866333</c:v>
                </c:pt>
                <c:pt idx="30">
                  <c:v>2.9304029941558838</c:v>
                </c:pt>
                <c:pt idx="31">
                  <c:v>2.9304029941558838</c:v>
                </c:pt>
                <c:pt idx="32">
                  <c:v>3.4188034534454346</c:v>
                </c:pt>
                <c:pt idx="33">
                  <c:v>3.9072039127349854</c:v>
                </c:pt>
                <c:pt idx="34">
                  <c:v>4.884005069732666</c:v>
                </c:pt>
                <c:pt idx="35">
                  <c:v>5.3724055290222168</c:v>
                </c:pt>
                <c:pt idx="36">
                  <c:v>5.8608059883117676</c:v>
                </c:pt>
                <c:pt idx="37">
                  <c:v>6.3492064476013184</c:v>
                </c:pt>
                <c:pt idx="38">
                  <c:v>6.8376069068908691</c:v>
                </c:pt>
                <c:pt idx="39">
                  <c:v>7.3260073661804199</c:v>
                </c:pt>
                <c:pt idx="40">
                  <c:v>8.3028087615966797</c:v>
                </c:pt>
                <c:pt idx="41">
                  <c:v>9.2796096801757812</c:v>
                </c:pt>
                <c:pt idx="42">
                  <c:v>10.256410598754883</c:v>
                </c:pt>
                <c:pt idx="43">
                  <c:v>11.721611976623535</c:v>
                </c:pt>
                <c:pt idx="44">
                  <c:v>12.698412895202637</c:v>
                </c:pt>
                <c:pt idx="45">
                  <c:v>13.186813354492187</c:v>
                </c:pt>
                <c:pt idx="46">
                  <c:v>14.163614273071289</c:v>
                </c:pt>
                <c:pt idx="47">
                  <c:v>14.163614273071289</c:v>
                </c:pt>
                <c:pt idx="48">
                  <c:v>14.65201473236084</c:v>
                </c:pt>
                <c:pt idx="49">
                  <c:v>15.140415191650391</c:v>
                </c:pt>
                <c:pt idx="50">
                  <c:v>15.140415191650391</c:v>
                </c:pt>
                <c:pt idx="51">
                  <c:v>15.140415191650391</c:v>
                </c:pt>
                <c:pt idx="52">
                  <c:v>14.65201473236084</c:v>
                </c:pt>
                <c:pt idx="53">
                  <c:v>13.675213813781738</c:v>
                </c:pt>
                <c:pt idx="54">
                  <c:v>12.210012435913086</c:v>
                </c:pt>
                <c:pt idx="55">
                  <c:v>10.744811058044434</c:v>
                </c:pt>
                <c:pt idx="56">
                  <c:v>9.2796096801757812</c:v>
                </c:pt>
                <c:pt idx="57">
                  <c:v>7.3260073661804199</c:v>
                </c:pt>
                <c:pt idx="58">
                  <c:v>6.3492064476013184</c:v>
                </c:pt>
                <c:pt idx="59">
                  <c:v>5.3724055290222168</c:v>
                </c:pt>
                <c:pt idx="60">
                  <c:v>4.3956046104431152</c:v>
                </c:pt>
                <c:pt idx="61">
                  <c:v>3.9072039127349854</c:v>
                </c:pt>
                <c:pt idx="62">
                  <c:v>3.4188034534454346</c:v>
                </c:pt>
                <c:pt idx="63">
                  <c:v>3.4188034534454346</c:v>
                </c:pt>
                <c:pt idx="64">
                  <c:v>2.9304029941558838</c:v>
                </c:pt>
                <c:pt idx="65">
                  <c:v>2.9304029941558838</c:v>
                </c:pt>
                <c:pt idx="66">
                  <c:v>2.9304029941558838</c:v>
                </c:pt>
                <c:pt idx="67">
                  <c:v>3.4188034534454346</c:v>
                </c:pt>
                <c:pt idx="68">
                  <c:v>3.4188034534454346</c:v>
                </c:pt>
                <c:pt idx="69">
                  <c:v>3.4188034534454346</c:v>
                </c:pt>
                <c:pt idx="70">
                  <c:v>3.4188034534454346</c:v>
                </c:pt>
                <c:pt idx="71">
                  <c:v>3.4188034534454346</c:v>
                </c:pt>
                <c:pt idx="72">
                  <c:v>3.4188034534454346</c:v>
                </c:pt>
                <c:pt idx="73">
                  <c:v>3.4188034534454346</c:v>
                </c:pt>
                <c:pt idx="74">
                  <c:v>3.9072039127349854</c:v>
                </c:pt>
                <c:pt idx="75">
                  <c:v>4.3956046104431152</c:v>
                </c:pt>
                <c:pt idx="76">
                  <c:v>4.884005069732666</c:v>
                </c:pt>
                <c:pt idx="77">
                  <c:v>5.3724055290222168</c:v>
                </c:pt>
                <c:pt idx="78">
                  <c:v>5.3724055290222168</c:v>
                </c:pt>
                <c:pt idx="79">
                  <c:v>5.8608059883117676</c:v>
                </c:pt>
                <c:pt idx="80">
                  <c:v>5.8608059883117676</c:v>
                </c:pt>
                <c:pt idx="81">
                  <c:v>5.8608059883117676</c:v>
                </c:pt>
                <c:pt idx="82">
                  <c:v>5.8608059883117676</c:v>
                </c:pt>
                <c:pt idx="83">
                  <c:v>5.8608059883117676</c:v>
                </c:pt>
                <c:pt idx="84">
                  <c:v>5.8608059883117676</c:v>
                </c:pt>
                <c:pt idx="85">
                  <c:v>5.3724055290222168</c:v>
                </c:pt>
                <c:pt idx="86">
                  <c:v>5.3724055290222168</c:v>
                </c:pt>
                <c:pt idx="87">
                  <c:v>5.3724055290222168</c:v>
                </c:pt>
                <c:pt idx="88">
                  <c:v>5.3724055290222168</c:v>
                </c:pt>
                <c:pt idx="89">
                  <c:v>5.3724055290222168</c:v>
                </c:pt>
                <c:pt idx="90">
                  <c:v>5.3724055290222168</c:v>
                </c:pt>
                <c:pt idx="91">
                  <c:v>5.3724055290222168</c:v>
                </c:pt>
                <c:pt idx="92">
                  <c:v>4.884005069732666</c:v>
                </c:pt>
                <c:pt idx="93">
                  <c:v>4.884005069732666</c:v>
                </c:pt>
                <c:pt idx="94">
                  <c:v>4.884005069732666</c:v>
                </c:pt>
                <c:pt idx="95">
                  <c:v>4.3956046104431152</c:v>
                </c:pt>
                <c:pt idx="96">
                  <c:v>4.3956046104431152</c:v>
                </c:pt>
                <c:pt idx="97">
                  <c:v>4.3956046104431152</c:v>
                </c:pt>
                <c:pt idx="98">
                  <c:v>3.9072039127349854</c:v>
                </c:pt>
                <c:pt idx="99">
                  <c:v>3.9072039127349854</c:v>
                </c:pt>
                <c:pt idx="100">
                  <c:v>3.9072039127349854</c:v>
                </c:pt>
                <c:pt idx="101">
                  <c:v>3.9072039127349854</c:v>
                </c:pt>
                <c:pt idx="102">
                  <c:v>3.9072039127349854</c:v>
                </c:pt>
                <c:pt idx="103">
                  <c:v>3.4188034534454346</c:v>
                </c:pt>
                <c:pt idx="104">
                  <c:v>3.4188034534454346</c:v>
                </c:pt>
                <c:pt idx="105">
                  <c:v>3.4188034534454346</c:v>
                </c:pt>
                <c:pt idx="106">
                  <c:v>2.9304029941558838</c:v>
                </c:pt>
                <c:pt idx="107">
                  <c:v>2.9304029941558838</c:v>
                </c:pt>
                <c:pt idx="108">
                  <c:v>2.9304029941558838</c:v>
                </c:pt>
                <c:pt idx="109">
                  <c:v>2.9304029941558838</c:v>
                </c:pt>
                <c:pt idx="110">
                  <c:v>2.9304029941558838</c:v>
                </c:pt>
                <c:pt idx="111">
                  <c:v>2.9304029941558838</c:v>
                </c:pt>
                <c:pt idx="112">
                  <c:v>2.9304029941558838</c:v>
                </c:pt>
                <c:pt idx="113">
                  <c:v>2.9304029941558838</c:v>
                </c:pt>
                <c:pt idx="114">
                  <c:v>2.9304029941558838</c:v>
                </c:pt>
                <c:pt idx="115">
                  <c:v>2.9304029941558838</c:v>
                </c:pt>
                <c:pt idx="116">
                  <c:v>2.9304029941558838</c:v>
                </c:pt>
                <c:pt idx="117">
                  <c:v>2.9304029941558838</c:v>
                </c:pt>
                <c:pt idx="118">
                  <c:v>2.442002534866333</c:v>
                </c:pt>
                <c:pt idx="119">
                  <c:v>2.442002534866333</c:v>
                </c:pt>
                <c:pt idx="120">
                  <c:v>2.442002534866333</c:v>
                </c:pt>
                <c:pt idx="121">
                  <c:v>2.442002534866333</c:v>
                </c:pt>
                <c:pt idx="122">
                  <c:v>2.442002534866333</c:v>
                </c:pt>
                <c:pt idx="123">
                  <c:v>2.442002534866333</c:v>
                </c:pt>
                <c:pt idx="124">
                  <c:v>2.442002534866333</c:v>
                </c:pt>
                <c:pt idx="125">
                  <c:v>2.442002534866333</c:v>
                </c:pt>
                <c:pt idx="126">
                  <c:v>2.442002534866333</c:v>
                </c:pt>
                <c:pt idx="127">
                  <c:v>2.442002534866333</c:v>
                </c:pt>
                <c:pt idx="128">
                  <c:v>2.442002534866333</c:v>
                </c:pt>
                <c:pt idx="129">
                  <c:v>1.9536019563674927</c:v>
                </c:pt>
                <c:pt idx="130">
                  <c:v>1.9536019563674927</c:v>
                </c:pt>
                <c:pt idx="131">
                  <c:v>1.9536019563674927</c:v>
                </c:pt>
                <c:pt idx="132">
                  <c:v>1.9536019563674927</c:v>
                </c:pt>
                <c:pt idx="133">
                  <c:v>1.9536019563674927</c:v>
                </c:pt>
                <c:pt idx="134">
                  <c:v>1.9536019563674927</c:v>
                </c:pt>
                <c:pt idx="135">
                  <c:v>1.9536019563674927</c:v>
                </c:pt>
                <c:pt idx="136">
                  <c:v>1.4652014970779419</c:v>
                </c:pt>
                <c:pt idx="137">
                  <c:v>1.4652014970779419</c:v>
                </c:pt>
                <c:pt idx="138">
                  <c:v>1.4652014970779419</c:v>
                </c:pt>
                <c:pt idx="139">
                  <c:v>1.4652014970779419</c:v>
                </c:pt>
                <c:pt idx="140">
                  <c:v>1.4652014970779419</c:v>
                </c:pt>
                <c:pt idx="141">
                  <c:v>1.4652014970779419</c:v>
                </c:pt>
                <c:pt idx="142">
                  <c:v>1.4652014970779419</c:v>
                </c:pt>
                <c:pt idx="143">
                  <c:v>1.4652014970779419</c:v>
                </c:pt>
                <c:pt idx="144">
                  <c:v>1.4652014970779419</c:v>
                </c:pt>
                <c:pt idx="145">
                  <c:v>0.97680097818374634</c:v>
                </c:pt>
                <c:pt idx="146">
                  <c:v>0.97680097818374634</c:v>
                </c:pt>
                <c:pt idx="147">
                  <c:v>0.97680097818374634</c:v>
                </c:pt>
                <c:pt idx="148">
                  <c:v>0.97680097818374634</c:v>
                </c:pt>
                <c:pt idx="149">
                  <c:v>0.97680097818374634</c:v>
                </c:pt>
                <c:pt idx="150">
                  <c:v>0.97680097818374634</c:v>
                </c:pt>
                <c:pt idx="151">
                  <c:v>0.97680097818374634</c:v>
                </c:pt>
                <c:pt idx="152">
                  <c:v>0.97680097818374634</c:v>
                </c:pt>
                <c:pt idx="153">
                  <c:v>0.97680097818374634</c:v>
                </c:pt>
                <c:pt idx="154">
                  <c:v>0.97680097818374634</c:v>
                </c:pt>
                <c:pt idx="155">
                  <c:v>0.97680097818374634</c:v>
                </c:pt>
                <c:pt idx="156">
                  <c:v>0.97680097818374634</c:v>
                </c:pt>
                <c:pt idx="157">
                  <c:v>0.97680097818374634</c:v>
                </c:pt>
                <c:pt idx="158">
                  <c:v>0.97680097818374634</c:v>
                </c:pt>
                <c:pt idx="159">
                  <c:v>0.97680097818374634</c:v>
                </c:pt>
                <c:pt idx="160">
                  <c:v>0.97680097818374634</c:v>
                </c:pt>
              </c:numCache>
            </c:numRef>
          </c:val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-50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data0!$D$2:$D$162</c:f>
              <c:numCache>
                <c:formatCode>General</c:formatCode>
                <c:ptCount val="161"/>
                <c:pt idx="0">
                  <c:v>1.4652014970779419</c:v>
                </c:pt>
                <c:pt idx="1">
                  <c:v>0.48840048909187317</c:v>
                </c:pt>
                <c:pt idx="2">
                  <c:v>0.48840048909187317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0.97680097818374634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0.97680097818374634</c:v>
                </c:pt>
                <c:pt idx="11">
                  <c:v>0.97680097818374634</c:v>
                </c:pt>
                <c:pt idx="12">
                  <c:v>0.97680097818374634</c:v>
                </c:pt>
                <c:pt idx="13">
                  <c:v>0.97680097818374634</c:v>
                </c:pt>
                <c:pt idx="14">
                  <c:v>0.97680097818374634</c:v>
                </c:pt>
                <c:pt idx="15">
                  <c:v>0.97680097818374634</c:v>
                </c:pt>
                <c:pt idx="16">
                  <c:v>0.97680097818374634</c:v>
                </c:pt>
                <c:pt idx="17">
                  <c:v>1.4652014970779419</c:v>
                </c:pt>
                <c:pt idx="18">
                  <c:v>1.4652014970779419</c:v>
                </c:pt>
                <c:pt idx="19">
                  <c:v>1.4652014970779419</c:v>
                </c:pt>
                <c:pt idx="20">
                  <c:v>1.4652014970779419</c:v>
                </c:pt>
                <c:pt idx="21">
                  <c:v>1.4652014970779419</c:v>
                </c:pt>
                <c:pt idx="22">
                  <c:v>1.9536019563674927</c:v>
                </c:pt>
                <c:pt idx="23">
                  <c:v>2.442002534866333</c:v>
                </c:pt>
                <c:pt idx="24">
                  <c:v>2.442002534866333</c:v>
                </c:pt>
                <c:pt idx="25">
                  <c:v>2.9304029941558838</c:v>
                </c:pt>
                <c:pt idx="26">
                  <c:v>2.9304029941558838</c:v>
                </c:pt>
                <c:pt idx="27">
                  <c:v>3.4188034534454346</c:v>
                </c:pt>
                <c:pt idx="28">
                  <c:v>3.9072039127349854</c:v>
                </c:pt>
                <c:pt idx="29">
                  <c:v>4.3956046104431152</c:v>
                </c:pt>
                <c:pt idx="30">
                  <c:v>4.884005069732666</c:v>
                </c:pt>
                <c:pt idx="31">
                  <c:v>5.8608059883117676</c:v>
                </c:pt>
                <c:pt idx="32">
                  <c:v>6.8376069068908691</c:v>
                </c:pt>
                <c:pt idx="33">
                  <c:v>7.8144078254699707</c:v>
                </c:pt>
                <c:pt idx="34">
                  <c:v>9.2796096801757812</c:v>
                </c:pt>
                <c:pt idx="35">
                  <c:v>10.744811058044434</c:v>
                </c:pt>
                <c:pt idx="36">
                  <c:v>12.210012435913086</c:v>
                </c:pt>
                <c:pt idx="37">
                  <c:v>13.186813354492187</c:v>
                </c:pt>
                <c:pt idx="38">
                  <c:v>14.163614273071289</c:v>
                </c:pt>
                <c:pt idx="39">
                  <c:v>15.628815650939941</c:v>
                </c:pt>
                <c:pt idx="40">
                  <c:v>17.094017028808594</c:v>
                </c:pt>
                <c:pt idx="41">
                  <c:v>18.559219360351562</c:v>
                </c:pt>
                <c:pt idx="42">
                  <c:v>21.489622116088867</c:v>
                </c:pt>
                <c:pt idx="43">
                  <c:v>24.420024871826172</c:v>
                </c:pt>
                <c:pt idx="44">
                  <c:v>26.862026214599609</c:v>
                </c:pt>
                <c:pt idx="45">
                  <c:v>29.30402946472168</c:v>
                </c:pt>
                <c:pt idx="46">
                  <c:v>30.280830383300781</c:v>
                </c:pt>
                <c:pt idx="47">
                  <c:v>30.769229888916016</c:v>
                </c:pt>
                <c:pt idx="48">
                  <c:v>32.234432220458984</c:v>
                </c:pt>
                <c:pt idx="49">
                  <c:v>33.211235046386719</c:v>
                </c:pt>
                <c:pt idx="50">
                  <c:v>33.211235046386719</c:v>
                </c:pt>
                <c:pt idx="51">
                  <c:v>32.722831726074219</c:v>
                </c:pt>
                <c:pt idx="52">
                  <c:v>31.257631301879883</c:v>
                </c:pt>
                <c:pt idx="53">
                  <c:v>28.815628051757813</c:v>
                </c:pt>
                <c:pt idx="54">
                  <c:v>25.885225296020508</c:v>
                </c:pt>
                <c:pt idx="55">
                  <c:v>23.44322395324707</c:v>
                </c:pt>
                <c:pt idx="56">
                  <c:v>21.489622116088867</c:v>
                </c:pt>
                <c:pt idx="57">
                  <c:v>18.559219360351562</c:v>
                </c:pt>
                <c:pt idx="58">
                  <c:v>15.140415191650391</c:v>
                </c:pt>
                <c:pt idx="59">
                  <c:v>12.698412895202637</c:v>
                </c:pt>
                <c:pt idx="60">
                  <c:v>10.256410598754883</c:v>
                </c:pt>
                <c:pt idx="61">
                  <c:v>8.3028087615966797</c:v>
                </c:pt>
                <c:pt idx="62">
                  <c:v>7.3260073661804199</c:v>
                </c:pt>
                <c:pt idx="63">
                  <c:v>7.3260073661804199</c:v>
                </c:pt>
                <c:pt idx="64">
                  <c:v>6.8376069068908691</c:v>
                </c:pt>
                <c:pt idx="65">
                  <c:v>6.3492064476013184</c:v>
                </c:pt>
                <c:pt idx="66">
                  <c:v>6.3492064476013184</c:v>
                </c:pt>
                <c:pt idx="67">
                  <c:v>6.3492064476013184</c:v>
                </c:pt>
                <c:pt idx="68">
                  <c:v>6.8376069068908691</c:v>
                </c:pt>
                <c:pt idx="69">
                  <c:v>6.8376069068908691</c:v>
                </c:pt>
                <c:pt idx="70">
                  <c:v>6.8376069068908691</c:v>
                </c:pt>
                <c:pt idx="71">
                  <c:v>6.8376069068908691</c:v>
                </c:pt>
                <c:pt idx="72">
                  <c:v>7.3260073661804199</c:v>
                </c:pt>
                <c:pt idx="73">
                  <c:v>7.8144078254699707</c:v>
                </c:pt>
                <c:pt idx="74">
                  <c:v>8.7912092208862305</c:v>
                </c:pt>
                <c:pt idx="75">
                  <c:v>9.2796096801757812</c:v>
                </c:pt>
                <c:pt idx="76">
                  <c:v>10.256410598754883</c:v>
                </c:pt>
                <c:pt idx="77">
                  <c:v>11.233211517333984</c:v>
                </c:pt>
                <c:pt idx="78">
                  <c:v>12.210012435913086</c:v>
                </c:pt>
                <c:pt idx="79">
                  <c:v>12.698412895202637</c:v>
                </c:pt>
                <c:pt idx="80">
                  <c:v>13.186813354492187</c:v>
                </c:pt>
                <c:pt idx="81">
                  <c:v>13.675213813781738</c:v>
                </c:pt>
                <c:pt idx="82">
                  <c:v>13.675213813781738</c:v>
                </c:pt>
                <c:pt idx="83">
                  <c:v>14.163614273071289</c:v>
                </c:pt>
                <c:pt idx="84">
                  <c:v>13.675213813781738</c:v>
                </c:pt>
                <c:pt idx="85">
                  <c:v>13.186813354492187</c:v>
                </c:pt>
                <c:pt idx="86">
                  <c:v>12.698412895202637</c:v>
                </c:pt>
                <c:pt idx="87">
                  <c:v>12.210012435913086</c:v>
                </c:pt>
                <c:pt idx="88">
                  <c:v>12.698412895202637</c:v>
                </c:pt>
                <c:pt idx="89">
                  <c:v>12.698412895202637</c:v>
                </c:pt>
                <c:pt idx="90">
                  <c:v>12.698412895202637</c:v>
                </c:pt>
                <c:pt idx="91">
                  <c:v>12.210012435913086</c:v>
                </c:pt>
                <c:pt idx="92">
                  <c:v>12.210012435913086</c:v>
                </c:pt>
                <c:pt idx="93">
                  <c:v>11.721611976623535</c:v>
                </c:pt>
                <c:pt idx="94">
                  <c:v>11.233211517333984</c:v>
                </c:pt>
                <c:pt idx="95">
                  <c:v>11.233211517333984</c:v>
                </c:pt>
                <c:pt idx="96">
                  <c:v>10.744811058044434</c:v>
                </c:pt>
                <c:pt idx="97">
                  <c:v>9.768010139465332</c:v>
                </c:pt>
                <c:pt idx="98">
                  <c:v>9.2796096801757812</c:v>
                </c:pt>
                <c:pt idx="99">
                  <c:v>8.7912092208862305</c:v>
                </c:pt>
                <c:pt idx="100">
                  <c:v>8.3028087615966797</c:v>
                </c:pt>
                <c:pt idx="101">
                  <c:v>7.8144078254699707</c:v>
                </c:pt>
                <c:pt idx="102">
                  <c:v>7.8144078254699707</c:v>
                </c:pt>
                <c:pt idx="103">
                  <c:v>7.3260073661804199</c:v>
                </c:pt>
                <c:pt idx="104">
                  <c:v>7.3260073661804199</c:v>
                </c:pt>
                <c:pt idx="105">
                  <c:v>7.3260073661804199</c:v>
                </c:pt>
                <c:pt idx="106">
                  <c:v>6.8376069068908691</c:v>
                </c:pt>
                <c:pt idx="107">
                  <c:v>6.8376069068908691</c:v>
                </c:pt>
                <c:pt idx="108">
                  <c:v>6.3492064476013184</c:v>
                </c:pt>
                <c:pt idx="109">
                  <c:v>6.3492064476013184</c:v>
                </c:pt>
                <c:pt idx="110">
                  <c:v>6.3492064476013184</c:v>
                </c:pt>
                <c:pt idx="111">
                  <c:v>6.3492064476013184</c:v>
                </c:pt>
                <c:pt idx="112">
                  <c:v>6.3492064476013184</c:v>
                </c:pt>
                <c:pt idx="113">
                  <c:v>5.8608059883117676</c:v>
                </c:pt>
                <c:pt idx="114">
                  <c:v>5.8608059883117676</c:v>
                </c:pt>
                <c:pt idx="115">
                  <c:v>5.3724055290222168</c:v>
                </c:pt>
                <c:pt idx="116">
                  <c:v>5.3724055290222168</c:v>
                </c:pt>
                <c:pt idx="117">
                  <c:v>5.3724055290222168</c:v>
                </c:pt>
                <c:pt idx="118">
                  <c:v>5.3724055290222168</c:v>
                </c:pt>
                <c:pt idx="119">
                  <c:v>5.3724055290222168</c:v>
                </c:pt>
                <c:pt idx="120">
                  <c:v>5.3724055290222168</c:v>
                </c:pt>
                <c:pt idx="121">
                  <c:v>4.884005069732666</c:v>
                </c:pt>
                <c:pt idx="122">
                  <c:v>4.884005069732666</c:v>
                </c:pt>
                <c:pt idx="123">
                  <c:v>4.3956046104431152</c:v>
                </c:pt>
                <c:pt idx="124">
                  <c:v>4.3956046104431152</c:v>
                </c:pt>
                <c:pt idx="125">
                  <c:v>3.9072039127349854</c:v>
                </c:pt>
                <c:pt idx="126">
                  <c:v>3.9072039127349854</c:v>
                </c:pt>
                <c:pt idx="127">
                  <c:v>3.9072039127349854</c:v>
                </c:pt>
                <c:pt idx="128">
                  <c:v>3.9072039127349854</c:v>
                </c:pt>
                <c:pt idx="129">
                  <c:v>3.9072039127349854</c:v>
                </c:pt>
                <c:pt idx="130">
                  <c:v>3.4188034534454346</c:v>
                </c:pt>
                <c:pt idx="131">
                  <c:v>3.4188034534454346</c:v>
                </c:pt>
                <c:pt idx="132">
                  <c:v>2.9304029941558838</c:v>
                </c:pt>
                <c:pt idx="133">
                  <c:v>2.9304029941558838</c:v>
                </c:pt>
                <c:pt idx="134">
                  <c:v>2.442002534866333</c:v>
                </c:pt>
                <c:pt idx="135">
                  <c:v>2.442002534866333</c:v>
                </c:pt>
                <c:pt idx="136">
                  <c:v>2.442002534866333</c:v>
                </c:pt>
                <c:pt idx="137">
                  <c:v>2.442002534866333</c:v>
                </c:pt>
                <c:pt idx="138">
                  <c:v>2.442002534866333</c:v>
                </c:pt>
                <c:pt idx="139">
                  <c:v>2.442002534866333</c:v>
                </c:pt>
                <c:pt idx="140">
                  <c:v>1.9536019563674927</c:v>
                </c:pt>
                <c:pt idx="141">
                  <c:v>1.9536019563674927</c:v>
                </c:pt>
                <c:pt idx="142">
                  <c:v>1.9536019563674927</c:v>
                </c:pt>
                <c:pt idx="143">
                  <c:v>1.9536019563674927</c:v>
                </c:pt>
                <c:pt idx="144">
                  <c:v>1.4652014970779419</c:v>
                </c:pt>
                <c:pt idx="145">
                  <c:v>1.4652014970779419</c:v>
                </c:pt>
                <c:pt idx="146">
                  <c:v>1.4652014970779419</c:v>
                </c:pt>
                <c:pt idx="147">
                  <c:v>1.4652014970779419</c:v>
                </c:pt>
                <c:pt idx="148">
                  <c:v>1.4652014970779419</c:v>
                </c:pt>
                <c:pt idx="149">
                  <c:v>1.4652014970779419</c:v>
                </c:pt>
                <c:pt idx="150">
                  <c:v>1.4652014970779419</c:v>
                </c:pt>
                <c:pt idx="151">
                  <c:v>1.4652014970779419</c:v>
                </c:pt>
                <c:pt idx="152">
                  <c:v>1.4652014970779419</c:v>
                </c:pt>
                <c:pt idx="153">
                  <c:v>1.4652014970779419</c:v>
                </c:pt>
                <c:pt idx="154">
                  <c:v>1.4652014970779419</c:v>
                </c:pt>
                <c:pt idx="155">
                  <c:v>1.4652014970779419</c:v>
                </c:pt>
                <c:pt idx="156">
                  <c:v>1.4652014970779419</c:v>
                </c:pt>
                <c:pt idx="157">
                  <c:v>1.4652014970779419</c:v>
                </c:pt>
                <c:pt idx="158">
                  <c:v>1.4652014970779419</c:v>
                </c:pt>
                <c:pt idx="159">
                  <c:v>1.4652014970779419</c:v>
                </c:pt>
                <c:pt idx="160">
                  <c:v>1.4652014970779419</c:v>
                </c:pt>
              </c:numCache>
            </c:numRef>
          </c:val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-45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data0!$E$2:$E$162</c:f>
              <c:numCache>
                <c:formatCode>General</c:formatCode>
                <c:ptCount val="161"/>
                <c:pt idx="0">
                  <c:v>4.3956046104431152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0.97680097818374634</c:v>
                </c:pt>
                <c:pt idx="8">
                  <c:v>1.4652014970779419</c:v>
                </c:pt>
                <c:pt idx="9">
                  <c:v>1.4652014970779419</c:v>
                </c:pt>
                <c:pt idx="10">
                  <c:v>1.4652014970779419</c:v>
                </c:pt>
                <c:pt idx="11">
                  <c:v>1.9536019563674927</c:v>
                </c:pt>
                <c:pt idx="12">
                  <c:v>2.442002534866333</c:v>
                </c:pt>
                <c:pt idx="13">
                  <c:v>2.9304029941558838</c:v>
                </c:pt>
                <c:pt idx="14">
                  <c:v>2.9304029941558838</c:v>
                </c:pt>
                <c:pt idx="15">
                  <c:v>3.9072039127349854</c:v>
                </c:pt>
                <c:pt idx="16">
                  <c:v>4.3956046104431152</c:v>
                </c:pt>
                <c:pt idx="17">
                  <c:v>5.8608059883117676</c:v>
                </c:pt>
                <c:pt idx="18">
                  <c:v>7.3260073661804199</c:v>
                </c:pt>
                <c:pt idx="19">
                  <c:v>8.7912092208862305</c:v>
                </c:pt>
                <c:pt idx="20">
                  <c:v>10.256410598754883</c:v>
                </c:pt>
                <c:pt idx="21">
                  <c:v>10.256410598754883</c:v>
                </c:pt>
                <c:pt idx="22">
                  <c:v>10.744811058044434</c:v>
                </c:pt>
                <c:pt idx="23">
                  <c:v>13.675213813781738</c:v>
                </c:pt>
                <c:pt idx="24">
                  <c:v>18.070817947387695</c:v>
                </c:pt>
                <c:pt idx="25">
                  <c:v>21.978021621704102</c:v>
                </c:pt>
                <c:pt idx="26">
                  <c:v>24.908424377441406</c:v>
                </c:pt>
                <c:pt idx="27">
                  <c:v>28.327228546142578</c:v>
                </c:pt>
                <c:pt idx="28">
                  <c:v>32.234432220458984</c:v>
                </c:pt>
                <c:pt idx="29">
                  <c:v>34.676433563232422</c:v>
                </c:pt>
                <c:pt idx="30">
                  <c:v>39.072040557861328</c:v>
                </c:pt>
                <c:pt idx="31">
                  <c:v>48.351650238037109</c:v>
                </c:pt>
                <c:pt idx="32">
                  <c:v>63.003662109375</c:v>
                </c:pt>
                <c:pt idx="33">
                  <c:v>75.702072143554688</c:v>
                </c:pt>
                <c:pt idx="34">
                  <c:v>84.0048828125</c:v>
                </c:pt>
                <c:pt idx="35">
                  <c:v>93.772895812988281</c:v>
                </c:pt>
                <c:pt idx="36">
                  <c:v>106.47130584716797</c:v>
                </c:pt>
                <c:pt idx="37">
                  <c:v>120.63491821289062</c:v>
                </c:pt>
                <c:pt idx="38">
                  <c:v>133.82173156738281</c:v>
                </c:pt>
                <c:pt idx="39">
                  <c:v>150.91575622558594</c:v>
                </c:pt>
                <c:pt idx="40">
                  <c:v>170.94017028808594</c:v>
                </c:pt>
                <c:pt idx="41">
                  <c:v>187.54579162597656</c:v>
                </c:pt>
                <c:pt idx="42">
                  <c:v>202.19779968261719</c:v>
                </c:pt>
                <c:pt idx="43">
                  <c:v>223.19902038574219</c:v>
                </c:pt>
                <c:pt idx="44">
                  <c:v>250.54945373535156</c:v>
                </c:pt>
                <c:pt idx="45">
                  <c:v>277.89987182617187</c:v>
                </c:pt>
                <c:pt idx="46">
                  <c:v>293.5286865234375</c:v>
                </c:pt>
                <c:pt idx="47">
                  <c:v>300.36630249023437</c:v>
                </c:pt>
                <c:pt idx="48">
                  <c:v>306.22711181640625</c:v>
                </c:pt>
                <c:pt idx="49">
                  <c:v>316.4835205078125</c:v>
                </c:pt>
                <c:pt idx="50">
                  <c:v>326.25152587890625</c:v>
                </c:pt>
                <c:pt idx="51">
                  <c:v>323.32113647460937</c:v>
                </c:pt>
                <c:pt idx="52">
                  <c:v>303.78509521484375</c:v>
                </c:pt>
                <c:pt idx="53">
                  <c:v>274.969482421875</c:v>
                </c:pt>
                <c:pt idx="54">
                  <c:v>240.78144836425781</c:v>
                </c:pt>
                <c:pt idx="55">
                  <c:v>201.70939636230469</c:v>
                </c:pt>
                <c:pt idx="56">
                  <c:v>173.38217163085937</c:v>
                </c:pt>
                <c:pt idx="57">
                  <c:v>156.77655029296875</c:v>
                </c:pt>
                <c:pt idx="58">
                  <c:v>142.12454223632812</c:v>
                </c:pt>
                <c:pt idx="59">
                  <c:v>122.58852386474609</c:v>
                </c:pt>
                <c:pt idx="60">
                  <c:v>100.12210083007812</c:v>
                </c:pt>
                <c:pt idx="61">
                  <c:v>80.586082458496094</c:v>
                </c:pt>
                <c:pt idx="62">
                  <c:v>65.934066772460938</c:v>
                </c:pt>
                <c:pt idx="63">
                  <c:v>58.119659423828125</c:v>
                </c:pt>
                <c:pt idx="64">
                  <c:v>57.631256103515625</c:v>
                </c:pt>
                <c:pt idx="65">
                  <c:v>60.561660766601562</c:v>
                </c:pt>
                <c:pt idx="66">
                  <c:v>61.538459777832031</c:v>
                </c:pt>
                <c:pt idx="67">
                  <c:v>59.584857940673828</c:v>
                </c:pt>
                <c:pt idx="68">
                  <c:v>58.119659423828125</c:v>
                </c:pt>
                <c:pt idx="69">
                  <c:v>59.584857940673828</c:v>
                </c:pt>
                <c:pt idx="70">
                  <c:v>61.538459777832031</c:v>
                </c:pt>
                <c:pt idx="71">
                  <c:v>62.515262603759766</c:v>
                </c:pt>
                <c:pt idx="72">
                  <c:v>64.468864440917969</c:v>
                </c:pt>
                <c:pt idx="73">
                  <c:v>71.794868469238281</c:v>
                </c:pt>
                <c:pt idx="74">
                  <c:v>85.470085144042969</c:v>
                </c:pt>
                <c:pt idx="75">
                  <c:v>100.12210083007812</c:v>
                </c:pt>
                <c:pt idx="76">
                  <c:v>110.86691284179687</c:v>
                </c:pt>
                <c:pt idx="77">
                  <c:v>117.21611785888672</c:v>
                </c:pt>
                <c:pt idx="78">
                  <c:v>121.61172485351563</c:v>
                </c:pt>
                <c:pt idx="79">
                  <c:v>126.4957275390625</c:v>
                </c:pt>
                <c:pt idx="80">
                  <c:v>130.40292358398438</c:v>
                </c:pt>
                <c:pt idx="81">
                  <c:v>131.86813354492187</c:v>
                </c:pt>
                <c:pt idx="82">
                  <c:v>131.86813354492187</c:v>
                </c:pt>
                <c:pt idx="83">
                  <c:v>132.84494018554687</c:v>
                </c:pt>
                <c:pt idx="84">
                  <c:v>136.75213623046875</c:v>
                </c:pt>
                <c:pt idx="85">
                  <c:v>139.19413757324219</c:v>
                </c:pt>
                <c:pt idx="86">
                  <c:v>138.70573425292969</c:v>
                </c:pt>
                <c:pt idx="87">
                  <c:v>134.79853820800781</c:v>
                </c:pt>
                <c:pt idx="88">
                  <c:v>130.89132690429687</c:v>
                </c:pt>
                <c:pt idx="89">
                  <c:v>128.93772888183594</c:v>
                </c:pt>
                <c:pt idx="90">
                  <c:v>129.91453552246094</c:v>
                </c:pt>
                <c:pt idx="91">
                  <c:v>131.86813354492187</c:v>
                </c:pt>
                <c:pt idx="92">
                  <c:v>133.33332824707031</c:v>
                </c:pt>
                <c:pt idx="93">
                  <c:v>132.35653686523437</c:v>
                </c:pt>
                <c:pt idx="94">
                  <c:v>128.93772888183594</c:v>
                </c:pt>
                <c:pt idx="95">
                  <c:v>125.03052520751953</c:v>
                </c:pt>
                <c:pt idx="96">
                  <c:v>121.61172485351563</c:v>
                </c:pt>
                <c:pt idx="97">
                  <c:v>118.19291687011719</c:v>
                </c:pt>
                <c:pt idx="98">
                  <c:v>113.79731750488281</c:v>
                </c:pt>
                <c:pt idx="99">
                  <c:v>107.93650817871094</c:v>
                </c:pt>
                <c:pt idx="100">
                  <c:v>101.09889984130859</c:v>
                </c:pt>
                <c:pt idx="101">
                  <c:v>93.284492492675781</c:v>
                </c:pt>
                <c:pt idx="102">
                  <c:v>85.470085144042969</c:v>
                </c:pt>
                <c:pt idx="103">
                  <c:v>78.632476806640625</c:v>
                </c:pt>
                <c:pt idx="104">
                  <c:v>74.725273132324219</c:v>
                </c:pt>
                <c:pt idx="105">
                  <c:v>73.74847412109375</c:v>
                </c:pt>
                <c:pt idx="106">
                  <c:v>76.190475463867187</c:v>
                </c:pt>
                <c:pt idx="107">
                  <c:v>80.097679138183594</c:v>
                </c:pt>
                <c:pt idx="108">
                  <c:v>83.028083801269531</c:v>
                </c:pt>
                <c:pt idx="109">
                  <c:v>83.516487121582031</c:v>
                </c:pt>
                <c:pt idx="110">
                  <c:v>82.051284790039062</c:v>
                </c:pt>
                <c:pt idx="111">
                  <c:v>80.097679138183594</c:v>
                </c:pt>
                <c:pt idx="112">
                  <c:v>79.120880126953125</c:v>
                </c:pt>
                <c:pt idx="113">
                  <c:v>78.144081115722656</c:v>
                </c:pt>
                <c:pt idx="114">
                  <c:v>77.167274475097656</c:v>
                </c:pt>
                <c:pt idx="115">
                  <c:v>75.213676452636719</c:v>
                </c:pt>
                <c:pt idx="116">
                  <c:v>72.283271789550781</c:v>
                </c:pt>
                <c:pt idx="117">
                  <c:v>69.352867126464844</c:v>
                </c:pt>
                <c:pt idx="118">
                  <c:v>67.399269104003906</c:v>
                </c:pt>
                <c:pt idx="119">
                  <c:v>65.934066772460938</c:v>
                </c:pt>
                <c:pt idx="120">
                  <c:v>65.445663452148438</c:v>
                </c:pt>
                <c:pt idx="121">
                  <c:v>65.445663452148438</c:v>
                </c:pt>
                <c:pt idx="122">
                  <c:v>64.957267761230469</c:v>
                </c:pt>
                <c:pt idx="123">
                  <c:v>63.003662109375</c:v>
                </c:pt>
                <c:pt idx="124">
                  <c:v>60.561660766601562</c:v>
                </c:pt>
                <c:pt idx="125">
                  <c:v>56.654457092285156</c:v>
                </c:pt>
                <c:pt idx="126">
                  <c:v>52.74725341796875</c:v>
                </c:pt>
                <c:pt idx="127">
                  <c:v>48.840049743652344</c:v>
                </c:pt>
                <c:pt idx="128">
                  <c:v>46.398044586181641</c:v>
                </c:pt>
                <c:pt idx="129">
                  <c:v>44.444442749023438</c:v>
                </c:pt>
                <c:pt idx="130">
                  <c:v>43.467643737792969</c:v>
                </c:pt>
                <c:pt idx="131">
                  <c:v>42.490840911865234</c:v>
                </c:pt>
                <c:pt idx="132">
                  <c:v>40.537239074707031</c:v>
                </c:pt>
                <c:pt idx="133">
                  <c:v>37.606838226318359</c:v>
                </c:pt>
                <c:pt idx="134">
                  <c:v>34.188034057617187</c:v>
                </c:pt>
                <c:pt idx="135">
                  <c:v>30.769229888916016</c:v>
                </c:pt>
                <c:pt idx="136">
                  <c:v>27.838827133178711</c:v>
                </c:pt>
                <c:pt idx="137">
                  <c:v>25.885225296020508</c:v>
                </c:pt>
                <c:pt idx="138">
                  <c:v>24.420024871826172</c:v>
                </c:pt>
                <c:pt idx="139">
                  <c:v>23.44322395324707</c:v>
                </c:pt>
                <c:pt idx="140">
                  <c:v>22.466423034667969</c:v>
                </c:pt>
                <c:pt idx="141">
                  <c:v>21.489622116088867</c:v>
                </c:pt>
                <c:pt idx="142">
                  <c:v>20.512821197509766</c:v>
                </c:pt>
                <c:pt idx="143">
                  <c:v>19.047618865966797</c:v>
                </c:pt>
                <c:pt idx="144">
                  <c:v>17.582418441772461</c:v>
                </c:pt>
                <c:pt idx="145">
                  <c:v>16.117216110229492</c:v>
                </c:pt>
                <c:pt idx="146">
                  <c:v>14.65201473236084</c:v>
                </c:pt>
                <c:pt idx="147">
                  <c:v>13.675213813781738</c:v>
                </c:pt>
                <c:pt idx="148">
                  <c:v>12.698412895202637</c:v>
                </c:pt>
                <c:pt idx="149">
                  <c:v>11.721611976623535</c:v>
                </c:pt>
                <c:pt idx="150">
                  <c:v>10.744811058044434</c:v>
                </c:pt>
                <c:pt idx="151">
                  <c:v>9.768010139465332</c:v>
                </c:pt>
                <c:pt idx="152">
                  <c:v>9.2796096801757812</c:v>
                </c:pt>
                <c:pt idx="153">
                  <c:v>8.7912092208862305</c:v>
                </c:pt>
                <c:pt idx="154">
                  <c:v>8.3028087615966797</c:v>
                </c:pt>
                <c:pt idx="155">
                  <c:v>8.3028087615966797</c:v>
                </c:pt>
                <c:pt idx="156">
                  <c:v>7.8144078254699707</c:v>
                </c:pt>
                <c:pt idx="157">
                  <c:v>7.8144078254699707</c:v>
                </c:pt>
                <c:pt idx="158">
                  <c:v>7.3260073661804199</c:v>
                </c:pt>
                <c:pt idx="159">
                  <c:v>7.3260073661804199</c:v>
                </c:pt>
                <c:pt idx="160">
                  <c:v>7.3260073661804199</c:v>
                </c:pt>
              </c:numCache>
            </c:numRef>
          </c:val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-40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data0!$F$2:$F$162</c:f>
              <c:numCache>
                <c:formatCode>General</c:formatCode>
                <c:ptCount val="161"/>
                <c:pt idx="0">
                  <c:v>1.4652014970779419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1.4652014970779419</c:v>
                </c:pt>
                <c:pt idx="8">
                  <c:v>1.4652014970779419</c:v>
                </c:pt>
                <c:pt idx="9">
                  <c:v>1.9536019563674927</c:v>
                </c:pt>
                <c:pt idx="10">
                  <c:v>1.9536019563674927</c:v>
                </c:pt>
                <c:pt idx="11">
                  <c:v>1.9536019563674927</c:v>
                </c:pt>
                <c:pt idx="12">
                  <c:v>2.9304029941558838</c:v>
                </c:pt>
                <c:pt idx="13">
                  <c:v>3.9072039127349854</c:v>
                </c:pt>
                <c:pt idx="14">
                  <c:v>4.884005069732666</c:v>
                </c:pt>
                <c:pt idx="15">
                  <c:v>6.3492064476013184</c:v>
                </c:pt>
                <c:pt idx="16">
                  <c:v>7.3260073661804199</c:v>
                </c:pt>
                <c:pt idx="17">
                  <c:v>8.3028087615966797</c:v>
                </c:pt>
                <c:pt idx="18">
                  <c:v>10.256410598754883</c:v>
                </c:pt>
                <c:pt idx="19">
                  <c:v>12.698412895202637</c:v>
                </c:pt>
                <c:pt idx="20">
                  <c:v>16.605617523193359</c:v>
                </c:pt>
                <c:pt idx="21">
                  <c:v>20.024419784545898</c:v>
                </c:pt>
                <c:pt idx="22">
                  <c:v>22.466423034667969</c:v>
                </c:pt>
                <c:pt idx="23">
                  <c:v>22.954822540283203</c:v>
                </c:pt>
                <c:pt idx="24">
                  <c:v>24.420024871826172</c:v>
                </c:pt>
                <c:pt idx="25">
                  <c:v>32.234432220458984</c:v>
                </c:pt>
                <c:pt idx="26">
                  <c:v>43.467643737792969</c:v>
                </c:pt>
                <c:pt idx="27">
                  <c:v>51.770450592041016</c:v>
                </c:pt>
                <c:pt idx="28">
                  <c:v>57.142856597900391</c:v>
                </c:pt>
                <c:pt idx="29">
                  <c:v>63.980464935302734</c:v>
                </c:pt>
                <c:pt idx="30">
                  <c:v>70.818069458007812</c:v>
                </c:pt>
                <c:pt idx="31">
                  <c:v>76.678878784179687</c:v>
                </c:pt>
                <c:pt idx="32">
                  <c:v>88.400489807128906</c:v>
                </c:pt>
                <c:pt idx="33">
                  <c:v>113.30891418457031</c:v>
                </c:pt>
                <c:pt idx="34">
                  <c:v>149.45054626464844</c:v>
                </c:pt>
                <c:pt idx="35">
                  <c:v>176.80097961425781</c:v>
                </c:pt>
                <c:pt idx="36">
                  <c:v>183.15017700195312</c:v>
                </c:pt>
                <c:pt idx="37">
                  <c:v>185.10379028320312</c:v>
                </c:pt>
                <c:pt idx="38">
                  <c:v>204.15139770507812</c:v>
                </c:pt>
                <c:pt idx="39">
                  <c:v>239.80464172363281</c:v>
                </c:pt>
                <c:pt idx="40">
                  <c:v>282.29547119140625</c:v>
                </c:pt>
                <c:pt idx="41">
                  <c:v>329.67031860351562</c:v>
                </c:pt>
                <c:pt idx="42">
                  <c:v>377.045166015625</c:v>
                </c:pt>
                <c:pt idx="43">
                  <c:v>405.37240600585937</c:v>
                </c:pt>
                <c:pt idx="44">
                  <c:v>414.65200805664062</c:v>
                </c:pt>
                <c:pt idx="45">
                  <c:v>426.86203002929687</c:v>
                </c:pt>
                <c:pt idx="46">
                  <c:v>453.72406005859375</c:v>
                </c:pt>
                <c:pt idx="47">
                  <c:v>488.40048217773437</c:v>
                </c:pt>
                <c:pt idx="48">
                  <c:v>513.30889892578125</c:v>
                </c:pt>
                <c:pt idx="49">
                  <c:v>527.4725341796875</c:v>
                </c:pt>
                <c:pt idx="50">
                  <c:v>527.4725341796875</c:v>
                </c:pt>
                <c:pt idx="51">
                  <c:v>517.70452880859375</c:v>
                </c:pt>
                <c:pt idx="52">
                  <c:v>505.006103515625</c:v>
                </c:pt>
                <c:pt idx="53">
                  <c:v>475.70208740234375</c:v>
                </c:pt>
                <c:pt idx="54">
                  <c:v>416.60562133789062</c:v>
                </c:pt>
                <c:pt idx="55">
                  <c:v>336.996337890625</c:v>
                </c:pt>
                <c:pt idx="56">
                  <c:v>262.75946044921875</c:v>
                </c:pt>
                <c:pt idx="57">
                  <c:v>194.87179565429687</c:v>
                </c:pt>
                <c:pt idx="58">
                  <c:v>140.65934753417969</c:v>
                </c:pt>
                <c:pt idx="59">
                  <c:v>109.89010620117187</c:v>
                </c:pt>
                <c:pt idx="60">
                  <c:v>98.168495178222656</c:v>
                </c:pt>
                <c:pt idx="61">
                  <c:v>93.284492492675781</c:v>
                </c:pt>
                <c:pt idx="62">
                  <c:v>86.935287475585938</c:v>
                </c:pt>
                <c:pt idx="63">
                  <c:v>79.120880126953125</c:v>
                </c:pt>
                <c:pt idx="64">
                  <c:v>70.329673767089844</c:v>
                </c:pt>
                <c:pt idx="65">
                  <c:v>62.515262603759766</c:v>
                </c:pt>
                <c:pt idx="66">
                  <c:v>58.119659423828125</c:v>
                </c:pt>
                <c:pt idx="67">
                  <c:v>59.584857940673828</c:v>
                </c:pt>
                <c:pt idx="68">
                  <c:v>63.980464935302734</c:v>
                </c:pt>
                <c:pt idx="69">
                  <c:v>65.445663452148438</c:v>
                </c:pt>
                <c:pt idx="70">
                  <c:v>63.492061614990234</c:v>
                </c:pt>
                <c:pt idx="71">
                  <c:v>60.073261260986328</c:v>
                </c:pt>
                <c:pt idx="72">
                  <c:v>60.073261260986328</c:v>
                </c:pt>
                <c:pt idx="73">
                  <c:v>64.957267761230469</c:v>
                </c:pt>
                <c:pt idx="74">
                  <c:v>70.818069458007812</c:v>
                </c:pt>
                <c:pt idx="75">
                  <c:v>75.213676452636719</c:v>
                </c:pt>
                <c:pt idx="76">
                  <c:v>79.609275817871094</c:v>
                </c:pt>
                <c:pt idx="77">
                  <c:v>85.958488464355469</c:v>
                </c:pt>
                <c:pt idx="78">
                  <c:v>92.307693481445313</c:v>
                </c:pt>
                <c:pt idx="79">
                  <c:v>92.796089172363281</c:v>
                </c:pt>
                <c:pt idx="80">
                  <c:v>85.958488464355469</c:v>
                </c:pt>
                <c:pt idx="81">
                  <c:v>76.678878784179687</c:v>
                </c:pt>
                <c:pt idx="82">
                  <c:v>70.329673767089844</c:v>
                </c:pt>
                <c:pt idx="83">
                  <c:v>65.934066772460938</c:v>
                </c:pt>
                <c:pt idx="84">
                  <c:v>61.538459777832031</c:v>
                </c:pt>
                <c:pt idx="85">
                  <c:v>57.142856597900391</c:v>
                </c:pt>
                <c:pt idx="86">
                  <c:v>54.212455749511719</c:v>
                </c:pt>
                <c:pt idx="87">
                  <c:v>53.235652923583984</c:v>
                </c:pt>
                <c:pt idx="88">
                  <c:v>50.793651580810547</c:v>
                </c:pt>
                <c:pt idx="89">
                  <c:v>44.932846069335937</c:v>
                </c:pt>
                <c:pt idx="90">
                  <c:v>36.630035400390625</c:v>
                </c:pt>
                <c:pt idx="91">
                  <c:v>28.815628051757813</c:v>
                </c:pt>
                <c:pt idx="92">
                  <c:v>22.954822540283203</c:v>
                </c:pt>
                <c:pt idx="93">
                  <c:v>17.094017028808594</c:v>
                </c:pt>
                <c:pt idx="94">
                  <c:v>11.721611976623535</c:v>
                </c:pt>
                <c:pt idx="95">
                  <c:v>8.7912092208862305</c:v>
                </c:pt>
                <c:pt idx="96">
                  <c:v>6.8376069068908691</c:v>
                </c:pt>
                <c:pt idx="97">
                  <c:v>5.3724055290222168</c:v>
                </c:pt>
                <c:pt idx="98">
                  <c:v>3.4188034534454346</c:v>
                </c:pt>
                <c:pt idx="99">
                  <c:v>0.48840048909187317</c:v>
                </c:pt>
                <c:pt idx="100">
                  <c:v>0.48840048909187317</c:v>
                </c:pt>
                <c:pt idx="101">
                  <c:v>0.48840048909187317</c:v>
                </c:pt>
                <c:pt idx="102">
                  <c:v>0.48840048909187317</c:v>
                </c:pt>
                <c:pt idx="103">
                  <c:v>0.48840048909187317</c:v>
                </c:pt>
                <c:pt idx="104">
                  <c:v>0.48840048909187317</c:v>
                </c:pt>
                <c:pt idx="105">
                  <c:v>0.48840048909187317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0.48840048909187317</c:v>
                </c:pt>
                <c:pt idx="146">
                  <c:v>0.48840048909187317</c:v>
                </c:pt>
                <c:pt idx="147">
                  <c:v>0.48840048909187317</c:v>
                </c:pt>
                <c:pt idx="148">
                  <c:v>0.97680097818374634</c:v>
                </c:pt>
                <c:pt idx="149">
                  <c:v>0.97680097818374634</c:v>
                </c:pt>
                <c:pt idx="150">
                  <c:v>1.9536019563674927</c:v>
                </c:pt>
                <c:pt idx="151">
                  <c:v>2.442002534866333</c:v>
                </c:pt>
                <c:pt idx="152">
                  <c:v>3.4188034534454346</c:v>
                </c:pt>
                <c:pt idx="153">
                  <c:v>4.3956046104431152</c:v>
                </c:pt>
                <c:pt idx="154">
                  <c:v>5.3724055290222168</c:v>
                </c:pt>
                <c:pt idx="155">
                  <c:v>5.8608059883117676</c:v>
                </c:pt>
                <c:pt idx="156">
                  <c:v>6.3492064476013184</c:v>
                </c:pt>
                <c:pt idx="157">
                  <c:v>6.8376069068908691</c:v>
                </c:pt>
                <c:pt idx="158">
                  <c:v>7.3260073661804199</c:v>
                </c:pt>
                <c:pt idx="159">
                  <c:v>7.8144078254699707</c:v>
                </c:pt>
                <c:pt idx="160">
                  <c:v>8.3028087615966797</c:v>
                </c:pt>
              </c:numCache>
            </c:numRef>
          </c:val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-35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data0!$G$2:$G$162</c:f>
              <c:numCache>
                <c:formatCode>General</c:formatCode>
                <c:ptCount val="161"/>
                <c:pt idx="0">
                  <c:v>15.628815650939941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1.9536019563674927</c:v>
                </c:pt>
                <c:pt idx="9">
                  <c:v>1.9536019563674927</c:v>
                </c:pt>
                <c:pt idx="10">
                  <c:v>2.442002534866333</c:v>
                </c:pt>
                <c:pt idx="11">
                  <c:v>2.9304029941558838</c:v>
                </c:pt>
                <c:pt idx="12">
                  <c:v>3.4188034534454346</c:v>
                </c:pt>
                <c:pt idx="13">
                  <c:v>4.3956046104431152</c:v>
                </c:pt>
                <c:pt idx="14">
                  <c:v>6.3492064476013184</c:v>
                </c:pt>
                <c:pt idx="15">
                  <c:v>8.7912092208862305</c:v>
                </c:pt>
                <c:pt idx="16">
                  <c:v>10.744811058044434</c:v>
                </c:pt>
                <c:pt idx="17">
                  <c:v>12.698412895202637</c:v>
                </c:pt>
                <c:pt idx="18">
                  <c:v>14.163614273071289</c:v>
                </c:pt>
                <c:pt idx="19">
                  <c:v>16.117216110229492</c:v>
                </c:pt>
                <c:pt idx="20">
                  <c:v>21.001220703125</c:v>
                </c:pt>
                <c:pt idx="21">
                  <c:v>26.862026214599609</c:v>
                </c:pt>
                <c:pt idx="22">
                  <c:v>33.699634552001953</c:v>
                </c:pt>
                <c:pt idx="23">
                  <c:v>40.537239074707031</c:v>
                </c:pt>
                <c:pt idx="24">
                  <c:v>43.467643737792969</c:v>
                </c:pt>
                <c:pt idx="25">
                  <c:v>42.979244232177734</c:v>
                </c:pt>
                <c:pt idx="26">
                  <c:v>46.886447906494141</c:v>
                </c:pt>
                <c:pt idx="27">
                  <c:v>63.492061614990234</c:v>
                </c:pt>
                <c:pt idx="28">
                  <c:v>83.028083801269531</c:v>
                </c:pt>
                <c:pt idx="29">
                  <c:v>93.772895812988281</c:v>
                </c:pt>
                <c:pt idx="30">
                  <c:v>100.12210083007812</c:v>
                </c:pt>
                <c:pt idx="31">
                  <c:v>112.33211517333984</c:v>
                </c:pt>
                <c:pt idx="32">
                  <c:v>129.42613220214844</c:v>
                </c:pt>
                <c:pt idx="33">
                  <c:v>144.07814025878906</c:v>
                </c:pt>
                <c:pt idx="34">
                  <c:v>166.54457092285156</c:v>
                </c:pt>
                <c:pt idx="35">
                  <c:v>207.08180236816406</c:v>
                </c:pt>
                <c:pt idx="36">
                  <c:v>256.41024780273437</c:v>
                </c:pt>
                <c:pt idx="37">
                  <c:v>285.22589111328125</c:v>
                </c:pt>
                <c:pt idx="38">
                  <c:v>285.22589111328125</c:v>
                </c:pt>
                <c:pt idx="39">
                  <c:v>294.5054931640625</c:v>
                </c:pt>
                <c:pt idx="40">
                  <c:v>342.36874389648438</c:v>
                </c:pt>
                <c:pt idx="41">
                  <c:v>419.047607421875</c:v>
                </c:pt>
                <c:pt idx="42">
                  <c:v>493.77288818359375</c:v>
                </c:pt>
                <c:pt idx="43">
                  <c:v>558.24176025390625</c:v>
                </c:pt>
                <c:pt idx="44">
                  <c:v>616.36138916015625</c:v>
                </c:pt>
                <c:pt idx="45">
                  <c:v>645.66546630859375</c:v>
                </c:pt>
                <c:pt idx="46">
                  <c:v>636.87420654296875</c:v>
                </c:pt>
                <c:pt idx="47">
                  <c:v>628.5714111328125</c:v>
                </c:pt>
                <c:pt idx="48">
                  <c:v>651.5262451171875</c:v>
                </c:pt>
                <c:pt idx="49">
                  <c:v>698.4127197265625</c:v>
                </c:pt>
                <c:pt idx="50">
                  <c:v>734.06591796875</c:v>
                </c:pt>
                <c:pt idx="51">
                  <c:v>735.042724609375</c:v>
                </c:pt>
                <c:pt idx="52">
                  <c:v>698.901123046875</c:v>
                </c:pt>
                <c:pt idx="53">
                  <c:v>633.4554443359375</c:v>
                </c:pt>
                <c:pt idx="54">
                  <c:v>568.4981689453125</c:v>
                </c:pt>
                <c:pt idx="55">
                  <c:v>501.58731079101562</c:v>
                </c:pt>
                <c:pt idx="56">
                  <c:v>417.58242797851562</c:v>
                </c:pt>
                <c:pt idx="57">
                  <c:v>324.78631591796875</c:v>
                </c:pt>
                <c:pt idx="58">
                  <c:v>248.10745239257812</c:v>
                </c:pt>
                <c:pt idx="59">
                  <c:v>192.42979431152344</c:v>
                </c:pt>
                <c:pt idx="60">
                  <c:v>148.96214294433594</c:v>
                </c:pt>
                <c:pt idx="61">
                  <c:v>124.05372619628906</c:v>
                </c:pt>
                <c:pt idx="62">
                  <c:v>119.16971588134766</c:v>
                </c:pt>
                <c:pt idx="63">
                  <c:v>124.05372619628906</c:v>
                </c:pt>
                <c:pt idx="64">
                  <c:v>127.47252655029297</c:v>
                </c:pt>
                <c:pt idx="65">
                  <c:v>125.51892852783203</c:v>
                </c:pt>
                <c:pt idx="66">
                  <c:v>118.68132019042969</c:v>
                </c:pt>
                <c:pt idx="67">
                  <c:v>108.91330718994141</c:v>
                </c:pt>
                <c:pt idx="68">
                  <c:v>99.145301818847656</c:v>
                </c:pt>
                <c:pt idx="69">
                  <c:v>95.726493835449219</c:v>
                </c:pt>
                <c:pt idx="70">
                  <c:v>101.09889984130859</c:v>
                </c:pt>
                <c:pt idx="71">
                  <c:v>108.91330718994141</c:v>
                </c:pt>
                <c:pt idx="72">
                  <c:v>112.33211517333984</c:v>
                </c:pt>
                <c:pt idx="73">
                  <c:v>113.30891418457031</c:v>
                </c:pt>
                <c:pt idx="74">
                  <c:v>119.16971588134766</c:v>
                </c:pt>
                <c:pt idx="75">
                  <c:v>133.33332824707031</c:v>
                </c:pt>
                <c:pt idx="76">
                  <c:v>151.40414428710937</c:v>
                </c:pt>
                <c:pt idx="77">
                  <c:v>164.59095764160156</c:v>
                </c:pt>
                <c:pt idx="78">
                  <c:v>170.45176696777344</c:v>
                </c:pt>
                <c:pt idx="79">
                  <c:v>174.35897827148437</c:v>
                </c:pt>
                <c:pt idx="80">
                  <c:v>180.70817565917969</c:v>
                </c:pt>
                <c:pt idx="81">
                  <c:v>185.10379028320312</c:v>
                </c:pt>
                <c:pt idx="82">
                  <c:v>181.68498229980469</c:v>
                </c:pt>
                <c:pt idx="83">
                  <c:v>169.96336364746094</c:v>
                </c:pt>
                <c:pt idx="84">
                  <c:v>156.77655029296875</c:v>
                </c:pt>
                <c:pt idx="85">
                  <c:v>148.96214294433594</c:v>
                </c:pt>
                <c:pt idx="86">
                  <c:v>143.58973693847656</c:v>
                </c:pt>
                <c:pt idx="87">
                  <c:v>136.26373291015625</c:v>
                </c:pt>
                <c:pt idx="88">
                  <c:v>127.47252655029297</c:v>
                </c:pt>
                <c:pt idx="89">
                  <c:v>121.61172485351563</c:v>
                </c:pt>
                <c:pt idx="90">
                  <c:v>121.61172485351563</c:v>
                </c:pt>
                <c:pt idx="91">
                  <c:v>122.10012054443359</c:v>
                </c:pt>
                <c:pt idx="92">
                  <c:v>117.70452117919922</c:v>
                </c:pt>
                <c:pt idx="93">
                  <c:v>108.91330718994141</c:v>
                </c:pt>
                <c:pt idx="94">
                  <c:v>101.09889984130859</c:v>
                </c:pt>
                <c:pt idx="95">
                  <c:v>94.74969482421875</c:v>
                </c:pt>
                <c:pt idx="96">
                  <c:v>88.888885498046875</c:v>
                </c:pt>
                <c:pt idx="97">
                  <c:v>83.028083801269531</c:v>
                </c:pt>
                <c:pt idx="98">
                  <c:v>78.632476806640625</c:v>
                </c:pt>
                <c:pt idx="99">
                  <c:v>74.23687744140625</c:v>
                </c:pt>
                <c:pt idx="100">
                  <c:v>69.352867126464844</c:v>
                </c:pt>
                <c:pt idx="101">
                  <c:v>63.980464935302734</c:v>
                </c:pt>
                <c:pt idx="102">
                  <c:v>58.608058929443359</c:v>
                </c:pt>
                <c:pt idx="103">
                  <c:v>54.212455749511719</c:v>
                </c:pt>
                <c:pt idx="104">
                  <c:v>48.840049743652344</c:v>
                </c:pt>
                <c:pt idx="105">
                  <c:v>43.467643737792969</c:v>
                </c:pt>
                <c:pt idx="106">
                  <c:v>40.537239074707031</c:v>
                </c:pt>
                <c:pt idx="107">
                  <c:v>41.025642395019531</c:v>
                </c:pt>
                <c:pt idx="108">
                  <c:v>41.025642395019531</c:v>
                </c:pt>
                <c:pt idx="109">
                  <c:v>35.164836883544922</c:v>
                </c:pt>
                <c:pt idx="110">
                  <c:v>24.420024871826172</c:v>
                </c:pt>
                <c:pt idx="111">
                  <c:v>12.210012435913086</c:v>
                </c:pt>
                <c:pt idx="112">
                  <c:v>4.3956046104431152</c:v>
                </c:pt>
                <c:pt idx="113">
                  <c:v>4.884005069732666</c:v>
                </c:pt>
                <c:pt idx="114">
                  <c:v>12.210012435913086</c:v>
                </c:pt>
                <c:pt idx="115">
                  <c:v>20.024419784545898</c:v>
                </c:pt>
                <c:pt idx="116">
                  <c:v>23.931623458862305</c:v>
                </c:pt>
                <c:pt idx="117">
                  <c:v>22.466423034667969</c:v>
                </c:pt>
                <c:pt idx="118">
                  <c:v>18.559219360351562</c:v>
                </c:pt>
                <c:pt idx="119">
                  <c:v>16.117216110229492</c:v>
                </c:pt>
                <c:pt idx="120">
                  <c:v>16.117216110229492</c:v>
                </c:pt>
                <c:pt idx="121">
                  <c:v>17.582418441772461</c:v>
                </c:pt>
                <c:pt idx="122">
                  <c:v>18.559219360351562</c:v>
                </c:pt>
                <c:pt idx="123">
                  <c:v>17.582418441772461</c:v>
                </c:pt>
                <c:pt idx="124">
                  <c:v>15.628815650939941</c:v>
                </c:pt>
                <c:pt idx="125">
                  <c:v>14.163614273071289</c:v>
                </c:pt>
                <c:pt idx="126">
                  <c:v>12.698412895202637</c:v>
                </c:pt>
                <c:pt idx="127">
                  <c:v>11.721611976623535</c:v>
                </c:pt>
                <c:pt idx="128">
                  <c:v>10.744811058044434</c:v>
                </c:pt>
                <c:pt idx="129">
                  <c:v>10.744811058044434</c:v>
                </c:pt>
                <c:pt idx="130">
                  <c:v>11.233211517333984</c:v>
                </c:pt>
                <c:pt idx="131">
                  <c:v>12.210012435913086</c:v>
                </c:pt>
                <c:pt idx="132">
                  <c:v>12.698412895202637</c:v>
                </c:pt>
                <c:pt idx="133">
                  <c:v>11.721611976623535</c:v>
                </c:pt>
                <c:pt idx="134">
                  <c:v>9.768010139465332</c:v>
                </c:pt>
                <c:pt idx="135">
                  <c:v>7.3260073661804199</c:v>
                </c:pt>
                <c:pt idx="136">
                  <c:v>5.8608059883117676</c:v>
                </c:pt>
                <c:pt idx="137">
                  <c:v>5.8608059883117676</c:v>
                </c:pt>
                <c:pt idx="138">
                  <c:v>6.8376069068908691</c:v>
                </c:pt>
                <c:pt idx="139">
                  <c:v>8.7912092208862305</c:v>
                </c:pt>
                <c:pt idx="140">
                  <c:v>9.768010139465332</c:v>
                </c:pt>
                <c:pt idx="141">
                  <c:v>9.768010139465332</c:v>
                </c:pt>
                <c:pt idx="142">
                  <c:v>8.7912092208862305</c:v>
                </c:pt>
                <c:pt idx="143">
                  <c:v>7.8144078254699707</c:v>
                </c:pt>
                <c:pt idx="144">
                  <c:v>6.8376069068908691</c:v>
                </c:pt>
                <c:pt idx="145">
                  <c:v>7.3260073661804199</c:v>
                </c:pt>
                <c:pt idx="146">
                  <c:v>7.8144078254699707</c:v>
                </c:pt>
                <c:pt idx="147">
                  <c:v>9.2796096801757812</c:v>
                </c:pt>
                <c:pt idx="148">
                  <c:v>10.256410598754883</c:v>
                </c:pt>
                <c:pt idx="149">
                  <c:v>10.744811058044434</c:v>
                </c:pt>
                <c:pt idx="150">
                  <c:v>10.744811058044434</c:v>
                </c:pt>
                <c:pt idx="151">
                  <c:v>10.744811058044434</c:v>
                </c:pt>
                <c:pt idx="152">
                  <c:v>10.256410598754883</c:v>
                </c:pt>
                <c:pt idx="153">
                  <c:v>9.768010139465332</c:v>
                </c:pt>
                <c:pt idx="154">
                  <c:v>9.768010139465332</c:v>
                </c:pt>
                <c:pt idx="155">
                  <c:v>9.768010139465332</c:v>
                </c:pt>
                <c:pt idx="156">
                  <c:v>10.256410598754883</c:v>
                </c:pt>
                <c:pt idx="157">
                  <c:v>11.233211517333984</c:v>
                </c:pt>
                <c:pt idx="158">
                  <c:v>11.721611976623535</c:v>
                </c:pt>
                <c:pt idx="159">
                  <c:v>12.210012435913086</c:v>
                </c:pt>
                <c:pt idx="160">
                  <c:v>12.698412895202637</c:v>
                </c:pt>
              </c:numCache>
            </c:numRef>
          </c:val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-30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data0!$H$2:$H$162</c:f>
              <c:numCache>
                <c:formatCode>General</c:formatCode>
                <c:ptCount val="161"/>
                <c:pt idx="0">
                  <c:v>10.256410598754883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1.9536019563674927</c:v>
                </c:pt>
                <c:pt idx="10">
                  <c:v>2.442002534866333</c:v>
                </c:pt>
                <c:pt idx="11">
                  <c:v>3.4188034534454346</c:v>
                </c:pt>
                <c:pt idx="12">
                  <c:v>3.9072039127349854</c:v>
                </c:pt>
                <c:pt idx="13">
                  <c:v>4.3956046104431152</c:v>
                </c:pt>
                <c:pt idx="14">
                  <c:v>5.8608059883117676</c:v>
                </c:pt>
                <c:pt idx="15">
                  <c:v>8.3028087615966797</c:v>
                </c:pt>
                <c:pt idx="16">
                  <c:v>11.233211517333984</c:v>
                </c:pt>
                <c:pt idx="17">
                  <c:v>14.163614273071289</c:v>
                </c:pt>
                <c:pt idx="18">
                  <c:v>17.094017028808594</c:v>
                </c:pt>
                <c:pt idx="19">
                  <c:v>18.559219360351562</c:v>
                </c:pt>
                <c:pt idx="20">
                  <c:v>21.001220703125</c:v>
                </c:pt>
                <c:pt idx="21">
                  <c:v>25.396825790405273</c:v>
                </c:pt>
                <c:pt idx="22">
                  <c:v>33.211235046386719</c:v>
                </c:pt>
                <c:pt idx="23">
                  <c:v>42.490840911865234</c:v>
                </c:pt>
                <c:pt idx="24">
                  <c:v>52.258853912353516</c:v>
                </c:pt>
                <c:pt idx="25">
                  <c:v>60.561660766601562</c:v>
                </c:pt>
                <c:pt idx="26">
                  <c:v>63.003662109375</c:v>
                </c:pt>
                <c:pt idx="27">
                  <c:v>61.050060272216797</c:v>
                </c:pt>
                <c:pt idx="28">
                  <c:v>69.352867126464844</c:v>
                </c:pt>
                <c:pt idx="29">
                  <c:v>94.26129150390625</c:v>
                </c:pt>
                <c:pt idx="30">
                  <c:v>117.70452117919922</c:v>
                </c:pt>
                <c:pt idx="31">
                  <c:v>128.93772888183594</c:v>
                </c:pt>
                <c:pt idx="32">
                  <c:v>142.12454223632812</c:v>
                </c:pt>
                <c:pt idx="33">
                  <c:v>166.54457092285156</c:v>
                </c:pt>
                <c:pt idx="34">
                  <c:v>192.42979431152344</c:v>
                </c:pt>
                <c:pt idx="35">
                  <c:v>206.59339904785156</c:v>
                </c:pt>
                <c:pt idx="36">
                  <c:v>222.71061706542969</c:v>
                </c:pt>
                <c:pt idx="37">
                  <c:v>260.80584716796875</c:v>
                </c:pt>
                <c:pt idx="38">
                  <c:v>317.4603271484375</c:v>
                </c:pt>
                <c:pt idx="39">
                  <c:v>360.92794799804687</c:v>
                </c:pt>
                <c:pt idx="40">
                  <c:v>377.045166015625</c:v>
                </c:pt>
                <c:pt idx="41">
                  <c:v>399.023193359375</c:v>
                </c:pt>
                <c:pt idx="42">
                  <c:v>464.4688720703125</c:v>
                </c:pt>
                <c:pt idx="43">
                  <c:v>554.33453369140625</c:v>
                </c:pt>
                <c:pt idx="44">
                  <c:v>627.106201171875</c:v>
                </c:pt>
                <c:pt idx="45">
                  <c:v>683.27227783203125</c:v>
                </c:pt>
                <c:pt idx="46">
                  <c:v>731.13555908203125</c:v>
                </c:pt>
                <c:pt idx="47">
                  <c:v>752.62518310546875</c:v>
                </c:pt>
                <c:pt idx="48">
                  <c:v>734.5543212890625</c:v>
                </c:pt>
                <c:pt idx="49">
                  <c:v>710.13433837890625</c:v>
                </c:pt>
                <c:pt idx="50">
                  <c:v>715.9951171875</c:v>
                </c:pt>
                <c:pt idx="51">
                  <c:v>741.3919677734375</c:v>
                </c:pt>
                <c:pt idx="52">
                  <c:v>743.83392333984375</c:v>
                </c:pt>
                <c:pt idx="53">
                  <c:v>703.29669189453125</c:v>
                </c:pt>
                <c:pt idx="54">
                  <c:v>626.6177978515625</c:v>
                </c:pt>
                <c:pt idx="55">
                  <c:v>519.65814208984375</c:v>
                </c:pt>
                <c:pt idx="56">
                  <c:v>421.001220703125</c:v>
                </c:pt>
                <c:pt idx="57">
                  <c:v>347.74114990234375</c:v>
                </c:pt>
                <c:pt idx="58">
                  <c:v>285.71429443359375</c:v>
                </c:pt>
                <c:pt idx="59">
                  <c:v>226.61782836914062</c:v>
                </c:pt>
                <c:pt idx="60">
                  <c:v>180.70817565917969</c:v>
                </c:pt>
                <c:pt idx="61">
                  <c:v>151.40414428710937</c:v>
                </c:pt>
                <c:pt idx="62">
                  <c:v>128.44932556152344</c:v>
                </c:pt>
                <c:pt idx="63">
                  <c:v>111.84371185302734</c:v>
                </c:pt>
                <c:pt idx="64">
                  <c:v>108.91330718994141</c:v>
                </c:pt>
                <c:pt idx="65">
                  <c:v>119.16971588134766</c:v>
                </c:pt>
                <c:pt idx="66">
                  <c:v>129.91453552246094</c:v>
                </c:pt>
                <c:pt idx="67">
                  <c:v>134.31013488769531</c:v>
                </c:pt>
                <c:pt idx="68">
                  <c:v>131.86813354492187</c:v>
                </c:pt>
                <c:pt idx="69">
                  <c:v>124.05372619628906</c:v>
                </c:pt>
                <c:pt idx="70">
                  <c:v>112.82051086425781</c:v>
                </c:pt>
                <c:pt idx="71">
                  <c:v>103.05250549316406</c:v>
                </c:pt>
                <c:pt idx="72">
                  <c:v>104.51770782470703</c:v>
                </c:pt>
                <c:pt idx="73">
                  <c:v>120.14652252197266</c:v>
                </c:pt>
                <c:pt idx="74">
                  <c:v>140.65934753417969</c:v>
                </c:pt>
                <c:pt idx="75">
                  <c:v>152.38095092773437</c:v>
                </c:pt>
                <c:pt idx="76">
                  <c:v>154.33454895019531</c:v>
                </c:pt>
                <c:pt idx="77">
                  <c:v>159.21855163574219</c:v>
                </c:pt>
                <c:pt idx="78">
                  <c:v>172.40536499023437</c:v>
                </c:pt>
                <c:pt idx="79">
                  <c:v>183.63858032226562</c:v>
                </c:pt>
                <c:pt idx="80">
                  <c:v>184.61538696289062</c:v>
                </c:pt>
                <c:pt idx="81">
                  <c:v>177.28938293457031</c:v>
                </c:pt>
                <c:pt idx="82">
                  <c:v>172.40536499023437</c:v>
                </c:pt>
                <c:pt idx="83">
                  <c:v>175.82417297363281</c:v>
                </c:pt>
                <c:pt idx="84">
                  <c:v>180.21978759765625</c:v>
                </c:pt>
                <c:pt idx="85">
                  <c:v>177.28938293457031</c:v>
                </c:pt>
                <c:pt idx="86">
                  <c:v>164.59095764160156</c:v>
                </c:pt>
                <c:pt idx="87">
                  <c:v>150.42735290527344</c:v>
                </c:pt>
                <c:pt idx="88">
                  <c:v>141.63613891601562</c:v>
                </c:pt>
                <c:pt idx="89">
                  <c:v>134.31013488769531</c:v>
                </c:pt>
                <c:pt idx="90">
                  <c:v>122.58852386474609</c:v>
                </c:pt>
                <c:pt idx="91">
                  <c:v>108.42491149902344</c:v>
                </c:pt>
                <c:pt idx="92">
                  <c:v>101.58730316162109</c:v>
                </c:pt>
                <c:pt idx="93">
                  <c:v>104.02930450439453</c:v>
                </c:pt>
                <c:pt idx="94">
                  <c:v>107.44810485839844</c:v>
                </c:pt>
                <c:pt idx="95">
                  <c:v>105.006103515625</c:v>
                </c:pt>
                <c:pt idx="96">
                  <c:v>98.168495178222656</c:v>
                </c:pt>
                <c:pt idx="97">
                  <c:v>90.842491149902344</c:v>
                </c:pt>
                <c:pt idx="98">
                  <c:v>84.0048828125</c:v>
                </c:pt>
                <c:pt idx="99">
                  <c:v>76.678878784179687</c:v>
                </c:pt>
                <c:pt idx="100">
                  <c:v>69.841270446777344</c:v>
                </c:pt>
                <c:pt idx="101">
                  <c:v>63.492061614990234</c:v>
                </c:pt>
                <c:pt idx="102">
                  <c:v>58.608058929443359</c:v>
                </c:pt>
                <c:pt idx="103">
                  <c:v>53.724052429199219</c:v>
                </c:pt>
                <c:pt idx="104">
                  <c:v>49.816848754882812</c:v>
                </c:pt>
                <c:pt idx="105">
                  <c:v>46.886447906494141</c:v>
                </c:pt>
                <c:pt idx="106">
                  <c:v>44.444442749023438</c:v>
                </c:pt>
                <c:pt idx="107">
                  <c:v>40.537239074707031</c:v>
                </c:pt>
                <c:pt idx="108">
                  <c:v>35.653236389160156</c:v>
                </c:pt>
                <c:pt idx="109">
                  <c:v>33.211235046386719</c:v>
                </c:pt>
                <c:pt idx="110">
                  <c:v>35.164836883544922</c:v>
                </c:pt>
                <c:pt idx="111">
                  <c:v>38.583637237548828</c:v>
                </c:pt>
                <c:pt idx="112">
                  <c:v>37.118438720703125</c:v>
                </c:pt>
                <c:pt idx="113">
                  <c:v>27.350427627563477</c:v>
                </c:pt>
                <c:pt idx="114">
                  <c:v>14.163614273071289</c:v>
                </c:pt>
                <c:pt idx="115">
                  <c:v>3.4188034534454346</c:v>
                </c:pt>
                <c:pt idx="116">
                  <c:v>0.97680097818374634</c:v>
                </c:pt>
                <c:pt idx="117">
                  <c:v>6.3492064476013184</c:v>
                </c:pt>
                <c:pt idx="118">
                  <c:v>15.628815650939941</c:v>
                </c:pt>
                <c:pt idx="119">
                  <c:v>22.954822540283203</c:v>
                </c:pt>
                <c:pt idx="120">
                  <c:v>23.44322395324707</c:v>
                </c:pt>
                <c:pt idx="121">
                  <c:v>19.536020278930664</c:v>
                </c:pt>
                <c:pt idx="122">
                  <c:v>15.628815650939941</c:v>
                </c:pt>
                <c:pt idx="123">
                  <c:v>14.163614273071289</c:v>
                </c:pt>
                <c:pt idx="124">
                  <c:v>15.140415191650391</c:v>
                </c:pt>
                <c:pt idx="125">
                  <c:v>16.605617523193359</c:v>
                </c:pt>
                <c:pt idx="126">
                  <c:v>17.094017028808594</c:v>
                </c:pt>
                <c:pt idx="127">
                  <c:v>16.117216110229492</c:v>
                </c:pt>
                <c:pt idx="128">
                  <c:v>14.65201473236084</c:v>
                </c:pt>
                <c:pt idx="129">
                  <c:v>12.698412895202637</c:v>
                </c:pt>
                <c:pt idx="130">
                  <c:v>11.233211517333984</c:v>
                </c:pt>
                <c:pt idx="131">
                  <c:v>9.768010139465332</c:v>
                </c:pt>
                <c:pt idx="132">
                  <c:v>8.7912092208862305</c:v>
                </c:pt>
                <c:pt idx="133">
                  <c:v>8.7912092208862305</c:v>
                </c:pt>
                <c:pt idx="134">
                  <c:v>9.768010139465332</c:v>
                </c:pt>
                <c:pt idx="135">
                  <c:v>10.744811058044434</c:v>
                </c:pt>
                <c:pt idx="136">
                  <c:v>11.233211517333984</c:v>
                </c:pt>
                <c:pt idx="137">
                  <c:v>10.256410598754883</c:v>
                </c:pt>
                <c:pt idx="138">
                  <c:v>8.7912092208862305</c:v>
                </c:pt>
                <c:pt idx="139">
                  <c:v>6.8376069068908691</c:v>
                </c:pt>
                <c:pt idx="140">
                  <c:v>5.8608059883117676</c:v>
                </c:pt>
                <c:pt idx="141">
                  <c:v>5.8608059883117676</c:v>
                </c:pt>
                <c:pt idx="142">
                  <c:v>6.8376069068908691</c:v>
                </c:pt>
                <c:pt idx="143">
                  <c:v>8.3028087615966797</c:v>
                </c:pt>
                <c:pt idx="144">
                  <c:v>9.2796096801757812</c:v>
                </c:pt>
                <c:pt idx="145">
                  <c:v>10.256410598754883</c:v>
                </c:pt>
                <c:pt idx="146">
                  <c:v>9.768010139465332</c:v>
                </c:pt>
                <c:pt idx="147">
                  <c:v>9.2796096801757812</c:v>
                </c:pt>
                <c:pt idx="148">
                  <c:v>8.7912092208862305</c:v>
                </c:pt>
                <c:pt idx="149">
                  <c:v>8.7912092208862305</c:v>
                </c:pt>
                <c:pt idx="150">
                  <c:v>9.2796096801757812</c:v>
                </c:pt>
                <c:pt idx="151">
                  <c:v>10.256410598754883</c:v>
                </c:pt>
                <c:pt idx="152">
                  <c:v>11.233211517333984</c:v>
                </c:pt>
                <c:pt idx="153">
                  <c:v>11.721611976623535</c:v>
                </c:pt>
                <c:pt idx="154">
                  <c:v>12.210012435913086</c:v>
                </c:pt>
                <c:pt idx="155">
                  <c:v>12.210012435913086</c:v>
                </c:pt>
                <c:pt idx="156">
                  <c:v>11.721611976623535</c:v>
                </c:pt>
                <c:pt idx="157">
                  <c:v>11.721611976623535</c:v>
                </c:pt>
                <c:pt idx="158">
                  <c:v>11.233211517333984</c:v>
                </c:pt>
                <c:pt idx="159">
                  <c:v>11.233211517333984</c:v>
                </c:pt>
                <c:pt idx="160">
                  <c:v>11.721611976623535</c:v>
                </c:pt>
              </c:numCache>
            </c:numRef>
          </c:val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-25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data0!$I$2:$I$162</c:f>
              <c:numCache>
                <c:formatCode>General</c:formatCode>
                <c:ptCount val="161"/>
                <c:pt idx="0">
                  <c:v>32.234432220458984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2.442002534866333</c:v>
                </c:pt>
                <c:pt idx="11">
                  <c:v>2.9304029941558838</c:v>
                </c:pt>
                <c:pt idx="12">
                  <c:v>3.9072039127349854</c:v>
                </c:pt>
                <c:pt idx="13">
                  <c:v>4.884005069732666</c:v>
                </c:pt>
                <c:pt idx="14">
                  <c:v>5.3724055290222168</c:v>
                </c:pt>
                <c:pt idx="15">
                  <c:v>7.3260073661804199</c:v>
                </c:pt>
                <c:pt idx="16">
                  <c:v>10.744811058044434</c:v>
                </c:pt>
                <c:pt idx="17">
                  <c:v>14.163614273071289</c:v>
                </c:pt>
                <c:pt idx="18">
                  <c:v>17.582418441772461</c:v>
                </c:pt>
                <c:pt idx="19">
                  <c:v>21.489622116088867</c:v>
                </c:pt>
                <c:pt idx="20">
                  <c:v>24.420024871826172</c:v>
                </c:pt>
                <c:pt idx="21">
                  <c:v>26.373626708984375</c:v>
                </c:pt>
                <c:pt idx="22">
                  <c:v>30.769229888916016</c:v>
                </c:pt>
                <c:pt idx="23">
                  <c:v>40.048839569091797</c:v>
                </c:pt>
                <c:pt idx="24">
                  <c:v>51.282051086425781</c:v>
                </c:pt>
                <c:pt idx="25">
                  <c:v>63.980464935302734</c:v>
                </c:pt>
                <c:pt idx="26">
                  <c:v>76.678878784179687</c:v>
                </c:pt>
                <c:pt idx="27">
                  <c:v>84.4932861328125</c:v>
                </c:pt>
                <c:pt idx="28">
                  <c:v>81.074478149414063</c:v>
                </c:pt>
                <c:pt idx="29">
                  <c:v>79.120880126953125</c:v>
                </c:pt>
                <c:pt idx="30">
                  <c:v>99.633697509765625</c:v>
                </c:pt>
                <c:pt idx="31">
                  <c:v>135.77532958984375</c:v>
                </c:pt>
                <c:pt idx="32">
                  <c:v>162.14895629882812</c:v>
                </c:pt>
                <c:pt idx="33">
                  <c:v>177.28938293457031</c:v>
                </c:pt>
                <c:pt idx="34">
                  <c:v>201.70939636230469</c:v>
                </c:pt>
                <c:pt idx="35">
                  <c:v>231.5018310546875</c:v>
                </c:pt>
                <c:pt idx="36">
                  <c:v>246.64224243164062</c:v>
                </c:pt>
                <c:pt idx="37">
                  <c:v>246.64224243164062</c:v>
                </c:pt>
                <c:pt idx="38">
                  <c:v>268.13186645507812</c:v>
                </c:pt>
                <c:pt idx="39">
                  <c:v>334.06594848632812</c:v>
                </c:pt>
                <c:pt idx="40">
                  <c:v>419.5360107421875</c:v>
                </c:pt>
                <c:pt idx="41">
                  <c:v>474.23687744140625</c:v>
                </c:pt>
                <c:pt idx="42">
                  <c:v>485.4700927734375</c:v>
                </c:pt>
                <c:pt idx="43">
                  <c:v>505.98291015625</c:v>
                </c:pt>
                <c:pt idx="44">
                  <c:v>576.31256103515625</c:v>
                </c:pt>
                <c:pt idx="45">
                  <c:v>666.17828369140625</c:v>
                </c:pt>
                <c:pt idx="46">
                  <c:v>719.90234375</c:v>
                </c:pt>
                <c:pt idx="47">
                  <c:v>763.36993408203125</c:v>
                </c:pt>
                <c:pt idx="48">
                  <c:v>810.25640869140625</c:v>
                </c:pt>
                <c:pt idx="49">
                  <c:v>828.81561279296875</c:v>
                </c:pt>
                <c:pt idx="50">
                  <c:v>793.16241455078125</c:v>
                </c:pt>
                <c:pt idx="51">
                  <c:v>738.949951171875</c:v>
                </c:pt>
                <c:pt idx="52">
                  <c:v>704.76190185546875</c:v>
                </c:pt>
                <c:pt idx="53">
                  <c:v>684.73748779296875</c:v>
                </c:pt>
                <c:pt idx="54">
                  <c:v>637.85101318359375</c:v>
                </c:pt>
                <c:pt idx="55">
                  <c:v>554.33453369140625</c:v>
                </c:pt>
                <c:pt idx="56">
                  <c:v>454.70086669921875</c:v>
                </c:pt>
                <c:pt idx="57">
                  <c:v>352.62515258789063</c:v>
                </c:pt>
                <c:pt idx="58">
                  <c:v>271.5506591796875</c:v>
                </c:pt>
                <c:pt idx="59">
                  <c:v>226.61782836914062</c:v>
                </c:pt>
                <c:pt idx="60">
                  <c:v>196.82539367675781</c:v>
                </c:pt>
                <c:pt idx="61">
                  <c:v>168.009765625</c:v>
                </c:pt>
                <c:pt idx="62">
                  <c:v>145.05494689941406</c:v>
                </c:pt>
                <c:pt idx="63">
                  <c:v>131.37973022460937</c:v>
                </c:pt>
                <c:pt idx="64">
                  <c:v>119.65811920166016</c:v>
                </c:pt>
                <c:pt idx="65">
                  <c:v>107.44810485839844</c:v>
                </c:pt>
                <c:pt idx="66">
                  <c:v>105.4945068359375</c:v>
                </c:pt>
                <c:pt idx="67">
                  <c:v>115.75091552734375</c:v>
                </c:pt>
                <c:pt idx="68">
                  <c:v>128.93772888183594</c:v>
                </c:pt>
                <c:pt idx="69">
                  <c:v>135.77532958984375</c:v>
                </c:pt>
                <c:pt idx="70">
                  <c:v>135.77532958984375</c:v>
                </c:pt>
                <c:pt idx="71">
                  <c:v>129.42613220214844</c:v>
                </c:pt>
                <c:pt idx="72">
                  <c:v>120.14652252197266</c:v>
                </c:pt>
                <c:pt idx="73">
                  <c:v>114.28571319580078</c:v>
                </c:pt>
                <c:pt idx="74">
                  <c:v>118.68132019042969</c:v>
                </c:pt>
                <c:pt idx="75">
                  <c:v>137.24053955078125</c:v>
                </c:pt>
                <c:pt idx="76">
                  <c:v>163.12576293945312</c:v>
                </c:pt>
                <c:pt idx="77">
                  <c:v>178.26617431640625</c:v>
                </c:pt>
                <c:pt idx="78">
                  <c:v>174.35897827148437</c:v>
                </c:pt>
                <c:pt idx="79">
                  <c:v>164.59095764160156</c:v>
                </c:pt>
                <c:pt idx="80">
                  <c:v>164.10256958007812</c:v>
                </c:pt>
                <c:pt idx="81">
                  <c:v>170.45176696777344</c:v>
                </c:pt>
                <c:pt idx="82">
                  <c:v>170.45176696777344</c:v>
                </c:pt>
                <c:pt idx="83">
                  <c:v>162.63735961914062</c:v>
                </c:pt>
                <c:pt idx="84">
                  <c:v>154.33454895019531</c:v>
                </c:pt>
                <c:pt idx="85">
                  <c:v>153.84616088867187</c:v>
                </c:pt>
                <c:pt idx="86">
                  <c:v>159.21855163574219</c:v>
                </c:pt>
                <c:pt idx="87">
                  <c:v>161.17216491699219</c:v>
                </c:pt>
                <c:pt idx="88">
                  <c:v>151.40414428710937</c:v>
                </c:pt>
                <c:pt idx="89">
                  <c:v>133.82173156738281</c:v>
                </c:pt>
                <c:pt idx="90">
                  <c:v>120.63491821289062</c:v>
                </c:pt>
                <c:pt idx="91">
                  <c:v>114.28571319580078</c:v>
                </c:pt>
                <c:pt idx="92">
                  <c:v>104.51770782470703</c:v>
                </c:pt>
                <c:pt idx="93">
                  <c:v>88.888885498046875</c:v>
                </c:pt>
                <c:pt idx="94">
                  <c:v>77.655677795410156</c:v>
                </c:pt>
                <c:pt idx="95">
                  <c:v>78.144081115722656</c:v>
                </c:pt>
                <c:pt idx="96">
                  <c:v>84.4932861328125</c:v>
                </c:pt>
                <c:pt idx="97">
                  <c:v>86.446884155273437</c:v>
                </c:pt>
                <c:pt idx="98">
                  <c:v>80.097679138183594</c:v>
                </c:pt>
                <c:pt idx="99">
                  <c:v>70.329673767089844</c:v>
                </c:pt>
                <c:pt idx="100">
                  <c:v>62.515262603759766</c:v>
                </c:pt>
                <c:pt idx="101">
                  <c:v>56.654457092285156</c:v>
                </c:pt>
                <c:pt idx="102">
                  <c:v>50.305252075195313</c:v>
                </c:pt>
                <c:pt idx="103">
                  <c:v>43.956043243408203</c:v>
                </c:pt>
                <c:pt idx="104">
                  <c:v>39.072040557861328</c:v>
                </c:pt>
                <c:pt idx="105">
                  <c:v>34.676433563232422</c:v>
                </c:pt>
                <c:pt idx="106">
                  <c:v>30.280830383300781</c:v>
                </c:pt>
                <c:pt idx="107">
                  <c:v>27.350427627563477</c:v>
                </c:pt>
                <c:pt idx="108">
                  <c:v>27.350427627563477</c:v>
                </c:pt>
                <c:pt idx="109">
                  <c:v>28.327228546142578</c:v>
                </c:pt>
                <c:pt idx="110">
                  <c:v>25.885225296020508</c:v>
                </c:pt>
                <c:pt idx="111">
                  <c:v>21.001220703125</c:v>
                </c:pt>
                <c:pt idx="112">
                  <c:v>18.559219360351562</c:v>
                </c:pt>
                <c:pt idx="113">
                  <c:v>21.489622116088867</c:v>
                </c:pt>
                <c:pt idx="114">
                  <c:v>26.862026214599609</c:v>
                </c:pt>
                <c:pt idx="115">
                  <c:v>26.373626708984375</c:v>
                </c:pt>
                <c:pt idx="116">
                  <c:v>17.582418441772461</c:v>
                </c:pt>
                <c:pt idx="117">
                  <c:v>4.3956046104431152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6.3492064476013184</c:v>
                </c:pt>
                <c:pt idx="122">
                  <c:v>13.675213813781738</c:v>
                </c:pt>
                <c:pt idx="123">
                  <c:v>14.65201473236084</c:v>
                </c:pt>
                <c:pt idx="124">
                  <c:v>11.233211517333984</c:v>
                </c:pt>
                <c:pt idx="125">
                  <c:v>7.3260073661804199</c:v>
                </c:pt>
                <c:pt idx="126">
                  <c:v>5.8608059883117676</c:v>
                </c:pt>
                <c:pt idx="127">
                  <c:v>7.3260073661804199</c:v>
                </c:pt>
                <c:pt idx="128">
                  <c:v>8.7912092208862305</c:v>
                </c:pt>
                <c:pt idx="129">
                  <c:v>9.768010139465332</c:v>
                </c:pt>
                <c:pt idx="130">
                  <c:v>9.2796096801757812</c:v>
                </c:pt>
                <c:pt idx="131">
                  <c:v>7.8144078254699707</c:v>
                </c:pt>
                <c:pt idx="132">
                  <c:v>6.8376069068908691</c:v>
                </c:pt>
                <c:pt idx="133">
                  <c:v>6.3492064476013184</c:v>
                </c:pt>
                <c:pt idx="134">
                  <c:v>5.3724055290222168</c:v>
                </c:pt>
                <c:pt idx="135">
                  <c:v>4.3956046104431152</c:v>
                </c:pt>
                <c:pt idx="136">
                  <c:v>3.9072039127349854</c:v>
                </c:pt>
                <c:pt idx="137">
                  <c:v>4.3956046104431152</c:v>
                </c:pt>
                <c:pt idx="138">
                  <c:v>5.8608059883117676</c:v>
                </c:pt>
                <c:pt idx="139">
                  <c:v>7.3260073661804199</c:v>
                </c:pt>
                <c:pt idx="140">
                  <c:v>7.8144078254699707</c:v>
                </c:pt>
                <c:pt idx="141">
                  <c:v>6.8376069068908691</c:v>
                </c:pt>
                <c:pt idx="142">
                  <c:v>5.8608059883117676</c:v>
                </c:pt>
                <c:pt idx="143">
                  <c:v>4.884005069732666</c:v>
                </c:pt>
                <c:pt idx="144">
                  <c:v>4.884005069732666</c:v>
                </c:pt>
                <c:pt idx="145">
                  <c:v>5.3724055290222168</c:v>
                </c:pt>
                <c:pt idx="146">
                  <c:v>6.3492064476013184</c:v>
                </c:pt>
                <c:pt idx="147">
                  <c:v>7.8144078254699707</c:v>
                </c:pt>
                <c:pt idx="148">
                  <c:v>9.2796096801757812</c:v>
                </c:pt>
                <c:pt idx="149">
                  <c:v>9.768010139465332</c:v>
                </c:pt>
                <c:pt idx="150">
                  <c:v>9.768010139465332</c:v>
                </c:pt>
                <c:pt idx="151">
                  <c:v>9.2796096801757812</c:v>
                </c:pt>
                <c:pt idx="152">
                  <c:v>9.2796096801757812</c:v>
                </c:pt>
                <c:pt idx="153">
                  <c:v>9.768010139465332</c:v>
                </c:pt>
                <c:pt idx="154">
                  <c:v>10.744811058044434</c:v>
                </c:pt>
                <c:pt idx="155">
                  <c:v>11.721611976623535</c:v>
                </c:pt>
                <c:pt idx="156">
                  <c:v>12.698412895202637</c:v>
                </c:pt>
                <c:pt idx="157">
                  <c:v>13.186813354492187</c:v>
                </c:pt>
                <c:pt idx="158">
                  <c:v>13.675213813781738</c:v>
                </c:pt>
                <c:pt idx="159">
                  <c:v>13.675213813781738</c:v>
                </c:pt>
                <c:pt idx="160">
                  <c:v>13.186813354492187</c:v>
                </c:pt>
              </c:numCache>
            </c:numRef>
          </c:val>
        </c:ser>
        <c:ser>
          <c:idx val="8"/>
          <c:order val="8"/>
          <c:tx>
            <c:strRef>
              <c:f>data0!$J$1</c:f>
              <c:strCache>
                <c:ptCount val="1"/>
                <c:pt idx="0">
                  <c:v>-20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data0!$J$2:$J$162</c:f>
              <c:numCache>
                <c:formatCode>General</c:formatCode>
                <c:ptCount val="161"/>
                <c:pt idx="0">
                  <c:v>6.8376069068908691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2.442002534866333</c:v>
                </c:pt>
                <c:pt idx="11">
                  <c:v>2.9304029941558838</c:v>
                </c:pt>
                <c:pt idx="12">
                  <c:v>3.4188034534454346</c:v>
                </c:pt>
                <c:pt idx="13">
                  <c:v>5.3724055290222168</c:v>
                </c:pt>
                <c:pt idx="14">
                  <c:v>6.3492064476013184</c:v>
                </c:pt>
                <c:pt idx="15">
                  <c:v>7.3260073661804199</c:v>
                </c:pt>
                <c:pt idx="16">
                  <c:v>8.7912092208862305</c:v>
                </c:pt>
                <c:pt idx="17">
                  <c:v>13.186813354492187</c:v>
                </c:pt>
                <c:pt idx="18">
                  <c:v>17.582418441772461</c:v>
                </c:pt>
                <c:pt idx="19">
                  <c:v>21.978021621704102</c:v>
                </c:pt>
                <c:pt idx="20">
                  <c:v>26.862026214599609</c:v>
                </c:pt>
                <c:pt idx="21">
                  <c:v>31.257631301879883</c:v>
                </c:pt>
                <c:pt idx="22">
                  <c:v>33.211235046386719</c:v>
                </c:pt>
                <c:pt idx="23">
                  <c:v>38.095237731933594</c:v>
                </c:pt>
                <c:pt idx="24">
                  <c:v>48.351650238037109</c:v>
                </c:pt>
                <c:pt idx="25">
                  <c:v>63.003662109375</c:v>
                </c:pt>
                <c:pt idx="26">
                  <c:v>78.144081115722656</c:v>
                </c:pt>
                <c:pt idx="27">
                  <c:v>93.772895812988281</c:v>
                </c:pt>
                <c:pt idx="28">
                  <c:v>105.4945068359375</c:v>
                </c:pt>
                <c:pt idx="29">
                  <c:v>103.05250549316406</c:v>
                </c:pt>
                <c:pt idx="30">
                  <c:v>94.26129150390625</c:v>
                </c:pt>
                <c:pt idx="31">
                  <c:v>109.89010620117187</c:v>
                </c:pt>
                <c:pt idx="32">
                  <c:v>159.21855163574219</c:v>
                </c:pt>
                <c:pt idx="33">
                  <c:v>202.19779968261719</c:v>
                </c:pt>
                <c:pt idx="34">
                  <c:v>221.24542236328125</c:v>
                </c:pt>
                <c:pt idx="35">
                  <c:v>237.36264038085937</c:v>
                </c:pt>
                <c:pt idx="36">
                  <c:v>263.73626708984375</c:v>
                </c:pt>
                <c:pt idx="37">
                  <c:v>279.36508178710937</c:v>
                </c:pt>
                <c:pt idx="38">
                  <c:v>280.34188842773437</c:v>
                </c:pt>
                <c:pt idx="39">
                  <c:v>295.970703125</c:v>
                </c:pt>
                <c:pt idx="40">
                  <c:v>363.85836791992187</c:v>
                </c:pt>
                <c:pt idx="41">
                  <c:v>475.70208740234375</c:v>
                </c:pt>
                <c:pt idx="42">
                  <c:v>562.14898681640625</c:v>
                </c:pt>
                <c:pt idx="43">
                  <c:v>583.63861083984375</c:v>
                </c:pt>
                <c:pt idx="44">
                  <c:v>571.4285888671875</c:v>
                </c:pt>
                <c:pt idx="45">
                  <c:v>600.24420166015625</c:v>
                </c:pt>
                <c:pt idx="46">
                  <c:v>688.15631103515625</c:v>
                </c:pt>
                <c:pt idx="47">
                  <c:v>757.020751953125</c:v>
                </c:pt>
                <c:pt idx="48">
                  <c:v>796.0927734375</c:v>
                </c:pt>
                <c:pt idx="49">
                  <c:v>846.3980712890625</c:v>
                </c:pt>
                <c:pt idx="50">
                  <c:v>882.5396728515625</c:v>
                </c:pt>
                <c:pt idx="51">
                  <c:v>852.74725341796875</c:v>
                </c:pt>
                <c:pt idx="52">
                  <c:v>763.36993408203125</c:v>
                </c:pt>
                <c:pt idx="53">
                  <c:v>665.20147705078125</c:v>
                </c:pt>
                <c:pt idx="54">
                  <c:v>600.73260498046875</c:v>
                </c:pt>
                <c:pt idx="55">
                  <c:v>539.68255615234375</c:v>
                </c:pt>
                <c:pt idx="56">
                  <c:v>457.63125610351562</c:v>
                </c:pt>
                <c:pt idx="57">
                  <c:v>369.71917724609375</c:v>
                </c:pt>
                <c:pt idx="58">
                  <c:v>291.08670043945312</c:v>
                </c:pt>
                <c:pt idx="59">
                  <c:v>225.64102172851562</c:v>
                </c:pt>
                <c:pt idx="60">
                  <c:v>183.63858032226562</c:v>
                </c:pt>
                <c:pt idx="61">
                  <c:v>168.4981689453125</c:v>
                </c:pt>
                <c:pt idx="62">
                  <c:v>156.77655029296875</c:v>
                </c:pt>
                <c:pt idx="63">
                  <c:v>141.63613891601562</c:v>
                </c:pt>
                <c:pt idx="64">
                  <c:v>130.40292358398438</c:v>
                </c:pt>
                <c:pt idx="65">
                  <c:v>124.05372619628906</c:v>
                </c:pt>
                <c:pt idx="66">
                  <c:v>115.26251220703125</c:v>
                </c:pt>
                <c:pt idx="67">
                  <c:v>105.4945068359375</c:v>
                </c:pt>
                <c:pt idx="68">
                  <c:v>105.006103515625</c:v>
                </c:pt>
                <c:pt idx="69">
                  <c:v>116.23931884765625</c:v>
                </c:pt>
                <c:pt idx="70">
                  <c:v>129.91453552246094</c:v>
                </c:pt>
                <c:pt idx="71">
                  <c:v>136.75213623046875</c:v>
                </c:pt>
                <c:pt idx="72">
                  <c:v>137.72894287109375</c:v>
                </c:pt>
                <c:pt idx="73">
                  <c:v>138.21733093261719</c:v>
                </c:pt>
                <c:pt idx="74">
                  <c:v>138.21733093261719</c:v>
                </c:pt>
                <c:pt idx="75">
                  <c:v>135.77532958984375</c:v>
                </c:pt>
                <c:pt idx="76">
                  <c:v>137.24053955078125</c:v>
                </c:pt>
                <c:pt idx="77">
                  <c:v>151.89254760742187</c:v>
                </c:pt>
                <c:pt idx="78">
                  <c:v>174.35897827148437</c:v>
                </c:pt>
                <c:pt idx="79">
                  <c:v>183.63858032226562</c:v>
                </c:pt>
                <c:pt idx="80">
                  <c:v>170.45176696777344</c:v>
                </c:pt>
                <c:pt idx="81">
                  <c:v>151.40414428710937</c:v>
                </c:pt>
                <c:pt idx="82">
                  <c:v>146.5201416015625</c:v>
                </c:pt>
                <c:pt idx="83">
                  <c:v>151.40414428710937</c:v>
                </c:pt>
                <c:pt idx="84">
                  <c:v>153.84616088867187</c:v>
                </c:pt>
                <c:pt idx="85">
                  <c:v>148.96214294433594</c:v>
                </c:pt>
                <c:pt idx="86">
                  <c:v>139.68254089355469</c:v>
                </c:pt>
                <c:pt idx="87">
                  <c:v>133.33332824707031</c:v>
                </c:pt>
                <c:pt idx="88">
                  <c:v>133.33332824707031</c:v>
                </c:pt>
                <c:pt idx="89">
                  <c:v>133.33332824707031</c:v>
                </c:pt>
                <c:pt idx="90">
                  <c:v>123.07691955566406</c:v>
                </c:pt>
                <c:pt idx="91">
                  <c:v>105.98290252685547</c:v>
                </c:pt>
                <c:pt idx="92">
                  <c:v>95.23809814453125</c:v>
                </c:pt>
                <c:pt idx="93">
                  <c:v>92.307693481445313</c:v>
                </c:pt>
                <c:pt idx="94">
                  <c:v>86.446884155273437</c:v>
                </c:pt>
                <c:pt idx="95">
                  <c:v>72.283271789550781</c:v>
                </c:pt>
                <c:pt idx="96">
                  <c:v>59.584857940673828</c:v>
                </c:pt>
                <c:pt idx="97">
                  <c:v>58.119659423828125</c:v>
                </c:pt>
                <c:pt idx="98">
                  <c:v>63.980464935302734</c:v>
                </c:pt>
                <c:pt idx="99">
                  <c:v>65.445663452148438</c:v>
                </c:pt>
                <c:pt idx="100">
                  <c:v>58.119659423828125</c:v>
                </c:pt>
                <c:pt idx="101">
                  <c:v>46.886447906494141</c:v>
                </c:pt>
                <c:pt idx="102">
                  <c:v>39.560440063476563</c:v>
                </c:pt>
                <c:pt idx="103">
                  <c:v>36.630035400390625</c:v>
                </c:pt>
                <c:pt idx="104">
                  <c:v>33.211235046386719</c:v>
                </c:pt>
                <c:pt idx="105">
                  <c:v>28.327228546142578</c:v>
                </c:pt>
                <c:pt idx="106">
                  <c:v>23.931623458862305</c:v>
                </c:pt>
                <c:pt idx="107">
                  <c:v>19.536020278930664</c:v>
                </c:pt>
                <c:pt idx="108">
                  <c:v>15.628815650939941</c:v>
                </c:pt>
                <c:pt idx="109">
                  <c:v>12.698412895202637</c:v>
                </c:pt>
                <c:pt idx="110">
                  <c:v>13.186813354492187</c:v>
                </c:pt>
                <c:pt idx="111">
                  <c:v>16.605617523193359</c:v>
                </c:pt>
                <c:pt idx="112">
                  <c:v>17.094017028808594</c:v>
                </c:pt>
                <c:pt idx="113">
                  <c:v>12.210012435913086</c:v>
                </c:pt>
                <c:pt idx="114">
                  <c:v>6.8376069068908691</c:v>
                </c:pt>
                <c:pt idx="115">
                  <c:v>7.3260073661804199</c:v>
                </c:pt>
                <c:pt idx="116">
                  <c:v>14.163614273071289</c:v>
                </c:pt>
                <c:pt idx="117">
                  <c:v>20.024419784545898</c:v>
                </c:pt>
                <c:pt idx="118">
                  <c:v>16.605617523193359</c:v>
                </c:pt>
                <c:pt idx="119">
                  <c:v>4.3956046104431152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4.3956046104431152</c:v>
                </c:pt>
                <c:pt idx="125">
                  <c:v>9.2796096801757812</c:v>
                </c:pt>
                <c:pt idx="126">
                  <c:v>8.3028087615966797</c:v>
                </c:pt>
                <c:pt idx="127">
                  <c:v>3.9072039127349854</c:v>
                </c:pt>
                <c:pt idx="128">
                  <c:v>0.97680097818374634</c:v>
                </c:pt>
                <c:pt idx="129">
                  <c:v>0.97680097818374634</c:v>
                </c:pt>
                <c:pt idx="130">
                  <c:v>2.442002534866333</c:v>
                </c:pt>
                <c:pt idx="131">
                  <c:v>4.3956046104431152</c:v>
                </c:pt>
                <c:pt idx="132">
                  <c:v>4.884005069732666</c:v>
                </c:pt>
                <c:pt idx="133">
                  <c:v>4.3956046104431152</c:v>
                </c:pt>
                <c:pt idx="134">
                  <c:v>3.9072039127349854</c:v>
                </c:pt>
                <c:pt idx="135">
                  <c:v>3.4188034534454346</c:v>
                </c:pt>
                <c:pt idx="136">
                  <c:v>2.9304029941558838</c:v>
                </c:pt>
                <c:pt idx="137">
                  <c:v>2.442002534866333</c:v>
                </c:pt>
                <c:pt idx="138">
                  <c:v>1.4652014970779419</c:v>
                </c:pt>
                <c:pt idx="139">
                  <c:v>1.4652014970779419</c:v>
                </c:pt>
                <c:pt idx="140">
                  <c:v>2.442002534866333</c:v>
                </c:pt>
                <c:pt idx="141">
                  <c:v>4.3956046104431152</c:v>
                </c:pt>
                <c:pt idx="142">
                  <c:v>6.3492064476013184</c:v>
                </c:pt>
                <c:pt idx="143">
                  <c:v>6.8376069068908691</c:v>
                </c:pt>
                <c:pt idx="144">
                  <c:v>6.3492064476013184</c:v>
                </c:pt>
                <c:pt idx="145">
                  <c:v>5.8608059883117676</c:v>
                </c:pt>
                <c:pt idx="146">
                  <c:v>5.3724055290222168</c:v>
                </c:pt>
                <c:pt idx="147">
                  <c:v>5.3724055290222168</c:v>
                </c:pt>
                <c:pt idx="148">
                  <c:v>5.8608059883117676</c:v>
                </c:pt>
                <c:pt idx="149">
                  <c:v>6.3492064476013184</c:v>
                </c:pt>
                <c:pt idx="150">
                  <c:v>7.8144078254699707</c:v>
                </c:pt>
                <c:pt idx="151">
                  <c:v>9.2796096801757812</c:v>
                </c:pt>
                <c:pt idx="152">
                  <c:v>10.256410598754883</c:v>
                </c:pt>
                <c:pt idx="153">
                  <c:v>10.744811058044434</c:v>
                </c:pt>
                <c:pt idx="154">
                  <c:v>10.744811058044434</c:v>
                </c:pt>
                <c:pt idx="155">
                  <c:v>10.256410598754883</c:v>
                </c:pt>
                <c:pt idx="156">
                  <c:v>10.744811058044434</c:v>
                </c:pt>
                <c:pt idx="157">
                  <c:v>12.210012435913086</c:v>
                </c:pt>
                <c:pt idx="158">
                  <c:v>13.186813354492187</c:v>
                </c:pt>
                <c:pt idx="159">
                  <c:v>14.163614273071289</c:v>
                </c:pt>
                <c:pt idx="160">
                  <c:v>14.65201473236084</c:v>
                </c:pt>
              </c:numCache>
            </c:numRef>
          </c:val>
        </c:ser>
        <c:ser>
          <c:idx val="9"/>
          <c:order val="9"/>
          <c:tx>
            <c:strRef>
              <c:f>data0!$K$1</c:f>
              <c:strCache>
                <c:ptCount val="1"/>
                <c:pt idx="0">
                  <c:v>-15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data0!$K$2:$K$162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2.9304029941558838</c:v>
                </c:pt>
                <c:pt idx="12">
                  <c:v>3.4188034534454346</c:v>
                </c:pt>
                <c:pt idx="13">
                  <c:v>4.884005069732666</c:v>
                </c:pt>
                <c:pt idx="14">
                  <c:v>6.8376069068908691</c:v>
                </c:pt>
                <c:pt idx="15">
                  <c:v>8.3028087615966797</c:v>
                </c:pt>
                <c:pt idx="16">
                  <c:v>9.2796096801757812</c:v>
                </c:pt>
                <c:pt idx="17">
                  <c:v>11.233211517333984</c:v>
                </c:pt>
                <c:pt idx="18">
                  <c:v>16.605617523193359</c:v>
                </c:pt>
                <c:pt idx="19">
                  <c:v>21.978021621704102</c:v>
                </c:pt>
                <c:pt idx="20">
                  <c:v>26.862026214599609</c:v>
                </c:pt>
                <c:pt idx="21">
                  <c:v>33.211235046386719</c:v>
                </c:pt>
                <c:pt idx="22">
                  <c:v>38.095237731933594</c:v>
                </c:pt>
                <c:pt idx="23">
                  <c:v>40.048839569091797</c:v>
                </c:pt>
                <c:pt idx="24">
                  <c:v>46.398044586181641</c:v>
                </c:pt>
                <c:pt idx="25">
                  <c:v>59.096458435058594</c:v>
                </c:pt>
                <c:pt idx="26">
                  <c:v>76.190475463867187</c:v>
                </c:pt>
                <c:pt idx="27">
                  <c:v>94.26129150390625</c:v>
                </c:pt>
                <c:pt idx="28">
                  <c:v>111.35530853271484</c:v>
                </c:pt>
                <c:pt idx="29">
                  <c:v>123.07691955566406</c:v>
                </c:pt>
                <c:pt idx="30">
                  <c:v>119.65811920166016</c:v>
                </c:pt>
                <c:pt idx="31">
                  <c:v>107.93650817871094</c:v>
                </c:pt>
                <c:pt idx="32">
                  <c:v>129.42613220214844</c:v>
                </c:pt>
                <c:pt idx="33">
                  <c:v>190.96458435058594</c:v>
                </c:pt>
                <c:pt idx="34">
                  <c:v>243.22344970703125</c:v>
                </c:pt>
                <c:pt idx="35">
                  <c:v>259.34066772460937</c:v>
                </c:pt>
                <c:pt idx="36">
                  <c:v>264.22467041015625</c:v>
                </c:pt>
                <c:pt idx="37">
                  <c:v>285.71429443359375</c:v>
                </c:pt>
                <c:pt idx="38">
                  <c:v>305.73870849609375</c:v>
                </c:pt>
                <c:pt idx="39">
                  <c:v>315.9951171875</c:v>
                </c:pt>
                <c:pt idx="40">
                  <c:v>337.4847412109375</c:v>
                </c:pt>
                <c:pt idx="41">
                  <c:v>409.27960205078125</c:v>
                </c:pt>
                <c:pt idx="42">
                  <c:v>532.84490966796875</c:v>
                </c:pt>
                <c:pt idx="43">
                  <c:v>631.5018310546875</c:v>
                </c:pt>
                <c:pt idx="44">
                  <c:v>655.4334716796875</c:v>
                </c:pt>
                <c:pt idx="45">
                  <c:v>622.22222900390625</c:v>
                </c:pt>
                <c:pt idx="46">
                  <c:v>623.68743896484375</c:v>
                </c:pt>
                <c:pt idx="47">
                  <c:v>706.22711181640625</c:v>
                </c:pt>
                <c:pt idx="48">
                  <c:v>790.72039794921875</c:v>
                </c:pt>
                <c:pt idx="49">
                  <c:v>829.79241943359375</c:v>
                </c:pt>
                <c:pt idx="50">
                  <c:v>869.84124755859375</c:v>
                </c:pt>
                <c:pt idx="51">
                  <c:v>892.30767822265625</c:v>
                </c:pt>
                <c:pt idx="52">
                  <c:v>850.30523681640625</c:v>
                </c:pt>
                <c:pt idx="53">
                  <c:v>739.9267578125</c:v>
                </c:pt>
                <c:pt idx="54">
                  <c:v>609.5238037109375</c:v>
                </c:pt>
                <c:pt idx="55">
                  <c:v>508.42489624023437</c:v>
                </c:pt>
                <c:pt idx="56">
                  <c:v>440.048828125</c:v>
                </c:pt>
                <c:pt idx="57">
                  <c:v>365.81195068359375</c:v>
                </c:pt>
                <c:pt idx="58">
                  <c:v>294.01708984375</c:v>
                </c:pt>
                <c:pt idx="59">
                  <c:v>237.85104370117187</c:v>
                </c:pt>
                <c:pt idx="60">
                  <c:v>190.96458435058594</c:v>
                </c:pt>
                <c:pt idx="61">
                  <c:v>160.19535827636719</c:v>
                </c:pt>
                <c:pt idx="62">
                  <c:v>150.42735290527344</c:v>
                </c:pt>
                <c:pt idx="63">
                  <c:v>148.96214294433594</c:v>
                </c:pt>
                <c:pt idx="64">
                  <c:v>140.17094421386719</c:v>
                </c:pt>
                <c:pt idx="65">
                  <c:v>129.91453552246094</c:v>
                </c:pt>
                <c:pt idx="66">
                  <c:v>125.51892852783203</c:v>
                </c:pt>
                <c:pt idx="67">
                  <c:v>120.14652252197266</c:v>
                </c:pt>
                <c:pt idx="68">
                  <c:v>109.40171051025391</c:v>
                </c:pt>
                <c:pt idx="69">
                  <c:v>103.05250549316406</c:v>
                </c:pt>
                <c:pt idx="70">
                  <c:v>109.40171051025391</c:v>
                </c:pt>
                <c:pt idx="71">
                  <c:v>123.56532287597656</c:v>
                </c:pt>
                <c:pt idx="72">
                  <c:v>136.75213623046875</c:v>
                </c:pt>
                <c:pt idx="73">
                  <c:v>146.03175354003906</c:v>
                </c:pt>
                <c:pt idx="74">
                  <c:v>154.33454895019531</c:v>
                </c:pt>
                <c:pt idx="75">
                  <c:v>157.75335693359375</c:v>
                </c:pt>
                <c:pt idx="76">
                  <c:v>155.31135559082031</c:v>
                </c:pt>
                <c:pt idx="77">
                  <c:v>148.4737548828125</c:v>
                </c:pt>
                <c:pt idx="78">
                  <c:v>147.4969482421875</c:v>
                </c:pt>
                <c:pt idx="79">
                  <c:v>159.70695495605469</c:v>
                </c:pt>
                <c:pt idx="80">
                  <c:v>174.84738159179687</c:v>
                </c:pt>
                <c:pt idx="81">
                  <c:v>169.96336364746094</c:v>
                </c:pt>
                <c:pt idx="82">
                  <c:v>148.4737548828125</c:v>
                </c:pt>
                <c:pt idx="83">
                  <c:v>134.79853820800781</c:v>
                </c:pt>
                <c:pt idx="84">
                  <c:v>136.26373291015625</c:v>
                </c:pt>
                <c:pt idx="85">
                  <c:v>142.12454223632812</c:v>
                </c:pt>
                <c:pt idx="86">
                  <c:v>142.12454223632812</c:v>
                </c:pt>
                <c:pt idx="87">
                  <c:v>133.82173156738281</c:v>
                </c:pt>
                <c:pt idx="88">
                  <c:v>121.12332153320312</c:v>
                </c:pt>
                <c:pt idx="89">
                  <c:v>111.84371185302734</c:v>
                </c:pt>
                <c:pt idx="90">
                  <c:v>109.40171051025391</c:v>
                </c:pt>
                <c:pt idx="91">
                  <c:v>106.47130584716797</c:v>
                </c:pt>
                <c:pt idx="92">
                  <c:v>94.26129150390625</c:v>
                </c:pt>
                <c:pt idx="93">
                  <c:v>81.562881469726563</c:v>
                </c:pt>
                <c:pt idx="94">
                  <c:v>79.120880126953125</c:v>
                </c:pt>
                <c:pt idx="95">
                  <c:v>80.586082458496094</c:v>
                </c:pt>
                <c:pt idx="96">
                  <c:v>72.771675109863281</c:v>
                </c:pt>
                <c:pt idx="97">
                  <c:v>56.654457092285156</c:v>
                </c:pt>
                <c:pt idx="98">
                  <c:v>44.444442749023438</c:v>
                </c:pt>
                <c:pt idx="99">
                  <c:v>44.932846069335937</c:v>
                </c:pt>
                <c:pt idx="100">
                  <c:v>50.305252075195313</c:v>
                </c:pt>
                <c:pt idx="101">
                  <c:v>48.840049743652344</c:v>
                </c:pt>
                <c:pt idx="102">
                  <c:v>38.095237731933594</c:v>
                </c:pt>
                <c:pt idx="103">
                  <c:v>26.862026214599609</c:v>
                </c:pt>
                <c:pt idx="104">
                  <c:v>22.954822540283203</c:v>
                </c:pt>
                <c:pt idx="105">
                  <c:v>23.44322395324707</c:v>
                </c:pt>
                <c:pt idx="106">
                  <c:v>21.489622116088867</c:v>
                </c:pt>
                <c:pt idx="107">
                  <c:v>18.070817947387695</c:v>
                </c:pt>
                <c:pt idx="108">
                  <c:v>15.140415191650391</c:v>
                </c:pt>
                <c:pt idx="109">
                  <c:v>11.233211517333984</c:v>
                </c:pt>
                <c:pt idx="110">
                  <c:v>7.3260073661804199</c:v>
                </c:pt>
                <c:pt idx="111">
                  <c:v>4.3956046104431152</c:v>
                </c:pt>
                <c:pt idx="112">
                  <c:v>6.3492064476013184</c:v>
                </c:pt>
                <c:pt idx="113">
                  <c:v>10.744811058044434</c:v>
                </c:pt>
                <c:pt idx="114">
                  <c:v>11.233211517333984</c:v>
                </c:pt>
                <c:pt idx="115">
                  <c:v>5.8608059883117676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7.3260073661804199</c:v>
                </c:pt>
                <c:pt idx="119">
                  <c:v>14.65201473236084</c:v>
                </c:pt>
                <c:pt idx="120">
                  <c:v>12.210012435913086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0.97680097818374634</c:v>
                </c:pt>
                <c:pt idx="127">
                  <c:v>6.3492064476013184</c:v>
                </c:pt>
                <c:pt idx="128">
                  <c:v>5.3724055290222168</c:v>
                </c:pt>
                <c:pt idx="129">
                  <c:v>1.4652014970779419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0.97680097818374634</c:v>
                </c:pt>
                <c:pt idx="134">
                  <c:v>2.442002534866333</c:v>
                </c:pt>
                <c:pt idx="135">
                  <c:v>2.442002534866333</c:v>
                </c:pt>
                <c:pt idx="136">
                  <c:v>1.9536019563674927</c:v>
                </c:pt>
                <c:pt idx="137">
                  <c:v>1.9536019563674927</c:v>
                </c:pt>
                <c:pt idx="138">
                  <c:v>1.9536019563674927</c:v>
                </c:pt>
                <c:pt idx="139">
                  <c:v>1.4652014970779419</c:v>
                </c:pt>
                <c:pt idx="140">
                  <c:v>0.97680097818374634</c:v>
                </c:pt>
                <c:pt idx="141">
                  <c:v>0.48840048909187317</c:v>
                </c:pt>
                <c:pt idx="142">
                  <c:v>1.4652014970779419</c:v>
                </c:pt>
                <c:pt idx="143">
                  <c:v>3.9072039127349854</c:v>
                </c:pt>
                <c:pt idx="144">
                  <c:v>5.8608059883117676</c:v>
                </c:pt>
                <c:pt idx="145">
                  <c:v>6.8376069068908691</c:v>
                </c:pt>
                <c:pt idx="146">
                  <c:v>6.8376069068908691</c:v>
                </c:pt>
                <c:pt idx="147">
                  <c:v>6.8376069068908691</c:v>
                </c:pt>
                <c:pt idx="148">
                  <c:v>6.3492064476013184</c:v>
                </c:pt>
                <c:pt idx="149">
                  <c:v>6.3492064476013184</c:v>
                </c:pt>
                <c:pt idx="150">
                  <c:v>6.3492064476013184</c:v>
                </c:pt>
                <c:pt idx="151">
                  <c:v>6.8376069068908691</c:v>
                </c:pt>
                <c:pt idx="152">
                  <c:v>7.8144078254699707</c:v>
                </c:pt>
                <c:pt idx="153">
                  <c:v>9.2796096801757812</c:v>
                </c:pt>
                <c:pt idx="154">
                  <c:v>10.744811058044434</c:v>
                </c:pt>
                <c:pt idx="155">
                  <c:v>11.721611976623535</c:v>
                </c:pt>
                <c:pt idx="156">
                  <c:v>11.721611976623535</c:v>
                </c:pt>
                <c:pt idx="157">
                  <c:v>11.721611976623535</c:v>
                </c:pt>
                <c:pt idx="158">
                  <c:v>11.721611976623535</c:v>
                </c:pt>
                <c:pt idx="159">
                  <c:v>12.698412895202637</c:v>
                </c:pt>
                <c:pt idx="160">
                  <c:v>13.675213813781738</c:v>
                </c:pt>
              </c:numCache>
            </c:numRef>
          </c:val>
        </c:ser>
        <c:ser>
          <c:idx val="10"/>
          <c:order val="10"/>
          <c:tx>
            <c:strRef>
              <c:f>data0!$L$1</c:f>
              <c:strCache>
                <c:ptCount val="1"/>
                <c:pt idx="0">
                  <c:v>-10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data0!$L$2:$L$162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1.4652014970779419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3.4188034534454346</c:v>
                </c:pt>
                <c:pt idx="12">
                  <c:v>3.4188034534454346</c:v>
                </c:pt>
                <c:pt idx="13">
                  <c:v>4.3956046104431152</c:v>
                </c:pt>
                <c:pt idx="14">
                  <c:v>6.8376069068908691</c:v>
                </c:pt>
                <c:pt idx="15">
                  <c:v>9.2796096801757812</c:v>
                </c:pt>
                <c:pt idx="16">
                  <c:v>10.256410598754883</c:v>
                </c:pt>
                <c:pt idx="17">
                  <c:v>10.744811058044434</c:v>
                </c:pt>
                <c:pt idx="18">
                  <c:v>15.140415191650391</c:v>
                </c:pt>
                <c:pt idx="19">
                  <c:v>21.978021621704102</c:v>
                </c:pt>
                <c:pt idx="20">
                  <c:v>27.350427627563477</c:v>
                </c:pt>
                <c:pt idx="21">
                  <c:v>34.188034057617187</c:v>
                </c:pt>
                <c:pt idx="22">
                  <c:v>41.514041900634766</c:v>
                </c:pt>
                <c:pt idx="23">
                  <c:v>45.421245574951172</c:v>
                </c:pt>
                <c:pt idx="24">
                  <c:v>48.351650238037109</c:v>
                </c:pt>
                <c:pt idx="25">
                  <c:v>57.631256103515625</c:v>
                </c:pt>
                <c:pt idx="26">
                  <c:v>74.725273132324219</c:v>
                </c:pt>
                <c:pt idx="27">
                  <c:v>94.74969482421875</c:v>
                </c:pt>
                <c:pt idx="28">
                  <c:v>114.28571319580078</c:v>
                </c:pt>
                <c:pt idx="29">
                  <c:v>131.86813354492187</c:v>
                </c:pt>
                <c:pt idx="30">
                  <c:v>141.14773559570312</c:v>
                </c:pt>
                <c:pt idx="31">
                  <c:v>133.33332824707031</c:v>
                </c:pt>
                <c:pt idx="32">
                  <c:v>125.03052520751953</c:v>
                </c:pt>
                <c:pt idx="33">
                  <c:v>164.59095764160156</c:v>
                </c:pt>
                <c:pt idx="34">
                  <c:v>240.29304504394531</c:v>
                </c:pt>
                <c:pt idx="35">
                  <c:v>289.13308715820312</c:v>
                </c:pt>
                <c:pt idx="36">
                  <c:v>288.15628051757812</c:v>
                </c:pt>
                <c:pt idx="37">
                  <c:v>290.10989379882813</c:v>
                </c:pt>
                <c:pt idx="38">
                  <c:v>318.92550659179687</c:v>
                </c:pt>
                <c:pt idx="39">
                  <c:v>345.78753662109375</c:v>
                </c:pt>
                <c:pt idx="40">
                  <c:v>363.85836791992187</c:v>
                </c:pt>
                <c:pt idx="41">
                  <c:v>395.11599731445312</c:v>
                </c:pt>
                <c:pt idx="42">
                  <c:v>483.028076171875</c:v>
                </c:pt>
                <c:pt idx="43">
                  <c:v>619.29180908203125</c:v>
                </c:pt>
                <c:pt idx="44">
                  <c:v>707.20391845703125</c:v>
                </c:pt>
                <c:pt idx="45">
                  <c:v>711.111083984375</c:v>
                </c:pt>
                <c:pt idx="46">
                  <c:v>661.29425048828125</c:v>
                </c:pt>
                <c:pt idx="47">
                  <c:v>661.78265380859375</c:v>
                </c:pt>
                <c:pt idx="48">
                  <c:v>761.90478515625</c:v>
                </c:pt>
                <c:pt idx="49">
                  <c:v>849.81683349609375</c:v>
                </c:pt>
                <c:pt idx="50">
                  <c:v>875.21368408203125</c:v>
                </c:pt>
                <c:pt idx="51">
                  <c:v>894.74969482421875</c:v>
                </c:pt>
                <c:pt idx="52">
                  <c:v>889.86566162109375</c:v>
                </c:pt>
                <c:pt idx="53">
                  <c:v>814.16363525390625</c:v>
                </c:pt>
                <c:pt idx="54">
                  <c:v>680.34185791015625</c:v>
                </c:pt>
                <c:pt idx="55">
                  <c:v>528.4493408203125</c:v>
                </c:pt>
                <c:pt idx="56">
                  <c:v>424.90841674804687</c:v>
                </c:pt>
                <c:pt idx="57">
                  <c:v>357.020751953125</c:v>
                </c:pt>
                <c:pt idx="58">
                  <c:v>294.01708984375</c:v>
                </c:pt>
                <c:pt idx="59">
                  <c:v>240.29304504394531</c:v>
                </c:pt>
                <c:pt idx="60">
                  <c:v>200.73260498046875</c:v>
                </c:pt>
                <c:pt idx="61">
                  <c:v>169.4749755859375</c:v>
                </c:pt>
                <c:pt idx="62">
                  <c:v>146.5201416015625</c:v>
                </c:pt>
                <c:pt idx="63">
                  <c:v>142.61294555664062</c:v>
                </c:pt>
                <c:pt idx="64">
                  <c:v>146.03175354003906</c:v>
                </c:pt>
                <c:pt idx="65">
                  <c:v>139.68254089355469</c:v>
                </c:pt>
                <c:pt idx="66">
                  <c:v>129.91453552246094</c:v>
                </c:pt>
                <c:pt idx="67">
                  <c:v>126.00732421875</c:v>
                </c:pt>
                <c:pt idx="68">
                  <c:v>121.61172485351563</c:v>
                </c:pt>
                <c:pt idx="69">
                  <c:v>111.35530853271484</c:v>
                </c:pt>
                <c:pt idx="70">
                  <c:v>103.05250549316406</c:v>
                </c:pt>
                <c:pt idx="71">
                  <c:v>107.93650817871094</c:v>
                </c:pt>
                <c:pt idx="72">
                  <c:v>124.54212188720703</c:v>
                </c:pt>
                <c:pt idx="73">
                  <c:v>144.56654357910156</c:v>
                </c:pt>
                <c:pt idx="74">
                  <c:v>159.21855163574219</c:v>
                </c:pt>
                <c:pt idx="75">
                  <c:v>167.5213623046875</c:v>
                </c:pt>
                <c:pt idx="76">
                  <c:v>169.96336364746094</c:v>
                </c:pt>
                <c:pt idx="77">
                  <c:v>165.07936096191406</c:v>
                </c:pt>
                <c:pt idx="78">
                  <c:v>152.86935424804687</c:v>
                </c:pt>
                <c:pt idx="79">
                  <c:v>143.58973693847656</c:v>
                </c:pt>
                <c:pt idx="80">
                  <c:v>148.4737548828125</c:v>
                </c:pt>
                <c:pt idx="81">
                  <c:v>162.63735961914062</c:v>
                </c:pt>
                <c:pt idx="82">
                  <c:v>161.66056823730469</c:v>
                </c:pt>
                <c:pt idx="83">
                  <c:v>141.14773559570312</c:v>
                </c:pt>
                <c:pt idx="84">
                  <c:v>126.00732421875</c:v>
                </c:pt>
                <c:pt idx="85">
                  <c:v>126.00732421875</c:v>
                </c:pt>
                <c:pt idx="86">
                  <c:v>131.37973022460937</c:v>
                </c:pt>
                <c:pt idx="87">
                  <c:v>131.86813354492187</c:v>
                </c:pt>
                <c:pt idx="88">
                  <c:v>122.58852386474609</c:v>
                </c:pt>
                <c:pt idx="89">
                  <c:v>107.44810485839844</c:v>
                </c:pt>
                <c:pt idx="90">
                  <c:v>93.284492492675781</c:v>
                </c:pt>
                <c:pt idx="91">
                  <c:v>88.400489807128906</c:v>
                </c:pt>
                <c:pt idx="92">
                  <c:v>87.912086486816406</c:v>
                </c:pt>
                <c:pt idx="93">
                  <c:v>79.609275817871094</c:v>
                </c:pt>
                <c:pt idx="94">
                  <c:v>67.887664794921875</c:v>
                </c:pt>
                <c:pt idx="95">
                  <c:v>64.957267761230469</c:v>
                </c:pt>
                <c:pt idx="96">
                  <c:v>69.841270446777344</c:v>
                </c:pt>
                <c:pt idx="97">
                  <c:v>66.422470092773437</c:v>
                </c:pt>
                <c:pt idx="98">
                  <c:v>49.816848754882812</c:v>
                </c:pt>
                <c:pt idx="99">
                  <c:v>32.234432220458984</c:v>
                </c:pt>
                <c:pt idx="100">
                  <c:v>27.838827133178711</c:v>
                </c:pt>
                <c:pt idx="101">
                  <c:v>34.676433563232422</c:v>
                </c:pt>
                <c:pt idx="102">
                  <c:v>37.606838226318359</c:v>
                </c:pt>
                <c:pt idx="103">
                  <c:v>28.327228546142578</c:v>
                </c:pt>
                <c:pt idx="104">
                  <c:v>14.65201473236084</c:v>
                </c:pt>
                <c:pt idx="105">
                  <c:v>7.8144078254699707</c:v>
                </c:pt>
                <c:pt idx="106">
                  <c:v>8.7912092208862305</c:v>
                </c:pt>
                <c:pt idx="107">
                  <c:v>9.768010139465332</c:v>
                </c:pt>
                <c:pt idx="108">
                  <c:v>8.3028087615966797</c:v>
                </c:pt>
                <c:pt idx="109">
                  <c:v>6.3492064476013184</c:v>
                </c:pt>
                <c:pt idx="110">
                  <c:v>3.9072039127349854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3.4188034534454346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2.9304029941558838</c:v>
                </c:pt>
                <c:pt idx="121">
                  <c:v>6.8376069068908691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1.9536019563674927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1.4652014970779419</c:v>
                </c:pt>
                <c:pt idx="145">
                  <c:v>3.9072039127349854</c:v>
                </c:pt>
                <c:pt idx="146">
                  <c:v>5.8608059883117676</c:v>
                </c:pt>
                <c:pt idx="147">
                  <c:v>6.8376069068908691</c:v>
                </c:pt>
                <c:pt idx="148">
                  <c:v>6.8376069068908691</c:v>
                </c:pt>
                <c:pt idx="149">
                  <c:v>6.8376069068908691</c:v>
                </c:pt>
                <c:pt idx="150">
                  <c:v>6.8376069068908691</c:v>
                </c:pt>
                <c:pt idx="151">
                  <c:v>6.8376069068908691</c:v>
                </c:pt>
                <c:pt idx="152">
                  <c:v>6.8376069068908691</c:v>
                </c:pt>
                <c:pt idx="153">
                  <c:v>7.3260073661804199</c:v>
                </c:pt>
                <c:pt idx="154">
                  <c:v>8.3028087615966797</c:v>
                </c:pt>
                <c:pt idx="155">
                  <c:v>9.768010139465332</c:v>
                </c:pt>
                <c:pt idx="156">
                  <c:v>11.721611976623535</c:v>
                </c:pt>
                <c:pt idx="157">
                  <c:v>12.698412895202637</c:v>
                </c:pt>
                <c:pt idx="158">
                  <c:v>12.698412895202637</c:v>
                </c:pt>
                <c:pt idx="159">
                  <c:v>12.698412895202637</c:v>
                </c:pt>
                <c:pt idx="160">
                  <c:v>12.698412895202637</c:v>
                </c:pt>
              </c:numCache>
            </c:numRef>
          </c:val>
        </c:ser>
        <c:ser>
          <c:idx val="11"/>
          <c:order val="11"/>
          <c:tx>
            <c:strRef>
              <c:f>data0!$M$1</c:f>
              <c:strCache>
                <c:ptCount val="1"/>
                <c:pt idx="0">
                  <c:v>-5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data0!$M$2:$M$162</c:f>
              <c:numCache>
                <c:formatCode>General</c:formatCode>
                <c:ptCount val="161"/>
                <c:pt idx="0">
                  <c:v>7.3260073661804199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3.4188034534454346</c:v>
                </c:pt>
                <c:pt idx="12">
                  <c:v>3.4188034534454346</c:v>
                </c:pt>
                <c:pt idx="13">
                  <c:v>4.3956046104431152</c:v>
                </c:pt>
                <c:pt idx="14">
                  <c:v>6.3492064476013184</c:v>
                </c:pt>
                <c:pt idx="15">
                  <c:v>9.2796096801757812</c:v>
                </c:pt>
                <c:pt idx="16">
                  <c:v>11.233211517333984</c:v>
                </c:pt>
                <c:pt idx="17">
                  <c:v>11.233211517333984</c:v>
                </c:pt>
                <c:pt idx="18">
                  <c:v>14.163614273071289</c:v>
                </c:pt>
                <c:pt idx="19">
                  <c:v>21.489622116088867</c:v>
                </c:pt>
                <c:pt idx="20">
                  <c:v>27.350427627563477</c:v>
                </c:pt>
                <c:pt idx="21">
                  <c:v>33.699634552001953</c:v>
                </c:pt>
                <c:pt idx="22">
                  <c:v>42.00244140625</c:v>
                </c:pt>
                <c:pt idx="23">
                  <c:v>48.351650238037109</c:v>
                </c:pt>
                <c:pt idx="24">
                  <c:v>50.793651580810547</c:v>
                </c:pt>
                <c:pt idx="25">
                  <c:v>56.654457092285156</c:v>
                </c:pt>
                <c:pt idx="26">
                  <c:v>71.794868469238281</c:v>
                </c:pt>
                <c:pt idx="27">
                  <c:v>92.796089172363281</c:v>
                </c:pt>
                <c:pt idx="28">
                  <c:v>114.28571319580078</c:v>
                </c:pt>
                <c:pt idx="29">
                  <c:v>132.84494018554687</c:v>
                </c:pt>
                <c:pt idx="30">
                  <c:v>147.9853515625</c:v>
                </c:pt>
                <c:pt idx="31">
                  <c:v>149.45054626464844</c:v>
                </c:pt>
                <c:pt idx="32">
                  <c:v>133.33332824707031</c:v>
                </c:pt>
                <c:pt idx="33">
                  <c:v>148.96214294433594</c:v>
                </c:pt>
                <c:pt idx="34">
                  <c:v>221.24542236328125</c:v>
                </c:pt>
                <c:pt idx="35">
                  <c:v>292.06350708007812</c:v>
                </c:pt>
                <c:pt idx="36">
                  <c:v>307.20391845703125</c:v>
                </c:pt>
                <c:pt idx="37">
                  <c:v>294.01708984375</c:v>
                </c:pt>
                <c:pt idx="38">
                  <c:v>314.04150390625</c:v>
                </c:pt>
                <c:pt idx="39">
                  <c:v>353.11355590820312</c:v>
                </c:pt>
                <c:pt idx="40">
                  <c:v>379.9755859375</c:v>
                </c:pt>
                <c:pt idx="41">
                  <c:v>400.976806640625</c:v>
                </c:pt>
                <c:pt idx="42">
                  <c:v>452.25885009765625</c:v>
                </c:pt>
                <c:pt idx="43">
                  <c:v>575.82415771484375</c:v>
                </c:pt>
                <c:pt idx="44">
                  <c:v>699.3895263671875</c:v>
                </c:pt>
                <c:pt idx="45">
                  <c:v>743.83392333984375</c:v>
                </c:pt>
                <c:pt idx="46">
                  <c:v>707.20391845703125</c:v>
                </c:pt>
                <c:pt idx="47">
                  <c:v>656.4102783203125</c:v>
                </c:pt>
                <c:pt idx="48">
                  <c:v>711.5994873046875</c:v>
                </c:pt>
                <c:pt idx="49">
                  <c:v>831.74603271484375</c:v>
                </c:pt>
                <c:pt idx="50">
                  <c:v>875.21368408203125</c:v>
                </c:pt>
                <c:pt idx="51">
                  <c:v>875.21368408203125</c:v>
                </c:pt>
                <c:pt idx="52">
                  <c:v>879.120849609375</c:v>
                </c:pt>
                <c:pt idx="53">
                  <c:v>828.81561279296875</c:v>
                </c:pt>
                <c:pt idx="54">
                  <c:v>713.5531005859375</c:v>
                </c:pt>
                <c:pt idx="55">
                  <c:v>555.31134033203125</c:v>
                </c:pt>
                <c:pt idx="56">
                  <c:v>421.4896240234375</c:v>
                </c:pt>
                <c:pt idx="57">
                  <c:v>342.85714721679687</c:v>
                </c:pt>
                <c:pt idx="58">
                  <c:v>288.15628051757812</c:v>
                </c:pt>
                <c:pt idx="59">
                  <c:v>237.85104370117187</c:v>
                </c:pt>
                <c:pt idx="60">
                  <c:v>200.73260498046875</c:v>
                </c:pt>
                <c:pt idx="61">
                  <c:v>174.84738159179687</c:v>
                </c:pt>
                <c:pt idx="62">
                  <c:v>149.45054626464844</c:v>
                </c:pt>
                <c:pt idx="63">
                  <c:v>137.24053955078125</c:v>
                </c:pt>
                <c:pt idx="64">
                  <c:v>141.63613891601562</c:v>
                </c:pt>
                <c:pt idx="65">
                  <c:v>144.07814025878906</c:v>
                </c:pt>
                <c:pt idx="66">
                  <c:v>135.28694152832031</c:v>
                </c:pt>
                <c:pt idx="67">
                  <c:v>126.4957275390625</c:v>
                </c:pt>
                <c:pt idx="68">
                  <c:v>124.54212188720703</c:v>
                </c:pt>
                <c:pt idx="69">
                  <c:v>118.68132019042969</c:v>
                </c:pt>
                <c:pt idx="70">
                  <c:v>106.95970916748047</c:v>
                </c:pt>
                <c:pt idx="71">
                  <c:v>102.07569885253906</c:v>
                </c:pt>
                <c:pt idx="72">
                  <c:v>113.79731750488281</c:v>
                </c:pt>
                <c:pt idx="73">
                  <c:v>136.26373291015625</c:v>
                </c:pt>
                <c:pt idx="74">
                  <c:v>157.75335693359375</c:v>
                </c:pt>
                <c:pt idx="75">
                  <c:v>170.45176696777344</c:v>
                </c:pt>
                <c:pt idx="76">
                  <c:v>175.33576965332031</c:v>
                </c:pt>
                <c:pt idx="77">
                  <c:v>173.87057495117187</c:v>
                </c:pt>
                <c:pt idx="78">
                  <c:v>164.59095764160156</c:v>
                </c:pt>
                <c:pt idx="79">
                  <c:v>148.4737548828125</c:v>
                </c:pt>
                <c:pt idx="80">
                  <c:v>138.21733093261719</c:v>
                </c:pt>
                <c:pt idx="81">
                  <c:v>146.5201416015625</c:v>
                </c:pt>
                <c:pt idx="82">
                  <c:v>159.70695495605469</c:v>
                </c:pt>
                <c:pt idx="83">
                  <c:v>151.40414428710937</c:v>
                </c:pt>
                <c:pt idx="84">
                  <c:v>129.42613220214844</c:v>
                </c:pt>
                <c:pt idx="85">
                  <c:v>119.65811920166016</c:v>
                </c:pt>
                <c:pt idx="86">
                  <c:v>122.58852386474609</c:v>
                </c:pt>
                <c:pt idx="87">
                  <c:v>126.4957275390625</c:v>
                </c:pt>
                <c:pt idx="88">
                  <c:v>123.07691955566406</c:v>
                </c:pt>
                <c:pt idx="89">
                  <c:v>110.37850952148437</c:v>
                </c:pt>
                <c:pt idx="90">
                  <c:v>92.796089172363281</c:v>
                </c:pt>
                <c:pt idx="91">
                  <c:v>79.609275817871094</c:v>
                </c:pt>
                <c:pt idx="92">
                  <c:v>77.655677795410156</c:v>
                </c:pt>
                <c:pt idx="93">
                  <c:v>78.144081115722656</c:v>
                </c:pt>
                <c:pt idx="94">
                  <c:v>68.376068115234375</c:v>
                </c:pt>
                <c:pt idx="95">
                  <c:v>57.631256103515625</c:v>
                </c:pt>
                <c:pt idx="96">
                  <c:v>59.584857940673828</c:v>
                </c:pt>
                <c:pt idx="97">
                  <c:v>64.957267761230469</c:v>
                </c:pt>
                <c:pt idx="98">
                  <c:v>57.631256103515625</c:v>
                </c:pt>
                <c:pt idx="99">
                  <c:v>38.095237731933594</c:v>
                </c:pt>
                <c:pt idx="100">
                  <c:v>21.001220703125</c:v>
                </c:pt>
                <c:pt idx="101">
                  <c:v>20.024419784545898</c:v>
                </c:pt>
                <c:pt idx="102">
                  <c:v>28.815628051757813</c:v>
                </c:pt>
                <c:pt idx="103">
                  <c:v>29.792428970336914</c:v>
                </c:pt>
                <c:pt idx="104">
                  <c:v>18.070817947387695</c:v>
                </c:pt>
                <c:pt idx="105">
                  <c:v>3.9072039127349854</c:v>
                </c:pt>
                <c:pt idx="106">
                  <c:v>0.48840048909187317</c:v>
                </c:pt>
                <c:pt idx="107">
                  <c:v>2.442002534866333</c:v>
                </c:pt>
                <c:pt idx="108">
                  <c:v>3.4188034534454346</c:v>
                </c:pt>
                <c:pt idx="109">
                  <c:v>2.442002534866333</c:v>
                </c:pt>
                <c:pt idx="110">
                  <c:v>1.4652014970779419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2.9304029941558838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1.4652014970779419</c:v>
                </c:pt>
                <c:pt idx="146">
                  <c:v>3.9072039127349854</c:v>
                </c:pt>
                <c:pt idx="147">
                  <c:v>6.3492064476013184</c:v>
                </c:pt>
                <c:pt idx="148">
                  <c:v>7.3260073661804199</c:v>
                </c:pt>
                <c:pt idx="149">
                  <c:v>7.3260073661804199</c:v>
                </c:pt>
                <c:pt idx="150">
                  <c:v>7.3260073661804199</c:v>
                </c:pt>
                <c:pt idx="151">
                  <c:v>7.3260073661804199</c:v>
                </c:pt>
                <c:pt idx="152">
                  <c:v>7.3260073661804199</c:v>
                </c:pt>
                <c:pt idx="153">
                  <c:v>7.3260073661804199</c:v>
                </c:pt>
                <c:pt idx="154">
                  <c:v>7.3260073661804199</c:v>
                </c:pt>
                <c:pt idx="155">
                  <c:v>8.3028087615966797</c:v>
                </c:pt>
                <c:pt idx="156">
                  <c:v>9.768010139465332</c:v>
                </c:pt>
                <c:pt idx="157">
                  <c:v>11.721611976623535</c:v>
                </c:pt>
                <c:pt idx="158">
                  <c:v>13.186813354492187</c:v>
                </c:pt>
                <c:pt idx="159">
                  <c:v>13.186813354492187</c:v>
                </c:pt>
                <c:pt idx="160">
                  <c:v>12.698412895202637</c:v>
                </c:pt>
              </c:numCache>
            </c:numRef>
          </c:val>
        </c:ser>
        <c:ser>
          <c:idx val="12"/>
          <c:order val="12"/>
          <c:tx>
            <c:strRef>
              <c:f>data0!$N$1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data0!$N$2:$N$162</c:f>
              <c:numCache>
                <c:formatCode>General</c:formatCode>
                <c:ptCount val="161"/>
                <c:pt idx="0">
                  <c:v>14.163614273071289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3.9072039127349854</c:v>
                </c:pt>
                <c:pt idx="12">
                  <c:v>3.4188034534454346</c:v>
                </c:pt>
                <c:pt idx="13">
                  <c:v>3.9072039127349854</c:v>
                </c:pt>
                <c:pt idx="14">
                  <c:v>6.3492064476013184</c:v>
                </c:pt>
                <c:pt idx="15">
                  <c:v>8.7912092208862305</c:v>
                </c:pt>
                <c:pt idx="16">
                  <c:v>11.233211517333984</c:v>
                </c:pt>
                <c:pt idx="17">
                  <c:v>11.721611976623535</c:v>
                </c:pt>
                <c:pt idx="18">
                  <c:v>13.675213813781738</c:v>
                </c:pt>
                <c:pt idx="19">
                  <c:v>21.001220703125</c:v>
                </c:pt>
                <c:pt idx="20">
                  <c:v>27.838827133178711</c:v>
                </c:pt>
                <c:pt idx="21">
                  <c:v>33.211235046386719</c:v>
                </c:pt>
                <c:pt idx="22">
                  <c:v>42.00244140625</c:v>
                </c:pt>
                <c:pt idx="23">
                  <c:v>49.816848754882812</c:v>
                </c:pt>
                <c:pt idx="24">
                  <c:v>51.770450592041016</c:v>
                </c:pt>
                <c:pt idx="25">
                  <c:v>56.654457092285156</c:v>
                </c:pt>
                <c:pt idx="26">
                  <c:v>71.306472778320313</c:v>
                </c:pt>
                <c:pt idx="27">
                  <c:v>92.307693481445313</c:v>
                </c:pt>
                <c:pt idx="28">
                  <c:v>114.28571319580078</c:v>
                </c:pt>
                <c:pt idx="29">
                  <c:v>132.84494018554687</c:v>
                </c:pt>
                <c:pt idx="30">
                  <c:v>149.45054626464844</c:v>
                </c:pt>
                <c:pt idx="31">
                  <c:v>155.79975891113281</c:v>
                </c:pt>
                <c:pt idx="32">
                  <c:v>139.19413757324219</c:v>
                </c:pt>
                <c:pt idx="33">
                  <c:v>145.05494689941406</c:v>
                </c:pt>
                <c:pt idx="34">
                  <c:v>212.94261169433594</c:v>
                </c:pt>
                <c:pt idx="35">
                  <c:v>292.06350708007812</c:v>
                </c:pt>
                <c:pt idx="36">
                  <c:v>315.9951171875</c:v>
                </c:pt>
                <c:pt idx="37">
                  <c:v>298.41268920898437</c:v>
                </c:pt>
                <c:pt idx="38">
                  <c:v>314.04150390625</c:v>
                </c:pt>
                <c:pt idx="39">
                  <c:v>357.5091552734375</c:v>
                </c:pt>
                <c:pt idx="40">
                  <c:v>385.83639526367187</c:v>
                </c:pt>
                <c:pt idx="41">
                  <c:v>407.81442260742187</c:v>
                </c:pt>
                <c:pt idx="42">
                  <c:v>445.90963745117187</c:v>
                </c:pt>
                <c:pt idx="43">
                  <c:v>561.17218017578125</c:v>
                </c:pt>
                <c:pt idx="44">
                  <c:v>696.947509765625</c:v>
                </c:pt>
                <c:pt idx="45">
                  <c:v>755.067138671875</c:v>
                </c:pt>
                <c:pt idx="46">
                  <c:v>727.22833251953125</c:v>
                </c:pt>
                <c:pt idx="47">
                  <c:v>665.20147705078125</c:v>
                </c:pt>
                <c:pt idx="48">
                  <c:v>695.4822998046875</c:v>
                </c:pt>
                <c:pt idx="49">
                  <c:v>824.908447265625</c:v>
                </c:pt>
                <c:pt idx="50">
                  <c:v>881.5628662109375</c:v>
                </c:pt>
                <c:pt idx="51">
                  <c:v>873.74847412109375</c:v>
                </c:pt>
                <c:pt idx="52">
                  <c:v>877.16729736328125</c:v>
                </c:pt>
                <c:pt idx="53">
                  <c:v>836.14166259765625</c:v>
                </c:pt>
                <c:pt idx="54">
                  <c:v>727.71673583984375</c:v>
                </c:pt>
                <c:pt idx="55">
                  <c:v>568.4981689453125</c:v>
                </c:pt>
                <c:pt idx="56">
                  <c:v>425.39682006835937</c:v>
                </c:pt>
                <c:pt idx="57">
                  <c:v>339.4383544921875</c:v>
                </c:pt>
                <c:pt idx="58">
                  <c:v>286.69110107421875</c:v>
                </c:pt>
                <c:pt idx="59">
                  <c:v>239.31623840332031</c:v>
                </c:pt>
                <c:pt idx="60">
                  <c:v>201.70939636230469</c:v>
                </c:pt>
                <c:pt idx="61">
                  <c:v>177.28938293457031</c:v>
                </c:pt>
                <c:pt idx="62">
                  <c:v>152.38095092773437</c:v>
                </c:pt>
                <c:pt idx="63">
                  <c:v>137.24053955078125</c:v>
                </c:pt>
                <c:pt idx="64">
                  <c:v>140.17094421386719</c:v>
                </c:pt>
                <c:pt idx="65">
                  <c:v>145.54335021972656</c:v>
                </c:pt>
                <c:pt idx="66">
                  <c:v>138.21733093261719</c:v>
                </c:pt>
                <c:pt idx="67">
                  <c:v>127.96092987060547</c:v>
                </c:pt>
                <c:pt idx="68">
                  <c:v>125.51892852783203</c:v>
                </c:pt>
                <c:pt idx="69">
                  <c:v>121.61172485351563</c:v>
                </c:pt>
                <c:pt idx="70">
                  <c:v>109.89010620117187</c:v>
                </c:pt>
                <c:pt idx="71">
                  <c:v>102.07569885253906</c:v>
                </c:pt>
                <c:pt idx="72">
                  <c:v>110.86691284179687</c:v>
                </c:pt>
                <c:pt idx="73">
                  <c:v>134.31013488769531</c:v>
                </c:pt>
                <c:pt idx="74">
                  <c:v>158.24176025390625</c:v>
                </c:pt>
                <c:pt idx="75">
                  <c:v>172.89376831054687</c:v>
                </c:pt>
                <c:pt idx="76">
                  <c:v>178.26617431640625</c:v>
                </c:pt>
                <c:pt idx="77">
                  <c:v>177.77777099609375</c:v>
                </c:pt>
                <c:pt idx="78">
                  <c:v>168.986572265625</c:v>
                </c:pt>
                <c:pt idx="79">
                  <c:v>152.38095092773437</c:v>
                </c:pt>
                <c:pt idx="80">
                  <c:v>137.72894287109375</c:v>
                </c:pt>
                <c:pt idx="81">
                  <c:v>141.14773559570312</c:v>
                </c:pt>
                <c:pt idx="82">
                  <c:v>156.77655029296875</c:v>
                </c:pt>
                <c:pt idx="83">
                  <c:v>155.79975891113281</c:v>
                </c:pt>
                <c:pt idx="84">
                  <c:v>133.82173156738281</c:v>
                </c:pt>
                <c:pt idx="85">
                  <c:v>120.14652252197266</c:v>
                </c:pt>
                <c:pt idx="86">
                  <c:v>121.12332153320312</c:v>
                </c:pt>
                <c:pt idx="87">
                  <c:v>125.03052520751953</c:v>
                </c:pt>
                <c:pt idx="88">
                  <c:v>123.07691955566406</c:v>
                </c:pt>
                <c:pt idx="89">
                  <c:v>112.82051086425781</c:v>
                </c:pt>
                <c:pt idx="90">
                  <c:v>95.23809814453125</c:v>
                </c:pt>
                <c:pt idx="91">
                  <c:v>79.609275817871094</c:v>
                </c:pt>
                <c:pt idx="92">
                  <c:v>74.725273132324219</c:v>
                </c:pt>
                <c:pt idx="93">
                  <c:v>77.167274475097656</c:v>
                </c:pt>
                <c:pt idx="94">
                  <c:v>70.818069458007812</c:v>
                </c:pt>
                <c:pt idx="95">
                  <c:v>58.119659423828125</c:v>
                </c:pt>
                <c:pt idx="96">
                  <c:v>57.142856597900391</c:v>
                </c:pt>
                <c:pt idx="97">
                  <c:v>63.980464935302734</c:v>
                </c:pt>
                <c:pt idx="98">
                  <c:v>61.050060272216797</c:v>
                </c:pt>
                <c:pt idx="99">
                  <c:v>42.979244232177734</c:v>
                </c:pt>
                <c:pt idx="100">
                  <c:v>22.466423034667969</c:v>
                </c:pt>
                <c:pt idx="101">
                  <c:v>17.094017028808594</c:v>
                </c:pt>
                <c:pt idx="102">
                  <c:v>25.885225296020508</c:v>
                </c:pt>
                <c:pt idx="103">
                  <c:v>31.257631301879883</c:v>
                </c:pt>
                <c:pt idx="104">
                  <c:v>22.466423034667969</c:v>
                </c:pt>
                <c:pt idx="105">
                  <c:v>6.8376069068908691</c:v>
                </c:pt>
                <c:pt idx="106">
                  <c:v>0.48840048909187317</c:v>
                </c:pt>
                <c:pt idx="107">
                  <c:v>1.9536019563674927</c:v>
                </c:pt>
                <c:pt idx="108">
                  <c:v>4.3956046104431152</c:v>
                </c:pt>
                <c:pt idx="109">
                  <c:v>3.9072039127349854</c:v>
                </c:pt>
                <c:pt idx="110">
                  <c:v>2.442002534866333</c:v>
                </c:pt>
                <c:pt idx="111">
                  <c:v>0.97680097818374634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4.884005069732666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0.97680097818374634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0.97680097818374634</c:v>
                </c:pt>
                <c:pt idx="146">
                  <c:v>3.4188034534454346</c:v>
                </c:pt>
                <c:pt idx="147">
                  <c:v>5.8608059883117676</c:v>
                </c:pt>
                <c:pt idx="148">
                  <c:v>7.3260073661804199</c:v>
                </c:pt>
                <c:pt idx="149">
                  <c:v>7.8144078254699707</c:v>
                </c:pt>
                <c:pt idx="150">
                  <c:v>7.8144078254699707</c:v>
                </c:pt>
                <c:pt idx="151">
                  <c:v>7.8144078254699707</c:v>
                </c:pt>
                <c:pt idx="152">
                  <c:v>7.8144078254699707</c:v>
                </c:pt>
                <c:pt idx="153">
                  <c:v>7.8144078254699707</c:v>
                </c:pt>
                <c:pt idx="154">
                  <c:v>7.3260073661804199</c:v>
                </c:pt>
                <c:pt idx="155">
                  <c:v>7.8144078254699707</c:v>
                </c:pt>
                <c:pt idx="156">
                  <c:v>9.2796096801757812</c:v>
                </c:pt>
                <c:pt idx="157">
                  <c:v>11.233211517333984</c:v>
                </c:pt>
                <c:pt idx="158">
                  <c:v>13.186813354492187</c:v>
                </c:pt>
                <c:pt idx="159">
                  <c:v>13.675213813781738</c:v>
                </c:pt>
                <c:pt idx="160">
                  <c:v>13.186813354492187</c:v>
                </c:pt>
              </c:numCache>
            </c:numRef>
          </c:val>
        </c:ser>
        <c:ser>
          <c:idx val="13"/>
          <c:order val="13"/>
          <c:tx>
            <c:strRef>
              <c:f>data0!$O$1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data0!$O$2:$O$162</c:f>
              <c:numCache>
                <c:formatCode>General</c:formatCode>
                <c:ptCount val="161"/>
                <c:pt idx="0">
                  <c:v>7.8144078254699707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3.4188034534454346</c:v>
                </c:pt>
                <c:pt idx="12">
                  <c:v>3.4188034534454346</c:v>
                </c:pt>
                <c:pt idx="13">
                  <c:v>3.9072039127349854</c:v>
                </c:pt>
                <c:pt idx="14">
                  <c:v>6.3492064476013184</c:v>
                </c:pt>
                <c:pt idx="15">
                  <c:v>9.2796096801757812</c:v>
                </c:pt>
                <c:pt idx="16">
                  <c:v>11.233211517333984</c:v>
                </c:pt>
                <c:pt idx="17">
                  <c:v>11.233211517333984</c:v>
                </c:pt>
                <c:pt idx="18">
                  <c:v>13.675213813781738</c:v>
                </c:pt>
                <c:pt idx="19">
                  <c:v>21.489622116088867</c:v>
                </c:pt>
                <c:pt idx="20">
                  <c:v>27.350427627563477</c:v>
                </c:pt>
                <c:pt idx="21">
                  <c:v>33.211235046386719</c:v>
                </c:pt>
                <c:pt idx="22">
                  <c:v>42.00244140625</c:v>
                </c:pt>
                <c:pt idx="23">
                  <c:v>48.351650238037109</c:v>
                </c:pt>
                <c:pt idx="24">
                  <c:v>50.793651580810547</c:v>
                </c:pt>
                <c:pt idx="25">
                  <c:v>56.166057586669922</c:v>
                </c:pt>
                <c:pt idx="26">
                  <c:v>71.794868469238281</c:v>
                </c:pt>
                <c:pt idx="27">
                  <c:v>92.796089172363281</c:v>
                </c:pt>
                <c:pt idx="28">
                  <c:v>114.28571319580078</c:v>
                </c:pt>
                <c:pt idx="29">
                  <c:v>132.35653686523437</c:v>
                </c:pt>
                <c:pt idx="30">
                  <c:v>148.4737548828125</c:v>
                </c:pt>
                <c:pt idx="31">
                  <c:v>151.89254760742187</c:v>
                </c:pt>
                <c:pt idx="32">
                  <c:v>132.35653686523437</c:v>
                </c:pt>
                <c:pt idx="33">
                  <c:v>146.03175354003906</c:v>
                </c:pt>
                <c:pt idx="34">
                  <c:v>221.73382568359375</c:v>
                </c:pt>
                <c:pt idx="35">
                  <c:v>295.4822998046875</c:v>
                </c:pt>
                <c:pt idx="36">
                  <c:v>309.64590454101562</c:v>
                </c:pt>
                <c:pt idx="37">
                  <c:v>292.06350708007812</c:v>
                </c:pt>
                <c:pt idx="38">
                  <c:v>315.018310546875</c:v>
                </c:pt>
                <c:pt idx="39">
                  <c:v>356.0439453125</c:v>
                </c:pt>
                <c:pt idx="40">
                  <c:v>380.4639892578125</c:v>
                </c:pt>
                <c:pt idx="41">
                  <c:v>401.4652099609375</c:v>
                </c:pt>
                <c:pt idx="42">
                  <c:v>447.86325073242187</c:v>
                </c:pt>
                <c:pt idx="43">
                  <c:v>578.26617431640625</c:v>
                </c:pt>
                <c:pt idx="44">
                  <c:v>705.73870849609375</c:v>
                </c:pt>
                <c:pt idx="45">
                  <c:v>748.22955322265625</c:v>
                </c:pt>
                <c:pt idx="46">
                  <c:v>710.13433837890625</c:v>
                </c:pt>
                <c:pt idx="47">
                  <c:v>649.5726318359375</c:v>
                </c:pt>
                <c:pt idx="48">
                  <c:v>707.20391845703125</c:v>
                </c:pt>
                <c:pt idx="49">
                  <c:v>839.5604248046875</c:v>
                </c:pt>
                <c:pt idx="50">
                  <c:v>875.70208740234375</c:v>
                </c:pt>
                <c:pt idx="51">
                  <c:v>874.23687744140625</c:v>
                </c:pt>
                <c:pt idx="52">
                  <c:v>883.5164794921875</c:v>
                </c:pt>
                <c:pt idx="53">
                  <c:v>832.23443603515625</c:v>
                </c:pt>
                <c:pt idx="54">
                  <c:v>716.4835205078125</c:v>
                </c:pt>
                <c:pt idx="55">
                  <c:v>552.86932373046875</c:v>
                </c:pt>
                <c:pt idx="56">
                  <c:v>417.09402465820312</c:v>
                </c:pt>
                <c:pt idx="57">
                  <c:v>339.4383544921875</c:v>
                </c:pt>
                <c:pt idx="58">
                  <c:v>286.69110107421875</c:v>
                </c:pt>
                <c:pt idx="59">
                  <c:v>235.89743041992187</c:v>
                </c:pt>
                <c:pt idx="60">
                  <c:v>198.77899169921875</c:v>
                </c:pt>
                <c:pt idx="61">
                  <c:v>173.38217163085937</c:v>
                </c:pt>
                <c:pt idx="62">
                  <c:v>147.008544921875</c:v>
                </c:pt>
                <c:pt idx="63">
                  <c:v>134.31013488769531</c:v>
                </c:pt>
                <c:pt idx="64">
                  <c:v>140.17094421386719</c:v>
                </c:pt>
                <c:pt idx="65">
                  <c:v>143.10134887695312</c:v>
                </c:pt>
                <c:pt idx="66">
                  <c:v>133.33332824707031</c:v>
                </c:pt>
                <c:pt idx="67">
                  <c:v>125.03052520751953</c:v>
                </c:pt>
                <c:pt idx="68">
                  <c:v>123.56532287597656</c:v>
                </c:pt>
                <c:pt idx="69">
                  <c:v>117.70452117919922</c:v>
                </c:pt>
                <c:pt idx="70">
                  <c:v>105.4945068359375</c:v>
                </c:pt>
                <c:pt idx="71">
                  <c:v>100.12210083007812</c:v>
                </c:pt>
                <c:pt idx="72">
                  <c:v>111.84371185302734</c:v>
                </c:pt>
                <c:pt idx="73">
                  <c:v>134.79853820800781</c:v>
                </c:pt>
                <c:pt idx="74">
                  <c:v>155.79975891113281</c:v>
                </c:pt>
                <c:pt idx="75">
                  <c:v>167.5213623046875</c:v>
                </c:pt>
                <c:pt idx="76">
                  <c:v>171.91697692871094</c:v>
                </c:pt>
                <c:pt idx="77">
                  <c:v>170.45176696777344</c:v>
                </c:pt>
                <c:pt idx="78">
                  <c:v>161.17216491699219</c:v>
                </c:pt>
                <c:pt idx="79">
                  <c:v>145.05494689941406</c:v>
                </c:pt>
                <c:pt idx="80">
                  <c:v>134.31013488769531</c:v>
                </c:pt>
                <c:pt idx="81">
                  <c:v>141.63613891601562</c:v>
                </c:pt>
                <c:pt idx="82">
                  <c:v>155.79975891113281</c:v>
                </c:pt>
                <c:pt idx="83">
                  <c:v>147.008544921875</c:v>
                </c:pt>
                <c:pt idx="84">
                  <c:v>124.05372619628906</c:v>
                </c:pt>
                <c:pt idx="85">
                  <c:v>115.75091552734375</c:v>
                </c:pt>
                <c:pt idx="86">
                  <c:v>119.16971588134766</c:v>
                </c:pt>
                <c:pt idx="87">
                  <c:v>122.58852386474609</c:v>
                </c:pt>
                <c:pt idx="88">
                  <c:v>118.19291687011719</c:v>
                </c:pt>
                <c:pt idx="89">
                  <c:v>105.98290252685547</c:v>
                </c:pt>
                <c:pt idx="90">
                  <c:v>87.912086486816406</c:v>
                </c:pt>
                <c:pt idx="91">
                  <c:v>73.74847412109375</c:v>
                </c:pt>
                <c:pt idx="92">
                  <c:v>70.818069458007812</c:v>
                </c:pt>
                <c:pt idx="93">
                  <c:v>72.283271789550781</c:v>
                </c:pt>
                <c:pt idx="94">
                  <c:v>62.026863098144531</c:v>
                </c:pt>
                <c:pt idx="95">
                  <c:v>51.282051086425781</c:v>
                </c:pt>
                <c:pt idx="96">
                  <c:v>55.189254760742187</c:v>
                </c:pt>
                <c:pt idx="97">
                  <c:v>62.515262603759766</c:v>
                </c:pt>
                <c:pt idx="98">
                  <c:v>55.677654266357422</c:v>
                </c:pt>
                <c:pt idx="99">
                  <c:v>34.676433563232422</c:v>
                </c:pt>
                <c:pt idx="100">
                  <c:v>16.117216110229492</c:v>
                </c:pt>
                <c:pt idx="101">
                  <c:v>15.628815650939941</c:v>
                </c:pt>
                <c:pt idx="102">
                  <c:v>25.396825790405273</c:v>
                </c:pt>
                <c:pt idx="103">
                  <c:v>26.862026214599609</c:v>
                </c:pt>
                <c:pt idx="104">
                  <c:v>14.163614273071289</c:v>
                </c:pt>
                <c:pt idx="105">
                  <c:v>0.48840048909187317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0.97680097818374634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1.9536019563674927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0.48840048909187317</c:v>
                </c:pt>
                <c:pt idx="146">
                  <c:v>3.4188034534454346</c:v>
                </c:pt>
                <c:pt idx="147">
                  <c:v>5.8608059883117676</c:v>
                </c:pt>
                <c:pt idx="148">
                  <c:v>6.8376069068908691</c:v>
                </c:pt>
                <c:pt idx="149">
                  <c:v>6.8376069068908691</c:v>
                </c:pt>
                <c:pt idx="150">
                  <c:v>6.8376069068908691</c:v>
                </c:pt>
                <c:pt idx="151">
                  <c:v>7.3260073661804199</c:v>
                </c:pt>
                <c:pt idx="152">
                  <c:v>7.3260073661804199</c:v>
                </c:pt>
                <c:pt idx="153">
                  <c:v>6.8376069068908691</c:v>
                </c:pt>
                <c:pt idx="154">
                  <c:v>7.3260073661804199</c:v>
                </c:pt>
                <c:pt idx="155">
                  <c:v>7.8144078254699707</c:v>
                </c:pt>
                <c:pt idx="156">
                  <c:v>9.768010139465332</c:v>
                </c:pt>
                <c:pt idx="157">
                  <c:v>11.721611976623535</c:v>
                </c:pt>
                <c:pt idx="158">
                  <c:v>13.186813354492187</c:v>
                </c:pt>
                <c:pt idx="159">
                  <c:v>13.186813354492187</c:v>
                </c:pt>
                <c:pt idx="160">
                  <c:v>12.698412895202637</c:v>
                </c:pt>
              </c:numCache>
            </c:numRef>
          </c:val>
        </c:ser>
        <c:ser>
          <c:idx val="14"/>
          <c:order val="14"/>
          <c:tx>
            <c:strRef>
              <c:f>data0!$P$1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data0!$P$2:$P$162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3.4188034534454346</c:v>
                </c:pt>
                <c:pt idx="12">
                  <c:v>3.4188034534454346</c:v>
                </c:pt>
                <c:pt idx="13">
                  <c:v>4.3956046104431152</c:v>
                </c:pt>
                <c:pt idx="14">
                  <c:v>6.3492064476013184</c:v>
                </c:pt>
                <c:pt idx="15">
                  <c:v>9.2796096801757812</c:v>
                </c:pt>
                <c:pt idx="16">
                  <c:v>10.256410598754883</c:v>
                </c:pt>
                <c:pt idx="17">
                  <c:v>10.256410598754883</c:v>
                </c:pt>
                <c:pt idx="18">
                  <c:v>15.140415191650391</c:v>
                </c:pt>
                <c:pt idx="19">
                  <c:v>21.978021621704102</c:v>
                </c:pt>
                <c:pt idx="20">
                  <c:v>26.862026214599609</c:v>
                </c:pt>
                <c:pt idx="21">
                  <c:v>33.211235046386719</c:v>
                </c:pt>
                <c:pt idx="22">
                  <c:v>41.514041900634766</c:v>
                </c:pt>
                <c:pt idx="23">
                  <c:v>45.421245574951172</c:v>
                </c:pt>
                <c:pt idx="24">
                  <c:v>47.374847412109375</c:v>
                </c:pt>
                <c:pt idx="25">
                  <c:v>56.654457092285156</c:v>
                </c:pt>
                <c:pt idx="26">
                  <c:v>73.74847412109375</c:v>
                </c:pt>
                <c:pt idx="27">
                  <c:v>94.26129150390625</c:v>
                </c:pt>
                <c:pt idx="28">
                  <c:v>113.79731750488281</c:v>
                </c:pt>
                <c:pt idx="29">
                  <c:v>130.40292358398438</c:v>
                </c:pt>
                <c:pt idx="30">
                  <c:v>143.10134887695312</c:v>
                </c:pt>
                <c:pt idx="31">
                  <c:v>133.33332824707031</c:v>
                </c:pt>
                <c:pt idx="32">
                  <c:v>119.16971588134766</c:v>
                </c:pt>
                <c:pt idx="33">
                  <c:v>160.68376159667969</c:v>
                </c:pt>
                <c:pt idx="34">
                  <c:v>242.24664306640625</c:v>
                </c:pt>
                <c:pt idx="35">
                  <c:v>292.5518798828125</c:v>
                </c:pt>
                <c:pt idx="36">
                  <c:v>285.22589111328125</c:v>
                </c:pt>
                <c:pt idx="37">
                  <c:v>282.78387451171875</c:v>
                </c:pt>
                <c:pt idx="38">
                  <c:v>319.90231323242187</c:v>
                </c:pt>
                <c:pt idx="39">
                  <c:v>345.29913330078125</c:v>
                </c:pt>
                <c:pt idx="40">
                  <c:v>363.85836791992187</c:v>
                </c:pt>
                <c:pt idx="41">
                  <c:v>385.83639526367187</c:v>
                </c:pt>
                <c:pt idx="42">
                  <c:v>473.74847412109375</c:v>
                </c:pt>
                <c:pt idx="43">
                  <c:v>620.26861572265625</c:v>
                </c:pt>
                <c:pt idx="44">
                  <c:v>707.69232177734375</c:v>
                </c:pt>
                <c:pt idx="45">
                  <c:v>712.5762939453125</c:v>
                </c:pt>
                <c:pt idx="46">
                  <c:v>650.5494384765625</c:v>
                </c:pt>
                <c:pt idx="47">
                  <c:v>639.80462646484375</c:v>
                </c:pt>
                <c:pt idx="48">
                  <c:v>759.4627685546875</c:v>
                </c:pt>
                <c:pt idx="49">
                  <c:v>851.77044677734375</c:v>
                </c:pt>
                <c:pt idx="50">
                  <c:v>860.0732421875</c:v>
                </c:pt>
                <c:pt idx="51">
                  <c:v>886.4468994140625</c:v>
                </c:pt>
                <c:pt idx="52">
                  <c:v>887.4237060546875</c:v>
                </c:pt>
                <c:pt idx="53">
                  <c:v>811.23321533203125</c:v>
                </c:pt>
                <c:pt idx="54">
                  <c:v>674.4810791015625</c:v>
                </c:pt>
                <c:pt idx="55">
                  <c:v>516.72772216796875</c:v>
                </c:pt>
                <c:pt idx="56">
                  <c:v>414.16360473632812</c:v>
                </c:pt>
                <c:pt idx="57">
                  <c:v>352.62515258789063</c:v>
                </c:pt>
                <c:pt idx="58">
                  <c:v>288.64468383789062</c:v>
                </c:pt>
                <c:pt idx="59">
                  <c:v>234.92063903808594</c:v>
                </c:pt>
                <c:pt idx="60">
                  <c:v>198.29060363769531</c:v>
                </c:pt>
                <c:pt idx="61">
                  <c:v>165.07936096191406</c:v>
                </c:pt>
                <c:pt idx="62">
                  <c:v>140.65934753417969</c:v>
                </c:pt>
                <c:pt idx="63">
                  <c:v>138.70573425292969</c:v>
                </c:pt>
                <c:pt idx="64">
                  <c:v>144.07814025878906</c:v>
                </c:pt>
                <c:pt idx="65">
                  <c:v>137.24053955078125</c:v>
                </c:pt>
                <c:pt idx="66">
                  <c:v>125.51892852783203</c:v>
                </c:pt>
                <c:pt idx="67">
                  <c:v>123.07691955566406</c:v>
                </c:pt>
                <c:pt idx="68">
                  <c:v>120.14652252197266</c:v>
                </c:pt>
                <c:pt idx="69">
                  <c:v>108.91330718994141</c:v>
                </c:pt>
                <c:pt idx="70">
                  <c:v>99.633697509765625</c:v>
                </c:pt>
                <c:pt idx="71">
                  <c:v>104.51770782470703</c:v>
                </c:pt>
                <c:pt idx="72">
                  <c:v>122.58852386474609</c:v>
                </c:pt>
                <c:pt idx="73">
                  <c:v>141.63613891601562</c:v>
                </c:pt>
                <c:pt idx="74">
                  <c:v>155.31135559082031</c:v>
                </c:pt>
                <c:pt idx="75">
                  <c:v>162.63735961914062</c:v>
                </c:pt>
                <c:pt idx="76">
                  <c:v>165.07936096191406</c:v>
                </c:pt>
                <c:pt idx="77">
                  <c:v>160.68376159667969</c:v>
                </c:pt>
                <c:pt idx="78">
                  <c:v>147.9853515625</c:v>
                </c:pt>
                <c:pt idx="79">
                  <c:v>137.24053955078125</c:v>
                </c:pt>
                <c:pt idx="80">
                  <c:v>141.14773559570312</c:v>
                </c:pt>
                <c:pt idx="81">
                  <c:v>158.24176025390625</c:v>
                </c:pt>
                <c:pt idx="82">
                  <c:v>157.75335693359375</c:v>
                </c:pt>
                <c:pt idx="83">
                  <c:v>133.33332824707031</c:v>
                </c:pt>
                <c:pt idx="84">
                  <c:v>118.68132019042969</c:v>
                </c:pt>
                <c:pt idx="85">
                  <c:v>121.12332153320312</c:v>
                </c:pt>
                <c:pt idx="86">
                  <c:v>127.47252655029297</c:v>
                </c:pt>
                <c:pt idx="87">
                  <c:v>126.98412322998047</c:v>
                </c:pt>
                <c:pt idx="88">
                  <c:v>117.70452117919922</c:v>
                </c:pt>
                <c:pt idx="89">
                  <c:v>101.58730316162109</c:v>
                </c:pt>
                <c:pt idx="90">
                  <c:v>85.470085144042969</c:v>
                </c:pt>
                <c:pt idx="91">
                  <c:v>79.120880126953125</c:v>
                </c:pt>
                <c:pt idx="92">
                  <c:v>80.097679138183594</c:v>
                </c:pt>
                <c:pt idx="93">
                  <c:v>71.306472778320313</c:v>
                </c:pt>
                <c:pt idx="94">
                  <c:v>56.166057586669922</c:v>
                </c:pt>
                <c:pt idx="95">
                  <c:v>56.166057586669922</c:v>
                </c:pt>
                <c:pt idx="96">
                  <c:v>65.445663452148438</c:v>
                </c:pt>
                <c:pt idx="97">
                  <c:v>63.492061614990234</c:v>
                </c:pt>
                <c:pt idx="98">
                  <c:v>44.932846069335937</c:v>
                </c:pt>
                <c:pt idx="99">
                  <c:v>24.908424377441406</c:v>
                </c:pt>
                <c:pt idx="100">
                  <c:v>20.024419784545898</c:v>
                </c:pt>
                <c:pt idx="101">
                  <c:v>29.30402946472168</c:v>
                </c:pt>
                <c:pt idx="102">
                  <c:v>33.211235046386719</c:v>
                </c:pt>
                <c:pt idx="103">
                  <c:v>21.978021621704102</c:v>
                </c:pt>
                <c:pt idx="104">
                  <c:v>5.3724055290222168</c:v>
                </c:pt>
                <c:pt idx="105">
                  <c:v>0.48840048909187317</c:v>
                </c:pt>
                <c:pt idx="106">
                  <c:v>1.4652014970779419</c:v>
                </c:pt>
                <c:pt idx="107">
                  <c:v>3.9072039127349854</c:v>
                </c:pt>
                <c:pt idx="108">
                  <c:v>2.442002534866333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2.9304029941558838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2.442002534866333</c:v>
                </c:pt>
                <c:pt idx="146">
                  <c:v>4.884005069732666</c:v>
                </c:pt>
                <c:pt idx="147">
                  <c:v>5.8608059883117676</c:v>
                </c:pt>
                <c:pt idx="148">
                  <c:v>5.8608059883117676</c:v>
                </c:pt>
                <c:pt idx="149">
                  <c:v>5.8608059883117676</c:v>
                </c:pt>
                <c:pt idx="150">
                  <c:v>6.3492064476013184</c:v>
                </c:pt>
                <c:pt idx="151">
                  <c:v>6.3492064476013184</c:v>
                </c:pt>
                <c:pt idx="152">
                  <c:v>6.3492064476013184</c:v>
                </c:pt>
                <c:pt idx="153">
                  <c:v>6.3492064476013184</c:v>
                </c:pt>
                <c:pt idx="154">
                  <c:v>7.3260073661804199</c:v>
                </c:pt>
                <c:pt idx="155">
                  <c:v>9.2796096801757812</c:v>
                </c:pt>
                <c:pt idx="156">
                  <c:v>11.233211517333984</c:v>
                </c:pt>
                <c:pt idx="157">
                  <c:v>12.698412895202637</c:v>
                </c:pt>
                <c:pt idx="158">
                  <c:v>12.210012435913086</c:v>
                </c:pt>
                <c:pt idx="159">
                  <c:v>12.210012435913086</c:v>
                </c:pt>
                <c:pt idx="160">
                  <c:v>12.210012435913086</c:v>
                </c:pt>
              </c:numCache>
            </c:numRef>
          </c:val>
        </c:ser>
        <c:ser>
          <c:idx val="15"/>
          <c:order val="15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data0!$Q$2:$Q$162</c:f>
              <c:numCache>
                <c:formatCode>General</c:formatCode>
                <c:ptCount val="161"/>
                <c:pt idx="0">
                  <c:v>9.2796096801757812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1.9536019563674927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2.9304029941558838</c:v>
                </c:pt>
                <c:pt idx="11">
                  <c:v>2.9304029941558838</c:v>
                </c:pt>
                <c:pt idx="12">
                  <c:v>3.4188034534454346</c:v>
                </c:pt>
                <c:pt idx="13">
                  <c:v>4.884005069732666</c:v>
                </c:pt>
                <c:pt idx="14">
                  <c:v>6.8376069068908691</c:v>
                </c:pt>
                <c:pt idx="15">
                  <c:v>8.7912092208862305</c:v>
                </c:pt>
                <c:pt idx="16">
                  <c:v>8.7912092208862305</c:v>
                </c:pt>
                <c:pt idx="17">
                  <c:v>10.744811058044434</c:v>
                </c:pt>
                <c:pt idx="18">
                  <c:v>17.094017028808594</c:v>
                </c:pt>
                <c:pt idx="19">
                  <c:v>21.978021621704102</c:v>
                </c:pt>
                <c:pt idx="20">
                  <c:v>26.862026214599609</c:v>
                </c:pt>
                <c:pt idx="21">
                  <c:v>34.188034057617187</c:v>
                </c:pt>
                <c:pt idx="22">
                  <c:v>38.583637237548828</c:v>
                </c:pt>
                <c:pt idx="23">
                  <c:v>40.048839569091797</c:v>
                </c:pt>
                <c:pt idx="24">
                  <c:v>45.909645080566406</c:v>
                </c:pt>
                <c:pt idx="25">
                  <c:v>59.584857940673828</c:v>
                </c:pt>
                <c:pt idx="26">
                  <c:v>77.655677795410156</c:v>
                </c:pt>
                <c:pt idx="27">
                  <c:v>95.726493835449219</c:v>
                </c:pt>
                <c:pt idx="28">
                  <c:v>112.82051086425781</c:v>
                </c:pt>
                <c:pt idx="29">
                  <c:v>127.96092987060547</c:v>
                </c:pt>
                <c:pt idx="30">
                  <c:v>125.03052520751953</c:v>
                </c:pt>
                <c:pt idx="31">
                  <c:v>105.4945068359375</c:v>
                </c:pt>
                <c:pt idx="32">
                  <c:v>126.4957275390625</c:v>
                </c:pt>
                <c:pt idx="33">
                  <c:v>195.36019897460937</c:v>
                </c:pt>
                <c:pt idx="34">
                  <c:v>255.43345642089844</c:v>
                </c:pt>
                <c:pt idx="35">
                  <c:v>264.22467041015625</c:v>
                </c:pt>
                <c:pt idx="36">
                  <c:v>261.78265380859375</c:v>
                </c:pt>
                <c:pt idx="37">
                  <c:v>293.5286865234375</c:v>
                </c:pt>
                <c:pt idx="38">
                  <c:v>314.04150390625</c:v>
                </c:pt>
                <c:pt idx="39">
                  <c:v>323.32113647460937</c:v>
                </c:pt>
                <c:pt idx="40">
                  <c:v>337.4847412109375</c:v>
                </c:pt>
                <c:pt idx="41">
                  <c:v>402.93038940429687</c:v>
                </c:pt>
                <c:pt idx="42">
                  <c:v>547.008544921875</c:v>
                </c:pt>
                <c:pt idx="43">
                  <c:v>651.037841796875</c:v>
                </c:pt>
                <c:pt idx="44">
                  <c:v>675.4578857421875</c:v>
                </c:pt>
                <c:pt idx="45">
                  <c:v>629.059814453125</c:v>
                </c:pt>
                <c:pt idx="46">
                  <c:v>607.081787109375</c:v>
                </c:pt>
                <c:pt idx="47">
                  <c:v>715.5067138671875</c:v>
                </c:pt>
                <c:pt idx="48">
                  <c:v>811.72161865234375</c:v>
                </c:pt>
                <c:pt idx="49">
                  <c:v>831.74603271484375</c:v>
                </c:pt>
                <c:pt idx="50">
                  <c:v>879.120849609375</c:v>
                </c:pt>
                <c:pt idx="51">
                  <c:v>909.89013671875</c:v>
                </c:pt>
                <c:pt idx="52">
                  <c:v>865.93408203125</c:v>
                </c:pt>
                <c:pt idx="53">
                  <c:v>749.20635986328125</c:v>
                </c:pt>
                <c:pt idx="54">
                  <c:v>603.17462158203125</c:v>
                </c:pt>
                <c:pt idx="55">
                  <c:v>498.65689086914063</c:v>
                </c:pt>
                <c:pt idx="56">
                  <c:v>437.11843872070312</c:v>
                </c:pt>
                <c:pt idx="57">
                  <c:v>360.4395751953125</c:v>
                </c:pt>
                <c:pt idx="58">
                  <c:v>285.22589111328125</c:v>
                </c:pt>
                <c:pt idx="59">
                  <c:v>231.990234375</c:v>
                </c:pt>
                <c:pt idx="60">
                  <c:v>183.63858032226562</c:v>
                </c:pt>
                <c:pt idx="61">
                  <c:v>149.93894958496094</c:v>
                </c:pt>
                <c:pt idx="62">
                  <c:v>143.10134887695312</c:v>
                </c:pt>
                <c:pt idx="63">
                  <c:v>145.05494689941406</c:v>
                </c:pt>
                <c:pt idx="64">
                  <c:v>135.28694152832031</c:v>
                </c:pt>
                <c:pt idx="65">
                  <c:v>122.58852386474609</c:v>
                </c:pt>
                <c:pt idx="66">
                  <c:v>120.14652252197266</c:v>
                </c:pt>
                <c:pt idx="67">
                  <c:v>116.72771453857422</c:v>
                </c:pt>
                <c:pt idx="68">
                  <c:v>104.51770782470703</c:v>
                </c:pt>
                <c:pt idx="69">
                  <c:v>96.214897155761719</c:v>
                </c:pt>
                <c:pt idx="70">
                  <c:v>103.05250549316406</c:v>
                </c:pt>
                <c:pt idx="71">
                  <c:v>118.68132019042969</c:v>
                </c:pt>
                <c:pt idx="72">
                  <c:v>131.37973022460937</c:v>
                </c:pt>
                <c:pt idx="73">
                  <c:v>138.21733093261719</c:v>
                </c:pt>
                <c:pt idx="74">
                  <c:v>144.56654357910156</c:v>
                </c:pt>
                <c:pt idx="75">
                  <c:v>147.9853515625</c:v>
                </c:pt>
                <c:pt idx="76">
                  <c:v>144.56654357910156</c:v>
                </c:pt>
                <c:pt idx="77">
                  <c:v>135.77532958984375</c:v>
                </c:pt>
                <c:pt idx="78">
                  <c:v>131.37973022460937</c:v>
                </c:pt>
                <c:pt idx="79">
                  <c:v>142.12454223632812</c:v>
                </c:pt>
                <c:pt idx="80">
                  <c:v>160.19535827636719</c:v>
                </c:pt>
                <c:pt idx="81">
                  <c:v>153.35775756835937</c:v>
                </c:pt>
                <c:pt idx="82">
                  <c:v>126.00732421875</c:v>
                </c:pt>
                <c:pt idx="83">
                  <c:v>113.30891418457031</c:v>
                </c:pt>
                <c:pt idx="84">
                  <c:v>118.68132019042969</c:v>
                </c:pt>
                <c:pt idx="85">
                  <c:v>126.4957275390625</c:v>
                </c:pt>
                <c:pt idx="86">
                  <c:v>126.00732421875</c:v>
                </c:pt>
                <c:pt idx="87">
                  <c:v>115.75091552734375</c:v>
                </c:pt>
                <c:pt idx="88">
                  <c:v>100.61050415039062</c:v>
                </c:pt>
                <c:pt idx="89">
                  <c:v>87.423690795898438</c:v>
                </c:pt>
                <c:pt idx="90">
                  <c:v>83.516487121582031</c:v>
                </c:pt>
                <c:pt idx="91">
                  <c:v>82.051284790039062</c:v>
                </c:pt>
                <c:pt idx="92">
                  <c:v>67.399269104003906</c:v>
                </c:pt>
                <c:pt idx="93">
                  <c:v>52.258853912353516</c:v>
                </c:pt>
                <c:pt idx="94">
                  <c:v>54.700855255126953</c:v>
                </c:pt>
                <c:pt idx="95">
                  <c:v>62.515262603759766</c:v>
                </c:pt>
                <c:pt idx="96">
                  <c:v>57.142856597900391</c:v>
                </c:pt>
                <c:pt idx="97">
                  <c:v>37.118438720703125</c:v>
                </c:pt>
                <c:pt idx="98">
                  <c:v>21.001220703125</c:v>
                </c:pt>
                <c:pt idx="99">
                  <c:v>22.466423034667969</c:v>
                </c:pt>
                <c:pt idx="100">
                  <c:v>31.257631301879883</c:v>
                </c:pt>
                <c:pt idx="101">
                  <c:v>30.769229888916016</c:v>
                </c:pt>
                <c:pt idx="102">
                  <c:v>15.628815650939941</c:v>
                </c:pt>
                <c:pt idx="103">
                  <c:v>0.48840048909187317</c:v>
                </c:pt>
                <c:pt idx="104">
                  <c:v>0.48840048909187317</c:v>
                </c:pt>
                <c:pt idx="105">
                  <c:v>0.48840048909187317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1.4652014970779419</c:v>
                </c:pt>
                <c:pt idx="145">
                  <c:v>2.9304029941558838</c:v>
                </c:pt>
                <c:pt idx="146">
                  <c:v>3.4188034534454346</c:v>
                </c:pt>
                <c:pt idx="147">
                  <c:v>3.4188034534454346</c:v>
                </c:pt>
                <c:pt idx="148">
                  <c:v>3.4188034534454346</c:v>
                </c:pt>
                <c:pt idx="149">
                  <c:v>3.9072039127349854</c:v>
                </c:pt>
                <c:pt idx="150">
                  <c:v>4.3956046104431152</c:v>
                </c:pt>
                <c:pt idx="151">
                  <c:v>4.884005069732666</c:v>
                </c:pt>
                <c:pt idx="152">
                  <c:v>5.8608059883117676</c:v>
                </c:pt>
                <c:pt idx="153">
                  <c:v>7.3260073661804199</c:v>
                </c:pt>
                <c:pt idx="154">
                  <c:v>9.768010139465332</c:v>
                </c:pt>
                <c:pt idx="155">
                  <c:v>10.744811058044434</c:v>
                </c:pt>
                <c:pt idx="156">
                  <c:v>11.233211517333984</c:v>
                </c:pt>
                <c:pt idx="157">
                  <c:v>10.744811058044434</c:v>
                </c:pt>
                <c:pt idx="158">
                  <c:v>10.744811058044434</c:v>
                </c:pt>
                <c:pt idx="159">
                  <c:v>12.210012435913086</c:v>
                </c:pt>
                <c:pt idx="160">
                  <c:v>13.186813354492187</c:v>
                </c:pt>
              </c:numCache>
            </c:numRef>
          </c:val>
        </c:ser>
        <c:ser>
          <c:idx val="16"/>
          <c:order val="16"/>
          <c:tx>
            <c:strRef>
              <c:f>data0!$R$1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data0!$R$2:$R$162</c:f>
              <c:numCache>
                <c:formatCode>General</c:formatCode>
                <c:ptCount val="161"/>
                <c:pt idx="0">
                  <c:v>2.9304029941558838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1.9536019563674927</c:v>
                </c:pt>
                <c:pt idx="9">
                  <c:v>2.442002534866333</c:v>
                </c:pt>
                <c:pt idx="10">
                  <c:v>2.442002534866333</c:v>
                </c:pt>
                <c:pt idx="11">
                  <c:v>2.442002534866333</c:v>
                </c:pt>
                <c:pt idx="12">
                  <c:v>3.4188034534454346</c:v>
                </c:pt>
                <c:pt idx="13">
                  <c:v>4.884005069732666</c:v>
                </c:pt>
                <c:pt idx="14">
                  <c:v>6.8376069068908691</c:v>
                </c:pt>
                <c:pt idx="15">
                  <c:v>6.8376069068908691</c:v>
                </c:pt>
                <c:pt idx="16">
                  <c:v>8.3028087615966797</c:v>
                </c:pt>
                <c:pt idx="17">
                  <c:v>13.186813354492187</c:v>
                </c:pt>
                <c:pt idx="18">
                  <c:v>17.094017028808594</c:v>
                </c:pt>
                <c:pt idx="19">
                  <c:v>21.001220703125</c:v>
                </c:pt>
                <c:pt idx="20">
                  <c:v>26.862026214599609</c:v>
                </c:pt>
                <c:pt idx="21">
                  <c:v>30.769229888916016</c:v>
                </c:pt>
                <c:pt idx="22">
                  <c:v>32.234432220458984</c:v>
                </c:pt>
                <c:pt idx="23">
                  <c:v>36.630035400390625</c:v>
                </c:pt>
                <c:pt idx="24">
                  <c:v>47.374847412109375</c:v>
                </c:pt>
                <c:pt idx="25">
                  <c:v>62.515262603759766</c:v>
                </c:pt>
                <c:pt idx="26">
                  <c:v>77.655677795410156</c:v>
                </c:pt>
                <c:pt idx="27">
                  <c:v>92.307693481445313</c:v>
                </c:pt>
                <c:pt idx="28">
                  <c:v>106.95970916748047</c:v>
                </c:pt>
                <c:pt idx="29">
                  <c:v>105.006103515625</c:v>
                </c:pt>
                <c:pt idx="30">
                  <c:v>87.912086486816406</c:v>
                </c:pt>
                <c:pt idx="31">
                  <c:v>104.02930450439453</c:v>
                </c:pt>
                <c:pt idx="32">
                  <c:v>161.66056823730469</c:v>
                </c:pt>
                <c:pt idx="33">
                  <c:v>208.54701232910156</c:v>
                </c:pt>
                <c:pt idx="34">
                  <c:v>219.29182434082031</c:v>
                </c:pt>
                <c:pt idx="35">
                  <c:v>228.57142639160156</c:v>
                </c:pt>
                <c:pt idx="36">
                  <c:v>264.71307373046875</c:v>
                </c:pt>
                <c:pt idx="37">
                  <c:v>279.36508178710937</c:v>
                </c:pt>
                <c:pt idx="38">
                  <c:v>279.36508178710937</c:v>
                </c:pt>
                <c:pt idx="39">
                  <c:v>285.22589111328125</c:v>
                </c:pt>
                <c:pt idx="40">
                  <c:v>351.15994262695312</c:v>
                </c:pt>
                <c:pt idx="41">
                  <c:v>479.12088012695312</c:v>
                </c:pt>
                <c:pt idx="42">
                  <c:v>566.05615234375</c:v>
                </c:pt>
                <c:pt idx="43">
                  <c:v>587.5457763671875</c:v>
                </c:pt>
                <c:pt idx="44">
                  <c:v>551.4041748046875</c:v>
                </c:pt>
                <c:pt idx="45">
                  <c:v>568.4981689453125</c:v>
                </c:pt>
                <c:pt idx="46">
                  <c:v>689.13311767578125</c:v>
                </c:pt>
                <c:pt idx="47">
                  <c:v>752.62518310546875</c:v>
                </c:pt>
                <c:pt idx="48">
                  <c:v>771.67279052734375</c:v>
                </c:pt>
                <c:pt idx="49">
                  <c:v>836.14166259765625</c:v>
                </c:pt>
                <c:pt idx="50">
                  <c:v>878.63250732421875</c:v>
                </c:pt>
                <c:pt idx="51">
                  <c:v>848.84002685546875</c:v>
                </c:pt>
                <c:pt idx="52">
                  <c:v>747.74114990234375</c:v>
                </c:pt>
                <c:pt idx="53">
                  <c:v>632.967041015625</c:v>
                </c:pt>
                <c:pt idx="54">
                  <c:v>578.75457763671875</c:v>
                </c:pt>
                <c:pt idx="55">
                  <c:v>526.984130859375</c:v>
                </c:pt>
                <c:pt idx="56">
                  <c:v>436.63003540039062</c:v>
                </c:pt>
                <c:pt idx="57">
                  <c:v>347.25274658203125</c:v>
                </c:pt>
                <c:pt idx="58">
                  <c:v>272.0390625</c:v>
                </c:pt>
                <c:pt idx="59">
                  <c:v>202.68620300292969</c:v>
                </c:pt>
                <c:pt idx="60">
                  <c:v>161.66056823730469</c:v>
                </c:pt>
                <c:pt idx="61">
                  <c:v>153.84616088867187</c:v>
                </c:pt>
                <c:pt idx="62">
                  <c:v>145.54335021972656</c:v>
                </c:pt>
                <c:pt idx="63">
                  <c:v>126.98412322998047</c:v>
                </c:pt>
                <c:pt idx="64">
                  <c:v>116.72771453857422</c:v>
                </c:pt>
                <c:pt idx="65">
                  <c:v>114.28571319580078</c:v>
                </c:pt>
                <c:pt idx="66">
                  <c:v>105.4945068359375</c:v>
                </c:pt>
                <c:pt idx="67">
                  <c:v>93.284492492675781</c:v>
                </c:pt>
                <c:pt idx="68">
                  <c:v>92.796089172363281</c:v>
                </c:pt>
                <c:pt idx="69">
                  <c:v>105.006103515625</c:v>
                </c:pt>
                <c:pt idx="70">
                  <c:v>119.65811920166016</c:v>
                </c:pt>
                <c:pt idx="71">
                  <c:v>123.56532287597656</c:v>
                </c:pt>
                <c:pt idx="72">
                  <c:v>122.10012054443359</c:v>
                </c:pt>
                <c:pt idx="73">
                  <c:v>122.58852386474609</c:v>
                </c:pt>
                <c:pt idx="74">
                  <c:v>122.10012054443359</c:v>
                </c:pt>
                <c:pt idx="75">
                  <c:v>118.19291687011719</c:v>
                </c:pt>
                <c:pt idx="76">
                  <c:v>116.23931884765625</c:v>
                </c:pt>
                <c:pt idx="77">
                  <c:v>126.00732421875</c:v>
                </c:pt>
                <c:pt idx="78">
                  <c:v>148.4737548828125</c:v>
                </c:pt>
                <c:pt idx="79">
                  <c:v>157.75335693359375</c:v>
                </c:pt>
                <c:pt idx="80">
                  <c:v>136.75213623046875</c:v>
                </c:pt>
                <c:pt idx="81">
                  <c:v>115.26251220703125</c:v>
                </c:pt>
                <c:pt idx="82">
                  <c:v>113.79731750488281</c:v>
                </c:pt>
                <c:pt idx="83">
                  <c:v>121.12332153320312</c:v>
                </c:pt>
                <c:pt idx="84">
                  <c:v>124.05372619628906</c:v>
                </c:pt>
                <c:pt idx="85">
                  <c:v>118.68132019042969</c:v>
                </c:pt>
                <c:pt idx="86">
                  <c:v>108.42491149902344</c:v>
                </c:pt>
                <c:pt idx="87">
                  <c:v>99.145301818847656</c:v>
                </c:pt>
                <c:pt idx="88">
                  <c:v>95.23809814453125</c:v>
                </c:pt>
                <c:pt idx="89">
                  <c:v>93.772895812988281</c:v>
                </c:pt>
                <c:pt idx="90">
                  <c:v>81.074478149414063</c:v>
                </c:pt>
                <c:pt idx="91">
                  <c:v>61.050060272216797</c:v>
                </c:pt>
                <c:pt idx="92">
                  <c:v>54.700855255126953</c:v>
                </c:pt>
                <c:pt idx="93">
                  <c:v>60.561660766601562</c:v>
                </c:pt>
                <c:pt idx="94">
                  <c:v>58.608058929443359</c:v>
                </c:pt>
                <c:pt idx="95">
                  <c:v>41.025642395019531</c:v>
                </c:pt>
                <c:pt idx="96">
                  <c:v>23.931623458862305</c:v>
                </c:pt>
                <c:pt idx="97">
                  <c:v>23.931623458862305</c:v>
                </c:pt>
                <c:pt idx="98">
                  <c:v>33.699634552001953</c:v>
                </c:pt>
                <c:pt idx="99">
                  <c:v>35.653236389160156</c:v>
                </c:pt>
                <c:pt idx="100">
                  <c:v>23.44322395324707</c:v>
                </c:pt>
                <c:pt idx="101">
                  <c:v>6.8376069068908691</c:v>
                </c:pt>
                <c:pt idx="102">
                  <c:v>0.97680097818374634</c:v>
                </c:pt>
                <c:pt idx="103">
                  <c:v>2.9304029941558838</c:v>
                </c:pt>
                <c:pt idx="104">
                  <c:v>2.442002534866333</c:v>
                </c:pt>
                <c:pt idx="105">
                  <c:v>0.48840048909187317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0.48840048909187317</c:v>
                </c:pt>
                <c:pt idx="146">
                  <c:v>0.48840048909187317</c:v>
                </c:pt>
                <c:pt idx="147">
                  <c:v>0.97680097818374634</c:v>
                </c:pt>
                <c:pt idx="148">
                  <c:v>1.9536019563674927</c:v>
                </c:pt>
                <c:pt idx="149">
                  <c:v>2.9304029941558838</c:v>
                </c:pt>
                <c:pt idx="150">
                  <c:v>4.884005069732666</c:v>
                </c:pt>
                <c:pt idx="151">
                  <c:v>6.3492064476013184</c:v>
                </c:pt>
                <c:pt idx="152">
                  <c:v>8.3028087615966797</c:v>
                </c:pt>
                <c:pt idx="153">
                  <c:v>8.7912092208862305</c:v>
                </c:pt>
                <c:pt idx="154">
                  <c:v>8.7912092208862305</c:v>
                </c:pt>
                <c:pt idx="155">
                  <c:v>8.3028087615966797</c:v>
                </c:pt>
                <c:pt idx="156">
                  <c:v>9.2796096801757812</c:v>
                </c:pt>
                <c:pt idx="157">
                  <c:v>10.744811058044434</c:v>
                </c:pt>
                <c:pt idx="158">
                  <c:v>12.210012435913086</c:v>
                </c:pt>
                <c:pt idx="159">
                  <c:v>13.186813354492187</c:v>
                </c:pt>
                <c:pt idx="160">
                  <c:v>13.675213813781738</c:v>
                </c:pt>
              </c:numCache>
            </c:numRef>
          </c:val>
        </c:ser>
        <c:ser>
          <c:idx val="17"/>
          <c:order val="17"/>
          <c:tx>
            <c:strRef>
              <c:f>data0!$S$1</c:f>
              <c:strCache>
                <c:ptCount val="1"/>
                <c:pt idx="0">
                  <c:v>25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data0!$S$2:$S$162</c:f>
              <c:numCache>
                <c:formatCode>General</c:formatCode>
                <c:ptCount val="161"/>
                <c:pt idx="0">
                  <c:v>22.954822540283203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1.9536019563674927</c:v>
                </c:pt>
                <c:pt idx="9">
                  <c:v>1.9536019563674927</c:v>
                </c:pt>
                <c:pt idx="10">
                  <c:v>1.9536019563674927</c:v>
                </c:pt>
                <c:pt idx="11">
                  <c:v>2.9304029941558838</c:v>
                </c:pt>
                <c:pt idx="12">
                  <c:v>3.9072039127349854</c:v>
                </c:pt>
                <c:pt idx="13">
                  <c:v>4.884005069732666</c:v>
                </c:pt>
                <c:pt idx="14">
                  <c:v>5.3724055290222168</c:v>
                </c:pt>
                <c:pt idx="15">
                  <c:v>6.3492064476013184</c:v>
                </c:pt>
                <c:pt idx="16">
                  <c:v>10.744811058044434</c:v>
                </c:pt>
                <c:pt idx="17">
                  <c:v>13.675213813781738</c:v>
                </c:pt>
                <c:pt idx="18">
                  <c:v>17.094017028808594</c:v>
                </c:pt>
                <c:pt idx="19">
                  <c:v>21.489622116088867</c:v>
                </c:pt>
                <c:pt idx="20">
                  <c:v>24.420024871826172</c:v>
                </c:pt>
                <c:pt idx="21">
                  <c:v>25.396825790405273</c:v>
                </c:pt>
                <c:pt idx="22">
                  <c:v>29.792428970336914</c:v>
                </c:pt>
                <c:pt idx="23">
                  <c:v>39.072040557861328</c:v>
                </c:pt>
                <c:pt idx="24">
                  <c:v>51.282051086425781</c:v>
                </c:pt>
                <c:pt idx="25">
                  <c:v>63.980464935302734</c:v>
                </c:pt>
                <c:pt idx="26">
                  <c:v>76.190475463867187</c:v>
                </c:pt>
                <c:pt idx="27">
                  <c:v>87.423690795898438</c:v>
                </c:pt>
                <c:pt idx="28">
                  <c:v>82.051284790039062</c:v>
                </c:pt>
                <c:pt idx="29">
                  <c:v>71.794868469238281</c:v>
                </c:pt>
                <c:pt idx="30">
                  <c:v>96.703300476074219</c:v>
                </c:pt>
                <c:pt idx="31">
                  <c:v>141.14773559570312</c:v>
                </c:pt>
                <c:pt idx="32">
                  <c:v>166.54457092285156</c:v>
                </c:pt>
                <c:pt idx="33">
                  <c:v>172.89376831054687</c:v>
                </c:pt>
                <c:pt idx="34">
                  <c:v>198.29060363769531</c:v>
                </c:pt>
                <c:pt idx="35">
                  <c:v>236.87423706054687</c:v>
                </c:pt>
                <c:pt idx="36">
                  <c:v>248.10745239257812</c:v>
                </c:pt>
                <c:pt idx="37">
                  <c:v>246.15383911132812</c:v>
                </c:pt>
                <c:pt idx="38">
                  <c:v>253.4798583984375</c:v>
                </c:pt>
                <c:pt idx="39">
                  <c:v>332.11233520507812</c:v>
                </c:pt>
                <c:pt idx="40">
                  <c:v>430.76922607421875</c:v>
                </c:pt>
                <c:pt idx="41">
                  <c:v>484.981689453125</c:v>
                </c:pt>
                <c:pt idx="42">
                  <c:v>487.91207885742187</c:v>
                </c:pt>
                <c:pt idx="43">
                  <c:v>477.16726684570312</c:v>
                </c:pt>
                <c:pt idx="44">
                  <c:v>567.032958984375</c:v>
                </c:pt>
                <c:pt idx="45">
                  <c:v>678.876708984375</c:v>
                </c:pt>
                <c:pt idx="46">
                  <c:v>706.71551513671875</c:v>
                </c:pt>
                <c:pt idx="47">
                  <c:v>749.69476318359375</c:v>
                </c:pt>
                <c:pt idx="48">
                  <c:v>809.76800537109375</c:v>
                </c:pt>
                <c:pt idx="49">
                  <c:v>829.79241943359375</c:v>
                </c:pt>
                <c:pt idx="50">
                  <c:v>791.69720458984375</c:v>
                </c:pt>
                <c:pt idx="51">
                  <c:v>712.5762939453125</c:v>
                </c:pt>
                <c:pt idx="52">
                  <c:v>677.4114990234375</c:v>
                </c:pt>
                <c:pt idx="53">
                  <c:v>678.876708984375</c:v>
                </c:pt>
                <c:pt idx="54">
                  <c:v>625.64105224609375</c:v>
                </c:pt>
                <c:pt idx="55">
                  <c:v>532.35650634765625</c:v>
                </c:pt>
                <c:pt idx="56">
                  <c:v>441.5140380859375</c:v>
                </c:pt>
                <c:pt idx="57">
                  <c:v>332.11233520507812</c:v>
                </c:pt>
                <c:pt idx="58">
                  <c:v>243.71183776855469</c:v>
                </c:pt>
                <c:pt idx="59">
                  <c:v>207.08180236816406</c:v>
                </c:pt>
                <c:pt idx="60">
                  <c:v>184.61538696289062</c:v>
                </c:pt>
                <c:pt idx="61">
                  <c:v>152.86935424804687</c:v>
                </c:pt>
                <c:pt idx="62">
                  <c:v>128.93772888183594</c:v>
                </c:pt>
                <c:pt idx="63">
                  <c:v>121.12332153320312</c:v>
                </c:pt>
                <c:pt idx="64">
                  <c:v>110.86691284179687</c:v>
                </c:pt>
                <c:pt idx="65">
                  <c:v>95.726493835449219</c:v>
                </c:pt>
                <c:pt idx="66">
                  <c:v>92.307693481445313</c:v>
                </c:pt>
                <c:pt idx="67">
                  <c:v>104.51770782470703</c:v>
                </c:pt>
                <c:pt idx="68">
                  <c:v>119.16971588134766</c:v>
                </c:pt>
                <c:pt idx="69">
                  <c:v>125.03052520751953</c:v>
                </c:pt>
                <c:pt idx="70">
                  <c:v>123.07691955566406</c:v>
                </c:pt>
                <c:pt idx="71">
                  <c:v>118.19291687011719</c:v>
                </c:pt>
                <c:pt idx="72">
                  <c:v>109.89010620117187</c:v>
                </c:pt>
                <c:pt idx="73">
                  <c:v>102.07569885253906</c:v>
                </c:pt>
                <c:pt idx="74">
                  <c:v>102.56410217285156</c:v>
                </c:pt>
                <c:pt idx="75">
                  <c:v>116.23931884765625</c:v>
                </c:pt>
                <c:pt idx="76">
                  <c:v>143.10134887695312</c:v>
                </c:pt>
                <c:pt idx="77">
                  <c:v>159.70695495605469</c:v>
                </c:pt>
                <c:pt idx="78">
                  <c:v>148.4737548828125</c:v>
                </c:pt>
                <c:pt idx="79">
                  <c:v>132.84494018554687</c:v>
                </c:pt>
                <c:pt idx="80">
                  <c:v>132.84494018554687</c:v>
                </c:pt>
                <c:pt idx="81">
                  <c:v>140.17094421386719</c:v>
                </c:pt>
                <c:pt idx="82">
                  <c:v>140.65934753417969</c:v>
                </c:pt>
                <c:pt idx="83">
                  <c:v>132.35653686523437</c:v>
                </c:pt>
                <c:pt idx="84">
                  <c:v>123.07691955566406</c:v>
                </c:pt>
                <c:pt idx="85">
                  <c:v>119.16971588134766</c:v>
                </c:pt>
                <c:pt idx="86">
                  <c:v>123.07691955566406</c:v>
                </c:pt>
                <c:pt idx="87">
                  <c:v>126.98412322998047</c:v>
                </c:pt>
                <c:pt idx="88">
                  <c:v>115.75091552734375</c:v>
                </c:pt>
                <c:pt idx="89">
                  <c:v>95.23809814453125</c:v>
                </c:pt>
                <c:pt idx="90">
                  <c:v>84.981681823730469</c:v>
                </c:pt>
                <c:pt idx="91">
                  <c:v>84.4932861328125</c:v>
                </c:pt>
                <c:pt idx="92">
                  <c:v>75.702072143554688</c:v>
                </c:pt>
                <c:pt idx="93">
                  <c:v>54.212455749511719</c:v>
                </c:pt>
                <c:pt idx="94">
                  <c:v>39.072040557861328</c:v>
                </c:pt>
                <c:pt idx="95">
                  <c:v>42.490840911865234</c:v>
                </c:pt>
                <c:pt idx="96">
                  <c:v>53.724052429199219</c:v>
                </c:pt>
                <c:pt idx="97">
                  <c:v>54.700855255126953</c:v>
                </c:pt>
                <c:pt idx="98">
                  <c:v>42.979244232177734</c:v>
                </c:pt>
                <c:pt idx="99">
                  <c:v>31.746030807495117</c:v>
                </c:pt>
                <c:pt idx="100">
                  <c:v>28.327228546142578</c:v>
                </c:pt>
                <c:pt idx="101">
                  <c:v>27.350427627563477</c:v>
                </c:pt>
                <c:pt idx="102">
                  <c:v>21.978021621704102</c:v>
                </c:pt>
                <c:pt idx="103">
                  <c:v>14.65201473236084</c:v>
                </c:pt>
                <c:pt idx="104">
                  <c:v>8.3028087615966797</c:v>
                </c:pt>
                <c:pt idx="105">
                  <c:v>1.9536019563674927</c:v>
                </c:pt>
                <c:pt idx="106">
                  <c:v>0.48840048909187317</c:v>
                </c:pt>
                <c:pt idx="107">
                  <c:v>0.48840048909187317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1.4652014970779419</c:v>
                </c:pt>
                <c:pt idx="115">
                  <c:v>6.3492064476013184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0.48840048909187317</c:v>
                </c:pt>
                <c:pt idx="146">
                  <c:v>1.9536019563674927</c:v>
                </c:pt>
                <c:pt idx="147">
                  <c:v>3.9072039127349854</c:v>
                </c:pt>
                <c:pt idx="148">
                  <c:v>5.8608059883117676</c:v>
                </c:pt>
                <c:pt idx="149">
                  <c:v>6.8376069068908691</c:v>
                </c:pt>
                <c:pt idx="150">
                  <c:v>7.3260073661804199</c:v>
                </c:pt>
                <c:pt idx="151">
                  <c:v>6.8376069068908691</c:v>
                </c:pt>
                <c:pt idx="152">
                  <c:v>6.8376069068908691</c:v>
                </c:pt>
                <c:pt idx="153">
                  <c:v>7.8144078254699707</c:v>
                </c:pt>
                <c:pt idx="154">
                  <c:v>9.2796096801757812</c:v>
                </c:pt>
                <c:pt idx="155">
                  <c:v>10.744811058044434</c:v>
                </c:pt>
                <c:pt idx="156">
                  <c:v>11.721611976623535</c:v>
                </c:pt>
                <c:pt idx="157">
                  <c:v>12.210012435913086</c:v>
                </c:pt>
                <c:pt idx="158">
                  <c:v>12.698412895202637</c:v>
                </c:pt>
                <c:pt idx="159">
                  <c:v>12.698412895202637</c:v>
                </c:pt>
                <c:pt idx="160">
                  <c:v>12.210012435913086</c:v>
                </c:pt>
              </c:numCache>
            </c:numRef>
          </c:val>
        </c:ser>
        <c:ser>
          <c:idx val="18"/>
          <c:order val="18"/>
          <c:tx>
            <c:strRef>
              <c:f>data0!$T$1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data0!$T$2:$T$162</c:f>
              <c:numCache>
                <c:formatCode>General</c:formatCode>
                <c:ptCount val="161"/>
                <c:pt idx="0">
                  <c:v>1.4652014970779419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1.4652014970779419</c:v>
                </c:pt>
                <c:pt idx="9">
                  <c:v>1.9536019563674927</c:v>
                </c:pt>
                <c:pt idx="10">
                  <c:v>2.442002534866333</c:v>
                </c:pt>
                <c:pt idx="11">
                  <c:v>3.4188034534454346</c:v>
                </c:pt>
                <c:pt idx="12">
                  <c:v>3.9072039127349854</c:v>
                </c:pt>
                <c:pt idx="13">
                  <c:v>3.9072039127349854</c:v>
                </c:pt>
                <c:pt idx="14">
                  <c:v>5.3724055290222168</c:v>
                </c:pt>
                <c:pt idx="15">
                  <c:v>8.7912092208862305</c:v>
                </c:pt>
                <c:pt idx="16">
                  <c:v>11.233211517333984</c:v>
                </c:pt>
                <c:pt idx="17">
                  <c:v>13.675213813781738</c:v>
                </c:pt>
                <c:pt idx="18">
                  <c:v>17.094017028808594</c:v>
                </c:pt>
                <c:pt idx="19">
                  <c:v>18.559219360351562</c:v>
                </c:pt>
                <c:pt idx="20">
                  <c:v>20.024419784545898</c:v>
                </c:pt>
                <c:pt idx="21">
                  <c:v>24.908424377441406</c:v>
                </c:pt>
                <c:pt idx="22">
                  <c:v>32.722831726074219</c:v>
                </c:pt>
                <c:pt idx="23">
                  <c:v>42.00244140625</c:v>
                </c:pt>
                <c:pt idx="24">
                  <c:v>52.258853912353516</c:v>
                </c:pt>
                <c:pt idx="25">
                  <c:v>62.026863098144531</c:v>
                </c:pt>
                <c:pt idx="26">
                  <c:v>65.934066772460938</c:v>
                </c:pt>
                <c:pt idx="27">
                  <c:v>58.119659423828125</c:v>
                </c:pt>
                <c:pt idx="28">
                  <c:v>63.980464935302734</c:v>
                </c:pt>
                <c:pt idx="29">
                  <c:v>96.703300476074219</c:v>
                </c:pt>
                <c:pt idx="30">
                  <c:v>124.05372619628906</c:v>
                </c:pt>
                <c:pt idx="31">
                  <c:v>128.93772888183594</c:v>
                </c:pt>
                <c:pt idx="32">
                  <c:v>138.70573425292969</c:v>
                </c:pt>
                <c:pt idx="33">
                  <c:v>170.45176696777344</c:v>
                </c:pt>
                <c:pt idx="34">
                  <c:v>196.82539367675781</c:v>
                </c:pt>
                <c:pt idx="35">
                  <c:v>209.03541564941406</c:v>
                </c:pt>
                <c:pt idx="36">
                  <c:v>213.91941833496094</c:v>
                </c:pt>
                <c:pt idx="37">
                  <c:v>254.45664978027344</c:v>
                </c:pt>
                <c:pt idx="38">
                  <c:v>327.71673583984375</c:v>
                </c:pt>
                <c:pt idx="39">
                  <c:v>373.13796997070312</c:v>
                </c:pt>
                <c:pt idx="40">
                  <c:v>385.34799194335937</c:v>
                </c:pt>
                <c:pt idx="41">
                  <c:v>380.4639892578125</c:v>
                </c:pt>
                <c:pt idx="42">
                  <c:v>452.25885009765625</c:v>
                </c:pt>
                <c:pt idx="43">
                  <c:v>568.986572265625</c:v>
                </c:pt>
                <c:pt idx="44">
                  <c:v>622.22222900390625</c:v>
                </c:pt>
                <c:pt idx="45">
                  <c:v>673.5042724609375</c:v>
                </c:pt>
                <c:pt idx="46">
                  <c:v>736.01953125</c:v>
                </c:pt>
                <c:pt idx="47">
                  <c:v>758.974365234375</c:v>
                </c:pt>
                <c:pt idx="48">
                  <c:v>738.4615478515625</c:v>
                </c:pt>
                <c:pt idx="49">
                  <c:v>688.64471435546875</c:v>
                </c:pt>
                <c:pt idx="50">
                  <c:v>692.0634765625</c:v>
                </c:pt>
                <c:pt idx="51">
                  <c:v>742.36871337890625</c:v>
                </c:pt>
                <c:pt idx="52">
                  <c:v>738.4615478515625</c:v>
                </c:pt>
                <c:pt idx="53">
                  <c:v>690.5982666015625</c:v>
                </c:pt>
                <c:pt idx="54">
                  <c:v>624.66424560546875</c:v>
                </c:pt>
                <c:pt idx="55">
                  <c:v>504.5177001953125</c:v>
                </c:pt>
                <c:pt idx="56">
                  <c:v>389.25518798828125</c:v>
                </c:pt>
                <c:pt idx="57">
                  <c:v>327.71673583984375</c:v>
                </c:pt>
                <c:pt idx="58">
                  <c:v>274.969482421875</c:v>
                </c:pt>
                <c:pt idx="59">
                  <c:v>208.54701232910156</c:v>
                </c:pt>
                <c:pt idx="60">
                  <c:v>162.14895629882812</c:v>
                </c:pt>
                <c:pt idx="61">
                  <c:v>141.14773559570312</c:v>
                </c:pt>
                <c:pt idx="62">
                  <c:v>119.65811920166016</c:v>
                </c:pt>
                <c:pt idx="63">
                  <c:v>98.656898498535156</c:v>
                </c:pt>
                <c:pt idx="64">
                  <c:v>95.726493835449219</c:v>
                </c:pt>
                <c:pt idx="65">
                  <c:v>107.93650817871094</c:v>
                </c:pt>
                <c:pt idx="66">
                  <c:v>120.63491821289062</c:v>
                </c:pt>
                <c:pt idx="67">
                  <c:v>123.56532287597656</c:v>
                </c:pt>
                <c:pt idx="68">
                  <c:v>121.12332153320312</c:v>
                </c:pt>
                <c:pt idx="69">
                  <c:v>115.26251220703125</c:v>
                </c:pt>
                <c:pt idx="70">
                  <c:v>104.02930450439453</c:v>
                </c:pt>
                <c:pt idx="71">
                  <c:v>92.307693481445313</c:v>
                </c:pt>
                <c:pt idx="72">
                  <c:v>90.842491149902344</c:v>
                </c:pt>
                <c:pt idx="73">
                  <c:v>105.4945068359375</c:v>
                </c:pt>
                <c:pt idx="74">
                  <c:v>128.44932556152344</c:v>
                </c:pt>
                <c:pt idx="75">
                  <c:v>138.70573425292969</c:v>
                </c:pt>
                <c:pt idx="76">
                  <c:v>132.84494018554687</c:v>
                </c:pt>
                <c:pt idx="77">
                  <c:v>132.84494018554687</c:v>
                </c:pt>
                <c:pt idx="78">
                  <c:v>146.03175354003906</c:v>
                </c:pt>
                <c:pt idx="79">
                  <c:v>158.24176025390625</c:v>
                </c:pt>
                <c:pt idx="80">
                  <c:v>156.77655029296875</c:v>
                </c:pt>
                <c:pt idx="81">
                  <c:v>145.54335021972656</c:v>
                </c:pt>
                <c:pt idx="82">
                  <c:v>137.72894287109375</c:v>
                </c:pt>
                <c:pt idx="83">
                  <c:v>139.19413757324219</c:v>
                </c:pt>
                <c:pt idx="84">
                  <c:v>147.4969482421875</c:v>
                </c:pt>
                <c:pt idx="85">
                  <c:v>147.008544921875</c:v>
                </c:pt>
                <c:pt idx="86">
                  <c:v>131.86813354492187</c:v>
                </c:pt>
                <c:pt idx="87">
                  <c:v>117.21611785888672</c:v>
                </c:pt>
                <c:pt idx="88">
                  <c:v>112.33211517333984</c:v>
                </c:pt>
                <c:pt idx="89">
                  <c:v>107.44810485839844</c:v>
                </c:pt>
                <c:pt idx="90">
                  <c:v>91.330894470214844</c:v>
                </c:pt>
                <c:pt idx="91">
                  <c:v>69.841270446777344</c:v>
                </c:pt>
                <c:pt idx="92">
                  <c:v>62.026863098144531</c:v>
                </c:pt>
                <c:pt idx="93">
                  <c:v>69.352867126464844</c:v>
                </c:pt>
                <c:pt idx="94">
                  <c:v>74.725273132324219</c:v>
                </c:pt>
                <c:pt idx="95">
                  <c:v>68.376068115234375</c:v>
                </c:pt>
                <c:pt idx="96">
                  <c:v>58.119659423828125</c:v>
                </c:pt>
                <c:pt idx="97">
                  <c:v>55.189254760742187</c:v>
                </c:pt>
                <c:pt idx="98">
                  <c:v>54.212455749511719</c:v>
                </c:pt>
                <c:pt idx="99">
                  <c:v>49.328449249267578</c:v>
                </c:pt>
                <c:pt idx="100">
                  <c:v>41.025642395019531</c:v>
                </c:pt>
                <c:pt idx="101">
                  <c:v>32.722831726074219</c:v>
                </c:pt>
                <c:pt idx="102">
                  <c:v>25.885225296020508</c:v>
                </c:pt>
                <c:pt idx="103">
                  <c:v>19.047618865966797</c:v>
                </c:pt>
                <c:pt idx="104">
                  <c:v>14.163614273071289</c:v>
                </c:pt>
                <c:pt idx="105">
                  <c:v>13.675213813781738</c:v>
                </c:pt>
                <c:pt idx="106">
                  <c:v>14.65201473236084</c:v>
                </c:pt>
                <c:pt idx="107">
                  <c:v>11.233211517333984</c:v>
                </c:pt>
                <c:pt idx="108">
                  <c:v>1.9536019563674927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12.698412895202637</c:v>
                </c:pt>
                <c:pt idx="112">
                  <c:v>16.117216110229492</c:v>
                </c:pt>
                <c:pt idx="113">
                  <c:v>6.8376069068908691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2.442002534866333</c:v>
                </c:pt>
                <c:pt idx="144">
                  <c:v>4.3956046104431152</c:v>
                </c:pt>
                <c:pt idx="145">
                  <c:v>5.3724055290222168</c:v>
                </c:pt>
                <c:pt idx="146">
                  <c:v>5.8608059883117676</c:v>
                </c:pt>
                <c:pt idx="147">
                  <c:v>4.884005069732666</c:v>
                </c:pt>
                <c:pt idx="148">
                  <c:v>4.3956046104431152</c:v>
                </c:pt>
                <c:pt idx="149">
                  <c:v>5.3724055290222168</c:v>
                </c:pt>
                <c:pt idx="150">
                  <c:v>6.8376069068908691</c:v>
                </c:pt>
                <c:pt idx="151">
                  <c:v>8.3028087615966797</c:v>
                </c:pt>
                <c:pt idx="152">
                  <c:v>9.768010139465332</c:v>
                </c:pt>
                <c:pt idx="153">
                  <c:v>10.256410598754883</c:v>
                </c:pt>
                <c:pt idx="154">
                  <c:v>10.744811058044434</c:v>
                </c:pt>
                <c:pt idx="155">
                  <c:v>11.233211517333984</c:v>
                </c:pt>
                <c:pt idx="156">
                  <c:v>10.744811058044434</c:v>
                </c:pt>
                <c:pt idx="157">
                  <c:v>10.256410598754883</c:v>
                </c:pt>
                <c:pt idx="158">
                  <c:v>9.768010139465332</c:v>
                </c:pt>
                <c:pt idx="159">
                  <c:v>9.768010139465332</c:v>
                </c:pt>
                <c:pt idx="160">
                  <c:v>10.744811058044434</c:v>
                </c:pt>
              </c:numCache>
            </c:numRef>
          </c:val>
        </c:ser>
        <c:ser>
          <c:idx val="19"/>
          <c:order val="19"/>
          <c:tx>
            <c:strRef>
              <c:f>data0!$U$1</c:f>
              <c:strCache>
                <c:ptCount val="1"/>
                <c:pt idx="0">
                  <c:v>35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data0!$U$2:$U$162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1.4652014970779419</c:v>
                </c:pt>
                <c:pt idx="9">
                  <c:v>1.9536019563674927</c:v>
                </c:pt>
                <c:pt idx="10">
                  <c:v>2.442002534866333</c:v>
                </c:pt>
                <c:pt idx="11">
                  <c:v>2.9304029941558838</c:v>
                </c:pt>
                <c:pt idx="12">
                  <c:v>2.9304029941558838</c:v>
                </c:pt>
                <c:pt idx="13">
                  <c:v>4.3956046104431152</c:v>
                </c:pt>
                <c:pt idx="14">
                  <c:v>6.3492064476013184</c:v>
                </c:pt>
                <c:pt idx="15">
                  <c:v>8.3028087615966797</c:v>
                </c:pt>
                <c:pt idx="16">
                  <c:v>10.744811058044434</c:v>
                </c:pt>
                <c:pt idx="17">
                  <c:v>12.698412895202637</c:v>
                </c:pt>
                <c:pt idx="18">
                  <c:v>13.675213813781738</c:v>
                </c:pt>
                <c:pt idx="19">
                  <c:v>16.117216110229492</c:v>
                </c:pt>
                <c:pt idx="20">
                  <c:v>20.512821197509766</c:v>
                </c:pt>
                <c:pt idx="21">
                  <c:v>26.862026214599609</c:v>
                </c:pt>
                <c:pt idx="22">
                  <c:v>33.699634552001953</c:v>
                </c:pt>
                <c:pt idx="23">
                  <c:v>41.025642395019531</c:v>
                </c:pt>
                <c:pt idx="24">
                  <c:v>46.886447906494141</c:v>
                </c:pt>
                <c:pt idx="25">
                  <c:v>42.490840911865234</c:v>
                </c:pt>
                <c:pt idx="26">
                  <c:v>42.490840911865234</c:v>
                </c:pt>
                <c:pt idx="27">
                  <c:v>63.492061614990234</c:v>
                </c:pt>
                <c:pt idx="28">
                  <c:v>89.865692138671875</c:v>
                </c:pt>
                <c:pt idx="29">
                  <c:v>96.214897155761719</c:v>
                </c:pt>
                <c:pt idx="30">
                  <c:v>98.656898498535156</c:v>
                </c:pt>
                <c:pt idx="31">
                  <c:v>115.75091552734375</c:v>
                </c:pt>
                <c:pt idx="32">
                  <c:v>135.77532958984375</c:v>
                </c:pt>
                <c:pt idx="33">
                  <c:v>148.4737548828125</c:v>
                </c:pt>
                <c:pt idx="34">
                  <c:v>162.14895629882812</c:v>
                </c:pt>
                <c:pt idx="35">
                  <c:v>203.66300964355469</c:v>
                </c:pt>
                <c:pt idx="36">
                  <c:v>269.59707641601562</c:v>
                </c:pt>
                <c:pt idx="37">
                  <c:v>302.31991577148437</c:v>
                </c:pt>
                <c:pt idx="38">
                  <c:v>295.970703125</c:v>
                </c:pt>
                <c:pt idx="39">
                  <c:v>284.24908447265625</c:v>
                </c:pt>
                <c:pt idx="40">
                  <c:v>341.39193725585937</c:v>
                </c:pt>
                <c:pt idx="41">
                  <c:v>439.07205200195312</c:v>
                </c:pt>
                <c:pt idx="42">
                  <c:v>496.70330810546875</c:v>
                </c:pt>
                <c:pt idx="43">
                  <c:v>561.17218017578125</c:v>
                </c:pt>
                <c:pt idx="44">
                  <c:v>633.94384765625</c:v>
                </c:pt>
                <c:pt idx="45">
                  <c:v>665.20147705078125</c:v>
                </c:pt>
                <c:pt idx="46">
                  <c:v>646.64227294921875</c:v>
                </c:pt>
                <c:pt idx="47">
                  <c:v>610.989013671875</c:v>
                </c:pt>
                <c:pt idx="48">
                  <c:v>641.26983642578125</c:v>
                </c:pt>
                <c:pt idx="49">
                  <c:v>709.64593505859375</c:v>
                </c:pt>
                <c:pt idx="50">
                  <c:v>734.5543212890625</c:v>
                </c:pt>
                <c:pt idx="51">
                  <c:v>739.4383544921875</c:v>
                </c:pt>
                <c:pt idx="52">
                  <c:v>713.5531005859375</c:v>
                </c:pt>
                <c:pt idx="53">
                  <c:v>620.75701904296875</c:v>
                </c:pt>
                <c:pt idx="54">
                  <c:v>546.5201416015625</c:v>
                </c:pt>
                <c:pt idx="55">
                  <c:v>502.07571411132813</c:v>
                </c:pt>
                <c:pt idx="56">
                  <c:v>414.65200805664062</c:v>
                </c:pt>
                <c:pt idx="57">
                  <c:v>304.27349853515625</c:v>
                </c:pt>
                <c:pt idx="58">
                  <c:v>232.96702575683594</c:v>
                </c:pt>
                <c:pt idx="59">
                  <c:v>186.08058166503906</c:v>
                </c:pt>
                <c:pt idx="60">
                  <c:v>137.72894287109375</c:v>
                </c:pt>
                <c:pt idx="61">
                  <c:v>108.91330718994141</c:v>
                </c:pt>
                <c:pt idx="62">
                  <c:v>107.44810485839844</c:v>
                </c:pt>
                <c:pt idx="63">
                  <c:v>117.70452117919922</c:v>
                </c:pt>
                <c:pt idx="64">
                  <c:v>120.63491821289062</c:v>
                </c:pt>
                <c:pt idx="65">
                  <c:v>117.21611785888672</c:v>
                </c:pt>
                <c:pt idx="66">
                  <c:v>112.82051086425781</c:v>
                </c:pt>
                <c:pt idx="67">
                  <c:v>102.56410217285156</c:v>
                </c:pt>
                <c:pt idx="68">
                  <c:v>90.354087829589844</c:v>
                </c:pt>
                <c:pt idx="69">
                  <c:v>84.4932861328125</c:v>
                </c:pt>
                <c:pt idx="70">
                  <c:v>90.842491149902344</c:v>
                </c:pt>
                <c:pt idx="71">
                  <c:v>103.54090118408203</c:v>
                </c:pt>
                <c:pt idx="72">
                  <c:v>107.93650817871094</c:v>
                </c:pt>
                <c:pt idx="73">
                  <c:v>103.05250549316406</c:v>
                </c:pt>
                <c:pt idx="74">
                  <c:v>104.02930450439453</c:v>
                </c:pt>
                <c:pt idx="75">
                  <c:v>118.19291687011719</c:v>
                </c:pt>
                <c:pt idx="76">
                  <c:v>138.70573425292969</c:v>
                </c:pt>
                <c:pt idx="77">
                  <c:v>149.45054626464844</c:v>
                </c:pt>
                <c:pt idx="78">
                  <c:v>149.45054626464844</c:v>
                </c:pt>
                <c:pt idx="79">
                  <c:v>147.4969482421875</c:v>
                </c:pt>
                <c:pt idx="80">
                  <c:v>151.40414428710937</c:v>
                </c:pt>
                <c:pt idx="81">
                  <c:v>158.24176025390625</c:v>
                </c:pt>
                <c:pt idx="82">
                  <c:v>156.77655029296875</c:v>
                </c:pt>
                <c:pt idx="83">
                  <c:v>142.12454223632812</c:v>
                </c:pt>
                <c:pt idx="84">
                  <c:v>127.96092987060547</c:v>
                </c:pt>
                <c:pt idx="85">
                  <c:v>124.54212188720703</c:v>
                </c:pt>
                <c:pt idx="86">
                  <c:v>123.07691955566406</c:v>
                </c:pt>
                <c:pt idx="87">
                  <c:v>113.30891418457031</c:v>
                </c:pt>
                <c:pt idx="88">
                  <c:v>98.168495178222656</c:v>
                </c:pt>
                <c:pt idx="89">
                  <c:v>88.888885498046875</c:v>
                </c:pt>
                <c:pt idx="90">
                  <c:v>91.330894470214844</c:v>
                </c:pt>
                <c:pt idx="91">
                  <c:v>93.772895812988281</c:v>
                </c:pt>
                <c:pt idx="92">
                  <c:v>85.958488464355469</c:v>
                </c:pt>
                <c:pt idx="93">
                  <c:v>74.23687744140625</c:v>
                </c:pt>
                <c:pt idx="94">
                  <c:v>68.864471435546875</c:v>
                </c:pt>
                <c:pt idx="95">
                  <c:v>66.910865783691406</c:v>
                </c:pt>
                <c:pt idx="96">
                  <c:v>62.026863098144531</c:v>
                </c:pt>
                <c:pt idx="97">
                  <c:v>55.677654266357422</c:v>
                </c:pt>
                <c:pt idx="98">
                  <c:v>50.305252075195313</c:v>
                </c:pt>
                <c:pt idx="99">
                  <c:v>45.421245574951172</c:v>
                </c:pt>
                <c:pt idx="100">
                  <c:v>39.560440063476563</c:v>
                </c:pt>
                <c:pt idx="101">
                  <c:v>33.699634552001953</c:v>
                </c:pt>
                <c:pt idx="102">
                  <c:v>30.280830383300781</c:v>
                </c:pt>
                <c:pt idx="103">
                  <c:v>27.350427627563477</c:v>
                </c:pt>
                <c:pt idx="104">
                  <c:v>21.001220703125</c:v>
                </c:pt>
                <c:pt idx="105">
                  <c:v>11.721611976623535</c:v>
                </c:pt>
                <c:pt idx="106">
                  <c:v>7.8144078254699707</c:v>
                </c:pt>
                <c:pt idx="107">
                  <c:v>14.163614273071289</c:v>
                </c:pt>
                <c:pt idx="108">
                  <c:v>21.489622116088867</c:v>
                </c:pt>
                <c:pt idx="109">
                  <c:v>18.559219360351562</c:v>
                </c:pt>
                <c:pt idx="110">
                  <c:v>5.3724055290222168</c:v>
                </c:pt>
                <c:pt idx="111">
                  <c:v>0.48840048909187317</c:v>
                </c:pt>
                <c:pt idx="112">
                  <c:v>0.48840048909187317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2.9304029941558838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2.9304029941558838</c:v>
                </c:pt>
                <c:pt idx="141">
                  <c:v>3.9072039127349854</c:v>
                </c:pt>
                <c:pt idx="142">
                  <c:v>3.4188034534454346</c:v>
                </c:pt>
                <c:pt idx="143">
                  <c:v>1.9536019563674927</c:v>
                </c:pt>
                <c:pt idx="144">
                  <c:v>1.4652014970779419</c:v>
                </c:pt>
                <c:pt idx="145">
                  <c:v>2.442002534866333</c:v>
                </c:pt>
                <c:pt idx="146">
                  <c:v>4.3956046104431152</c:v>
                </c:pt>
                <c:pt idx="147">
                  <c:v>6.3492064476013184</c:v>
                </c:pt>
                <c:pt idx="148">
                  <c:v>7.8144078254699707</c:v>
                </c:pt>
                <c:pt idx="149">
                  <c:v>8.7912092208862305</c:v>
                </c:pt>
                <c:pt idx="150">
                  <c:v>8.7912092208862305</c:v>
                </c:pt>
                <c:pt idx="151">
                  <c:v>8.7912092208862305</c:v>
                </c:pt>
                <c:pt idx="152">
                  <c:v>8.7912092208862305</c:v>
                </c:pt>
                <c:pt idx="153">
                  <c:v>8.3028087615966797</c:v>
                </c:pt>
                <c:pt idx="154">
                  <c:v>7.8144078254699707</c:v>
                </c:pt>
                <c:pt idx="155">
                  <c:v>8.3028087615966797</c:v>
                </c:pt>
                <c:pt idx="156">
                  <c:v>8.7912092208862305</c:v>
                </c:pt>
                <c:pt idx="157">
                  <c:v>10.256410598754883</c:v>
                </c:pt>
                <c:pt idx="158">
                  <c:v>10.744811058044434</c:v>
                </c:pt>
                <c:pt idx="159">
                  <c:v>11.233211517333984</c:v>
                </c:pt>
                <c:pt idx="160">
                  <c:v>11.721611976623535</c:v>
                </c:pt>
              </c:numCache>
            </c:numRef>
          </c:val>
        </c:ser>
        <c:ser>
          <c:idx val="20"/>
          <c:order val="20"/>
          <c:tx>
            <c:strRef>
              <c:f>data0!$V$1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data0!$V$2:$V$162</c:f>
              <c:numCache>
                <c:formatCode>General</c:formatCode>
                <c:ptCount val="161"/>
                <c:pt idx="0">
                  <c:v>1.9536019563674927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1.4652014970779419</c:v>
                </c:pt>
                <c:pt idx="8">
                  <c:v>1.4652014970779419</c:v>
                </c:pt>
                <c:pt idx="9">
                  <c:v>1.9536019563674927</c:v>
                </c:pt>
                <c:pt idx="10">
                  <c:v>1.9536019563674927</c:v>
                </c:pt>
                <c:pt idx="11">
                  <c:v>2.442002534866333</c:v>
                </c:pt>
                <c:pt idx="12">
                  <c:v>3.4188034534454346</c:v>
                </c:pt>
                <c:pt idx="13">
                  <c:v>4.884005069732666</c:v>
                </c:pt>
                <c:pt idx="14">
                  <c:v>6.3492064476013184</c:v>
                </c:pt>
                <c:pt idx="15">
                  <c:v>7.8144078254699707</c:v>
                </c:pt>
                <c:pt idx="16">
                  <c:v>8.7912092208862305</c:v>
                </c:pt>
                <c:pt idx="17">
                  <c:v>10.256410598754883</c:v>
                </c:pt>
                <c:pt idx="18">
                  <c:v>12.698412895202637</c:v>
                </c:pt>
                <c:pt idx="19">
                  <c:v>17.094017028808594</c:v>
                </c:pt>
                <c:pt idx="20">
                  <c:v>21.489622116088867</c:v>
                </c:pt>
                <c:pt idx="21">
                  <c:v>26.373626708984375</c:v>
                </c:pt>
                <c:pt idx="22">
                  <c:v>30.769229888916016</c:v>
                </c:pt>
                <c:pt idx="23">
                  <c:v>29.30402946472168</c:v>
                </c:pt>
                <c:pt idx="24">
                  <c:v>28.327228546142578</c:v>
                </c:pt>
                <c:pt idx="25">
                  <c:v>41.514041900634766</c:v>
                </c:pt>
                <c:pt idx="26">
                  <c:v>60.073261260986328</c:v>
                </c:pt>
                <c:pt idx="27">
                  <c:v>67.399269104003906</c:v>
                </c:pt>
                <c:pt idx="28">
                  <c:v>71.306472778320313</c:v>
                </c:pt>
                <c:pt idx="29">
                  <c:v>83.028083801269531</c:v>
                </c:pt>
                <c:pt idx="30">
                  <c:v>94.26129150390625</c:v>
                </c:pt>
                <c:pt idx="31">
                  <c:v>99.145301818847656</c:v>
                </c:pt>
                <c:pt idx="32">
                  <c:v>108.42491149902344</c:v>
                </c:pt>
                <c:pt idx="33">
                  <c:v>145.54335021972656</c:v>
                </c:pt>
                <c:pt idx="34">
                  <c:v>202.68620300292969</c:v>
                </c:pt>
                <c:pt idx="35">
                  <c:v>238.33943176269531</c:v>
                </c:pt>
                <c:pt idx="36">
                  <c:v>236.87423706054687</c:v>
                </c:pt>
                <c:pt idx="37">
                  <c:v>224.17582702636719</c:v>
                </c:pt>
                <c:pt idx="38">
                  <c:v>264.71307373046875</c:v>
                </c:pt>
                <c:pt idx="39">
                  <c:v>322.34432983398437</c:v>
                </c:pt>
                <c:pt idx="40">
                  <c:v>365.81195068359375</c:v>
                </c:pt>
                <c:pt idx="41">
                  <c:v>432.72283935546875</c:v>
                </c:pt>
                <c:pt idx="42">
                  <c:v>499.63369750976562</c:v>
                </c:pt>
                <c:pt idx="43">
                  <c:v>532.84490966796875</c:v>
                </c:pt>
                <c:pt idx="44">
                  <c:v>529.91455078125</c:v>
                </c:pt>
                <c:pt idx="45">
                  <c:v>534.79852294921875</c:v>
                </c:pt>
                <c:pt idx="46">
                  <c:v>591.4530029296875</c:v>
                </c:pt>
                <c:pt idx="47">
                  <c:v>638.82781982421875</c:v>
                </c:pt>
                <c:pt idx="48">
                  <c:v>664.22467041015625</c:v>
                </c:pt>
                <c:pt idx="49">
                  <c:v>694.993896484375</c:v>
                </c:pt>
                <c:pt idx="50">
                  <c:v>681.31866455078125</c:v>
                </c:pt>
                <c:pt idx="51">
                  <c:v>646.64227294921875</c:v>
                </c:pt>
                <c:pt idx="52">
                  <c:v>657.87548828125</c:v>
                </c:pt>
                <c:pt idx="53">
                  <c:v>638.33941650390625</c:v>
                </c:pt>
                <c:pt idx="54">
                  <c:v>538.21734619140625</c:v>
                </c:pt>
                <c:pt idx="55">
                  <c:v>435.65322875976562</c:v>
                </c:pt>
                <c:pt idx="56">
                  <c:v>355.5555419921875</c:v>
                </c:pt>
                <c:pt idx="57">
                  <c:v>261.78265380859375</c:v>
                </c:pt>
                <c:pt idx="58">
                  <c:v>182.17338562011719</c:v>
                </c:pt>
                <c:pt idx="59">
                  <c:v>149.93894958496094</c:v>
                </c:pt>
                <c:pt idx="60">
                  <c:v>146.03175354003906</c:v>
                </c:pt>
                <c:pt idx="61">
                  <c:v>138.70573425292969</c:v>
                </c:pt>
                <c:pt idx="62">
                  <c:v>124.54212188720703</c:v>
                </c:pt>
                <c:pt idx="63">
                  <c:v>112.82051086425781</c:v>
                </c:pt>
                <c:pt idx="64">
                  <c:v>100.61050415039062</c:v>
                </c:pt>
                <c:pt idx="65">
                  <c:v>86.446884155273437</c:v>
                </c:pt>
                <c:pt idx="66">
                  <c:v>80.097679138183594</c:v>
                </c:pt>
                <c:pt idx="67">
                  <c:v>85.958488464355469</c:v>
                </c:pt>
                <c:pt idx="68">
                  <c:v>97.680099487304688</c:v>
                </c:pt>
                <c:pt idx="69">
                  <c:v>100.12210083007812</c:v>
                </c:pt>
                <c:pt idx="70">
                  <c:v>91.330894470214844</c:v>
                </c:pt>
                <c:pt idx="71">
                  <c:v>84.981681823730469</c:v>
                </c:pt>
                <c:pt idx="72">
                  <c:v>89.865692138671875</c:v>
                </c:pt>
                <c:pt idx="73">
                  <c:v>102.56410217285156</c:v>
                </c:pt>
                <c:pt idx="74">
                  <c:v>112.82051086425781</c:v>
                </c:pt>
                <c:pt idx="75">
                  <c:v>118.68132019042969</c:v>
                </c:pt>
                <c:pt idx="76">
                  <c:v>127.47252655029297</c:v>
                </c:pt>
                <c:pt idx="77">
                  <c:v>144.07814025878906</c:v>
                </c:pt>
                <c:pt idx="78">
                  <c:v>161.17216491699219</c:v>
                </c:pt>
                <c:pt idx="79">
                  <c:v>164.10256958007812</c:v>
                </c:pt>
                <c:pt idx="80">
                  <c:v>149.45054626464844</c:v>
                </c:pt>
                <c:pt idx="81">
                  <c:v>135.28694152832031</c:v>
                </c:pt>
                <c:pt idx="82">
                  <c:v>131.37973022460937</c:v>
                </c:pt>
                <c:pt idx="83">
                  <c:v>129.42613220214844</c:v>
                </c:pt>
                <c:pt idx="84">
                  <c:v>121.12332153320312</c:v>
                </c:pt>
                <c:pt idx="85">
                  <c:v>112.82051086425781</c:v>
                </c:pt>
                <c:pt idx="86">
                  <c:v>111.35530853271484</c:v>
                </c:pt>
                <c:pt idx="87">
                  <c:v>116.23931884765625</c:v>
                </c:pt>
                <c:pt idx="88">
                  <c:v>118.19291687011719</c:v>
                </c:pt>
                <c:pt idx="89">
                  <c:v>109.89010620117187</c:v>
                </c:pt>
                <c:pt idx="90">
                  <c:v>97.191696166992188</c:v>
                </c:pt>
                <c:pt idx="91">
                  <c:v>87.912086486816406</c:v>
                </c:pt>
                <c:pt idx="92">
                  <c:v>80.097679138183594</c:v>
                </c:pt>
                <c:pt idx="93">
                  <c:v>71.794868469238281</c:v>
                </c:pt>
                <c:pt idx="94">
                  <c:v>64.957267761230469</c:v>
                </c:pt>
                <c:pt idx="95">
                  <c:v>61.538459777832031</c:v>
                </c:pt>
                <c:pt idx="96">
                  <c:v>59.584857940673828</c:v>
                </c:pt>
                <c:pt idx="97">
                  <c:v>57.142856597900391</c:v>
                </c:pt>
                <c:pt idx="98">
                  <c:v>53.235652923583984</c:v>
                </c:pt>
                <c:pt idx="99">
                  <c:v>49.328449249267578</c:v>
                </c:pt>
                <c:pt idx="100">
                  <c:v>43.956043243408203</c:v>
                </c:pt>
                <c:pt idx="101">
                  <c:v>34.676433563232422</c:v>
                </c:pt>
                <c:pt idx="102">
                  <c:v>26.862026214599609</c:v>
                </c:pt>
                <c:pt idx="103">
                  <c:v>26.373626708984375</c:v>
                </c:pt>
                <c:pt idx="104">
                  <c:v>30.769229888916016</c:v>
                </c:pt>
                <c:pt idx="105">
                  <c:v>28.815628051757813</c:v>
                </c:pt>
                <c:pt idx="106">
                  <c:v>17.094017028808594</c:v>
                </c:pt>
                <c:pt idx="107">
                  <c:v>0.48840048909187317</c:v>
                </c:pt>
                <c:pt idx="108">
                  <c:v>0.48840048909187317</c:v>
                </c:pt>
                <c:pt idx="109">
                  <c:v>0.48840048909187317</c:v>
                </c:pt>
                <c:pt idx="110">
                  <c:v>0.48840048909187317</c:v>
                </c:pt>
                <c:pt idx="111">
                  <c:v>0.48840048909187317</c:v>
                </c:pt>
                <c:pt idx="112">
                  <c:v>3.9072039127349854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1.4652014970779419</c:v>
                </c:pt>
                <c:pt idx="137">
                  <c:v>0.97680097818374634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1.9536019563674927</c:v>
                </c:pt>
                <c:pt idx="143">
                  <c:v>3.9072039127349854</c:v>
                </c:pt>
                <c:pt idx="144">
                  <c:v>5.3724055290222168</c:v>
                </c:pt>
                <c:pt idx="145">
                  <c:v>6.3492064476013184</c:v>
                </c:pt>
                <c:pt idx="146">
                  <c:v>6.3492064476013184</c:v>
                </c:pt>
                <c:pt idx="147">
                  <c:v>6.3492064476013184</c:v>
                </c:pt>
                <c:pt idx="148">
                  <c:v>5.3724055290222168</c:v>
                </c:pt>
                <c:pt idx="149">
                  <c:v>5.3724055290222168</c:v>
                </c:pt>
                <c:pt idx="150">
                  <c:v>5.3724055290222168</c:v>
                </c:pt>
                <c:pt idx="151">
                  <c:v>6.3492064476013184</c:v>
                </c:pt>
                <c:pt idx="152">
                  <c:v>7.3260073661804199</c:v>
                </c:pt>
                <c:pt idx="153">
                  <c:v>8.3028087615966797</c:v>
                </c:pt>
                <c:pt idx="154">
                  <c:v>8.7912092208862305</c:v>
                </c:pt>
                <c:pt idx="155">
                  <c:v>9.2796096801757812</c:v>
                </c:pt>
                <c:pt idx="156">
                  <c:v>9.2796096801757812</c:v>
                </c:pt>
                <c:pt idx="157">
                  <c:v>10.256410598754883</c:v>
                </c:pt>
                <c:pt idx="158">
                  <c:v>10.744811058044434</c:v>
                </c:pt>
                <c:pt idx="159">
                  <c:v>11.233211517333984</c:v>
                </c:pt>
                <c:pt idx="160">
                  <c:v>10.744811058044434</c:v>
                </c:pt>
              </c:numCache>
            </c:numRef>
          </c:val>
        </c:ser>
        <c:ser>
          <c:idx val="21"/>
          <c:order val="21"/>
          <c:tx>
            <c:strRef>
              <c:f>data0!$W$1</c:f>
              <c:strCache>
                <c:ptCount val="1"/>
                <c:pt idx="0">
                  <c:v>45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data0!$W$2:$W$162</c:f>
              <c:numCache>
                <c:formatCode>General</c:formatCode>
                <c:ptCount val="161"/>
                <c:pt idx="0">
                  <c:v>5.3724055290222168</c:v>
                </c:pt>
                <c:pt idx="1">
                  <c:v>0.97680097818374634</c:v>
                </c:pt>
                <c:pt idx="2">
                  <c:v>0.97680097818374634</c:v>
                </c:pt>
                <c:pt idx="3">
                  <c:v>0.97680097818374634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1.4652014970779419</c:v>
                </c:pt>
                <c:pt idx="8">
                  <c:v>1.4652014970779419</c:v>
                </c:pt>
                <c:pt idx="9">
                  <c:v>1.4652014970779419</c:v>
                </c:pt>
                <c:pt idx="10">
                  <c:v>1.9536019563674927</c:v>
                </c:pt>
                <c:pt idx="11">
                  <c:v>2.9304029941558838</c:v>
                </c:pt>
                <c:pt idx="12">
                  <c:v>3.4188034534454346</c:v>
                </c:pt>
                <c:pt idx="13">
                  <c:v>4.3956046104431152</c:v>
                </c:pt>
                <c:pt idx="14">
                  <c:v>5.3724055290222168</c:v>
                </c:pt>
                <c:pt idx="15">
                  <c:v>6.3492064476013184</c:v>
                </c:pt>
                <c:pt idx="16">
                  <c:v>7.8144078254699707</c:v>
                </c:pt>
                <c:pt idx="17">
                  <c:v>10.256410598754883</c:v>
                </c:pt>
                <c:pt idx="18">
                  <c:v>13.186813354492187</c:v>
                </c:pt>
                <c:pt idx="19">
                  <c:v>16.605617523193359</c:v>
                </c:pt>
                <c:pt idx="20">
                  <c:v>19.536020278930664</c:v>
                </c:pt>
                <c:pt idx="21">
                  <c:v>18.559219360351562</c:v>
                </c:pt>
                <c:pt idx="22">
                  <c:v>18.070817947387695</c:v>
                </c:pt>
                <c:pt idx="23">
                  <c:v>26.373626708984375</c:v>
                </c:pt>
                <c:pt idx="24">
                  <c:v>38.095237731933594</c:v>
                </c:pt>
                <c:pt idx="25">
                  <c:v>42.979244232177734</c:v>
                </c:pt>
                <c:pt idx="26">
                  <c:v>46.398044586181641</c:v>
                </c:pt>
                <c:pt idx="27">
                  <c:v>55.677654266357422</c:v>
                </c:pt>
                <c:pt idx="28">
                  <c:v>64.468864440917969</c:v>
                </c:pt>
                <c:pt idx="29">
                  <c:v>67.399269104003906</c:v>
                </c:pt>
                <c:pt idx="30">
                  <c:v>72.771675109863281</c:v>
                </c:pt>
                <c:pt idx="31">
                  <c:v>97.680099487304688</c:v>
                </c:pt>
                <c:pt idx="32">
                  <c:v>134.31013488769531</c:v>
                </c:pt>
                <c:pt idx="33">
                  <c:v>156.28816223144531</c:v>
                </c:pt>
                <c:pt idx="34">
                  <c:v>161.66056823730469</c:v>
                </c:pt>
                <c:pt idx="35">
                  <c:v>174.35897827148437</c:v>
                </c:pt>
                <c:pt idx="36">
                  <c:v>218.31501770019531</c:v>
                </c:pt>
                <c:pt idx="37">
                  <c:v>248.10745239257812</c:v>
                </c:pt>
                <c:pt idx="38">
                  <c:v>268.13186645507812</c:v>
                </c:pt>
                <c:pt idx="39">
                  <c:v>308.66909790039062</c:v>
                </c:pt>
                <c:pt idx="40">
                  <c:v>348.71795654296875</c:v>
                </c:pt>
                <c:pt idx="41">
                  <c:v>374.60317993164062</c:v>
                </c:pt>
                <c:pt idx="42">
                  <c:v>387.30157470703125</c:v>
                </c:pt>
                <c:pt idx="43">
                  <c:v>433.69964599609375</c:v>
                </c:pt>
                <c:pt idx="44">
                  <c:v>500.12210083007812</c:v>
                </c:pt>
                <c:pt idx="45">
                  <c:v>539.68255615234375</c:v>
                </c:pt>
                <c:pt idx="46">
                  <c:v>571.9169921875</c:v>
                </c:pt>
                <c:pt idx="47">
                  <c:v>584.12701416015625</c:v>
                </c:pt>
                <c:pt idx="48">
                  <c:v>573.3822021484375</c:v>
                </c:pt>
                <c:pt idx="49">
                  <c:v>606.5933837890625</c:v>
                </c:pt>
                <c:pt idx="50">
                  <c:v>653.96826171875</c:v>
                </c:pt>
                <c:pt idx="51">
                  <c:v>625.15264892578125</c:v>
                </c:pt>
                <c:pt idx="52">
                  <c:v>571.9169921875</c:v>
                </c:pt>
                <c:pt idx="53">
                  <c:v>526.4957275390625</c:v>
                </c:pt>
                <c:pt idx="54">
                  <c:v>441.5140380859375</c:v>
                </c:pt>
                <c:pt idx="55">
                  <c:v>335.5311279296875</c:v>
                </c:pt>
                <c:pt idx="56">
                  <c:v>277.41146850585937</c:v>
                </c:pt>
                <c:pt idx="57">
                  <c:v>255.43345642089844</c:v>
                </c:pt>
                <c:pt idx="58">
                  <c:v>226.12942504882812</c:v>
                </c:pt>
                <c:pt idx="59">
                  <c:v>183.15017700195312</c:v>
                </c:pt>
                <c:pt idx="60">
                  <c:v>147.008544921875</c:v>
                </c:pt>
                <c:pt idx="61">
                  <c:v>116.72771453857422</c:v>
                </c:pt>
                <c:pt idx="62">
                  <c:v>91.330894470214844</c:v>
                </c:pt>
                <c:pt idx="63">
                  <c:v>79.120880126953125</c:v>
                </c:pt>
                <c:pt idx="64">
                  <c:v>82.539680480957031</c:v>
                </c:pt>
                <c:pt idx="65">
                  <c:v>91.819290161132812</c:v>
                </c:pt>
                <c:pt idx="66">
                  <c:v>91.819290161132812</c:v>
                </c:pt>
                <c:pt idx="67">
                  <c:v>83.516487121582031</c:v>
                </c:pt>
                <c:pt idx="68">
                  <c:v>80.097679138183594</c:v>
                </c:pt>
                <c:pt idx="69">
                  <c:v>84.4932861328125</c:v>
                </c:pt>
                <c:pt idx="70">
                  <c:v>89.865692138671875</c:v>
                </c:pt>
                <c:pt idx="71">
                  <c:v>89.377288818359375</c:v>
                </c:pt>
                <c:pt idx="72">
                  <c:v>87.912086486816406</c:v>
                </c:pt>
                <c:pt idx="73">
                  <c:v>95.726493835449219</c:v>
                </c:pt>
                <c:pt idx="74">
                  <c:v>113.30891418457031</c:v>
                </c:pt>
                <c:pt idx="75">
                  <c:v>131.37973022460937</c:v>
                </c:pt>
                <c:pt idx="76">
                  <c:v>139.19413757324219</c:v>
                </c:pt>
                <c:pt idx="77">
                  <c:v>137.72894287109375</c:v>
                </c:pt>
                <c:pt idx="78">
                  <c:v>136.75213623046875</c:v>
                </c:pt>
                <c:pt idx="79">
                  <c:v>139.68254089355469</c:v>
                </c:pt>
                <c:pt idx="80">
                  <c:v>139.19413757324219</c:v>
                </c:pt>
                <c:pt idx="81">
                  <c:v>130.40292358398438</c:v>
                </c:pt>
                <c:pt idx="82">
                  <c:v>124.05372619628906</c:v>
                </c:pt>
                <c:pt idx="83">
                  <c:v>127.47252655029297</c:v>
                </c:pt>
                <c:pt idx="84">
                  <c:v>135.28694152832031</c:v>
                </c:pt>
                <c:pt idx="85">
                  <c:v>138.21733093261719</c:v>
                </c:pt>
                <c:pt idx="86">
                  <c:v>133.33332824707031</c:v>
                </c:pt>
                <c:pt idx="87">
                  <c:v>125.51892852783203</c:v>
                </c:pt>
                <c:pt idx="88">
                  <c:v>117.21611785888672</c:v>
                </c:pt>
                <c:pt idx="89">
                  <c:v>108.91330718994141</c:v>
                </c:pt>
                <c:pt idx="90">
                  <c:v>100.61050415039062</c:v>
                </c:pt>
                <c:pt idx="91">
                  <c:v>94.26129150390625</c:v>
                </c:pt>
                <c:pt idx="92">
                  <c:v>89.865692138671875</c:v>
                </c:pt>
                <c:pt idx="93">
                  <c:v>86.446884155273437</c:v>
                </c:pt>
                <c:pt idx="94">
                  <c:v>82.051284790039062</c:v>
                </c:pt>
                <c:pt idx="95">
                  <c:v>78.632476806640625</c:v>
                </c:pt>
                <c:pt idx="96">
                  <c:v>75.702072143554688</c:v>
                </c:pt>
                <c:pt idx="97">
                  <c:v>71.306472778320313</c:v>
                </c:pt>
                <c:pt idx="98">
                  <c:v>65.445663452148438</c:v>
                </c:pt>
                <c:pt idx="99">
                  <c:v>62.515262603759766</c:v>
                </c:pt>
                <c:pt idx="100">
                  <c:v>62.026863098144531</c:v>
                </c:pt>
                <c:pt idx="101">
                  <c:v>56.654457092285156</c:v>
                </c:pt>
                <c:pt idx="102">
                  <c:v>44.932846069335937</c:v>
                </c:pt>
                <c:pt idx="103">
                  <c:v>27.838827133178711</c:v>
                </c:pt>
                <c:pt idx="104">
                  <c:v>12.698412895202637</c:v>
                </c:pt>
                <c:pt idx="105">
                  <c:v>5.3724055290222168</c:v>
                </c:pt>
                <c:pt idx="106">
                  <c:v>8.7912092208862305</c:v>
                </c:pt>
                <c:pt idx="107">
                  <c:v>17.582418441772461</c:v>
                </c:pt>
                <c:pt idx="108">
                  <c:v>22.466423034667969</c:v>
                </c:pt>
                <c:pt idx="109">
                  <c:v>19.047618865966797</c:v>
                </c:pt>
                <c:pt idx="110">
                  <c:v>12.698412895202637</c:v>
                </c:pt>
                <c:pt idx="111">
                  <c:v>9.2796096801757812</c:v>
                </c:pt>
                <c:pt idx="112">
                  <c:v>10.744811058044434</c:v>
                </c:pt>
                <c:pt idx="113">
                  <c:v>13.186813354492187</c:v>
                </c:pt>
                <c:pt idx="114">
                  <c:v>13.675213813781738</c:v>
                </c:pt>
                <c:pt idx="115">
                  <c:v>11.721611976623535</c:v>
                </c:pt>
                <c:pt idx="116">
                  <c:v>9.2796096801757812</c:v>
                </c:pt>
                <c:pt idx="117">
                  <c:v>7.3260073661804199</c:v>
                </c:pt>
                <c:pt idx="118">
                  <c:v>6.3492064476013184</c:v>
                </c:pt>
                <c:pt idx="119">
                  <c:v>5.3724055290222168</c:v>
                </c:pt>
                <c:pt idx="120">
                  <c:v>4.884005069732666</c:v>
                </c:pt>
                <c:pt idx="121">
                  <c:v>5.3724055290222168</c:v>
                </c:pt>
                <c:pt idx="122">
                  <c:v>6.8376069068908691</c:v>
                </c:pt>
                <c:pt idx="123">
                  <c:v>8.7912092208862305</c:v>
                </c:pt>
                <c:pt idx="124">
                  <c:v>8.7912092208862305</c:v>
                </c:pt>
                <c:pt idx="125">
                  <c:v>6.8376069068908691</c:v>
                </c:pt>
                <c:pt idx="126">
                  <c:v>3.4188034534454346</c:v>
                </c:pt>
                <c:pt idx="127">
                  <c:v>1.4652014970779419</c:v>
                </c:pt>
                <c:pt idx="128">
                  <c:v>0.97680097818374634</c:v>
                </c:pt>
                <c:pt idx="129">
                  <c:v>2.9304029941558838</c:v>
                </c:pt>
                <c:pt idx="130">
                  <c:v>5.3724055290222168</c:v>
                </c:pt>
                <c:pt idx="131">
                  <c:v>7.3260073661804199</c:v>
                </c:pt>
                <c:pt idx="132">
                  <c:v>7.3260073661804199</c:v>
                </c:pt>
                <c:pt idx="133">
                  <c:v>4.884005069732666</c:v>
                </c:pt>
                <c:pt idx="134">
                  <c:v>1.9536019563674927</c:v>
                </c:pt>
                <c:pt idx="135">
                  <c:v>0.48840048909187317</c:v>
                </c:pt>
                <c:pt idx="136">
                  <c:v>1.4652014970779419</c:v>
                </c:pt>
                <c:pt idx="137">
                  <c:v>2.9304029941558838</c:v>
                </c:pt>
                <c:pt idx="138">
                  <c:v>5.3724055290222168</c:v>
                </c:pt>
                <c:pt idx="139">
                  <c:v>6.8376069068908691</c:v>
                </c:pt>
                <c:pt idx="140">
                  <c:v>7.8144078254699707</c:v>
                </c:pt>
                <c:pt idx="141">
                  <c:v>7.3260073661804199</c:v>
                </c:pt>
                <c:pt idx="142">
                  <c:v>6.8376069068908691</c:v>
                </c:pt>
                <c:pt idx="143">
                  <c:v>5.8608059883117676</c:v>
                </c:pt>
                <c:pt idx="144">
                  <c:v>4.884005069732666</c:v>
                </c:pt>
                <c:pt idx="145">
                  <c:v>4.884005069732666</c:v>
                </c:pt>
                <c:pt idx="146">
                  <c:v>5.8608059883117676</c:v>
                </c:pt>
                <c:pt idx="147">
                  <c:v>6.3492064476013184</c:v>
                </c:pt>
                <c:pt idx="148">
                  <c:v>7.3260073661804199</c:v>
                </c:pt>
                <c:pt idx="149">
                  <c:v>7.8144078254699707</c:v>
                </c:pt>
                <c:pt idx="150">
                  <c:v>7.8144078254699707</c:v>
                </c:pt>
                <c:pt idx="151">
                  <c:v>7.8144078254699707</c:v>
                </c:pt>
                <c:pt idx="152">
                  <c:v>8.3028087615966797</c:v>
                </c:pt>
                <c:pt idx="153">
                  <c:v>8.3028087615966797</c:v>
                </c:pt>
                <c:pt idx="154">
                  <c:v>8.7912092208862305</c:v>
                </c:pt>
                <c:pt idx="155">
                  <c:v>8.7912092208862305</c:v>
                </c:pt>
                <c:pt idx="156">
                  <c:v>8.7912092208862305</c:v>
                </c:pt>
                <c:pt idx="157">
                  <c:v>8.7912092208862305</c:v>
                </c:pt>
                <c:pt idx="158">
                  <c:v>9.768010139465332</c:v>
                </c:pt>
                <c:pt idx="159">
                  <c:v>10.256410598754883</c:v>
                </c:pt>
                <c:pt idx="160">
                  <c:v>11.233211517333984</c:v>
                </c:pt>
              </c:numCache>
            </c:numRef>
          </c:val>
        </c:ser>
        <c:ser>
          <c:idx val="22"/>
          <c:order val="22"/>
          <c:tx>
            <c:strRef>
              <c:f>data0!$X$1</c:f>
              <c:strCache>
                <c:ptCount val="1"/>
                <c:pt idx="0">
                  <c:v>50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data0!$X$2:$X$162</c:f>
              <c:numCache>
                <c:formatCode>General</c:formatCode>
                <c:ptCount val="161"/>
                <c:pt idx="0">
                  <c:v>6.8376069068908691</c:v>
                </c:pt>
                <c:pt idx="1">
                  <c:v>0.48840048909187317</c:v>
                </c:pt>
                <c:pt idx="2">
                  <c:v>0.48840048909187317</c:v>
                </c:pt>
                <c:pt idx="3">
                  <c:v>0.48840048909187317</c:v>
                </c:pt>
                <c:pt idx="4">
                  <c:v>0.97680097818374634</c:v>
                </c:pt>
                <c:pt idx="5">
                  <c:v>0.97680097818374634</c:v>
                </c:pt>
                <c:pt idx="6">
                  <c:v>0.97680097818374634</c:v>
                </c:pt>
                <c:pt idx="7">
                  <c:v>0.97680097818374634</c:v>
                </c:pt>
                <c:pt idx="8">
                  <c:v>0.97680097818374634</c:v>
                </c:pt>
                <c:pt idx="9">
                  <c:v>1.4652014970779419</c:v>
                </c:pt>
                <c:pt idx="10">
                  <c:v>1.4652014970779419</c:v>
                </c:pt>
                <c:pt idx="11">
                  <c:v>1.9536019563674927</c:v>
                </c:pt>
                <c:pt idx="12">
                  <c:v>1.9536019563674927</c:v>
                </c:pt>
                <c:pt idx="13">
                  <c:v>2.442002534866333</c:v>
                </c:pt>
                <c:pt idx="14">
                  <c:v>3.4188034534454346</c:v>
                </c:pt>
                <c:pt idx="15">
                  <c:v>4.3956046104431152</c:v>
                </c:pt>
                <c:pt idx="16">
                  <c:v>5.8608059883117676</c:v>
                </c:pt>
                <c:pt idx="17">
                  <c:v>7.3260073661804199</c:v>
                </c:pt>
                <c:pt idx="18">
                  <c:v>8.3028087615966797</c:v>
                </c:pt>
                <c:pt idx="19">
                  <c:v>7.8144078254699707</c:v>
                </c:pt>
                <c:pt idx="20">
                  <c:v>8.3028087615966797</c:v>
                </c:pt>
                <c:pt idx="21">
                  <c:v>11.233211517333984</c:v>
                </c:pt>
                <c:pt idx="22">
                  <c:v>16.117216110229492</c:v>
                </c:pt>
                <c:pt idx="23">
                  <c:v>17.582418441772461</c:v>
                </c:pt>
                <c:pt idx="24">
                  <c:v>20.024419784545898</c:v>
                </c:pt>
                <c:pt idx="25">
                  <c:v>23.931623458862305</c:v>
                </c:pt>
                <c:pt idx="26">
                  <c:v>27.350427627563477</c:v>
                </c:pt>
                <c:pt idx="27">
                  <c:v>29.792428970336914</c:v>
                </c:pt>
                <c:pt idx="28">
                  <c:v>34.676433563232422</c:v>
                </c:pt>
                <c:pt idx="29">
                  <c:v>47.374847412109375</c:v>
                </c:pt>
                <c:pt idx="30">
                  <c:v>59.584857940673828</c:v>
                </c:pt>
                <c:pt idx="31">
                  <c:v>63.492061614990234</c:v>
                </c:pt>
                <c:pt idx="32">
                  <c:v>64.957267761230469</c:v>
                </c:pt>
                <c:pt idx="33">
                  <c:v>80.586082458496094</c:v>
                </c:pt>
                <c:pt idx="34">
                  <c:v>106.95970916748047</c:v>
                </c:pt>
                <c:pt idx="35">
                  <c:v>126.98412322998047</c:v>
                </c:pt>
                <c:pt idx="36">
                  <c:v>143.10134887695312</c:v>
                </c:pt>
                <c:pt idx="37">
                  <c:v>154.82295227050781</c:v>
                </c:pt>
                <c:pt idx="38">
                  <c:v>160.19535827636719</c:v>
                </c:pt>
                <c:pt idx="39">
                  <c:v>164.59095764160156</c:v>
                </c:pt>
                <c:pt idx="40">
                  <c:v>182.17338562011719</c:v>
                </c:pt>
                <c:pt idx="41">
                  <c:v>218.31501770019531</c:v>
                </c:pt>
                <c:pt idx="42">
                  <c:v>251.03785705566406</c:v>
                </c:pt>
                <c:pt idx="43">
                  <c:v>279.36508178710937</c:v>
                </c:pt>
                <c:pt idx="44">
                  <c:v>301.83151245117187</c:v>
                </c:pt>
                <c:pt idx="45">
                  <c:v>308.18069458007813</c:v>
                </c:pt>
                <c:pt idx="46">
                  <c:v>327.71673583984375</c:v>
                </c:pt>
                <c:pt idx="47">
                  <c:v>359.4627685546875</c:v>
                </c:pt>
                <c:pt idx="48">
                  <c:v>366.30035400390625</c:v>
                </c:pt>
                <c:pt idx="49">
                  <c:v>359.4627685546875</c:v>
                </c:pt>
                <c:pt idx="50">
                  <c:v>358.974365234375</c:v>
                </c:pt>
                <c:pt idx="51">
                  <c:v>331.62393188476562</c:v>
                </c:pt>
                <c:pt idx="52">
                  <c:v>290.59829711914062</c:v>
                </c:pt>
                <c:pt idx="53">
                  <c:v>276.92306518554688</c:v>
                </c:pt>
                <c:pt idx="54">
                  <c:v>280.83029174804687</c:v>
                </c:pt>
                <c:pt idx="55">
                  <c:v>262.75946044921875</c:v>
                </c:pt>
                <c:pt idx="56">
                  <c:v>220.26861572265625</c:v>
                </c:pt>
                <c:pt idx="57">
                  <c:v>172.89376831054687</c:v>
                </c:pt>
                <c:pt idx="58">
                  <c:v>127.47252655029297</c:v>
                </c:pt>
                <c:pt idx="59">
                  <c:v>90.842491149902344</c:v>
                </c:pt>
                <c:pt idx="60">
                  <c:v>71.306472778320313</c:v>
                </c:pt>
                <c:pt idx="61">
                  <c:v>66.910865783691406</c:v>
                </c:pt>
                <c:pt idx="62">
                  <c:v>65.934066772460938</c:v>
                </c:pt>
                <c:pt idx="63">
                  <c:v>60.073261260986328</c:v>
                </c:pt>
                <c:pt idx="64">
                  <c:v>54.212455749511719</c:v>
                </c:pt>
                <c:pt idx="65">
                  <c:v>53.235652923583984</c:v>
                </c:pt>
                <c:pt idx="66">
                  <c:v>56.166057586669922</c:v>
                </c:pt>
                <c:pt idx="67">
                  <c:v>57.631256103515625</c:v>
                </c:pt>
                <c:pt idx="68">
                  <c:v>56.166057586669922</c:v>
                </c:pt>
                <c:pt idx="69">
                  <c:v>55.677654266357422</c:v>
                </c:pt>
                <c:pt idx="70">
                  <c:v>58.608058929443359</c:v>
                </c:pt>
                <c:pt idx="71">
                  <c:v>62.515262603759766</c:v>
                </c:pt>
                <c:pt idx="72">
                  <c:v>64.468864440917969</c:v>
                </c:pt>
                <c:pt idx="73">
                  <c:v>65.445663452148438</c:v>
                </c:pt>
                <c:pt idx="74">
                  <c:v>69.352867126464844</c:v>
                </c:pt>
                <c:pt idx="75">
                  <c:v>75.702072143554688</c:v>
                </c:pt>
                <c:pt idx="76">
                  <c:v>83.516487121582031</c:v>
                </c:pt>
                <c:pt idx="77">
                  <c:v>88.888885498046875</c:v>
                </c:pt>
                <c:pt idx="78">
                  <c:v>92.796089172363281</c:v>
                </c:pt>
                <c:pt idx="79">
                  <c:v>97.680099487304688</c:v>
                </c:pt>
                <c:pt idx="80">
                  <c:v>104.51770782470703</c:v>
                </c:pt>
                <c:pt idx="81">
                  <c:v>109.40171051025391</c:v>
                </c:pt>
                <c:pt idx="82">
                  <c:v>107.93650817871094</c:v>
                </c:pt>
                <c:pt idx="83">
                  <c:v>102.56410217285156</c:v>
                </c:pt>
                <c:pt idx="84">
                  <c:v>96.703300476074219</c:v>
                </c:pt>
                <c:pt idx="85">
                  <c:v>93.284492492675781</c:v>
                </c:pt>
                <c:pt idx="86">
                  <c:v>91.330894470214844</c:v>
                </c:pt>
                <c:pt idx="87">
                  <c:v>90.842491149902344</c:v>
                </c:pt>
                <c:pt idx="88">
                  <c:v>90.842491149902344</c:v>
                </c:pt>
                <c:pt idx="89">
                  <c:v>88.400489807128906</c:v>
                </c:pt>
                <c:pt idx="90">
                  <c:v>84.4932861328125</c:v>
                </c:pt>
                <c:pt idx="91">
                  <c:v>80.097679138183594</c:v>
                </c:pt>
                <c:pt idx="92">
                  <c:v>76.678878784179687</c:v>
                </c:pt>
                <c:pt idx="93">
                  <c:v>74.23687744140625</c:v>
                </c:pt>
                <c:pt idx="94">
                  <c:v>71.794868469238281</c:v>
                </c:pt>
                <c:pt idx="95">
                  <c:v>69.352867126464844</c:v>
                </c:pt>
                <c:pt idx="96">
                  <c:v>66.910865783691406</c:v>
                </c:pt>
                <c:pt idx="97">
                  <c:v>62.026863098144531</c:v>
                </c:pt>
                <c:pt idx="98">
                  <c:v>54.700855255126953</c:v>
                </c:pt>
                <c:pt idx="99">
                  <c:v>46.886447906494141</c:v>
                </c:pt>
                <c:pt idx="100">
                  <c:v>39.072040557861328</c:v>
                </c:pt>
                <c:pt idx="101">
                  <c:v>35.164836883544922</c:v>
                </c:pt>
                <c:pt idx="102">
                  <c:v>35.653236389160156</c:v>
                </c:pt>
                <c:pt idx="103">
                  <c:v>38.583637237548828</c:v>
                </c:pt>
                <c:pt idx="104">
                  <c:v>39.560440063476563</c:v>
                </c:pt>
                <c:pt idx="105">
                  <c:v>35.653236389160156</c:v>
                </c:pt>
                <c:pt idx="106">
                  <c:v>31.746030807495117</c:v>
                </c:pt>
                <c:pt idx="107">
                  <c:v>29.30402946472168</c:v>
                </c:pt>
                <c:pt idx="108">
                  <c:v>29.792428970336914</c:v>
                </c:pt>
                <c:pt idx="109">
                  <c:v>30.280830383300781</c:v>
                </c:pt>
                <c:pt idx="110">
                  <c:v>29.30402946472168</c:v>
                </c:pt>
                <c:pt idx="111">
                  <c:v>26.862026214599609</c:v>
                </c:pt>
                <c:pt idx="112">
                  <c:v>24.908424377441406</c:v>
                </c:pt>
                <c:pt idx="113">
                  <c:v>23.44322395324707</c:v>
                </c:pt>
                <c:pt idx="114">
                  <c:v>22.954822540283203</c:v>
                </c:pt>
                <c:pt idx="115">
                  <c:v>22.954822540283203</c:v>
                </c:pt>
                <c:pt idx="116">
                  <c:v>22.954822540283203</c:v>
                </c:pt>
                <c:pt idx="117">
                  <c:v>23.44322395324707</c:v>
                </c:pt>
                <c:pt idx="118">
                  <c:v>23.931623458862305</c:v>
                </c:pt>
                <c:pt idx="119">
                  <c:v>23.931623458862305</c:v>
                </c:pt>
                <c:pt idx="120">
                  <c:v>22.466423034667969</c:v>
                </c:pt>
                <c:pt idx="121">
                  <c:v>20.024419784545898</c:v>
                </c:pt>
                <c:pt idx="122">
                  <c:v>18.070817947387695</c:v>
                </c:pt>
                <c:pt idx="123">
                  <c:v>16.605617523193359</c:v>
                </c:pt>
                <c:pt idx="124">
                  <c:v>16.605617523193359</c:v>
                </c:pt>
                <c:pt idx="125">
                  <c:v>17.582418441772461</c:v>
                </c:pt>
                <c:pt idx="126">
                  <c:v>18.070817947387695</c:v>
                </c:pt>
                <c:pt idx="127">
                  <c:v>17.582418441772461</c:v>
                </c:pt>
                <c:pt idx="128">
                  <c:v>16.117216110229492</c:v>
                </c:pt>
                <c:pt idx="129">
                  <c:v>13.675213813781738</c:v>
                </c:pt>
                <c:pt idx="130">
                  <c:v>11.721611976623535</c:v>
                </c:pt>
                <c:pt idx="131">
                  <c:v>11.233211517333984</c:v>
                </c:pt>
                <c:pt idx="132">
                  <c:v>11.233211517333984</c:v>
                </c:pt>
                <c:pt idx="133">
                  <c:v>12.210012435913086</c:v>
                </c:pt>
                <c:pt idx="134">
                  <c:v>12.698412895202637</c:v>
                </c:pt>
                <c:pt idx="135">
                  <c:v>12.698412895202637</c:v>
                </c:pt>
                <c:pt idx="136">
                  <c:v>12.210012435913086</c:v>
                </c:pt>
                <c:pt idx="137">
                  <c:v>11.233211517333984</c:v>
                </c:pt>
                <c:pt idx="138">
                  <c:v>9.768010139465332</c:v>
                </c:pt>
                <c:pt idx="139">
                  <c:v>8.7912092208862305</c:v>
                </c:pt>
                <c:pt idx="140">
                  <c:v>8.3028087615966797</c:v>
                </c:pt>
                <c:pt idx="141">
                  <c:v>8.3028087615966797</c:v>
                </c:pt>
                <c:pt idx="142">
                  <c:v>8.3028087615966797</c:v>
                </c:pt>
                <c:pt idx="143">
                  <c:v>8.3028087615966797</c:v>
                </c:pt>
                <c:pt idx="144">
                  <c:v>7.8144078254699707</c:v>
                </c:pt>
                <c:pt idx="145">
                  <c:v>7.3260073661804199</c:v>
                </c:pt>
                <c:pt idx="146">
                  <c:v>7.3260073661804199</c:v>
                </c:pt>
                <c:pt idx="147">
                  <c:v>6.8376069068908691</c:v>
                </c:pt>
                <c:pt idx="148">
                  <c:v>6.8376069068908691</c:v>
                </c:pt>
                <c:pt idx="149">
                  <c:v>6.3492064476013184</c:v>
                </c:pt>
                <c:pt idx="150">
                  <c:v>6.3492064476013184</c:v>
                </c:pt>
                <c:pt idx="151">
                  <c:v>5.8608059883117676</c:v>
                </c:pt>
                <c:pt idx="152">
                  <c:v>6.3492064476013184</c:v>
                </c:pt>
                <c:pt idx="153">
                  <c:v>6.3492064476013184</c:v>
                </c:pt>
                <c:pt idx="154">
                  <c:v>6.3492064476013184</c:v>
                </c:pt>
                <c:pt idx="155">
                  <c:v>6.8376069068908691</c:v>
                </c:pt>
                <c:pt idx="156">
                  <c:v>6.3492064476013184</c:v>
                </c:pt>
                <c:pt idx="157">
                  <c:v>6.3492064476013184</c:v>
                </c:pt>
                <c:pt idx="158">
                  <c:v>6.3492064476013184</c:v>
                </c:pt>
                <c:pt idx="159">
                  <c:v>6.8376069068908691</c:v>
                </c:pt>
                <c:pt idx="160">
                  <c:v>6.8376069068908691</c:v>
                </c:pt>
              </c:numCache>
            </c:numRef>
          </c:val>
        </c:ser>
        <c:ser>
          <c:idx val="23"/>
          <c:order val="23"/>
          <c:tx>
            <c:strRef>
              <c:f>data0!$Y$1</c:f>
              <c:strCache>
                <c:ptCount val="1"/>
                <c:pt idx="0">
                  <c:v>55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data0!$Y$2:$Y$162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0.48840048909187317</c:v>
                </c:pt>
                <c:pt idx="2">
                  <c:v>0.48840048909187317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0.48840048909187317</c:v>
                </c:pt>
                <c:pt idx="6">
                  <c:v>0.48840048909187317</c:v>
                </c:pt>
                <c:pt idx="7">
                  <c:v>0.48840048909187317</c:v>
                </c:pt>
                <c:pt idx="8">
                  <c:v>0.48840048909187317</c:v>
                </c:pt>
                <c:pt idx="9">
                  <c:v>0.48840048909187317</c:v>
                </c:pt>
                <c:pt idx="10">
                  <c:v>0.48840048909187317</c:v>
                </c:pt>
                <c:pt idx="11">
                  <c:v>0.48840048909187317</c:v>
                </c:pt>
                <c:pt idx="12">
                  <c:v>0.48840048909187317</c:v>
                </c:pt>
                <c:pt idx="13">
                  <c:v>0.97680097818374634</c:v>
                </c:pt>
                <c:pt idx="14">
                  <c:v>0.97680097818374634</c:v>
                </c:pt>
                <c:pt idx="15">
                  <c:v>0.97680097818374634</c:v>
                </c:pt>
                <c:pt idx="16">
                  <c:v>0.97680097818374634</c:v>
                </c:pt>
                <c:pt idx="17">
                  <c:v>1.4652014970779419</c:v>
                </c:pt>
                <c:pt idx="18">
                  <c:v>1.4652014970779419</c:v>
                </c:pt>
                <c:pt idx="19">
                  <c:v>1.4652014970779419</c:v>
                </c:pt>
                <c:pt idx="20">
                  <c:v>1.9536019563674927</c:v>
                </c:pt>
                <c:pt idx="21">
                  <c:v>1.9536019563674927</c:v>
                </c:pt>
                <c:pt idx="22">
                  <c:v>2.442002534866333</c:v>
                </c:pt>
                <c:pt idx="23">
                  <c:v>2.9304029941558838</c:v>
                </c:pt>
                <c:pt idx="24">
                  <c:v>2.9304029941558838</c:v>
                </c:pt>
                <c:pt idx="25">
                  <c:v>3.4188034534454346</c:v>
                </c:pt>
                <c:pt idx="26">
                  <c:v>3.9072039127349854</c:v>
                </c:pt>
                <c:pt idx="27">
                  <c:v>4.884005069732666</c:v>
                </c:pt>
                <c:pt idx="28">
                  <c:v>5.8608059883117676</c:v>
                </c:pt>
                <c:pt idx="29">
                  <c:v>6.3492064476013184</c:v>
                </c:pt>
                <c:pt idx="30">
                  <c:v>6.8376069068908691</c:v>
                </c:pt>
                <c:pt idx="31">
                  <c:v>8.3028087615966797</c:v>
                </c:pt>
                <c:pt idx="32">
                  <c:v>10.256410598754883</c:v>
                </c:pt>
                <c:pt idx="33">
                  <c:v>12.210012435913086</c:v>
                </c:pt>
                <c:pt idx="34">
                  <c:v>14.65201473236084</c:v>
                </c:pt>
                <c:pt idx="35">
                  <c:v>16.117216110229492</c:v>
                </c:pt>
                <c:pt idx="36">
                  <c:v>17.094017028808594</c:v>
                </c:pt>
                <c:pt idx="37">
                  <c:v>17.582418441772461</c:v>
                </c:pt>
                <c:pt idx="38">
                  <c:v>18.559219360351562</c:v>
                </c:pt>
                <c:pt idx="39">
                  <c:v>21.001220703125</c:v>
                </c:pt>
                <c:pt idx="40">
                  <c:v>24.420024871826172</c:v>
                </c:pt>
                <c:pt idx="41">
                  <c:v>27.838827133178711</c:v>
                </c:pt>
                <c:pt idx="42">
                  <c:v>30.769229888916016</c:v>
                </c:pt>
                <c:pt idx="43">
                  <c:v>33.699634552001953</c:v>
                </c:pt>
                <c:pt idx="44">
                  <c:v>37.118438720703125</c:v>
                </c:pt>
                <c:pt idx="45">
                  <c:v>39.560440063476563</c:v>
                </c:pt>
                <c:pt idx="46">
                  <c:v>40.048839569091797</c:v>
                </c:pt>
                <c:pt idx="47">
                  <c:v>40.537239074707031</c:v>
                </c:pt>
                <c:pt idx="48">
                  <c:v>40.048839569091797</c:v>
                </c:pt>
                <c:pt idx="49">
                  <c:v>39.072040557861328</c:v>
                </c:pt>
                <c:pt idx="50">
                  <c:v>39.072040557861328</c:v>
                </c:pt>
                <c:pt idx="51">
                  <c:v>40.537239074707031</c:v>
                </c:pt>
                <c:pt idx="52">
                  <c:v>40.537239074707031</c:v>
                </c:pt>
                <c:pt idx="53">
                  <c:v>38.095237731933594</c:v>
                </c:pt>
                <c:pt idx="54">
                  <c:v>33.211235046386719</c:v>
                </c:pt>
                <c:pt idx="55">
                  <c:v>26.373626708984375</c:v>
                </c:pt>
                <c:pt idx="56">
                  <c:v>20.512821197509766</c:v>
                </c:pt>
                <c:pt idx="57">
                  <c:v>16.117216110229492</c:v>
                </c:pt>
                <c:pt idx="58">
                  <c:v>13.186813354492187</c:v>
                </c:pt>
                <c:pt idx="59">
                  <c:v>10.744811058044434</c:v>
                </c:pt>
                <c:pt idx="60">
                  <c:v>8.7912092208862305</c:v>
                </c:pt>
                <c:pt idx="61">
                  <c:v>7.3260073661804199</c:v>
                </c:pt>
                <c:pt idx="62">
                  <c:v>6.8376069068908691</c:v>
                </c:pt>
                <c:pt idx="63">
                  <c:v>6.3492064476013184</c:v>
                </c:pt>
                <c:pt idx="64">
                  <c:v>6.3492064476013184</c:v>
                </c:pt>
                <c:pt idx="65">
                  <c:v>6.3492064476013184</c:v>
                </c:pt>
                <c:pt idx="66">
                  <c:v>6.3492064476013184</c:v>
                </c:pt>
                <c:pt idx="67">
                  <c:v>6.3492064476013184</c:v>
                </c:pt>
                <c:pt idx="68">
                  <c:v>6.3492064476013184</c:v>
                </c:pt>
                <c:pt idx="69">
                  <c:v>6.3492064476013184</c:v>
                </c:pt>
                <c:pt idx="70">
                  <c:v>6.3492064476013184</c:v>
                </c:pt>
                <c:pt idx="71">
                  <c:v>6.3492064476013184</c:v>
                </c:pt>
                <c:pt idx="72">
                  <c:v>6.3492064476013184</c:v>
                </c:pt>
                <c:pt idx="73">
                  <c:v>6.8376069068908691</c:v>
                </c:pt>
                <c:pt idx="74">
                  <c:v>7.8144078254699707</c:v>
                </c:pt>
                <c:pt idx="75">
                  <c:v>8.7912092208862305</c:v>
                </c:pt>
                <c:pt idx="76">
                  <c:v>9.768010139465332</c:v>
                </c:pt>
                <c:pt idx="77">
                  <c:v>10.256410598754883</c:v>
                </c:pt>
                <c:pt idx="78">
                  <c:v>11.233211517333984</c:v>
                </c:pt>
                <c:pt idx="79">
                  <c:v>11.233211517333984</c:v>
                </c:pt>
                <c:pt idx="80">
                  <c:v>10.744811058044434</c:v>
                </c:pt>
                <c:pt idx="81">
                  <c:v>10.744811058044434</c:v>
                </c:pt>
                <c:pt idx="82">
                  <c:v>10.256410598754883</c:v>
                </c:pt>
                <c:pt idx="83">
                  <c:v>10.256410598754883</c:v>
                </c:pt>
                <c:pt idx="84">
                  <c:v>9.768010139465332</c:v>
                </c:pt>
                <c:pt idx="85">
                  <c:v>9.768010139465332</c:v>
                </c:pt>
                <c:pt idx="86">
                  <c:v>9.768010139465332</c:v>
                </c:pt>
                <c:pt idx="87">
                  <c:v>9.2796096801757812</c:v>
                </c:pt>
                <c:pt idx="88">
                  <c:v>8.7912092208862305</c:v>
                </c:pt>
                <c:pt idx="89">
                  <c:v>8.3028087615966797</c:v>
                </c:pt>
                <c:pt idx="90">
                  <c:v>7.8144078254699707</c:v>
                </c:pt>
                <c:pt idx="91">
                  <c:v>7.3260073661804199</c:v>
                </c:pt>
                <c:pt idx="92">
                  <c:v>6.8376069068908691</c:v>
                </c:pt>
                <c:pt idx="93">
                  <c:v>6.3492064476013184</c:v>
                </c:pt>
                <c:pt idx="94">
                  <c:v>5.8608059883117676</c:v>
                </c:pt>
                <c:pt idx="95">
                  <c:v>5.3724055290222168</c:v>
                </c:pt>
                <c:pt idx="96">
                  <c:v>4.884005069732666</c:v>
                </c:pt>
                <c:pt idx="97">
                  <c:v>4.884005069732666</c:v>
                </c:pt>
                <c:pt idx="98">
                  <c:v>4.3956046104431152</c:v>
                </c:pt>
                <c:pt idx="99">
                  <c:v>4.3956046104431152</c:v>
                </c:pt>
                <c:pt idx="100">
                  <c:v>4.3956046104431152</c:v>
                </c:pt>
                <c:pt idx="101">
                  <c:v>3.9072039127349854</c:v>
                </c:pt>
                <c:pt idx="102">
                  <c:v>3.4188034534454346</c:v>
                </c:pt>
                <c:pt idx="103">
                  <c:v>2.9304029941558838</c:v>
                </c:pt>
                <c:pt idx="104">
                  <c:v>2.442002534866333</c:v>
                </c:pt>
                <c:pt idx="105">
                  <c:v>2.442002534866333</c:v>
                </c:pt>
                <c:pt idx="106">
                  <c:v>2.442002534866333</c:v>
                </c:pt>
                <c:pt idx="107">
                  <c:v>1.9536019563674927</c:v>
                </c:pt>
                <c:pt idx="108">
                  <c:v>1.9536019563674927</c:v>
                </c:pt>
                <c:pt idx="109">
                  <c:v>1.4652014970779419</c:v>
                </c:pt>
                <c:pt idx="110">
                  <c:v>1.4652014970779419</c:v>
                </c:pt>
                <c:pt idx="111">
                  <c:v>1.4652014970779419</c:v>
                </c:pt>
                <c:pt idx="112">
                  <c:v>1.4652014970779419</c:v>
                </c:pt>
                <c:pt idx="113">
                  <c:v>1.4652014970779419</c:v>
                </c:pt>
                <c:pt idx="114">
                  <c:v>1.4652014970779419</c:v>
                </c:pt>
                <c:pt idx="115">
                  <c:v>1.4652014970779419</c:v>
                </c:pt>
                <c:pt idx="116">
                  <c:v>0.97680097818374634</c:v>
                </c:pt>
                <c:pt idx="117">
                  <c:v>0.97680097818374634</c:v>
                </c:pt>
                <c:pt idx="118">
                  <c:v>0.97680097818374634</c:v>
                </c:pt>
                <c:pt idx="119">
                  <c:v>0.97680097818374634</c:v>
                </c:pt>
                <c:pt idx="120">
                  <c:v>0.97680097818374634</c:v>
                </c:pt>
                <c:pt idx="121">
                  <c:v>0.97680097818374634</c:v>
                </c:pt>
                <c:pt idx="122">
                  <c:v>0.97680097818374634</c:v>
                </c:pt>
                <c:pt idx="123">
                  <c:v>0.97680097818374634</c:v>
                </c:pt>
                <c:pt idx="124">
                  <c:v>0.97680097818374634</c:v>
                </c:pt>
                <c:pt idx="125">
                  <c:v>0.97680097818374634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0.97680097818374634</c:v>
                </c:pt>
                <c:pt idx="129">
                  <c:v>0.97680097818374634</c:v>
                </c:pt>
                <c:pt idx="130">
                  <c:v>0.97680097818374634</c:v>
                </c:pt>
                <c:pt idx="131">
                  <c:v>0.97680097818374634</c:v>
                </c:pt>
                <c:pt idx="132">
                  <c:v>0.97680097818374634</c:v>
                </c:pt>
                <c:pt idx="133">
                  <c:v>0.97680097818374634</c:v>
                </c:pt>
                <c:pt idx="134">
                  <c:v>0.97680097818374634</c:v>
                </c:pt>
                <c:pt idx="135">
                  <c:v>0.97680097818374634</c:v>
                </c:pt>
                <c:pt idx="136">
                  <c:v>0.97680097818374634</c:v>
                </c:pt>
                <c:pt idx="137">
                  <c:v>0.97680097818374634</c:v>
                </c:pt>
                <c:pt idx="138">
                  <c:v>0.97680097818374634</c:v>
                </c:pt>
                <c:pt idx="139">
                  <c:v>0.97680097818374634</c:v>
                </c:pt>
                <c:pt idx="140">
                  <c:v>0.97680097818374634</c:v>
                </c:pt>
                <c:pt idx="141">
                  <c:v>0.97680097818374634</c:v>
                </c:pt>
                <c:pt idx="142">
                  <c:v>0.97680097818374634</c:v>
                </c:pt>
                <c:pt idx="143">
                  <c:v>0.97680097818374634</c:v>
                </c:pt>
                <c:pt idx="144">
                  <c:v>0.97680097818374634</c:v>
                </c:pt>
                <c:pt idx="145">
                  <c:v>0.97680097818374634</c:v>
                </c:pt>
                <c:pt idx="146">
                  <c:v>0.97680097818374634</c:v>
                </c:pt>
                <c:pt idx="147">
                  <c:v>0.97680097818374634</c:v>
                </c:pt>
                <c:pt idx="148">
                  <c:v>0.97680097818374634</c:v>
                </c:pt>
                <c:pt idx="149">
                  <c:v>0.97680097818374634</c:v>
                </c:pt>
                <c:pt idx="150">
                  <c:v>0.97680097818374634</c:v>
                </c:pt>
                <c:pt idx="151">
                  <c:v>0.97680097818374634</c:v>
                </c:pt>
                <c:pt idx="152">
                  <c:v>0.97680097818374634</c:v>
                </c:pt>
                <c:pt idx="153">
                  <c:v>0.97680097818374634</c:v>
                </c:pt>
                <c:pt idx="154">
                  <c:v>0.97680097818374634</c:v>
                </c:pt>
                <c:pt idx="155">
                  <c:v>0.97680097818374634</c:v>
                </c:pt>
                <c:pt idx="156">
                  <c:v>0.97680097818374634</c:v>
                </c:pt>
                <c:pt idx="157">
                  <c:v>0.97680097818374634</c:v>
                </c:pt>
                <c:pt idx="158">
                  <c:v>0.97680097818374634</c:v>
                </c:pt>
                <c:pt idx="159">
                  <c:v>0.97680097818374634</c:v>
                </c:pt>
                <c:pt idx="160">
                  <c:v>0.97680097818374634</c:v>
                </c:pt>
              </c:numCache>
            </c:numRef>
          </c:val>
        </c:ser>
        <c:ser>
          <c:idx val="24"/>
          <c:order val="24"/>
          <c:tx>
            <c:strRef>
              <c:f>data0!$Z$1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cat>
          <c:val>
            <c:numRef>
              <c:f>data0!$Z$2:$Z$162</c:f>
              <c:numCache>
                <c:formatCode>General</c:formatCode>
                <c:ptCount val="161"/>
                <c:pt idx="0">
                  <c:v>0.97680097818374634</c:v>
                </c:pt>
                <c:pt idx="1">
                  <c:v>0.48840048909187317</c:v>
                </c:pt>
                <c:pt idx="2">
                  <c:v>0.48840048909187317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0.48840048909187317</c:v>
                </c:pt>
                <c:pt idx="6">
                  <c:v>0.48840048909187317</c:v>
                </c:pt>
                <c:pt idx="7">
                  <c:v>0.48840048909187317</c:v>
                </c:pt>
                <c:pt idx="8">
                  <c:v>0.48840048909187317</c:v>
                </c:pt>
                <c:pt idx="9">
                  <c:v>0.48840048909187317</c:v>
                </c:pt>
                <c:pt idx="10">
                  <c:v>0.48840048909187317</c:v>
                </c:pt>
                <c:pt idx="11">
                  <c:v>0.48840048909187317</c:v>
                </c:pt>
                <c:pt idx="12">
                  <c:v>0.48840048909187317</c:v>
                </c:pt>
                <c:pt idx="13">
                  <c:v>0.48840048909187317</c:v>
                </c:pt>
                <c:pt idx="14">
                  <c:v>0.48840048909187317</c:v>
                </c:pt>
                <c:pt idx="15">
                  <c:v>0.48840048909187317</c:v>
                </c:pt>
                <c:pt idx="16">
                  <c:v>0.48840048909187317</c:v>
                </c:pt>
                <c:pt idx="17">
                  <c:v>0.48840048909187317</c:v>
                </c:pt>
                <c:pt idx="18">
                  <c:v>0.97680097818374634</c:v>
                </c:pt>
                <c:pt idx="19">
                  <c:v>0.97680097818374634</c:v>
                </c:pt>
                <c:pt idx="20">
                  <c:v>0.97680097818374634</c:v>
                </c:pt>
                <c:pt idx="21">
                  <c:v>0.97680097818374634</c:v>
                </c:pt>
                <c:pt idx="22">
                  <c:v>0.97680097818374634</c:v>
                </c:pt>
                <c:pt idx="23">
                  <c:v>1.4652014970779419</c:v>
                </c:pt>
                <c:pt idx="24">
                  <c:v>1.4652014970779419</c:v>
                </c:pt>
                <c:pt idx="25">
                  <c:v>1.4652014970779419</c:v>
                </c:pt>
                <c:pt idx="26">
                  <c:v>1.4652014970779419</c:v>
                </c:pt>
                <c:pt idx="27">
                  <c:v>1.9536019563674927</c:v>
                </c:pt>
                <c:pt idx="28">
                  <c:v>1.9536019563674927</c:v>
                </c:pt>
                <c:pt idx="29">
                  <c:v>2.442002534866333</c:v>
                </c:pt>
                <c:pt idx="30">
                  <c:v>2.9304029941558838</c:v>
                </c:pt>
                <c:pt idx="31">
                  <c:v>2.9304029941558838</c:v>
                </c:pt>
                <c:pt idx="32">
                  <c:v>3.4188034534454346</c:v>
                </c:pt>
                <c:pt idx="33">
                  <c:v>4.3956046104431152</c:v>
                </c:pt>
                <c:pt idx="34">
                  <c:v>4.884005069732666</c:v>
                </c:pt>
                <c:pt idx="35">
                  <c:v>5.8608059883117676</c:v>
                </c:pt>
                <c:pt idx="36">
                  <c:v>6.3492064476013184</c:v>
                </c:pt>
                <c:pt idx="37">
                  <c:v>6.3492064476013184</c:v>
                </c:pt>
                <c:pt idx="38">
                  <c:v>6.8376069068908691</c:v>
                </c:pt>
                <c:pt idx="39">
                  <c:v>7.3260073661804199</c:v>
                </c:pt>
                <c:pt idx="40">
                  <c:v>8.3028087615966797</c:v>
                </c:pt>
                <c:pt idx="41">
                  <c:v>9.768010139465332</c:v>
                </c:pt>
                <c:pt idx="42">
                  <c:v>10.744811058044434</c:v>
                </c:pt>
                <c:pt idx="43">
                  <c:v>12.210012435913086</c:v>
                </c:pt>
                <c:pt idx="44">
                  <c:v>13.186813354492187</c:v>
                </c:pt>
                <c:pt idx="45">
                  <c:v>13.675213813781738</c:v>
                </c:pt>
                <c:pt idx="46">
                  <c:v>14.163614273071289</c:v>
                </c:pt>
                <c:pt idx="47">
                  <c:v>14.65201473236084</c:v>
                </c:pt>
                <c:pt idx="48">
                  <c:v>15.140415191650391</c:v>
                </c:pt>
                <c:pt idx="49">
                  <c:v>15.628815650939941</c:v>
                </c:pt>
                <c:pt idx="50">
                  <c:v>15.140415191650391</c:v>
                </c:pt>
                <c:pt idx="51">
                  <c:v>15.140415191650391</c:v>
                </c:pt>
                <c:pt idx="52">
                  <c:v>14.65201473236084</c:v>
                </c:pt>
                <c:pt idx="53">
                  <c:v>13.675213813781738</c:v>
                </c:pt>
                <c:pt idx="54">
                  <c:v>12.210012435913086</c:v>
                </c:pt>
                <c:pt idx="55">
                  <c:v>10.256410598754883</c:v>
                </c:pt>
                <c:pt idx="56">
                  <c:v>8.3028087615966797</c:v>
                </c:pt>
                <c:pt idx="57">
                  <c:v>6.8376069068908691</c:v>
                </c:pt>
                <c:pt idx="58">
                  <c:v>5.3724055290222168</c:v>
                </c:pt>
                <c:pt idx="59">
                  <c:v>4.3956046104431152</c:v>
                </c:pt>
                <c:pt idx="60">
                  <c:v>3.4188034534454346</c:v>
                </c:pt>
                <c:pt idx="61">
                  <c:v>2.9304029941558838</c:v>
                </c:pt>
                <c:pt idx="62">
                  <c:v>2.9304029941558838</c:v>
                </c:pt>
                <c:pt idx="63">
                  <c:v>2.442002534866333</c:v>
                </c:pt>
                <c:pt idx="64">
                  <c:v>2.442002534866333</c:v>
                </c:pt>
                <c:pt idx="65">
                  <c:v>2.442002534866333</c:v>
                </c:pt>
                <c:pt idx="66">
                  <c:v>2.442002534866333</c:v>
                </c:pt>
                <c:pt idx="67">
                  <c:v>2.442002534866333</c:v>
                </c:pt>
                <c:pt idx="68">
                  <c:v>2.442002534866333</c:v>
                </c:pt>
                <c:pt idx="69">
                  <c:v>2.442002534866333</c:v>
                </c:pt>
                <c:pt idx="70">
                  <c:v>2.442002534866333</c:v>
                </c:pt>
                <c:pt idx="71">
                  <c:v>2.442002534866333</c:v>
                </c:pt>
                <c:pt idx="72">
                  <c:v>2.9304029941558838</c:v>
                </c:pt>
                <c:pt idx="73">
                  <c:v>2.9304029941558838</c:v>
                </c:pt>
                <c:pt idx="74">
                  <c:v>2.9304029941558838</c:v>
                </c:pt>
                <c:pt idx="75">
                  <c:v>3.4188034534454346</c:v>
                </c:pt>
                <c:pt idx="76">
                  <c:v>3.9072039127349854</c:v>
                </c:pt>
                <c:pt idx="77">
                  <c:v>3.9072039127349854</c:v>
                </c:pt>
                <c:pt idx="78">
                  <c:v>4.3956046104431152</c:v>
                </c:pt>
                <c:pt idx="79">
                  <c:v>4.3956046104431152</c:v>
                </c:pt>
                <c:pt idx="80">
                  <c:v>4.3956046104431152</c:v>
                </c:pt>
                <c:pt idx="81">
                  <c:v>4.3956046104431152</c:v>
                </c:pt>
                <c:pt idx="82">
                  <c:v>3.9072039127349854</c:v>
                </c:pt>
                <c:pt idx="83">
                  <c:v>3.9072039127349854</c:v>
                </c:pt>
                <c:pt idx="84">
                  <c:v>3.9072039127349854</c:v>
                </c:pt>
                <c:pt idx="85">
                  <c:v>3.9072039127349854</c:v>
                </c:pt>
                <c:pt idx="86">
                  <c:v>3.9072039127349854</c:v>
                </c:pt>
                <c:pt idx="87">
                  <c:v>3.9072039127349854</c:v>
                </c:pt>
                <c:pt idx="88">
                  <c:v>3.4188034534454346</c:v>
                </c:pt>
                <c:pt idx="89">
                  <c:v>3.4188034534454346</c:v>
                </c:pt>
                <c:pt idx="90">
                  <c:v>3.4188034534454346</c:v>
                </c:pt>
                <c:pt idx="91">
                  <c:v>2.9304029941558838</c:v>
                </c:pt>
                <c:pt idx="92">
                  <c:v>2.9304029941558838</c:v>
                </c:pt>
                <c:pt idx="93">
                  <c:v>2.442002534866333</c:v>
                </c:pt>
                <c:pt idx="94">
                  <c:v>2.442002534866333</c:v>
                </c:pt>
                <c:pt idx="95">
                  <c:v>2.442002534866333</c:v>
                </c:pt>
                <c:pt idx="96">
                  <c:v>2.442002534866333</c:v>
                </c:pt>
                <c:pt idx="97">
                  <c:v>1.9536019563674927</c:v>
                </c:pt>
                <c:pt idx="98">
                  <c:v>1.9536019563674927</c:v>
                </c:pt>
                <c:pt idx="99">
                  <c:v>1.9536019563674927</c:v>
                </c:pt>
                <c:pt idx="100">
                  <c:v>1.9536019563674927</c:v>
                </c:pt>
                <c:pt idx="101">
                  <c:v>1.4652014970779419</c:v>
                </c:pt>
                <c:pt idx="102">
                  <c:v>1.4652014970779419</c:v>
                </c:pt>
                <c:pt idx="103">
                  <c:v>1.4652014970779419</c:v>
                </c:pt>
                <c:pt idx="104">
                  <c:v>0.97680097818374634</c:v>
                </c:pt>
                <c:pt idx="105">
                  <c:v>0.97680097818374634</c:v>
                </c:pt>
                <c:pt idx="106">
                  <c:v>0.97680097818374634</c:v>
                </c:pt>
                <c:pt idx="107">
                  <c:v>0.97680097818374634</c:v>
                </c:pt>
                <c:pt idx="108">
                  <c:v>0.97680097818374634</c:v>
                </c:pt>
                <c:pt idx="109">
                  <c:v>0.97680097818374634</c:v>
                </c:pt>
                <c:pt idx="110">
                  <c:v>0.97680097818374634</c:v>
                </c:pt>
                <c:pt idx="111">
                  <c:v>0.97680097818374634</c:v>
                </c:pt>
                <c:pt idx="112">
                  <c:v>0.97680097818374634</c:v>
                </c:pt>
                <c:pt idx="113">
                  <c:v>0.48840048909187317</c:v>
                </c:pt>
                <c:pt idx="114">
                  <c:v>0.48840048909187317</c:v>
                </c:pt>
                <c:pt idx="115">
                  <c:v>0.48840048909187317</c:v>
                </c:pt>
                <c:pt idx="116">
                  <c:v>0.48840048909187317</c:v>
                </c:pt>
                <c:pt idx="117">
                  <c:v>0.48840048909187317</c:v>
                </c:pt>
                <c:pt idx="118">
                  <c:v>0.48840048909187317</c:v>
                </c:pt>
                <c:pt idx="119">
                  <c:v>0.48840048909187317</c:v>
                </c:pt>
                <c:pt idx="120">
                  <c:v>0.48840048909187317</c:v>
                </c:pt>
                <c:pt idx="121">
                  <c:v>0.48840048909187317</c:v>
                </c:pt>
                <c:pt idx="122">
                  <c:v>0.48840048909187317</c:v>
                </c:pt>
                <c:pt idx="123">
                  <c:v>0.48840048909187317</c:v>
                </c:pt>
                <c:pt idx="124">
                  <c:v>0.48840048909187317</c:v>
                </c:pt>
                <c:pt idx="125">
                  <c:v>0.48840048909187317</c:v>
                </c:pt>
                <c:pt idx="126">
                  <c:v>0.48840048909187317</c:v>
                </c:pt>
                <c:pt idx="127">
                  <c:v>0.48840048909187317</c:v>
                </c:pt>
                <c:pt idx="128">
                  <c:v>0.48840048909187317</c:v>
                </c:pt>
                <c:pt idx="129">
                  <c:v>0.48840048909187317</c:v>
                </c:pt>
                <c:pt idx="130">
                  <c:v>0.48840048909187317</c:v>
                </c:pt>
                <c:pt idx="131">
                  <c:v>0.48840048909187317</c:v>
                </c:pt>
                <c:pt idx="132">
                  <c:v>0.48840048909187317</c:v>
                </c:pt>
                <c:pt idx="133">
                  <c:v>0.48840048909187317</c:v>
                </c:pt>
                <c:pt idx="134">
                  <c:v>0.48840048909187317</c:v>
                </c:pt>
                <c:pt idx="135">
                  <c:v>0.48840048909187317</c:v>
                </c:pt>
                <c:pt idx="136">
                  <c:v>0.48840048909187317</c:v>
                </c:pt>
                <c:pt idx="137">
                  <c:v>0.48840048909187317</c:v>
                </c:pt>
                <c:pt idx="138">
                  <c:v>0.48840048909187317</c:v>
                </c:pt>
                <c:pt idx="139">
                  <c:v>0.48840048909187317</c:v>
                </c:pt>
                <c:pt idx="140">
                  <c:v>0.48840048909187317</c:v>
                </c:pt>
                <c:pt idx="141">
                  <c:v>0.48840048909187317</c:v>
                </c:pt>
                <c:pt idx="142">
                  <c:v>0.48840048909187317</c:v>
                </c:pt>
                <c:pt idx="143">
                  <c:v>0.48840048909187317</c:v>
                </c:pt>
                <c:pt idx="144">
                  <c:v>0.48840048909187317</c:v>
                </c:pt>
                <c:pt idx="145">
                  <c:v>0.48840048909187317</c:v>
                </c:pt>
                <c:pt idx="146">
                  <c:v>0.48840048909187317</c:v>
                </c:pt>
                <c:pt idx="147">
                  <c:v>0.48840048909187317</c:v>
                </c:pt>
                <c:pt idx="148">
                  <c:v>0.48840048909187317</c:v>
                </c:pt>
                <c:pt idx="149">
                  <c:v>0.48840048909187317</c:v>
                </c:pt>
                <c:pt idx="150">
                  <c:v>0.48840048909187317</c:v>
                </c:pt>
                <c:pt idx="151">
                  <c:v>0.48840048909187317</c:v>
                </c:pt>
                <c:pt idx="152">
                  <c:v>0.48840048909187317</c:v>
                </c:pt>
                <c:pt idx="153">
                  <c:v>0.48840048909187317</c:v>
                </c:pt>
                <c:pt idx="154">
                  <c:v>0.48840048909187317</c:v>
                </c:pt>
                <c:pt idx="155">
                  <c:v>0.48840048909187317</c:v>
                </c:pt>
                <c:pt idx="156">
                  <c:v>0.48840048909187317</c:v>
                </c:pt>
                <c:pt idx="157">
                  <c:v>0.48840048909187317</c:v>
                </c:pt>
                <c:pt idx="158">
                  <c:v>0.48840048909187317</c:v>
                </c:pt>
                <c:pt idx="159">
                  <c:v>0.48840048909187317</c:v>
                </c:pt>
                <c:pt idx="160">
                  <c:v>0.48840048909187317</c:v>
                </c:pt>
              </c:numCache>
            </c:numRef>
          </c:val>
        </c:ser>
        <c:bandFmts/>
        <c:axId val="75303168"/>
        <c:axId val="83603456"/>
        <c:axId val="75154752"/>
      </c:surfaceChart>
      <c:catAx>
        <c:axId val="75303168"/>
        <c:scaling>
          <c:orientation val="minMax"/>
        </c:scaling>
        <c:axPos val="b"/>
        <c:numFmt formatCode="General" sourceLinked="1"/>
        <c:majorTickMark val="none"/>
        <c:tickLblPos val="nextTo"/>
        <c:crossAx val="83603456"/>
        <c:crosses val="autoZero"/>
        <c:auto val="1"/>
        <c:lblAlgn val="ctr"/>
        <c:lblOffset val="100"/>
      </c:catAx>
      <c:valAx>
        <c:axId val="83603456"/>
        <c:scaling>
          <c:orientation val="minMax"/>
        </c:scaling>
        <c:delete val="1"/>
        <c:axPos val="l"/>
        <c:majorGridlines/>
        <c:numFmt formatCode="General" sourceLinked="1"/>
        <c:majorTickMark val="none"/>
        <c:tickLblPos val="none"/>
        <c:crossAx val="75303168"/>
        <c:crosses val="autoZero"/>
        <c:crossBetween val="midCat"/>
      </c:valAx>
      <c:serAx>
        <c:axId val="75154752"/>
        <c:scaling>
          <c:orientation val="minMax"/>
        </c:scaling>
        <c:axPos val="b"/>
        <c:majorTickMark val="none"/>
        <c:tickLblPos val="nextTo"/>
        <c:crossAx val="83603456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vl1924e!$B$3</c:f>
              <c:strCache>
                <c:ptCount val="1"/>
                <c:pt idx="0">
                  <c:v>Photo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vl1924e!$B$4:$B$164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0.00E+00">
                  <c:v>3.8999999999999999E-5</c:v>
                </c:pt>
                <c:pt idx="17" formatCode="0.00E+00">
                  <c:v>6.3999999999999997E-5</c:v>
                </c:pt>
                <c:pt idx="18" formatCode="0.00E+00">
                  <c:v>1.2E-4</c:v>
                </c:pt>
                <c:pt idx="19" formatCode="0.00E+00">
                  <c:v>2.1699999999999999E-4</c:v>
                </c:pt>
                <c:pt idx="20" formatCode="0.00E+00">
                  <c:v>3.9599999999999998E-4</c:v>
                </c:pt>
                <c:pt idx="21" formatCode="0.00E+00">
                  <c:v>6.4000000000000005E-4</c:v>
                </c:pt>
                <c:pt idx="22" formatCode="0.00E+00">
                  <c:v>1.2099999999999999E-3</c:v>
                </c:pt>
                <c:pt idx="23" formatCode="0.00E+00">
                  <c:v>2.1800000000000001E-3</c:v>
                </c:pt>
                <c:pt idx="24" formatCode="0.00E+00">
                  <c:v>4.0000000000000001E-3</c:v>
                </c:pt>
                <c:pt idx="25" formatCode="0.00E+00">
                  <c:v>7.3000000000000001E-3</c:v>
                </c:pt>
                <c:pt idx="26" formatCode="0.00E+00">
                  <c:v>1.1599999999999999E-2</c:v>
                </c:pt>
                <c:pt idx="27" formatCode="0.00E+00">
                  <c:v>1.6840000000000001E-2</c:v>
                </c:pt>
                <c:pt idx="28" formatCode="0.00E+00">
                  <c:v>2.3E-2</c:v>
                </c:pt>
                <c:pt idx="29" formatCode="0.00E+00">
                  <c:v>2.98E-2</c:v>
                </c:pt>
                <c:pt idx="30" formatCode="0.00E+00">
                  <c:v>3.7999999999999999E-2</c:v>
                </c:pt>
                <c:pt idx="31" formatCode="0.00E+00">
                  <c:v>4.8000000000000001E-2</c:v>
                </c:pt>
                <c:pt idx="32" formatCode="0.00E+00">
                  <c:v>0.06</c:v>
                </c:pt>
                <c:pt idx="33" formatCode="0.00E+00">
                  <c:v>7.3899999999999993E-2</c:v>
                </c:pt>
                <c:pt idx="34" formatCode="0.00E+00">
                  <c:v>9.0980000000000005E-2</c:v>
                </c:pt>
                <c:pt idx="35" formatCode="0.00E+00">
                  <c:v>0.11260000000000001</c:v>
                </c:pt>
                <c:pt idx="36" formatCode="0.00E+00">
                  <c:v>0.13902</c:v>
                </c:pt>
                <c:pt idx="37" formatCode="0.00E+00">
                  <c:v>0.16930000000000001</c:v>
                </c:pt>
                <c:pt idx="38" formatCode="0.00E+00">
                  <c:v>0.20802000000000001</c:v>
                </c:pt>
                <c:pt idx="39" formatCode="0.00E+00">
                  <c:v>0.2586</c:v>
                </c:pt>
                <c:pt idx="40" formatCode="0.00E+00">
                  <c:v>0.32300000000000001</c:v>
                </c:pt>
                <c:pt idx="41" formatCode="0.00E+00">
                  <c:v>0.4073</c:v>
                </c:pt>
                <c:pt idx="42" formatCode="0.00E+00">
                  <c:v>0.503</c:v>
                </c:pt>
                <c:pt idx="43" formatCode="0.00E+00">
                  <c:v>0.60819999999999996</c:v>
                </c:pt>
                <c:pt idx="44" formatCode="0.00E+00">
                  <c:v>0.71</c:v>
                </c:pt>
                <c:pt idx="45" formatCode="0.00E+00">
                  <c:v>0.79320000000000002</c:v>
                </c:pt>
                <c:pt idx="46" formatCode="0.00E+00">
                  <c:v>0.86199999999999999</c:v>
                </c:pt>
                <c:pt idx="47" formatCode="0.00E+00">
                  <c:v>0.91485000000000005</c:v>
                </c:pt>
                <c:pt idx="48" formatCode="0.00E+00">
                  <c:v>0.95399999999999996</c:v>
                </c:pt>
                <c:pt idx="49" formatCode="0.00E+00">
                  <c:v>0.98029999999999995</c:v>
                </c:pt>
                <c:pt idx="50" formatCode="0.00E+00">
                  <c:v>0.99495</c:v>
                </c:pt>
                <c:pt idx="51" formatCode="0.00E+00">
                  <c:v>1</c:v>
                </c:pt>
                <c:pt idx="52" formatCode="0.00E+00">
                  <c:v>0.995</c:v>
                </c:pt>
                <c:pt idx="53" formatCode="0.00E+00">
                  <c:v>0.97860000000000003</c:v>
                </c:pt>
                <c:pt idx="54" formatCode="0.00E+00">
                  <c:v>0.95199999999999996</c:v>
                </c:pt>
                <c:pt idx="55" formatCode="0.00E+00">
                  <c:v>0.91539999999999999</c:v>
                </c:pt>
                <c:pt idx="56" formatCode="0.00E+00">
                  <c:v>0.87</c:v>
                </c:pt>
                <c:pt idx="57" formatCode="0.00E+00">
                  <c:v>0.81630000000000003</c:v>
                </c:pt>
                <c:pt idx="58" formatCode="0.00E+00">
                  <c:v>0.75700000000000001</c:v>
                </c:pt>
                <c:pt idx="59" formatCode="0.00E+00">
                  <c:v>0.69489999999999996</c:v>
                </c:pt>
                <c:pt idx="60" formatCode="0.00E+00">
                  <c:v>0.63100000000000001</c:v>
                </c:pt>
                <c:pt idx="61" formatCode="0.00E+00">
                  <c:v>0.56679999999999997</c:v>
                </c:pt>
                <c:pt idx="62" formatCode="0.00E+00">
                  <c:v>0.503</c:v>
                </c:pt>
                <c:pt idx="63" formatCode="0.00E+00">
                  <c:v>0.44119999999999998</c:v>
                </c:pt>
                <c:pt idx="64" formatCode="0.00E+00">
                  <c:v>0.38100000000000001</c:v>
                </c:pt>
                <c:pt idx="65" formatCode="0.00E+00">
                  <c:v>0.32100000000000001</c:v>
                </c:pt>
                <c:pt idx="66" formatCode="0.00E+00">
                  <c:v>0.26500000000000001</c:v>
                </c:pt>
                <c:pt idx="67" formatCode="0.00E+00">
                  <c:v>0.217</c:v>
                </c:pt>
                <c:pt idx="68" formatCode="0.00E+00">
                  <c:v>0.17499999999999999</c:v>
                </c:pt>
                <c:pt idx="69" formatCode="0.00E+00">
                  <c:v>0.13819999999999999</c:v>
                </c:pt>
                <c:pt idx="70" formatCode="0.00E+00">
                  <c:v>0.107</c:v>
                </c:pt>
                <c:pt idx="71" formatCode="0.00E+00">
                  <c:v>8.1600000000000006E-2</c:v>
                </c:pt>
                <c:pt idx="72" formatCode="0.00E+00">
                  <c:v>6.0999999999999999E-2</c:v>
                </c:pt>
                <c:pt idx="73" formatCode="0.00E+00">
                  <c:v>4.4580000000000002E-2</c:v>
                </c:pt>
                <c:pt idx="74" formatCode="0.00E+00">
                  <c:v>3.2000000000000001E-2</c:v>
                </c:pt>
                <c:pt idx="75" formatCode="0.00E+00">
                  <c:v>2.3199999999999998E-2</c:v>
                </c:pt>
                <c:pt idx="76" formatCode="0.00E+00">
                  <c:v>1.7000000000000001E-2</c:v>
                </c:pt>
                <c:pt idx="77" formatCode="0.00E+00">
                  <c:v>1.192E-2</c:v>
                </c:pt>
                <c:pt idx="78" formatCode="0.00E+00">
                  <c:v>8.2100000000000003E-3</c:v>
                </c:pt>
                <c:pt idx="79" formatCode="0.00E+00">
                  <c:v>5.7229999999999998E-3</c:v>
                </c:pt>
                <c:pt idx="80" formatCode="0.00E+00">
                  <c:v>4.1019999999999997E-3</c:v>
                </c:pt>
                <c:pt idx="81" formatCode="0.00E+00">
                  <c:v>2.9290000000000002E-3</c:v>
                </c:pt>
                <c:pt idx="82" formatCode="0.00E+00">
                  <c:v>2.091E-3</c:v>
                </c:pt>
                <c:pt idx="83" formatCode="0.00E+00">
                  <c:v>1.4840000000000001E-3</c:v>
                </c:pt>
                <c:pt idx="84" formatCode="0.00E+00">
                  <c:v>1.047E-3</c:v>
                </c:pt>
                <c:pt idx="85" formatCode="0.00E+00">
                  <c:v>7.3999999999999999E-4</c:v>
                </c:pt>
                <c:pt idx="86" formatCode="0.00E+00">
                  <c:v>5.1999999999999995E-4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vl1924e!$C$3</c:f>
              <c:strCache>
                <c:ptCount val="1"/>
                <c:pt idx="0">
                  <c:v>Result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vl1924e!$C$4:$C$164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73552256"/>
        <c:axId val="73553792"/>
      </c:scatterChart>
      <c:valAx>
        <c:axId val="7355225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3553792"/>
        <c:crosses val="autoZero"/>
        <c:crossBetween val="midCat"/>
      </c:valAx>
      <c:valAx>
        <c:axId val="73553792"/>
        <c:scaling>
          <c:orientation val="minMax"/>
          <c:max val="1"/>
          <c:min val="0"/>
        </c:scaling>
        <c:axPos val="l"/>
        <c:majorGridlines/>
        <c:numFmt formatCode="General" sourceLinked="1"/>
        <c:tickLblPos val="nextTo"/>
        <c:crossAx val="735522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vl1924e!$Q$3</c:f>
              <c:strCache>
                <c:ptCount val="1"/>
                <c:pt idx="0">
                  <c:v>1500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vl1924e!$Q$4:$Q$164</c:f>
              <c:numCache>
                <c:formatCode>0.00E+00</c:formatCode>
                <c:ptCount val="161"/>
                <c:pt idx="0">
                  <c:v>2004.1101704113664</c:v>
                </c:pt>
                <c:pt idx="1">
                  <c:v>3116.4537092447122</c:v>
                </c:pt>
                <c:pt idx="2">
                  <c:v>4771.3409497687517</c:v>
                </c:pt>
                <c:pt idx="3">
                  <c:v>7197.6693528575906</c:v>
                </c:pt>
                <c:pt idx="4">
                  <c:v>10705.945249382092</c:v>
                </c:pt>
                <c:pt idx="5">
                  <c:v>15711.964874652711</c:v>
                </c:pt>
                <c:pt idx="6">
                  <c:v>22765.706858865542</c:v>
                </c:pt>
                <c:pt idx="7">
                  <c:v>32586.162393990013</c:v>
                </c:pt>
                <c:pt idx="8">
                  <c:v>46102.843917105274</c:v>
                </c:pt>
                <c:pt idx="9">
                  <c:v>64504.711727902366</c:v>
                </c:pt>
                <c:pt idx="10">
                  <c:v>89297.238839628466</c:v>
                </c:pt>
                <c:pt idx="11">
                  <c:v>122368.29637232497</c:v>
                </c:pt>
                <c:pt idx="12">
                  <c:v>166063.48429809129</c:v>
                </c:pt>
                <c:pt idx="13">
                  <c:v>223271.45528003</c:v>
                </c:pt>
                <c:pt idx="14">
                  <c:v>297519.68323893566</c:v>
                </c:pt>
                <c:pt idx="15">
                  <c:v>393081.01424304821</c:v>
                </c:pt>
                <c:pt idx="16">
                  <c:v>515091.20700031618</c:v>
                </c:pt>
                <c:pt idx="17">
                  <c:v>669677.52578646212</c:v>
                </c:pt>
                <c:pt idx="18">
                  <c:v>864098.29263549903</c:v>
                </c:pt>
                <c:pt idx="19">
                  <c:v>1106893.1409627432</c:v>
                </c:pt>
                <c:pt idx="20">
                  <c:v>1408043.5426438316</c:v>
                </c:pt>
                <c:pt idx="21">
                  <c:v>1779143.0082506971</c:v>
                </c:pt>
                <c:pt idx="22">
                  <c:v>2233576.1890178137</c:v>
                </c:pt>
                <c:pt idx="23">
                  <c:v>2786705.9425148312</c:v>
                </c:pt>
                <c:pt idx="24">
                  <c:v>3456067.2651455323</c:v>
                </c:pt>
                <c:pt idx="25">
                  <c:v>4261566.8464868423</c:v>
                </c:pt>
                <c:pt idx="26">
                  <c:v>5225686.8658630066</c:v>
                </c:pt>
                <c:pt idx="27">
                  <c:v>6373691.5328278765</c:v>
                </c:pt>
                <c:pt idx="28">
                  <c:v>7733834.7724420028</c:v>
                </c:pt>
                <c:pt idx="29">
                  <c:v>9337567.3750165999</c:v>
                </c:pt>
                <c:pt idx="30">
                  <c:v>11219741.869568655</c:v>
                </c:pt>
                <c:pt idx="31">
                  <c:v>13418813.341382926</c:v>
                </c:pt>
                <c:pt idx="32">
                  <c:v>15977034.397171924</c:v>
                </c:pt>
                <c:pt idx="33">
                  <c:v>18940642.486333575</c:v>
                </c:pt>
                <c:pt idx="34">
                  <c:v>22360037.813303933</c:v>
                </c:pt>
                <c:pt idx="35">
                  <c:v>26289950.12322285</c:v>
                </c:pt>
                <c:pt idx="36">
                  <c:v>30789592.709991857</c:v>
                </c:pt>
                <c:pt idx="37">
                  <c:v>35922802.080938824</c:v>
                </c:pt>
                <c:pt idx="38">
                  <c:v>41758161.814140283</c:v>
                </c:pt>
                <c:pt idx="39">
                  <c:v>48369109.261193305</c:v>
                </c:pt>
                <c:pt idx="40">
                  <c:v>55834023.877977535</c:v>
                </c:pt>
                <c:pt idx="41">
                  <c:v>64236296.106671602</c:v>
                </c:pt>
                <c:pt idx="42">
                  <c:v>73664375.881925568</c:v>
                </c:pt>
                <c:pt idx="43">
                  <c:v>84211799.990540519</c:v>
                </c:pt>
                <c:pt idx="44">
                  <c:v>95977197.675204605</c:v>
                </c:pt>
                <c:pt idx="45">
                  <c:v>109064274.03675312</c:v>
                </c:pt>
                <c:pt idx="46">
                  <c:v>123581770.95411034</c:v>
                </c:pt>
                <c:pt idx="47">
                  <c:v>139643405.40470085</c:v>
                </c:pt>
                <c:pt idx="48">
                  <c:v>157367785.22895485</c:v>
                </c:pt>
                <c:pt idx="49">
                  <c:v>176878302.53901702</c:v>
                </c:pt>
                <c:pt idx="50">
                  <c:v>198303005.1224311</c:v>
                </c:pt>
                <c:pt idx="51">
                  <c:v>221774446.33519736</c:v>
                </c:pt>
                <c:pt idx="52">
                  <c:v>247429514.11404416</c:v>
                </c:pt>
                <c:pt idx="53">
                  <c:v>275409239.86406434</c:v>
                </c:pt>
                <c:pt idx="54">
                  <c:v>305858588.0943417</c:v>
                </c:pt>
                <c:pt idx="55">
                  <c:v>338926227.78012305</c:v>
                </c:pt>
                <c:pt idx="56">
                  <c:v>374764286.52509677</c:v>
                </c:pt>
                <c:pt idx="57">
                  <c:v>413528088.68110055</c:v>
                </c:pt>
                <c:pt idx="58">
                  <c:v>455375878.65488577</c:v>
                </c:pt>
                <c:pt idx="59">
                  <c:v>500468530.69247168</c:v>
                </c:pt>
                <c:pt idx="60">
                  <c:v>548969246.48109961</c:v>
                </c:pt>
                <c:pt idx="61">
                  <c:v>601043241.94719911</c:v>
                </c:pt>
                <c:pt idx="62">
                  <c:v>656857424.65615749</c:v>
                </c:pt>
                <c:pt idx="63">
                  <c:v>716580063.23676109</c:v>
                </c:pt>
                <c:pt idx="64">
                  <c:v>780380450.26000476</c:v>
                </c:pt>
                <c:pt idx="65">
                  <c:v>848428559.99942172</c:v>
                </c:pt>
                <c:pt idx="66">
                  <c:v>920894702.48850012</c:v>
                </c:pt>
                <c:pt idx="67">
                  <c:v>997949175.27076554</c:v>
                </c:pt>
                <c:pt idx="68">
                  <c:v>1079761914.2105649</c:v>
                </c:pt>
                <c:pt idx="69">
                  <c:v>1166502144.6977396</c:v>
                </c:pt>
                <c:pt idx="70">
                  <c:v>1258338034.5383544</c:v>
                </c:pt>
                <c:pt idx="71">
                  <c:v>1355436349.7767477</c:v>
                </c:pt>
                <c:pt idx="72">
                  <c:v>1457962114.6423233</c:v>
                </c:pt>
                <c:pt idx="73">
                  <c:v>1566078276.7582619</c:v>
                </c:pt>
                <c:pt idx="74">
                  <c:v>1679945378.6892273</c:v>
                </c:pt>
                <c:pt idx="75">
                  <c:v>1799721236.8421724</c:v>
                </c:pt>
                <c:pt idx="76">
                  <c:v>1925560628.6687388</c:v>
                </c:pt>
                <c:pt idx="77">
                  <c:v>2057614989.0500655</c:v>
                </c:pt>
                <c:pt idx="78">
                  <c:v>2196032116.6763062</c:v>
                </c:pt>
                <c:pt idx="79">
                  <c:v>2340955891.1630535</c:v>
                </c:pt>
                <c:pt idx="80">
                  <c:v>2492526001.5770655</c:v>
                </c:pt>
                <c:pt idx="81">
                  <c:v>2650877686.9737206</c:v>
                </c:pt>
                <c:pt idx="82">
                  <c:v>2816141489.4789124</c:v>
                </c:pt>
                <c:pt idx="83">
                  <c:v>2988443020.3799858</c:v>
                </c:pt>
                <c:pt idx="84">
                  <c:v>3167902739.6223788</c:v>
                </c:pt>
                <c:pt idx="85">
                  <c:v>3354635749.0435481</c:v>
                </c:pt>
                <c:pt idx="86">
                  <c:v>3548751599.6111054</c:v>
                </c:pt>
                <c:pt idx="87">
                  <c:v>3750354112.8706555</c:v>
                </c:pt>
                <c:pt idx="88">
                  <c:v>3959541216.7491221</c:v>
                </c:pt>
                <c:pt idx="89">
                  <c:v>4176404795.8018446</c:v>
                </c:pt>
                <c:pt idx="90">
                  <c:v>4401030555.9375629</c:v>
                </c:pt>
                <c:pt idx="91">
                  <c:v>4633497903.603241</c:v>
                </c:pt>
                <c:pt idx="92">
                  <c:v>4873879839.3616619</c:v>
                </c:pt>
                <c:pt idx="93">
                  <c:v>5122242865.7487307</c:v>
                </c:pt>
                <c:pt idx="94">
                  <c:v>5378646909.2537584</c:v>
                </c:pt>
                <c:pt idx="95">
                  <c:v>5643145256.2261038</c:v>
                </c:pt>
                <c:pt idx="96">
                  <c:v>5915784502.4740534</c:v>
                </c:pt>
                <c:pt idx="97">
                  <c:v>6196604516.2869911</c:v>
                </c:pt>
                <c:pt idx="98">
                  <c:v>6485638414.5814381</c:v>
                </c:pt>
                <c:pt idx="99">
                  <c:v>6782912551.8414383</c:v>
                </c:pt>
                <c:pt idx="100">
                  <c:v>7088446521.4995642</c:v>
                </c:pt>
                <c:pt idx="101">
                  <c:v>7402253169.3803625</c:v>
                </c:pt>
                <c:pt idx="102">
                  <c:v>7724338618.808486</c:v>
                </c:pt>
                <c:pt idx="103">
                  <c:v>8054702306.9660015</c:v>
                </c:pt>
                <c:pt idx="104">
                  <c:v>8393337032.0671854</c:v>
                </c:pt>
                <c:pt idx="105">
                  <c:v>8740229010.9076443</c:v>
                </c:pt>
                <c:pt idx="106">
                  <c:v>9095357946.3322906</c:v>
                </c:pt>
                <c:pt idx="107">
                  <c:v>9458697104.1601219</c:v>
                </c:pt>
                <c:pt idx="108">
                  <c:v>9830213399.0955544</c:v>
                </c:pt>
                <c:pt idx="109">
                  <c:v>10209867489.153191</c:v>
                </c:pt>
                <c:pt idx="110">
                  <c:v>10597613878.119793</c:v>
                </c:pt>
                <c:pt idx="111">
                  <c:v>10993401025.575857</c:v>
                </c:pt>
                <c:pt idx="112">
                  <c:v>11397171464.001455</c:v>
                </c:pt>
                <c:pt idx="113">
                  <c:v>11808861922.491858</c:v>
                </c:pt>
                <c:pt idx="114">
                  <c:v>12228403456.613226</c:v>
                </c:pt>
                <c:pt idx="115">
                  <c:v>12655721583.93343</c:v>
                </c:pt>
                <c:pt idx="116">
                  <c:v>13090736424.769135</c:v>
                </c:pt>
                <c:pt idx="117">
                  <c:v>13533362847.697998</c:v>
                </c:pt>
                <c:pt idx="118">
                  <c:v>13983510619.392788</c:v>
                </c:pt>
                <c:pt idx="119">
                  <c:v>14441084558.343681</c:v>
                </c:pt>
                <c:pt idx="120">
                  <c:v>14905984692.045357</c:v>
                </c:pt>
                <c:pt idx="121">
                  <c:v>15378106417.235184</c:v>
                </c:pt>
                <c:pt idx="122">
                  <c:v>15857340662.781525</c:v>
                </c:pt>
                <c:pt idx="123">
                  <c:v>16343574054.832146</c:v>
                </c:pt>
                <c:pt idx="124">
                  <c:v>16836689083.845234</c:v>
                </c:pt>
                <c:pt idx="125">
                  <c:v>17336564273.13892</c:v>
                </c:pt>
                <c:pt idx="126">
                  <c:v>17843074348.606907</c:v>
                </c:pt>
                <c:pt idx="127">
                  <c:v>18356090409.263367</c:v>
                </c:pt>
                <c:pt idx="128">
                  <c:v>18875480098.290676</c:v>
                </c:pt>
                <c:pt idx="129">
                  <c:v>19401107774.280849</c:v>
                </c:pt>
                <c:pt idx="130">
                  <c:v>19932834682.372066</c:v>
                </c:pt>
                <c:pt idx="131">
                  <c:v>20470519124.997337</c:v>
                </c:pt>
                <c:pt idx="132">
                  <c:v>21014016631.975662</c:v>
                </c:pt>
                <c:pt idx="133">
                  <c:v>21563180129.689507</c:v>
                </c:pt>
                <c:pt idx="134">
                  <c:v>22117860109.106224</c:v>
                </c:pt>
                <c:pt idx="135">
                  <c:v>22677904792.41444</c:v>
                </c:pt>
                <c:pt idx="136">
                  <c:v>23243160298.059753</c:v>
                </c:pt>
                <c:pt idx="137">
                  <c:v>23813470803.97757</c:v>
                </c:pt>
                <c:pt idx="138">
                  <c:v>24388678708.832436</c:v>
                </c:pt>
                <c:pt idx="139">
                  <c:v>24968624791.088181</c:v>
                </c:pt>
                <c:pt idx="140">
                  <c:v>25553148365.743038</c:v>
                </c:pt>
                <c:pt idx="141">
                  <c:v>26142087438.57769</c:v>
                </c:pt>
                <c:pt idx="142">
                  <c:v>26735278857.775661</c:v>
                </c:pt>
                <c:pt idx="143">
                  <c:v>27332558462.785633</c:v>
                </c:pt>
                <c:pt idx="144">
                  <c:v>27933761230.308895</c:v>
                </c:pt>
                <c:pt idx="145">
                  <c:v>28538721417.303356</c:v>
                </c:pt>
                <c:pt idx="146">
                  <c:v>29147272700.907368</c:v>
                </c:pt>
                <c:pt idx="147">
                  <c:v>29759248315.196331</c:v>
                </c:pt>
                <c:pt idx="148">
                  <c:v>30374481184.695305</c:v>
                </c:pt>
                <c:pt idx="149">
                  <c:v>30992804054.578968</c:v>
                </c:pt>
                <c:pt idx="150">
                  <c:v>31614049617.500629</c:v>
                </c:pt>
                <c:pt idx="151">
                  <c:v>32238050636.999397</c:v>
                </c:pt>
                <c:pt idx="152">
                  <c:v>32864640067.44426</c:v>
                </c:pt>
                <c:pt idx="153">
                  <c:v>33493651170.480099</c:v>
                </c:pt>
                <c:pt idx="154">
                  <c:v>34124917627.949379</c:v>
                </c:pt>
                <c:pt idx="155">
                  <c:v>34758273651.270683</c:v>
                </c:pt>
                <c:pt idx="156">
                  <c:v>35393554087.260071</c:v>
                </c:pt>
                <c:pt idx="157">
                  <c:v>36030594520.390465</c:v>
                </c:pt>
                <c:pt idx="158">
                  <c:v>36669231371.488243</c:v>
                </c:pt>
                <c:pt idx="159">
                  <c:v>37309301992.873817</c:v>
                </c:pt>
                <c:pt idx="160">
                  <c:v>37950644759.955338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vl1924e!$R$3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vl1924e!$R$4:$R$164</c:f>
              <c:numCache>
                <c:formatCode>0.00E+00</c:formatCode>
                <c:ptCount val="161"/>
                <c:pt idx="0">
                  <c:v>5933483.8998653628</c:v>
                </c:pt>
                <c:pt idx="1">
                  <c:v>8093583.5410317592</c:v>
                </c:pt>
                <c:pt idx="2">
                  <c:v>10915618.883663144</c:v>
                </c:pt>
                <c:pt idx="3">
                  <c:v>14563839.01032521</c:v>
                </c:pt>
                <c:pt idx="4">
                  <c:v>19233194.936340403</c:v>
                </c:pt>
                <c:pt idx="5">
                  <c:v>25152943.553663421</c:v>
                </c:pt>
                <c:pt idx="6">
                  <c:v>32590316.078109518</c:v>
                </c:pt>
                <c:pt idx="7">
                  <c:v>41854200.18743863</c:v>
                </c:pt>
                <c:pt idx="8">
                  <c:v>53298781.917860284</c:v>
                </c:pt>
                <c:pt idx="9">
                  <c:v>67327091.451456979</c:v>
                </c:pt>
                <c:pt idx="10">
                  <c:v>84394396.215138242</c:v>
                </c:pt>
                <c:pt idx="11">
                  <c:v>105011385.22087966</c:v>
                </c:pt>
                <c:pt idx="12">
                  <c:v>129747090.26762003</c:v>
                </c:pt>
                <c:pt idx="13">
                  <c:v>159231492.4246434</c:v>
                </c:pt>
                <c:pt idx="14">
                  <c:v>194157766.02398312</c:v>
                </c:pt>
                <c:pt idx="15">
                  <c:v>235284117.08250633</c:v>
                </c:pt>
                <c:pt idx="16">
                  <c:v>283435178.51359683</c:v>
                </c:pt>
                <c:pt idx="17">
                  <c:v>339502930.52391529</c:v>
                </c:pt>
                <c:pt idx="18">
                  <c:v>404447121.06752867</c:v>
                </c:pt>
                <c:pt idx="19">
                  <c:v>479295167.9927842</c:v>
                </c:pt>
                <c:pt idx="20">
                  <c:v>565141531.41589999</c:v>
                </c:pt>
                <c:pt idx="21">
                  <c:v>663146551.74670684</c:v>
                </c:pt>
                <c:pt idx="22">
                  <c:v>774534755.54496694</c:v>
                </c:pt>
                <c:pt idx="23">
                  <c:v>900592637.88203239</c:v>
                </c:pt>
                <c:pt idx="24">
                  <c:v>1042665936.0196761</c:v>
                </c:pt>
                <c:pt idx="25">
                  <c:v>1202156414.9086599</c:v>
                </c:pt>
                <c:pt idx="26">
                  <c:v>1380518190.1838996</c:v>
                </c:pt>
                <c:pt idx="27">
                  <c:v>1579253618.9370339</c:v>
                </c:pt>
                <c:pt idx="28">
                  <c:v>1799908792.5427215</c:v>
                </c:pt>
                <c:pt idx="29">
                  <c:v>2044068669.1790259</c:v>
                </c:pt>
                <c:pt idx="30">
                  <c:v>2313351886.4059515</c:v>
                </c:pt>
                <c:pt idx="31">
                  <c:v>2609405296.2521582</c:v>
                </c:pt>
                <c:pt idx="32">
                  <c:v>2933898266.7235079</c:v>
                </c:pt>
                <c:pt idx="33">
                  <c:v>3288516794.5112948</c:v>
                </c:pt>
                <c:pt idx="34">
                  <c:v>3674957473.9749904</c:v>
                </c:pt>
                <c:pt idx="35">
                  <c:v>4094921367.2426643</c:v>
                </c:pt>
                <c:pt idx="36">
                  <c:v>4550107819.5539837</c:v>
                </c:pt>
                <c:pt idx="37">
                  <c:v>5042208262.8143167</c:v>
                </c:pt>
                <c:pt idx="38">
                  <c:v>5572900048.7807579</c:v>
                </c:pt>
                <c:pt idx="39">
                  <c:v>6143840351.4145651</c:v>
                </c:pt>
                <c:pt idx="40">
                  <c:v>6756660175.7570372</c:v>
                </c:pt>
                <c:pt idx="41">
                  <c:v>7412958508.2702379</c:v>
                </c:pt>
                <c:pt idx="42">
                  <c:v>8114296640.9744425</c:v>
                </c:pt>
                <c:pt idx="43">
                  <c:v>8862192698.9600658</c:v>
                </c:pt>
                <c:pt idx="44">
                  <c:v>9658116397.9950142</c:v>
                </c:pt>
                <c:pt idx="45">
                  <c:v>10503484056.02846</c:v>
                </c:pt>
                <c:pt idx="46">
                  <c:v>11399653879.448437</c:v>
                </c:pt>
                <c:pt idx="47">
                  <c:v>12347921542.015114</c:v>
                </c:pt>
                <c:pt idx="48">
                  <c:v>13349516071.495127</c:v>
                </c:pt>
                <c:pt idx="49">
                  <c:v>14405596056.19146</c:v>
                </c:pt>
                <c:pt idx="50">
                  <c:v>15517246180.821732</c:v>
                </c:pt>
                <c:pt idx="51">
                  <c:v>16685474098.564188</c:v>
                </c:pt>
                <c:pt idx="52">
                  <c:v>17911207643.582417</c:v>
                </c:pt>
                <c:pt idx="53">
                  <c:v>19195292385.969643</c:v>
                </c:pt>
                <c:pt idx="54">
                  <c:v>20538489528.83268</c:v>
                </c:pt>
                <c:pt idx="55">
                  <c:v>21941474145.170555</c:v>
                </c:pt>
                <c:pt idx="56">
                  <c:v>23404833750.299961</c:v>
                </c:pt>
                <c:pt idx="57">
                  <c:v>24929067203.841293</c:v>
                </c:pt>
                <c:pt idx="58">
                  <c:v>26514583933.706535</c:v>
                </c:pt>
                <c:pt idx="59">
                  <c:v>28161703473.122406</c:v>
                </c:pt>
                <c:pt idx="60">
                  <c:v>29870655300.475525</c:v>
                </c:pt>
                <c:pt idx="61">
                  <c:v>31641578970.68103</c:v>
                </c:pt>
                <c:pt idx="62">
                  <c:v>33474524525.840031</c:v>
                </c:pt>
                <c:pt idx="63">
                  <c:v>35369453172.167892</c:v>
                </c:pt>
                <c:pt idx="64">
                  <c:v>37326238209.527664</c:v>
                </c:pt>
                <c:pt idx="65">
                  <c:v>39344666199.393745</c:v>
                </c:pt>
                <c:pt idx="66">
                  <c:v>41424438356.68251</c:v>
                </c:pt>
                <c:pt idx="67">
                  <c:v>43565172150.621422</c:v>
                </c:pt>
                <c:pt idx="68">
                  <c:v>45766403099.666466</c:v>
                </c:pt>
                <c:pt idx="69">
                  <c:v>48027586745.421745</c:v>
                </c:pt>
                <c:pt idx="70">
                  <c:v>50348100790.549721</c:v>
                </c:pt>
                <c:pt idx="71">
                  <c:v>52727247385.775467</c:v>
                </c:pt>
                <c:pt idx="72">
                  <c:v>55164255551.29052</c:v>
                </c:pt>
                <c:pt idx="73">
                  <c:v>57658283718.114876</c:v>
                </c:pt>
                <c:pt idx="74">
                  <c:v>60208422375.306358</c:v>
                </c:pt>
                <c:pt idx="75">
                  <c:v>62813696809.27758</c:v>
                </c:pt>
                <c:pt idx="76">
                  <c:v>65473069921.90377</c:v>
                </c:pt>
                <c:pt idx="77">
                  <c:v>68185445114.563484</c:v>
                </c:pt>
                <c:pt idx="78">
                  <c:v>70949669225.751099</c:v>
                </c:pt>
                <c:pt idx="79">
                  <c:v>73764535510.41304</c:v>
                </c:pt>
                <c:pt idx="80">
                  <c:v>76628786649.708954</c:v>
                </c:pt>
                <c:pt idx="81">
                  <c:v>79541117780.451279</c:v>
                </c:pt>
                <c:pt idx="82">
                  <c:v>82500179534.043442</c:v>
                </c:pt>
                <c:pt idx="83">
                  <c:v>85504581075.32225</c:v>
                </c:pt>
                <c:pt idx="84">
                  <c:v>88552893132.276062</c:v>
                </c:pt>
                <c:pt idx="85">
                  <c:v>91643651008.200607</c:v>
                </c:pt>
                <c:pt idx="86">
                  <c:v>94775357568.423264</c:v>
                </c:pt>
                <c:pt idx="87">
                  <c:v>97946486194.292984</c:v>
                </c:pt>
                <c:pt idx="88">
                  <c:v>101155483697.70309</c:v>
                </c:pt>
                <c:pt idx="89">
                  <c:v>104400773189.94835</c:v>
                </c:pt>
                <c:pt idx="90">
                  <c:v>107680756899.26292</c:v>
                </c:pt>
                <c:pt idx="91">
                  <c:v>110993818931.90288</c:v>
                </c:pt>
                <c:pt idx="92">
                  <c:v>114338327972.1404</c:v>
                </c:pt>
                <c:pt idx="93">
                  <c:v>117712639917.02174</c:v>
                </c:pt>
                <c:pt idx="94">
                  <c:v>121115100442.21425</c:v>
                </c:pt>
                <c:pt idx="95">
                  <c:v>124544047495.70767</c:v>
                </c:pt>
                <c:pt idx="96">
                  <c:v>127997813716.57605</c:v>
                </c:pt>
                <c:pt idx="97">
                  <c:v>131474728776.40105</c:v>
                </c:pt>
                <c:pt idx="98">
                  <c:v>134973121641.36118</c:v>
                </c:pt>
                <c:pt idx="99">
                  <c:v>138491322753.34534</c:v>
                </c:pt>
                <c:pt idx="100">
                  <c:v>142027666128.80829</c:v>
                </c:pt>
                <c:pt idx="101">
                  <c:v>145580491374.40283</c:v>
                </c:pt>
                <c:pt idx="102">
                  <c:v>149148145618.742</c:v>
                </c:pt>
                <c:pt idx="103">
                  <c:v>152728985359.9187</c:v>
                </c:pt>
                <c:pt idx="104">
                  <c:v>156321378228.68808</c:v>
                </c:pt>
                <c:pt idx="105">
                  <c:v>159923704667.46613</c:v>
                </c:pt>
                <c:pt idx="106">
                  <c:v>163534359525.5192</c:v>
                </c:pt>
                <c:pt idx="107">
                  <c:v>167151753570.94644</c:v>
                </c:pt>
                <c:pt idx="108">
                  <c:v>170774314920.23752</c:v>
                </c:pt>
                <c:pt idx="109">
                  <c:v>174400490386.38022</c:v>
                </c:pt>
                <c:pt idx="110">
                  <c:v>178028746746.64081</c:v>
                </c:pt>
                <c:pt idx="111">
                  <c:v>181657571931.30386</c:v>
                </c:pt>
                <c:pt idx="112">
                  <c:v>185285476134.77444</c:v>
                </c:pt>
                <c:pt idx="113">
                  <c:v>188910992850.57336</c:v>
                </c:pt>
                <c:pt idx="114">
                  <c:v>192532679831.86465</c:v>
                </c:pt>
                <c:pt idx="115">
                  <c:v>196149119979.23221</c:v>
                </c:pt>
                <c:pt idx="116">
                  <c:v>199758922157.52219</c:v>
                </c:pt>
                <c:pt idx="117">
                  <c:v>203360721943.61896</c:v>
                </c:pt>
                <c:pt idx="118">
                  <c:v>206953182307.09885</c:v>
                </c:pt>
                <c:pt idx="119">
                  <c:v>210534994225.73358</c:v>
                </c:pt>
                <c:pt idx="120">
                  <c:v>214104877237.87738</c:v>
                </c:pt>
                <c:pt idx="121">
                  <c:v>217661579933.78299</c:v>
                </c:pt>
                <c:pt idx="122">
                  <c:v>221203880387.9249</c:v>
                </c:pt>
                <c:pt idx="123">
                  <c:v>224730586534.42172</c:v>
                </c:pt>
                <c:pt idx="124">
                  <c:v>228240536487.65112</c:v>
                </c:pt>
                <c:pt idx="125">
                  <c:v>231732598810.15991</c:v>
                </c:pt>
                <c:pt idx="126">
                  <c:v>235205672729.96216</c:v>
                </c:pt>
                <c:pt idx="127">
                  <c:v>238658688309.30933</c:v>
                </c:pt>
                <c:pt idx="128">
                  <c:v>242090606567.00174</c:v>
                </c:pt>
                <c:pt idx="129">
                  <c:v>245500419556.28787</c:v>
                </c:pt>
                <c:pt idx="130">
                  <c:v>248887150400.37854</c:v>
                </c:pt>
                <c:pt idx="131">
                  <c:v>252249853287.5722</c:v>
                </c:pt>
                <c:pt idx="132">
                  <c:v>255587613427.95651</c:v>
                </c:pt>
                <c:pt idx="133">
                  <c:v>258899546973.61813</c:v>
                </c:pt>
                <c:pt idx="134">
                  <c:v>262184800904.25504</c:v>
                </c:pt>
                <c:pt idx="135">
                  <c:v>265442552880.04605</c:v>
                </c:pt>
                <c:pt idx="136">
                  <c:v>268672011063.59695</c:v>
                </c:pt>
                <c:pt idx="137">
                  <c:v>271872413912.72751</c:v>
                </c:pt>
                <c:pt idx="138">
                  <c:v>275043029945.82898</c:v>
                </c:pt>
                <c:pt idx="139">
                  <c:v>278183157481.47736</c:v>
                </c:pt>
                <c:pt idx="140">
                  <c:v>281292124353.93115</c:v>
                </c:pt>
                <c:pt idx="141">
                  <c:v>284369287606.10614</c:v>
                </c:pt>
                <c:pt idx="142">
                  <c:v>287414033161.55927</c:v>
                </c:pt>
                <c:pt idx="143">
                  <c:v>290425775476.98047</c:v>
                </c:pt>
                <c:pt idx="144">
                  <c:v>293403957176.62793</c:v>
                </c:pt>
                <c:pt idx="145">
                  <c:v>296348048670.10132</c:v>
                </c:pt>
                <c:pt idx="146">
                  <c:v>299257547754.80164</c:v>
                </c:pt>
                <c:pt idx="147">
                  <c:v>302131979204.3631</c:v>
                </c:pt>
                <c:pt idx="148">
                  <c:v>304970894344.31653</c:v>
                </c:pt>
                <c:pt idx="149">
                  <c:v>307773870616.17218</c:v>
                </c:pt>
                <c:pt idx="150">
                  <c:v>310540511131.08441</c:v>
                </c:pt>
                <c:pt idx="151">
                  <c:v>313270444214.19348</c:v>
                </c:pt>
                <c:pt idx="152">
                  <c:v>315963322940.71039</c:v>
                </c:pt>
                <c:pt idx="153">
                  <c:v>318618824664.75775</c:v>
                </c:pt>
                <c:pt idx="154">
                  <c:v>321236650541.9292</c:v>
                </c:pt>
                <c:pt idx="155">
                  <c:v>323816525046.50446</c:v>
                </c:pt>
                <c:pt idx="156">
                  <c:v>326358195484.18774</c:v>
                </c:pt>
                <c:pt idx="157">
                  <c:v>328861431501.22534</c:v>
                </c:pt>
                <c:pt idx="158">
                  <c:v>331326024590.68915</c:v>
                </c:pt>
                <c:pt idx="159">
                  <c:v>333751787596.69727</c:v>
                </c:pt>
                <c:pt idx="160">
                  <c:v>336138554217.28107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vl1924e!$S$3</c:f>
              <c:strCache>
                <c:ptCount val="1"/>
                <c:pt idx="0">
                  <c:v>2500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vl1924e!$S$4:$S$164</c:f>
              <c:numCache>
                <c:formatCode>0.00E+00</c:formatCode>
                <c:ptCount val="161"/>
                <c:pt idx="0">
                  <c:v>718030142.46370316</c:v>
                </c:pt>
                <c:pt idx="1">
                  <c:v>905375963.92394054</c:v>
                </c:pt>
                <c:pt idx="2">
                  <c:v>1131600459.6769938</c:v>
                </c:pt>
                <c:pt idx="3">
                  <c:v>1402575540.5961056</c:v>
                </c:pt>
                <c:pt idx="4">
                  <c:v>1724675083.6666875</c:v>
                </c:pt>
                <c:pt idx="5">
                  <c:v>2104765977.0559864</c:v>
                </c:pt>
                <c:pt idx="6">
                  <c:v>2550192967.1094537</c:v>
                </c:pt>
                <c:pt idx="7">
                  <c:v>3068757421.1191139</c:v>
                </c:pt>
                <c:pt idx="8">
                  <c:v>3668690231.0444937</c:v>
                </c:pt>
                <c:pt idx="9">
                  <c:v>4358619184.4151621</c:v>
                </c:pt>
                <c:pt idx="10">
                  <c:v>5147531217.5239725</c:v>
                </c:pt>
                <c:pt idx="11">
                  <c:v>6044730041.4236727</c:v>
                </c:pt>
                <c:pt idx="12">
                  <c:v>7059789692.4009743</c:v>
                </c:pt>
                <c:pt idx="13">
                  <c:v>8202504605.2521048</c:v>
                </c:pt>
                <c:pt idx="14">
                  <c:v>9482836839.9888649</c:v>
                </c:pt>
                <c:pt idx="15">
                  <c:v>10910861111.103678</c:v>
                </c:pt>
                <c:pt idx="16">
                  <c:v>12496708274.055979</c:v>
                </c:pt>
                <c:pt idx="17">
                  <c:v>14250507917.287664</c:v>
                </c:pt>
                <c:pt idx="18">
                  <c:v>16182330691.079655</c:v>
                </c:pt>
                <c:pt idx="19">
                  <c:v>18302130978.279079</c:v>
                </c:pt>
                <c:pt idx="20">
                  <c:v>20619690477.774174</c:v>
                </c:pt>
                <c:pt idx="21">
                  <c:v>23144563230.995003</c:v>
                </c:pt>
                <c:pt idx="22">
                  <c:v>25886022576.06612</c:v>
                </c:pt>
                <c:pt idx="23">
                  <c:v>28853010464.870441</c:v>
                </c:pt>
                <c:pt idx="24">
                  <c:v>32054089526.454044</c:v>
                </c:pt>
                <c:pt idx="25">
                  <c:v>35497398207.046089</c:v>
                </c:pt>
                <c:pt idx="26">
                  <c:v>39190609263.532654</c:v>
                </c:pt>
                <c:pt idx="27">
                  <c:v>43140891834.407791</c:v>
                </c:pt>
                <c:pt idx="28">
                  <c:v>47354877260.808495</c:v>
                </c:pt>
                <c:pt idx="29">
                  <c:v>51838628780.89537</c:v>
                </c:pt>
                <c:pt idx="30">
                  <c:v>56597615174.09417</c:v>
                </c:pt>
                <c:pt idx="31">
                  <c:v>61636688387.989998</c:v>
                </c:pt>
                <c:pt idx="32">
                  <c:v>66960065140.291</c:v>
                </c:pt>
                <c:pt idx="33">
                  <c:v>72571312451.467407</c:v>
                </c:pt>
                <c:pt idx="34">
                  <c:v>78473337030.551498</c:v>
                </c:pt>
                <c:pt idx="35">
                  <c:v>84668378407.227448</c:v>
                </c:pt>
                <c:pt idx="36">
                  <c:v>91158005677.720718</c:v>
                </c:pt>
                <c:pt idx="37">
                  <c:v>97943117710.04718</c:v>
                </c:pt>
                <c:pt idx="38">
                  <c:v>105023946635.80133</c:v>
                </c:pt>
                <c:pt idx="39">
                  <c:v>112400064440.68472</c:v>
                </c:pt>
                <c:pt idx="40">
                  <c:v>120070392454.20448</c:v>
                </c:pt>
                <c:pt idx="41">
                  <c:v>128033213530.24184</c:v>
                </c:pt>
                <c:pt idx="42">
                  <c:v>136286186704.21547</c:v>
                </c:pt>
                <c:pt idx="43">
                  <c:v>144826364109.17841</c:v>
                </c:pt>
                <c:pt idx="44">
                  <c:v>153650209932.09756</c:v>
                </c:pt>
                <c:pt idx="45">
                  <c:v>162753621192.55954</c:v>
                </c:pt>
                <c:pt idx="46">
                  <c:v>172131950128.99115</c:v>
                </c:pt>
                <c:pt idx="47">
                  <c:v>181780027981.92813</c:v>
                </c:pt>
                <c:pt idx="48">
                  <c:v>191692189969.71909</c:v>
                </c:pt>
                <c:pt idx="49">
                  <c:v>201862301259.06412</c:v>
                </c:pt>
                <c:pt idx="50">
                  <c:v>212283783740.81955</c:v>
                </c:pt>
                <c:pt idx="51">
                  <c:v>222949643430.2843</c:v>
                </c:pt>
                <c:pt idx="52">
                  <c:v>233852498320.64508</c:v>
                </c:pt>
                <c:pt idx="53">
                  <c:v>244984606528.1514</c:v>
                </c:pt>
                <c:pt idx="54">
                  <c:v>256337894577.82996</c:v>
                </c:pt>
                <c:pt idx="55">
                  <c:v>267903985688.9917</c:v>
                </c:pt>
                <c:pt idx="56">
                  <c:v>279674227930.29968</c:v>
                </c:pt>
                <c:pt idx="57">
                  <c:v>291639722124.6712</c:v>
                </c:pt>
                <c:pt idx="58">
                  <c:v>303791349394.67914</c:v>
                </c:pt>
                <c:pt idx="59">
                  <c:v>316119798249.35815</c:v>
                </c:pt>
                <c:pt idx="60">
                  <c:v>328615591123.23877</c:v>
                </c:pt>
                <c:pt idx="61">
                  <c:v>341269110288.1496</c:v>
                </c:pt>
                <c:pt idx="62">
                  <c:v>354070623067.59802</c:v>
                </c:pt>
                <c:pt idx="63">
                  <c:v>367010306292.48163</c:v>
                </c:pt>
                <c:pt idx="64">
                  <c:v>380078269945.39722</c:v>
                </c:pt>
                <c:pt idx="65">
                  <c:v>393264579948.8681</c:v>
                </c:pt>
                <c:pt idx="66">
                  <c:v>406559280060.45068</c:v>
                </c:pt>
                <c:pt idx="67">
                  <c:v>419952412844.83374</c:v>
                </c:pt>
                <c:pt idx="68">
                  <c:v>433434039699.73242</c:v>
                </c:pt>
                <c:pt idx="69">
                  <c:v>446994259918.60443</c:v>
                </c:pt>
                <c:pt idx="70">
                  <c:v>460623228779.02661</c:v>
                </c:pt>
                <c:pt idx="71">
                  <c:v>474311174650.80829</c:v>
                </c:pt>
                <c:pt idx="72">
                  <c:v>488048415122.88239</c:v>
                </c:pt>
                <c:pt idx="73">
                  <c:v>501825372152.38452</c:v>
                </c:pt>
                <c:pt idx="74">
                  <c:v>515632586243.41565</c:v>
                </c:pt>
                <c:pt idx="75">
                  <c:v>529460729666.57642</c:v>
                </c:pt>
                <c:pt idx="76">
                  <c:v>543300618733.64484</c:v>
                </c:pt>
                <c:pt idx="77">
                  <c:v>557143225144.63123</c:v>
                </c:pt>
                <c:pt idx="78">
                  <c:v>570979686427.00159</c:v>
                </c:pt>
                <c:pt idx="79">
                  <c:v>584801315489.09338</c:v>
                </c:pt>
                <c:pt idx="80">
                  <c:v>598599609311.62158</c:v>
                </c:pt>
                <c:pt idx="81">
                  <c:v>612366256802.86218</c:v>
                </c:pt>
                <c:pt idx="82">
                  <c:v>626093145844.40271</c:v>
                </c:pt>
                <c:pt idx="83">
                  <c:v>639772369555.51428</c:v>
                </c:pt>
                <c:pt idx="84">
                  <c:v>653396231805.04565</c:v>
                </c:pt>
                <c:pt idx="85">
                  <c:v>666957252000.45581</c:v>
                </c:pt>
                <c:pt idx="86">
                  <c:v>680448169184.02722</c:v>
                </c:pt>
                <c:pt idx="87">
                  <c:v>693861945466.67334</c:v>
                </c:pt>
                <c:pt idx="88">
                  <c:v>707191768829.83386</c:v>
                </c:pt>
                <c:pt idx="89">
                  <c:v>720431055325.97192</c:v>
                </c:pt>
                <c:pt idx="90">
                  <c:v>733573450708.07654</c:v>
                </c:pt>
                <c:pt idx="91">
                  <c:v>746612831518.25745</c:v>
                </c:pt>
                <c:pt idx="92">
                  <c:v>759543305665.21753</c:v>
                </c:pt>
                <c:pt idx="93">
                  <c:v>772359212519.90845</c:v>
                </c:pt>
                <c:pt idx="94">
                  <c:v>785055122558.13599</c:v>
                </c:pt>
                <c:pt idx="95">
                  <c:v>797625836578.27625</c:v>
                </c:pt>
                <c:pt idx="96">
                  <c:v>810066384521.62427</c:v>
                </c:pt>
                <c:pt idx="97">
                  <c:v>822372023922.11292</c:v>
                </c:pt>
                <c:pt idx="98">
                  <c:v>834538238011.45239</c:v>
                </c:pt>
                <c:pt idx="99">
                  <c:v>846560733504.86597</c:v>
                </c:pt>
                <c:pt idx="100">
                  <c:v>858435438091.83142</c:v>
                </c:pt>
                <c:pt idx="101">
                  <c:v>870158497655.33228</c:v>
                </c:pt>
                <c:pt idx="102">
                  <c:v>881726273242.29016</c:v>
                </c:pt>
                <c:pt idx="103">
                  <c:v>893135337806.94983</c:v>
                </c:pt>
                <c:pt idx="104">
                  <c:v>904382472748.11243</c:v>
                </c:pt>
                <c:pt idx="105">
                  <c:v>915464664260.21484</c:v>
                </c:pt>
                <c:pt idx="106">
                  <c:v>926379099517.3877</c:v>
                </c:pt>
                <c:pt idx="107">
                  <c:v>937123162708.70825</c:v>
                </c:pt>
                <c:pt idx="108">
                  <c:v>947694430942.0304</c:v>
                </c:pt>
                <c:pt idx="109">
                  <c:v>958090670032.896</c:v>
                </c:pt>
                <c:pt idx="110">
                  <c:v>968309830194.18835</c:v>
                </c:pt>
                <c:pt idx="111">
                  <c:v>978350041641.35962</c:v>
                </c:pt>
                <c:pt idx="112">
                  <c:v>988209610127.27222</c:v>
                </c:pt>
                <c:pt idx="113">
                  <c:v>997887012419.84985</c:v>
                </c:pt>
                <c:pt idx="114">
                  <c:v>1007380891735.0482</c:v>
                </c:pt>
                <c:pt idx="115">
                  <c:v>1016690053136.8115</c:v>
                </c:pt>
                <c:pt idx="116">
                  <c:v>1025813458915.0421</c:v>
                </c:pt>
                <c:pt idx="117">
                  <c:v>1034750223951.8518</c:v>
                </c:pt>
                <c:pt idx="118">
                  <c:v>1043499611085.7047</c:v>
                </c:pt>
                <c:pt idx="119">
                  <c:v>1052061026482.412</c:v>
                </c:pt>
                <c:pt idx="120">
                  <c:v>1060434015021.3102</c:v>
                </c:pt>
                <c:pt idx="121">
                  <c:v>1068618255704.3437</c:v>
                </c:pt>
                <c:pt idx="122">
                  <c:v>1076613557095.1885</c:v>
                </c:pt>
                <c:pt idx="123">
                  <c:v>1084419852795.0311</c:v>
                </c:pt>
                <c:pt idx="124">
                  <c:v>1092037196961.0366</c:v>
                </c:pt>
                <c:pt idx="125">
                  <c:v>1099465759873.0726</c:v>
                </c:pt>
                <c:pt idx="126">
                  <c:v>1106705823553.7654</c:v>
                </c:pt>
                <c:pt idx="127">
                  <c:v>1113757777446.489</c:v>
                </c:pt>
                <c:pt idx="128">
                  <c:v>1120622114155.46</c:v>
                </c:pt>
                <c:pt idx="129">
                  <c:v>1127299425251.7253</c:v>
                </c:pt>
                <c:pt idx="130">
                  <c:v>1133790397148.3635</c:v>
                </c:pt>
                <c:pt idx="131">
                  <c:v>1140095807047.9424</c:v>
                </c:pt>
                <c:pt idx="132">
                  <c:v>1146216518964.8357</c:v>
                </c:pt>
                <c:pt idx="133">
                  <c:v>1152153479824.7522</c:v>
                </c:pt>
                <c:pt idx="134">
                  <c:v>1157907715643.4224</c:v>
                </c:pt>
                <c:pt idx="135">
                  <c:v>1163480327786.2095</c:v>
                </c:pt>
                <c:pt idx="136">
                  <c:v>1168872489310.019</c:v>
                </c:pt>
                <c:pt idx="137">
                  <c:v>1174085441388.7148</c:v>
                </c:pt>
                <c:pt idx="138">
                  <c:v>1179120489822.9353</c:v>
                </c:pt>
                <c:pt idx="139">
                  <c:v>1183979001635.031</c:v>
                </c:pt>
                <c:pt idx="140">
                  <c:v>1188662401749.6182</c:v>
                </c:pt>
                <c:pt idx="141">
                  <c:v>1193172169760.0078</c:v>
                </c:pt>
                <c:pt idx="142">
                  <c:v>1197509836780.6414</c:v>
                </c:pt>
                <c:pt idx="143">
                  <c:v>1201676982385.4629</c:v>
                </c:pt>
                <c:pt idx="144">
                  <c:v>1205675231632.0115</c:v>
                </c:pt>
                <c:pt idx="145">
                  <c:v>1209506252170.8552</c:v>
                </c:pt>
                <c:pt idx="146">
                  <c:v>1213171751439.887</c:v>
                </c:pt>
                <c:pt idx="147">
                  <c:v>1216673473942.8335</c:v>
                </c:pt>
                <c:pt idx="148">
                  <c:v>1220013198611.2651</c:v>
                </c:pt>
                <c:pt idx="149">
                  <c:v>1223192736249.2527</c:v>
                </c:pt>
                <c:pt idx="150">
                  <c:v>1226213927059.7554</c:v>
                </c:pt>
                <c:pt idx="151">
                  <c:v>1229078638251.6865</c:v>
                </c:pt>
                <c:pt idx="152">
                  <c:v>1231788761726.6174</c:v>
                </c:pt>
                <c:pt idx="153">
                  <c:v>1234346211843.9087</c:v>
                </c:pt>
                <c:pt idx="154">
                  <c:v>1236752923263.0701</c:v>
                </c:pt>
                <c:pt idx="155">
                  <c:v>1239010848862.0676</c:v>
                </c:pt>
                <c:pt idx="156">
                  <c:v>1241121957730.2358</c:v>
                </c:pt>
                <c:pt idx="157">
                  <c:v>1243088233234.4578</c:v>
                </c:pt>
                <c:pt idx="158">
                  <c:v>1244911671157.1765</c:v>
                </c:pt>
                <c:pt idx="159">
                  <c:v>1246594277904.8311</c:v>
                </c:pt>
                <c:pt idx="160">
                  <c:v>1248138068785.2239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vl1924e!$T$3</c:f>
              <c:strCache>
                <c:ptCount val="1"/>
                <c:pt idx="0">
                  <c:v>3000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vl1924e!$T$4:$T$164</c:f>
              <c:numCache>
                <c:formatCode>0.00E+00</c:formatCode>
                <c:ptCount val="161"/>
                <c:pt idx="0">
                  <c:v>17567015887.395187</c:v>
                </c:pt>
                <c:pt idx="1">
                  <c:v>21019437588.99704</c:v>
                </c:pt>
                <c:pt idx="2">
                  <c:v>24972174408.320152</c:v>
                </c:pt>
                <c:pt idx="3">
                  <c:v>29468630479.632004</c:v>
                </c:pt>
                <c:pt idx="4">
                  <c:v>34552381254.738075</c:v>
                </c:pt>
                <c:pt idx="5">
                  <c:v>40266817105.227341</c:v>
                </c:pt>
                <c:pt idx="6">
                  <c:v>46654787668.554344</c:v>
                </c:pt>
                <c:pt idx="7">
                  <c:v>53758252118.055275</c:v>
                </c:pt>
                <c:pt idx="8">
                  <c:v>61617940117.399643</c:v>
                </c:pt>
                <c:pt idx="9">
                  <c:v>70273027733.6418</c:v>
                </c:pt>
                <c:pt idx="10">
                  <c:v>79760832050.466095</c:v>
                </c:pt>
                <c:pt idx="11">
                  <c:v>90116527663.325195</c:v>
                </c:pt>
                <c:pt idx="12">
                  <c:v>101372887667.91612</c:v>
                </c:pt>
                <c:pt idx="13">
                  <c:v>113560051187.55537</c:v>
                </c:pt>
                <c:pt idx="14">
                  <c:v>126705318935.97191</c:v>
                </c:pt>
                <c:pt idx="15">
                  <c:v>140832977790.00201</c:v>
                </c:pt>
                <c:pt idx="16">
                  <c:v>155964154859.57318</c:v>
                </c:pt>
                <c:pt idx="17">
                  <c:v>172116701096.12027</c:v>
                </c:pt>
                <c:pt idx="18">
                  <c:v>189305104079.16971</c:v>
                </c:pt>
                <c:pt idx="19">
                  <c:v>207540429266.60602</c:v>
                </c:pt>
                <c:pt idx="20">
                  <c:v>226830288687.98605</c:v>
                </c:pt>
                <c:pt idx="21">
                  <c:v>247178835801.87155</c:v>
                </c:pt>
                <c:pt idx="22">
                  <c:v>268586785026.14993</c:v>
                </c:pt>
                <c:pt idx="23">
                  <c:v>291051454282.6333</c:v>
                </c:pt>
                <c:pt idx="24">
                  <c:v>314566828771.05774</c:v>
                </c:pt>
                <c:pt idx="25">
                  <c:v>339123644099.83337</c:v>
                </c:pt>
                <c:pt idx="26">
                  <c:v>364709486848.04657</c:v>
                </c:pt>
                <c:pt idx="27">
                  <c:v>391308910611.62323</c:v>
                </c:pt>
                <c:pt idx="28">
                  <c:v>418903565592.6123</c:v>
                </c:pt>
                <c:pt idx="29">
                  <c:v>447472339820.56921</c:v>
                </c:pt>
                <c:pt idx="30">
                  <c:v>476991510145.45142</c:v>
                </c:pt>
                <c:pt idx="31">
                  <c:v>507434901209.00879</c:v>
                </c:pt>
                <c:pt idx="32">
                  <c:v>538774050683.04749</c:v>
                </c:pt>
                <c:pt idx="33">
                  <c:v>570978379155.42102</c:v>
                </c:pt>
                <c:pt idx="34">
                  <c:v>604015363145.30164</c:v>
                </c:pt>
                <c:pt idx="35">
                  <c:v>637850709835.90613</c:v>
                </c:pt>
                <c:pt idx="36">
                  <c:v>672448532223.22119</c:v>
                </c:pt>
                <c:pt idx="37">
                  <c:v>707771523491.39917</c:v>
                </c:pt>
                <c:pt idx="38">
                  <c:v>743781129537.91211</c:v>
                </c:pt>
                <c:pt idx="39">
                  <c:v>780437718682.63794</c:v>
                </c:pt>
                <c:pt idx="40">
                  <c:v>817700747703.77722</c:v>
                </c:pt>
                <c:pt idx="41">
                  <c:v>855528923448.82117</c:v>
                </c:pt>
                <c:pt idx="42">
                  <c:v>893880359369.88464</c:v>
                </c:pt>
                <c:pt idx="43">
                  <c:v>932712726429.03577</c:v>
                </c:pt>
                <c:pt idx="44">
                  <c:v>971983397910.24976</c:v>
                </c:pt>
                <c:pt idx="45">
                  <c:v>1011649587760.0201</c:v>
                </c:pt>
                <c:pt idx="46">
                  <c:v>1051668482158.2163</c:v>
                </c:pt>
                <c:pt idx="47">
                  <c:v>1091997364094.3801</c:v>
                </c:pt>
                <c:pt idx="48">
                  <c:v>1132593730792.3223</c:v>
                </c:pt>
                <c:pt idx="49">
                  <c:v>1173415403887.6238</c:v>
                </c:pt>
                <c:pt idx="50">
                  <c:v>1214420632318.5708</c:v>
                </c:pt>
                <c:pt idx="51">
                  <c:v>1255568187941.3845</c:v>
                </c:pt>
                <c:pt idx="52">
                  <c:v>1296817453925.5535</c:v>
                </c:pt>
                <c:pt idx="53">
                  <c:v>1338128506024.6978</c:v>
                </c:pt>
                <c:pt idx="54">
                  <c:v>1379462186853.3386</c:v>
                </c:pt>
                <c:pt idx="55">
                  <c:v>1420780173330.0369</c:v>
                </c:pt>
                <c:pt idx="56">
                  <c:v>1462045037473.2214</c:v>
                </c:pt>
                <c:pt idx="57">
                  <c:v>1503220300757.894</c:v>
                </c:pt>
                <c:pt idx="58">
                  <c:v>1544270482259.3564</c:v>
                </c:pt>
                <c:pt idx="59">
                  <c:v>1585161140824.8247</c:v>
                </c:pt>
                <c:pt idx="60">
                  <c:v>1625858911525.1309</c:v>
                </c:pt>
                <c:pt idx="61">
                  <c:v>1666331536647.4502</c:v>
                </c:pt>
                <c:pt idx="62">
                  <c:v>1706547891495.7642</c:v>
                </c:pt>
                <c:pt idx="63">
                  <c:v>1746478005269.6272</c:v>
                </c:pt>
                <c:pt idx="64">
                  <c:v>1786093077293.1509</c:v>
                </c:pt>
                <c:pt idx="65">
                  <c:v>1825365488865.9207</c:v>
                </c:pt>
                <c:pt idx="66">
                  <c:v>1864268811005.5618</c:v>
                </c:pt>
                <c:pt idx="67">
                  <c:v>1902777808348.1956</c:v>
                </c:pt>
                <c:pt idx="68">
                  <c:v>1940868439468.5457</c:v>
                </c:pt>
                <c:pt idx="69">
                  <c:v>1978517853875.5461</c:v>
                </c:pt>
                <c:pt idx="70">
                  <c:v>2015704385932.8486</c:v>
                </c:pt>
                <c:pt idx="71">
                  <c:v>2052407545946.1221</c:v>
                </c:pt>
                <c:pt idx="72">
                  <c:v>2088608008651.1382</c:v>
                </c:pt>
                <c:pt idx="73">
                  <c:v>2124287599328.1147</c:v>
                </c:pt>
                <c:pt idx="74">
                  <c:v>2159429277758.8694</c:v>
                </c:pt>
                <c:pt idx="75">
                  <c:v>2194017120234.2563</c:v>
                </c:pt>
                <c:pt idx="76">
                  <c:v>2228036299810.0171</c:v>
                </c:pt>
                <c:pt idx="77">
                  <c:v>2261473064999.5859</c:v>
                </c:pt>
                <c:pt idx="78">
                  <c:v>2294314717083.1318</c:v>
                </c:pt>
                <c:pt idx="79">
                  <c:v>2326549586202.3979</c:v>
                </c:pt>
                <c:pt idx="80">
                  <c:v>2358167006401.6719</c:v>
                </c:pt>
                <c:pt idx="81">
                  <c:v>2389157289765.9351</c:v>
                </c:pt>
                <c:pt idx="82">
                  <c:v>2419511699798.002</c:v>
                </c:pt>
                <c:pt idx="83">
                  <c:v>2449222424167.8149</c:v>
                </c:pt>
                <c:pt idx="84">
                  <c:v>2478282546958.0503</c:v>
                </c:pt>
                <c:pt idx="85">
                  <c:v>2506686020522.1543</c:v>
                </c:pt>
                <c:pt idx="86">
                  <c:v>2534427637062.4204</c:v>
                </c:pt>
                <c:pt idx="87">
                  <c:v>2561503000028.1226</c:v>
                </c:pt>
                <c:pt idx="88">
                  <c:v>2587908495426.0854</c:v>
                </c:pt>
                <c:pt idx="89">
                  <c:v>2613641263128.7246</c:v>
                </c:pt>
                <c:pt idx="90">
                  <c:v>2638699168257.8267</c:v>
                </c:pt>
                <c:pt idx="91">
                  <c:v>2663080772715.5869</c:v>
                </c:pt>
                <c:pt idx="92">
                  <c:v>2686785306928.1709</c:v>
                </c:pt>
                <c:pt idx="93">
                  <c:v>2709812641861.1099</c:v>
                </c:pt>
                <c:pt idx="94">
                  <c:v>2732163261360.0762</c:v>
                </c:pt>
                <c:pt idx="95">
                  <c:v>2753838234865.3047</c:v>
                </c:pt>
                <c:pt idx="96">
                  <c:v>2774839190542.8652</c:v>
                </c:pt>
                <c:pt idx="97">
                  <c:v>2795168288871.0508</c:v>
                </c:pt>
                <c:pt idx="98">
                  <c:v>2814828196715.9956</c:v>
                </c:pt>
                <c:pt idx="99">
                  <c:v>2833822061926.0107</c:v>
                </c:pt>
                <c:pt idx="100">
                  <c:v>2852153488470.5806</c:v>
                </c:pt>
                <c:pt idx="101">
                  <c:v>2869826512146.0073</c:v>
                </c:pt>
                <c:pt idx="102">
                  <c:v>2886845576866.3794</c:v>
                </c:pt>
                <c:pt idx="103">
                  <c:v>2903215511555.4126</c:v>
                </c:pt>
                <c:pt idx="104">
                  <c:v>2918941507651.5405</c:v>
                </c:pt>
                <c:pt idx="105">
                  <c:v>2934029097236.2061</c:v>
                </c:pt>
                <c:pt idx="106">
                  <c:v>2948484131792.4038</c:v>
                </c:pt>
                <c:pt idx="107">
                  <c:v>2962312761598.6025</c:v>
                </c:pt>
                <c:pt idx="108">
                  <c:v>2975521415760.6143</c:v>
                </c:pt>
                <c:pt idx="109">
                  <c:v>2988116782882.3662</c:v>
                </c:pt>
                <c:pt idx="110">
                  <c:v>3000105792374.5659</c:v>
                </c:pt>
                <c:pt idx="111">
                  <c:v>3011495596398.5547</c:v>
                </c:pt>
                <c:pt idx="112">
                  <c:v>3022293552441.3975</c:v>
                </c:pt>
                <c:pt idx="113">
                  <c:v>3032507206516.6348</c:v>
                </c:pt>
                <c:pt idx="114">
                  <c:v>3042144276984.1445</c:v>
                </c:pt>
                <c:pt idx="115">
                  <c:v>3051212638981.3301</c:v>
                </c:pt>
                <c:pt idx="116">
                  <c:v>3059720309456.9839</c:v>
                </c:pt>
                <c:pt idx="117">
                  <c:v>3067675432798.251</c:v>
                </c:pt>
                <c:pt idx="118">
                  <c:v>3075086267040.4116</c:v>
                </c:pt>
                <c:pt idx="119">
                  <c:v>3081961170648.4995</c:v>
                </c:pt>
                <c:pt idx="120">
                  <c:v>3088308589859.3003</c:v>
                </c:pt>
                <c:pt idx="121">
                  <c:v>3094137046571.6177</c:v>
                </c:pt>
                <c:pt idx="122">
                  <c:v>3099455126772.4717</c:v>
                </c:pt>
                <c:pt idx="123">
                  <c:v>3104271469486.4395</c:v>
                </c:pt>
                <c:pt idx="124">
                  <c:v>3108594756235.0786</c:v>
                </c:pt>
                <c:pt idx="125">
                  <c:v>3112433700993.25</c:v>
                </c:pt>
                <c:pt idx="126">
                  <c:v>3115797040628.834</c:v>
                </c:pt>
                <c:pt idx="127">
                  <c:v>3118693525812.458</c:v>
                </c:pt>
                <c:pt idx="128">
                  <c:v>3121131912383.4824</c:v>
                </c:pt>
                <c:pt idx="129">
                  <c:v>3123120953158.8354</c:v>
                </c:pt>
                <c:pt idx="130">
                  <c:v>3124669390170.9629</c:v>
                </c:pt>
                <c:pt idx="131">
                  <c:v>3125785947321.4399</c:v>
                </c:pt>
                <c:pt idx="132">
                  <c:v>3126479323436.7861</c:v>
                </c:pt>
                <c:pt idx="133">
                  <c:v>3126758185713.1611</c:v>
                </c:pt>
                <c:pt idx="134">
                  <c:v>3126631163536.7183</c:v>
                </c:pt>
                <c:pt idx="135">
                  <c:v>3126106842666.6157</c:v>
                </c:pt>
                <c:pt idx="136">
                  <c:v>3125193759767.8154</c:v>
                </c:pt>
                <c:pt idx="137">
                  <c:v>3123900397281.0513</c:v>
                </c:pt>
                <c:pt idx="138">
                  <c:v>3122235178617.4502</c:v>
                </c:pt>
                <c:pt idx="139">
                  <c:v>3120206463665.6978</c:v>
                </c:pt>
                <c:pt idx="140">
                  <c:v>3117822544599.7002</c:v>
                </c:pt>
                <c:pt idx="141">
                  <c:v>3115091641975.0679</c:v>
                </c:pt>
                <c:pt idx="142">
                  <c:v>3112021901102.9331</c:v>
                </c:pt>
                <c:pt idx="143">
                  <c:v>3108621388689.8979</c:v>
                </c:pt>
                <c:pt idx="144">
                  <c:v>3104898089733.2368</c:v>
                </c:pt>
                <c:pt idx="145">
                  <c:v>3100859904660.6396</c:v>
                </c:pt>
                <c:pt idx="146">
                  <c:v>3096514646704.1611</c:v>
                </c:pt>
                <c:pt idx="147">
                  <c:v>3091870039498.2422</c:v>
                </c:pt>
                <c:pt idx="148">
                  <c:v>3086933714892.0605</c:v>
                </c:pt>
                <c:pt idx="149">
                  <c:v>3081713210966.6021</c:v>
                </c:pt>
                <c:pt idx="150">
                  <c:v>3076215970247.2637</c:v>
                </c:pt>
                <c:pt idx="151">
                  <c:v>3070449338102.9561</c:v>
                </c:pt>
                <c:pt idx="152">
                  <c:v>3064420561323.0884</c:v>
                </c:pt>
                <c:pt idx="153">
                  <c:v>3058136786863.9507</c:v>
                </c:pt>
                <c:pt idx="154">
                  <c:v>3051605060756.3774</c:v>
                </c:pt>
                <c:pt idx="155">
                  <c:v>3044832327166.853</c:v>
                </c:pt>
                <c:pt idx="156">
                  <c:v>3037825427604.3584</c:v>
                </c:pt>
                <c:pt idx="157">
                  <c:v>3030591100265.7075</c:v>
                </c:pt>
                <c:pt idx="158">
                  <c:v>3023135979512.2173</c:v>
                </c:pt>
                <c:pt idx="159">
                  <c:v>3015466595470.9346</c:v>
                </c:pt>
                <c:pt idx="160">
                  <c:v>3007589373753.7104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vl1924e!$U$3</c:f>
              <c:strCache>
                <c:ptCount val="1"/>
                <c:pt idx="0">
                  <c:v>3500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vl1924e!$U$4:$U$164</c:f>
              <c:numCache>
                <c:formatCode>0.00E+00</c:formatCode>
                <c:ptCount val="161"/>
                <c:pt idx="0">
                  <c:v>172394586454.75613</c:v>
                </c:pt>
                <c:pt idx="1">
                  <c:v>198695210955.68652</c:v>
                </c:pt>
                <c:pt idx="2">
                  <c:v>227660594223.86841</c:v>
                </c:pt>
                <c:pt idx="3">
                  <c:v>259391776028.87708</c:v>
                </c:pt>
                <c:pt idx="4">
                  <c:v>293978190298.52515</c:v>
                </c:pt>
                <c:pt idx="5">
                  <c:v>331496902955.82343</c:v>
                </c:pt>
                <c:pt idx="6">
                  <c:v>372012010715.34125</c:v>
                </c:pt>
                <c:pt idx="7">
                  <c:v>415574199606.9873</c:v>
                </c:pt>
                <c:pt idx="8">
                  <c:v>462220459250.75024</c:v>
                </c:pt>
                <c:pt idx="9">
                  <c:v>511973946575.20874</c:v>
                </c:pt>
                <c:pt idx="10">
                  <c:v>564843990754.5321</c:v>
                </c:pt>
                <c:pt idx="11">
                  <c:v>620826229620.03235</c:v>
                </c:pt>
                <c:pt idx="12">
                  <c:v>679902866660.90088</c:v>
                </c:pt>
                <c:pt idx="13">
                  <c:v>742043036935.34778</c:v>
                </c:pt>
                <c:pt idx="14">
                  <c:v>807203269734.68018</c:v>
                </c:pt>
                <c:pt idx="15">
                  <c:v>875328035642.67163</c:v>
                </c:pt>
                <c:pt idx="16">
                  <c:v>946350365674.17676</c:v>
                </c:pt>
                <c:pt idx="17">
                  <c:v>1020192530423.5134</c:v>
                </c:pt>
                <c:pt idx="18">
                  <c:v>1096766767569.4202</c:v>
                </c:pt>
                <c:pt idx="19">
                  <c:v>1175976046636.0779</c:v>
                </c:pt>
                <c:pt idx="20">
                  <c:v>1257714860568.0261</c:v>
                </c:pt>
                <c:pt idx="21">
                  <c:v>1341870034412.9146</c:v>
                </c:pt>
                <c:pt idx="22">
                  <c:v>1428321542194.967</c:v>
                </c:pt>
                <c:pt idx="23">
                  <c:v>1516943323882.2253</c:v>
                </c:pt>
                <c:pt idx="24">
                  <c:v>1607604095183.0881</c:v>
                </c:pt>
                <c:pt idx="25">
                  <c:v>1700168143736.6284</c:v>
                </c:pt>
                <c:pt idx="26">
                  <c:v>1794496106073.6428</c:v>
                </c:pt>
                <c:pt idx="27">
                  <c:v>1890445720510.4456</c:v>
                </c:pt>
                <c:pt idx="28">
                  <c:v>1987872551887.0063</c:v>
                </c:pt>
                <c:pt idx="29">
                  <c:v>2086630684768.7358</c:v>
                </c:pt>
                <c:pt idx="30">
                  <c:v>2186573382392.3174</c:v>
                </c:pt>
                <c:pt idx="31">
                  <c:v>2287553709248.0161</c:v>
                </c:pt>
                <c:pt idx="32">
                  <c:v>2389425115751.5513</c:v>
                </c:pt>
                <c:pt idx="33">
                  <c:v>2492041983967.9106</c:v>
                </c:pt>
                <c:pt idx="34">
                  <c:v>2595260133807.7324</c:v>
                </c:pt>
                <c:pt idx="35">
                  <c:v>2698937289524.8423</c:v>
                </c:pt>
                <c:pt idx="36">
                  <c:v>2802933506703.5454</c:v>
                </c:pt>
                <c:pt idx="37">
                  <c:v>2907111560238.2568</c:v>
                </c:pt>
                <c:pt idx="38">
                  <c:v>3011337294078.2456</c:v>
                </c:pt>
                <c:pt idx="39">
                  <c:v>3115479933740.3564</c:v>
                </c:pt>
                <c:pt idx="40">
                  <c:v>3219412362784.1348</c:v>
                </c:pt>
                <c:pt idx="41">
                  <c:v>3323011364601.5488</c:v>
                </c:pt>
                <c:pt idx="42">
                  <c:v>3426157830998.3076</c:v>
                </c:pt>
                <c:pt idx="43">
                  <c:v>3528736939141.1084</c:v>
                </c:pt>
                <c:pt idx="44">
                  <c:v>3630638298515.4834</c:v>
                </c:pt>
                <c:pt idx="45">
                  <c:v>3731756069586.6807</c:v>
                </c:pt>
                <c:pt idx="46">
                  <c:v>3831989055883.3442</c:v>
                </c:pt>
                <c:pt idx="47">
                  <c:v>3931240771232.6689</c:v>
                </c:pt>
                <c:pt idx="48">
                  <c:v>4029419483869.6582</c:v>
                </c:pt>
                <c:pt idx="49">
                  <c:v>4126438239122.7476</c:v>
                </c:pt>
                <c:pt idx="50">
                  <c:v>4222214862347.0693</c:v>
                </c:pt>
                <c:pt idx="51">
                  <c:v>4316671943735.3657</c:v>
                </c:pt>
                <c:pt idx="52">
                  <c:v>4409736806587.7686</c:v>
                </c:pt>
                <c:pt idx="53">
                  <c:v>4501341460566.0566</c:v>
                </c:pt>
                <c:pt idx="54">
                  <c:v>4591422541397.5859</c:v>
                </c:pt>
                <c:pt idx="55">
                  <c:v>4679921238429.8145</c:v>
                </c:pt>
                <c:pt idx="56">
                  <c:v>4766783211368.7588</c:v>
                </c:pt>
                <c:pt idx="57">
                  <c:v>4851958497466.1514</c:v>
                </c:pt>
                <c:pt idx="58">
                  <c:v>4935401410349.6191</c:v>
                </c:pt>
                <c:pt idx="59">
                  <c:v>5017070431619.9805</c:v>
                </c:pt>
                <c:pt idx="60">
                  <c:v>5096928096269.6631</c:v>
                </c:pt>
                <c:pt idx="61">
                  <c:v>5174940872907.0996</c:v>
                </c:pt>
                <c:pt idx="62">
                  <c:v>5251079039703.7793</c:v>
                </c:pt>
                <c:pt idx="63">
                  <c:v>5325316556914.7734</c:v>
                </c:pt>
                <c:pt idx="64">
                  <c:v>5397630936758.8809</c:v>
                </c:pt>
                <c:pt idx="65">
                  <c:v>5468003111382.5254</c:v>
                </c:pt>
                <c:pt idx="66">
                  <c:v>5536417299572.1025</c:v>
                </c:pt>
                <c:pt idx="67">
                  <c:v>5602860872821.833</c:v>
                </c:pt>
                <c:pt idx="68">
                  <c:v>5667324221310.1025</c:v>
                </c:pt>
                <c:pt idx="69">
                  <c:v>5729800620285.083</c:v>
                </c:pt>
                <c:pt idx="70">
                  <c:v>5790286097311.6289</c:v>
                </c:pt>
                <c:pt idx="71">
                  <c:v>5848779300784.7725</c:v>
                </c:pt>
                <c:pt idx="72">
                  <c:v>5905281370071.8623</c:v>
                </c:pt>
                <c:pt idx="73">
                  <c:v>5959795807603.9648</c:v>
                </c:pt>
                <c:pt idx="74">
                  <c:v>6012328353199.3789</c:v>
                </c:pt>
                <c:pt idx="75">
                  <c:v>6062886860865.8428</c:v>
                </c:pt>
                <c:pt idx="76">
                  <c:v>6111481178294.9844</c:v>
                </c:pt>
                <c:pt idx="77">
                  <c:v>6158123029231.833</c:v>
                </c:pt>
                <c:pt idx="78">
                  <c:v>6202825898873.1914</c:v>
                </c:pt>
                <c:pt idx="79">
                  <c:v>6245604922422.8076</c:v>
                </c:pt>
                <c:pt idx="80">
                  <c:v>6286476776906.7168</c:v>
                </c:pt>
                <c:pt idx="81">
                  <c:v>6325459576330.0869</c:v>
                </c:pt>
                <c:pt idx="82">
                  <c:v>6362572770236.2998</c:v>
                </c:pt>
                <c:pt idx="83">
                  <c:v>6397837045710.9668</c:v>
                </c:pt>
                <c:pt idx="84">
                  <c:v>6431274232856.0479</c:v>
                </c:pt>
                <c:pt idx="85">
                  <c:v>6462907213744.791</c:v>
                </c:pt>
                <c:pt idx="86">
                  <c:v>6492759834853.873</c:v>
                </c:pt>
                <c:pt idx="87">
                  <c:v>6520856822957.0859</c:v>
                </c:pt>
                <c:pt idx="88">
                  <c:v>6547223704453.9209</c:v>
                </c:pt>
                <c:pt idx="89">
                  <c:v>6571886728096.5283</c:v>
                </c:pt>
                <c:pt idx="90">
                  <c:v>6594872791069.8604</c:v>
                </c:pt>
                <c:pt idx="91">
                  <c:v>6616209368372.3906</c:v>
                </c:pt>
                <c:pt idx="92">
                  <c:v>6635924445438.0068</c:v>
                </c:pt>
                <c:pt idx="93">
                  <c:v>6654046453933.9854</c:v>
                </c:pt>
                <c:pt idx="94">
                  <c:v>6670604210665.2861</c:v>
                </c:pt>
                <c:pt idx="95">
                  <c:v>6685626859510.8848</c:v>
                </c:pt>
                <c:pt idx="96">
                  <c:v>6699143816314.9355</c:v>
                </c:pt>
                <c:pt idx="97">
                  <c:v>6711184716652.2783</c:v>
                </c:pt>
                <c:pt idx="98">
                  <c:v>6721779366386.04</c:v>
                </c:pt>
                <c:pt idx="99">
                  <c:v>6730957694933.1533</c:v>
                </c:pt>
                <c:pt idx="100">
                  <c:v>6738749711152.4268</c:v>
                </c:pt>
                <c:pt idx="101">
                  <c:v>6745185461769.2822</c:v>
                </c:pt>
                <c:pt idx="102">
                  <c:v>6750294992250.584</c:v>
                </c:pt>
                <c:pt idx="103">
                  <c:v>6754108310043.332</c:v>
                </c:pt>
                <c:pt idx="104">
                  <c:v>6756655350090.9102</c:v>
                </c:pt>
                <c:pt idx="105">
                  <c:v>6757965942541.5869</c:v>
                </c:pt>
                <c:pt idx="106">
                  <c:v>6758069782564.4209</c:v>
                </c:pt>
                <c:pt idx="107">
                  <c:v>6756996402188.998</c:v>
                </c:pt>
                <c:pt idx="108">
                  <c:v>6754775144086.6377</c:v>
                </c:pt>
                <c:pt idx="109">
                  <c:v>6751435137212.0625</c:v>
                </c:pt>
                <c:pt idx="110">
                  <c:v>6747005274226.0977</c:v>
                </c:pt>
                <c:pt idx="111">
                  <c:v>6741514190621.6465</c:v>
                </c:pt>
                <c:pt idx="112">
                  <c:v>6734990245477.0322</c:v>
                </c:pt>
                <c:pt idx="113">
                  <c:v>6727461503762.4297</c:v>
                </c:pt>
                <c:pt idx="114">
                  <c:v>6718955720127.46</c:v>
                </c:pt>
                <c:pt idx="115">
                  <c:v>6709500324099.4502</c:v>
                </c:pt>
                <c:pt idx="116">
                  <c:v>6699122406624.4893</c:v>
                </c:pt>
                <c:pt idx="117">
                  <c:v>6687848707884.9316</c:v>
                </c:pt>
                <c:pt idx="118">
                  <c:v>6675705606329.4434</c:v>
                </c:pt>
                <c:pt idx="119">
                  <c:v>6662719108853.6016</c:v>
                </c:pt>
                <c:pt idx="120">
                  <c:v>6648914842071.2148</c:v>
                </c:pt>
                <c:pt idx="121">
                  <c:v>6634318044618.5645</c:v>
                </c:pt>
                <c:pt idx="122">
                  <c:v>6618953560435.8027</c:v>
                </c:pt>
                <c:pt idx="123">
                  <c:v>6602845832972.002</c:v>
                </c:pt>
                <c:pt idx="124">
                  <c:v>6586018900261.9336</c:v>
                </c:pt>
                <c:pt idx="125">
                  <c:v>6568496390825.2754</c:v>
                </c:pt>
                <c:pt idx="126">
                  <c:v>6550301520340.2422</c:v>
                </c:pt>
                <c:pt idx="127">
                  <c:v>6531457089046.0176</c:v>
                </c:pt>
                <c:pt idx="128">
                  <c:v>6511985479830.1348</c:v>
                </c:pt>
                <c:pt idx="129">
                  <c:v>6491908656958.6348</c:v>
                </c:pt>
                <c:pt idx="130">
                  <c:v>6471248165408.8496</c:v>
                </c:pt>
                <c:pt idx="131">
                  <c:v>6450025130766.2812</c:v>
                </c:pt>
                <c:pt idx="132">
                  <c:v>6428260259648.7471</c:v>
                </c:pt>
                <c:pt idx="133">
                  <c:v>6405973840622.7354</c:v>
                </c:pt>
                <c:pt idx="134">
                  <c:v>6383185745578.3008</c:v>
                </c:pt>
                <c:pt idx="135">
                  <c:v>6359915431530.6289</c:v>
                </c:pt>
                <c:pt idx="136">
                  <c:v>6336181942817.7891</c:v>
                </c:pt>
                <c:pt idx="137">
                  <c:v>6312003913665.6289</c:v>
                </c:pt>
                <c:pt idx="138">
                  <c:v>6287399571092.1602</c:v>
                </c:pt>
                <c:pt idx="139">
                  <c:v>6262386738125.2959</c:v>
                </c:pt>
                <c:pt idx="140">
                  <c:v>6236982837308.9785</c:v>
                </c:pt>
                <c:pt idx="141">
                  <c:v>6211204894473.9561</c:v>
                </c:pt>
                <c:pt idx="142">
                  <c:v>6185069542750.7822</c:v>
                </c:pt>
                <c:pt idx="143">
                  <c:v>6158593026803.8467</c:v>
                </c:pt>
                <c:pt idx="144">
                  <c:v>6131791207266.1514</c:v>
                </c:pt>
                <c:pt idx="145">
                  <c:v>6104679565355.8145</c:v>
                </c:pt>
                <c:pt idx="146">
                  <c:v>6077273207656.292</c:v>
                </c:pt>
                <c:pt idx="147">
                  <c:v>6049586871043.1191</c:v>
                </c:pt>
                <c:pt idx="148">
                  <c:v>6021634927741.3105</c:v>
                </c:pt>
                <c:pt idx="149">
                  <c:v>5993431390497.9814</c:v>
                </c:pt>
                <c:pt idx="150">
                  <c:v>5964989917856.0918</c:v>
                </c:pt>
                <c:pt idx="151">
                  <c:v>5936323819515.6641</c:v>
                </c:pt>
                <c:pt idx="152">
                  <c:v>5907446061769.8916</c:v>
                </c:pt>
                <c:pt idx="153">
                  <c:v>5878369273004.1934</c:v>
                </c:pt>
                <c:pt idx="154">
                  <c:v>5849105749247.0176</c:v>
                </c:pt>
                <c:pt idx="155">
                  <c:v>5819667459761.8906</c:v>
                </c:pt>
                <c:pt idx="156">
                  <c:v>5790066052670.8652</c:v>
                </c:pt>
                <c:pt idx="157">
                  <c:v>5760312860600.1816</c:v>
                </c:pt>
                <c:pt idx="158">
                  <c:v>5730418906339.5127</c:v>
                </c:pt>
                <c:pt idx="159">
                  <c:v>5700394908506.7979</c:v>
                </c:pt>
                <c:pt idx="160">
                  <c:v>5670251287211.0605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vl1924e!$V$3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vl1924e!$V$4:$V$164</c:f>
              <c:numCache>
                <c:formatCode>0.00E+00</c:formatCode>
                <c:ptCount val="161"/>
                <c:pt idx="0">
                  <c:v>955860969615.2168</c:v>
                </c:pt>
                <c:pt idx="1">
                  <c:v>1071184784826.881</c:v>
                </c:pt>
                <c:pt idx="2">
                  <c:v>1194439622704.8853</c:v>
                </c:pt>
                <c:pt idx="3">
                  <c:v>1325582027413.8403</c:v>
                </c:pt>
                <c:pt idx="4">
                  <c:v>1464524899189.3269</c:v>
                </c:pt>
                <c:pt idx="5">
                  <c:v>1611139225297.5911</c:v>
                </c:pt>
                <c:pt idx="6">
                  <c:v>1765256177641.2966</c:v>
                </c:pt>
                <c:pt idx="7">
                  <c:v>1926669516009.8035</c:v>
                </c:pt>
                <c:pt idx="8">
                  <c:v>2095138237500.9207</c:v>
                </c:pt>
                <c:pt idx="9">
                  <c:v>2270389415224.0352</c:v>
                </c:pt>
                <c:pt idx="10">
                  <c:v>2452121172790.6865</c:v>
                </c:pt>
                <c:pt idx="11">
                  <c:v>2640005745089.3901</c:v>
                </c:pt>
                <c:pt idx="12">
                  <c:v>2833692580232.834</c:v>
                </c:pt>
                <c:pt idx="13">
                  <c:v>3032811442189.5444</c:v>
                </c:pt>
                <c:pt idx="14">
                  <c:v>3236975478326.499</c:v>
                </c:pt>
                <c:pt idx="15">
                  <c:v>3445784220776.4136</c:v>
                </c:pt>
                <c:pt idx="16">
                  <c:v>3658826495108.4927</c:v>
                </c:pt>
                <c:pt idx="17">
                  <c:v>3875683214150.856</c:v>
                </c:pt>
                <c:pt idx="18">
                  <c:v>4095930038930.4336</c:v>
                </c:pt>
                <c:pt idx="19">
                  <c:v>4319139892523.5576</c:v>
                </c:pt>
                <c:pt idx="20">
                  <c:v>4544885316121.8652</c:v>
                </c:pt>
                <c:pt idx="21">
                  <c:v>4772740659799.7441</c:v>
                </c:pt>
                <c:pt idx="22">
                  <c:v>5002284103318.0186</c:v>
                </c:pt>
                <c:pt idx="23">
                  <c:v>5233099504816.6143</c:v>
                </c:pt>
                <c:pt idx="24">
                  <c:v>5464778077447.6006</c:v>
                </c:pt>
                <c:pt idx="25">
                  <c:v>5696919895892.5059</c:v>
                </c:pt>
                <c:pt idx="26">
                  <c:v>5929135236312.7822</c:v>
                </c:pt>
                <c:pt idx="27">
                  <c:v>6161045754619.6689</c:v>
                </c:pt>
                <c:pt idx="28">
                  <c:v>6392285509040.71</c:v>
                </c:pt>
                <c:pt idx="29">
                  <c:v>6622501833827.1631</c:v>
                </c:pt>
                <c:pt idx="30">
                  <c:v>6851356071612.0762</c:v>
                </c:pt>
                <c:pt idx="31">
                  <c:v>7078524172413.5967</c:v>
                </c:pt>
                <c:pt idx="32">
                  <c:v>7303697167604.8359</c:v>
                </c:pt>
                <c:pt idx="33">
                  <c:v>7526581527358.7891</c:v>
                </c:pt>
                <c:pt idx="34">
                  <c:v>7746899410144.0557</c:v>
                </c:pt>
                <c:pt idx="35">
                  <c:v>7964388812812.1133</c:v>
                </c:pt>
                <c:pt idx="36">
                  <c:v>8178803629694.6084</c:v>
                </c:pt>
                <c:pt idx="37">
                  <c:v>8389913628936.1611</c:v>
                </c:pt>
                <c:pt idx="38">
                  <c:v>8597504354035.1025</c:v>
                </c:pt>
                <c:pt idx="39">
                  <c:v>8801376958266.5273</c:v>
                </c:pt>
                <c:pt idx="40">
                  <c:v>9001347979325.7969</c:v>
                </c:pt>
                <c:pt idx="41">
                  <c:v>9197249061169.8965</c:v>
                </c:pt>
                <c:pt idx="42">
                  <c:v>9388926629652.0937</c:v>
                </c:pt>
                <c:pt idx="43">
                  <c:v>9576241528153.6523</c:v>
                </c:pt>
                <c:pt idx="44">
                  <c:v>9759068619018.1289</c:v>
                </c:pt>
                <c:pt idx="45">
                  <c:v>9937296356194.7012</c:v>
                </c:pt>
                <c:pt idx="46">
                  <c:v>10110826334102.732</c:v>
                </c:pt>
                <c:pt idx="47">
                  <c:v>10279572817341.734</c:v>
                </c:pt>
                <c:pt idx="48">
                  <c:v>10443462255494.008</c:v>
                </c:pt>
                <c:pt idx="49">
                  <c:v>10602432786902.053</c:v>
                </c:pt>
                <c:pt idx="50">
                  <c:v>10756433734952.994</c:v>
                </c:pt>
                <c:pt idx="51">
                  <c:v>10905425100067.117</c:v>
                </c:pt>
                <c:pt idx="52">
                  <c:v>11049377050270.09</c:v>
                </c:pt>
                <c:pt idx="53">
                  <c:v>11188269412927.268</c:v>
                </c:pt>
                <c:pt idx="54">
                  <c:v>11322091169935.994</c:v>
                </c:pt>
                <c:pt idx="55">
                  <c:v>11450839958406.16</c:v>
                </c:pt>
                <c:pt idx="56">
                  <c:v>11574521578611.604</c:v>
                </c:pt>
                <c:pt idx="57">
                  <c:v>11693149510765</c:v>
                </c:pt>
                <c:pt idx="58">
                  <c:v>11806744441955.164</c:v>
                </c:pt>
                <c:pt idx="59">
                  <c:v>11915333804389.246</c:v>
                </c:pt>
                <c:pt idx="60">
                  <c:v>12018951325900.715</c:v>
                </c:pt>
                <c:pt idx="61">
                  <c:v>12117636593518.951</c:v>
                </c:pt>
                <c:pt idx="62">
                  <c:v>12211434630744.045</c:v>
                </c:pt>
                <c:pt idx="63">
                  <c:v>12300395489033.654</c:v>
                </c:pt>
                <c:pt idx="64">
                  <c:v>12384573853883.342</c:v>
                </c:pt>
                <c:pt idx="65">
                  <c:v>12464028665770.082</c:v>
                </c:pt>
                <c:pt idx="66">
                  <c:v>12538822756127.035</c:v>
                </c:pt>
                <c:pt idx="67">
                  <c:v>12609022498427.941</c:v>
                </c:pt>
                <c:pt idx="68">
                  <c:v>12674697474378.863</c:v>
                </c:pt>
                <c:pt idx="69">
                  <c:v>12735920155143.99</c:v>
                </c:pt>
                <c:pt idx="70">
                  <c:v>12792765597470.057</c:v>
                </c:pt>
                <c:pt idx="71">
                  <c:v>12845311154518.512</c:v>
                </c:pt>
                <c:pt idx="72">
                  <c:v>12893636201168.527</c:v>
                </c:pt>
                <c:pt idx="73">
                  <c:v>12937821873511.783</c:v>
                </c:pt>
                <c:pt idx="74">
                  <c:v>12977950822226.633</c:v>
                </c:pt>
                <c:pt idx="75">
                  <c:v>13014106979489.402</c:v>
                </c:pt>
                <c:pt idx="76">
                  <c:v>13046375339056.988</c:v>
                </c:pt>
                <c:pt idx="77">
                  <c:v>13074841749135.236</c:v>
                </c:pt>
                <c:pt idx="78">
                  <c:v>13099592717632.594</c:v>
                </c:pt>
                <c:pt idx="79">
                  <c:v>13120715229386.404</c:v>
                </c:pt>
                <c:pt idx="80">
                  <c:v>13138296574941.551</c:v>
                </c:pt>
                <c:pt idx="81">
                  <c:v>13152424190455.504</c:v>
                </c:pt>
                <c:pt idx="82">
                  <c:v>13163185508300.803</c:v>
                </c:pt>
                <c:pt idx="83">
                  <c:v>13170667817936.777</c:v>
                </c:pt>
                <c:pt idx="84">
                  <c:v>13174958136622.508</c:v>
                </c:pt>
                <c:pt idx="85">
                  <c:v>13176143089547.975</c:v>
                </c:pt>
                <c:pt idx="86">
                  <c:v>13174308798964.512</c:v>
                </c:pt>
                <c:pt idx="87">
                  <c:v>13169540781902.238</c:v>
                </c:pt>
                <c:pt idx="88">
                  <c:v>13161923856070.459</c:v>
                </c:pt>
                <c:pt idx="89">
                  <c:v>13151542053544.436</c:v>
                </c:pt>
                <c:pt idx="90">
                  <c:v>13138478541852.246</c:v>
                </c:pt>
                <c:pt idx="91">
                  <c:v>13122815552085.209</c:v>
                </c:pt>
                <c:pt idx="92">
                  <c:v>13104634313665.937</c:v>
                </c:pt>
                <c:pt idx="93">
                  <c:v>13084014995419.061</c:v>
                </c:pt>
                <c:pt idx="94">
                  <c:v>13061036652601.373</c:v>
                </c:pt>
                <c:pt idx="95">
                  <c:v>13035777179559.201</c:v>
                </c:pt>
                <c:pt idx="96">
                  <c:v>13008313267693.285</c:v>
                </c:pt>
                <c:pt idx="97">
                  <c:v>12978720368422.418</c:v>
                </c:pt>
                <c:pt idx="98">
                  <c:v>12947072660849.785</c:v>
                </c:pt>
                <c:pt idx="99">
                  <c:v>12913443023847.088</c:v>
                </c:pt>
                <c:pt idx="100">
                  <c:v>12877903012283.535</c:v>
                </c:pt>
                <c:pt idx="101">
                  <c:v>12840522837138.279</c:v>
                </c:pt>
                <c:pt idx="102">
                  <c:v>12801371349246.35</c:v>
                </c:pt>
                <c:pt idx="103">
                  <c:v>12760516026439.041</c:v>
                </c:pt>
                <c:pt idx="104">
                  <c:v>12718022963850.891</c:v>
                </c:pt>
                <c:pt idx="105">
                  <c:v>12673956867176.131</c:v>
                </c:pt>
                <c:pt idx="106">
                  <c:v>12628381048667.461</c:v>
                </c:pt>
                <c:pt idx="107">
                  <c:v>12581357425680.764</c:v>
                </c:pt>
                <c:pt idx="108">
                  <c:v>12532946521578.521</c:v>
                </c:pt>
                <c:pt idx="109">
                  <c:v>12483207468814.84</c:v>
                </c:pt>
                <c:pt idx="110">
                  <c:v>12432198014033.541</c:v>
                </c:pt>
                <c:pt idx="111">
                  <c:v>12379974525020.297</c:v>
                </c:pt>
                <c:pt idx="112">
                  <c:v>12326591999357.814</c:v>
                </c:pt>
                <c:pt idx="113">
                  <c:v>12272104074641.537</c:v>
                </c:pt>
                <c:pt idx="114">
                  <c:v>12216563040121.43</c:v>
                </c:pt>
                <c:pt idx="115">
                  <c:v>12160019849642.453</c:v>
                </c:pt>
                <c:pt idx="116">
                  <c:v>12102524135764.383</c:v>
                </c:pt>
                <c:pt idx="117">
                  <c:v>12044124224947.777</c:v>
                </c:pt>
                <c:pt idx="118">
                  <c:v>11984867153700.469</c:v>
                </c:pt>
                <c:pt idx="119">
                  <c:v>11924798685584.316</c:v>
                </c:pt>
                <c:pt idx="120">
                  <c:v>11863963328989.109</c:v>
                </c:pt>
                <c:pt idx="121">
                  <c:v>11802404355585.461</c:v>
                </c:pt>
                <c:pt idx="122">
                  <c:v>11740163819374.498</c:v>
                </c:pt>
                <c:pt idx="123">
                  <c:v>11677282576257.473</c:v>
                </c:pt>
                <c:pt idx="124">
                  <c:v>11613800304053.055</c:v>
                </c:pt>
                <c:pt idx="125">
                  <c:v>11549755522895.291</c:v>
                </c:pt>
                <c:pt idx="126">
                  <c:v>11485185615949.406</c:v>
                </c:pt>
                <c:pt idx="127">
                  <c:v>11420126850387.092</c:v>
                </c:pt>
                <c:pt idx="128">
                  <c:v>11354614398566.889</c:v>
                </c:pt>
                <c:pt idx="129">
                  <c:v>11288682359369.246</c:v>
                </c:pt>
                <c:pt idx="130">
                  <c:v>11222363779639.336</c:v>
                </c:pt>
                <c:pt idx="131">
                  <c:v>11155690675694.348</c:v>
                </c:pt>
                <c:pt idx="132">
                  <c:v>11088694054855.055</c:v>
                </c:pt>
                <c:pt idx="133">
                  <c:v>11021403936964.697</c:v>
                </c:pt>
                <c:pt idx="134">
                  <c:v>10953849375860.949</c:v>
                </c:pt>
                <c:pt idx="135">
                  <c:v>10886058480769.654</c:v>
                </c:pt>
                <c:pt idx="136">
                  <c:v>10818058437591.615</c:v>
                </c:pt>
                <c:pt idx="137">
                  <c:v>10749875530055.898</c:v>
                </c:pt>
                <c:pt idx="138">
                  <c:v>10681535160715.623</c:v>
                </c:pt>
                <c:pt idx="139">
                  <c:v>10613061871764.443</c:v>
                </c:pt>
                <c:pt idx="140">
                  <c:v>10544479365653.654</c:v>
                </c:pt>
                <c:pt idx="141">
                  <c:v>10475810525492.051</c:v>
                </c:pt>
                <c:pt idx="142">
                  <c:v>10407077435212.141</c:v>
                </c:pt>
                <c:pt idx="143">
                  <c:v>10338301399488.338</c:v>
                </c:pt>
                <c:pt idx="144">
                  <c:v>10269502963394.08</c:v>
                </c:pt>
                <c:pt idx="145">
                  <c:v>10200701931786.193</c:v>
                </c:pt>
                <c:pt idx="146">
                  <c:v>10131917388406.641</c:v>
                </c:pt>
                <c:pt idx="147">
                  <c:v>10063167714692.346</c:v>
                </c:pt>
                <c:pt idx="148">
                  <c:v>9994470608285.7754</c:v>
                </c:pt>
                <c:pt idx="149">
                  <c:v>9925843101239.3887</c:v>
                </c:pt>
                <c:pt idx="150">
                  <c:v>9857301577908.5898</c:v>
                </c:pt>
                <c:pt idx="151">
                  <c:v>9788861792528.3535</c:v>
                </c:pt>
                <c:pt idx="152">
                  <c:v>9720538886470.0059</c:v>
                </c:pt>
                <c:pt idx="153">
                  <c:v>9652347405175.168</c:v>
                </c:pt>
                <c:pt idx="154">
                  <c:v>9584301314764.6387</c:v>
                </c:pt>
                <c:pt idx="155">
                  <c:v>9516414018321.0176</c:v>
                </c:pt>
                <c:pt idx="156">
                  <c:v>9448698371843.9766</c:v>
                </c:pt>
                <c:pt idx="157">
                  <c:v>9381166699878.3359</c:v>
                </c:pt>
                <c:pt idx="158">
                  <c:v>9313830810815.0273</c:v>
                </c:pt>
                <c:pt idx="159">
                  <c:v>9246702011866.1152</c:v>
                </c:pt>
                <c:pt idx="160">
                  <c:v>9179791123714.9062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vl1924e!$W$3</c:f>
              <c:strCache>
                <c:ptCount val="1"/>
                <c:pt idx="0">
                  <c:v>4500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vl1924e!$W$4:$W$164</c:f>
              <c:numCache>
                <c:formatCode>0.00E+00</c:formatCode>
                <c:ptCount val="161"/>
                <c:pt idx="0">
                  <c:v>3622154280167.021</c:v>
                </c:pt>
                <c:pt idx="1">
                  <c:v>3971488495324.21</c:v>
                </c:pt>
                <c:pt idx="2">
                  <c:v>4335867066711.48</c:v>
                </c:pt>
                <c:pt idx="3">
                  <c:v>4714469189150.248</c:v>
                </c:pt>
                <c:pt idx="4">
                  <c:v>5106406041570.0889</c:v>
                </c:pt>
                <c:pt idx="5">
                  <c:v>5510730864556.7061</c:v>
                </c:pt>
                <c:pt idx="6">
                  <c:v>5926448926246.2803</c:v>
                </c:pt>
                <c:pt idx="7">
                  <c:v>6352527247574.3818</c:v>
                </c:pt>
                <c:pt idx="8">
                  <c:v>6787903978965.0586</c:v>
                </c:pt>
                <c:pt idx="9">
                  <c:v>7231497340592.707</c:v>
                </c:pt>
                <c:pt idx="10">
                  <c:v>7682214057052.6514</c:v>
                </c:pt>
                <c:pt idx="11">
                  <c:v>8138957234426.6562</c:v>
                </c:pt>
                <c:pt idx="12">
                  <c:v>8600633643204.1963</c:v>
                </c:pt>
                <c:pt idx="13">
                  <c:v>9066160384268.3398</c:v>
                </c:pt>
                <c:pt idx="14">
                  <c:v>9534470927179.8965</c:v>
                </c:pt>
                <c:pt idx="15">
                  <c:v>10004520520346.133</c:v>
                </c:pt>
                <c:pt idx="16">
                  <c:v>10475290981417.541</c:v>
                </c:pt>
                <c:pt idx="17">
                  <c:v>10945794883526.76</c:v>
                </c:pt>
                <c:pt idx="18">
                  <c:v>11415079158880.252</c:v>
                </c:pt>
                <c:pt idx="19">
                  <c:v>11882228145868.023</c:v>
                </c:pt>
                <c:pt idx="20">
                  <c:v>12346366109393.965</c:v>
                </c:pt>
                <c:pt idx="21">
                  <c:v>12806659266683.469</c:v>
                </c:pt>
                <c:pt idx="22">
                  <c:v>13262317352516.23</c:v>
                </c:pt>
                <c:pt idx="23">
                  <c:v>13712594758781.686</c:v>
                </c:pt>
                <c:pt idx="24">
                  <c:v>14156791283573.482</c:v>
                </c:pt>
                <c:pt idx="25">
                  <c:v>14594252524828.193</c:v>
                </c:pt>
                <c:pt idx="26">
                  <c:v>15024369952867.436</c:v>
                </c:pt>
                <c:pt idx="27">
                  <c:v>15446580695203.76</c:v>
                </c:pt>
                <c:pt idx="28">
                  <c:v>15860367065694.578</c:v>
                </c:pt>
                <c:pt idx="29">
                  <c:v>16265255868640.227</c:v>
                </c:pt>
                <c:pt idx="30">
                  <c:v>16660817506778.877</c:v>
                </c:pt>
                <c:pt idx="31">
                  <c:v>17046664920383.092</c:v>
                </c:pt>
                <c:pt idx="32">
                  <c:v>17422452382850.035</c:v>
                </c:pt>
                <c:pt idx="33">
                  <c:v>17787874176337.668</c:v>
                </c:pt>
                <c:pt idx="34">
                  <c:v>18142663169160.062</c:v>
                </c:pt>
                <c:pt idx="35">
                  <c:v>18486589314841.809</c:v>
                </c:pt>
                <c:pt idx="36">
                  <c:v>18819458090962.691</c:v>
                </c:pt>
                <c:pt idx="37">
                  <c:v>19141108894215.562</c:v>
                </c:pt>
                <c:pt idx="38">
                  <c:v>19451413406463.551</c:v>
                </c:pt>
                <c:pt idx="39">
                  <c:v>19750273945026.703</c:v>
                </c:pt>
                <c:pt idx="40">
                  <c:v>20037621808957.855</c:v>
                </c:pt>
                <c:pt idx="41">
                  <c:v>20313415631688.031</c:v>
                </c:pt>
                <c:pt idx="42">
                  <c:v>20577639749132.82</c:v>
                </c:pt>
                <c:pt idx="43">
                  <c:v>20830302591156.621</c:v>
                </c:pt>
                <c:pt idx="44">
                  <c:v>21071435103184.891</c:v>
                </c:pt>
                <c:pt idx="45">
                  <c:v>21301089203740.523</c:v>
                </c:pt>
                <c:pt idx="46">
                  <c:v>21519336282750.645</c:v>
                </c:pt>
                <c:pt idx="47">
                  <c:v>21726265744623.535</c:v>
                </c:pt>
                <c:pt idx="48">
                  <c:v>21921983599329.07</c:v>
                </c:pt>
                <c:pt idx="49">
                  <c:v>22106611104023.289</c:v>
                </c:pt>
                <c:pt idx="50">
                  <c:v>22280283457137.437</c:v>
                </c:pt>
                <c:pt idx="51">
                  <c:v>22443148546295.383</c:v>
                </c:pt>
                <c:pt idx="52">
                  <c:v>22595365750932.156</c:v>
                </c:pt>
                <c:pt idx="53">
                  <c:v>22737104800047.914</c:v>
                </c:pt>
                <c:pt idx="54">
                  <c:v>22868544685151.523</c:v>
                </c:pt>
                <c:pt idx="55">
                  <c:v>22989872628112.117</c:v>
                </c:pt>
                <c:pt idx="56">
                  <c:v>23101283103348.336</c:v>
                </c:pt>
                <c:pt idx="57">
                  <c:v>23202976913537.137</c:v>
                </c:pt>
                <c:pt idx="58">
                  <c:v>23295160317811.719</c:v>
                </c:pt>
                <c:pt idx="59">
                  <c:v>23378044211242.227</c:v>
                </c:pt>
                <c:pt idx="60">
                  <c:v>23451843354244.059</c:v>
                </c:pt>
                <c:pt idx="61">
                  <c:v>23516775650440.918</c:v>
                </c:pt>
                <c:pt idx="62">
                  <c:v>23573061471412.641</c:v>
                </c:pt>
                <c:pt idx="63">
                  <c:v>23620923026686.516</c:v>
                </c:pt>
                <c:pt idx="64">
                  <c:v>23660583777275.219</c:v>
                </c:pt>
                <c:pt idx="65">
                  <c:v>23692267891029.32</c:v>
                </c:pt>
                <c:pt idx="66">
                  <c:v>23716199738049.914</c:v>
                </c:pt>
                <c:pt idx="67">
                  <c:v>23732603424398.914</c:v>
                </c:pt>
                <c:pt idx="68">
                  <c:v>23741702362348.105</c:v>
                </c:pt>
                <c:pt idx="69">
                  <c:v>23743718875420.359</c:v>
                </c:pt>
                <c:pt idx="70">
                  <c:v>23738873836499.602</c:v>
                </c:pt>
                <c:pt idx="71">
                  <c:v>23727386337312.973</c:v>
                </c:pt>
                <c:pt idx="72">
                  <c:v>23709473387626.258</c:v>
                </c:pt>
                <c:pt idx="73">
                  <c:v>23685349642530.941</c:v>
                </c:pt>
                <c:pt idx="74">
                  <c:v>23655227156248.18</c:v>
                </c:pt>
                <c:pt idx="75">
                  <c:v>23619315160920.27</c:v>
                </c:pt>
                <c:pt idx="76">
                  <c:v>23577819868911.754</c:v>
                </c:pt>
                <c:pt idx="77">
                  <c:v>23530944297194.043</c:v>
                </c:pt>
                <c:pt idx="78">
                  <c:v>23478888112439.77</c:v>
                </c:pt>
                <c:pt idx="79">
                  <c:v>23421847495509.453</c:v>
                </c:pt>
                <c:pt idx="80">
                  <c:v>23360015024065.152</c:v>
                </c:pt>
                <c:pt idx="81">
                  <c:v>23293579572102.922</c:v>
                </c:pt>
                <c:pt idx="82">
                  <c:v>23222726225248.105</c:v>
                </c:pt>
                <c:pt idx="83">
                  <c:v>23147636210713.395</c:v>
                </c:pt>
                <c:pt idx="84">
                  <c:v>23068486840870.594</c:v>
                </c:pt>
                <c:pt idx="85">
                  <c:v>22985451469440.824</c:v>
                </c:pt>
                <c:pt idx="86">
                  <c:v>22898699459357.418</c:v>
                </c:pt>
                <c:pt idx="87">
                  <c:v>22808396161405.988</c:v>
                </c:pt>
                <c:pt idx="88">
                  <c:v>22714702902794.437</c:v>
                </c:pt>
                <c:pt idx="89">
                  <c:v>22617776984851.074</c:v>
                </c:pt>
                <c:pt idx="90">
                  <c:v>22517771689095.82</c:v>
                </c:pt>
                <c:pt idx="91">
                  <c:v>22414836290971.434</c:v>
                </c:pt>
                <c:pt idx="92">
                  <c:v>22309116080564.07</c:v>
                </c:pt>
                <c:pt idx="93">
                  <c:v>22200752389682.754</c:v>
                </c:pt>
                <c:pt idx="94">
                  <c:v>22089882624705.234</c:v>
                </c:pt>
                <c:pt idx="95">
                  <c:v>21976640304634.871</c:v>
                </c:pt>
                <c:pt idx="96">
                  <c:v>21861155103848.742</c:v>
                </c:pt>
                <c:pt idx="97">
                  <c:v>21743552899049.18</c:v>
                </c:pt>
                <c:pt idx="98">
                  <c:v>21623955819964.742</c:v>
                </c:pt>
                <c:pt idx="99">
                  <c:v>21502482303375.988</c:v>
                </c:pt>
                <c:pt idx="100">
                  <c:v>21379247150069.516</c:v>
                </c:pt>
                <c:pt idx="101">
                  <c:v>21254361584353.254</c:v>
                </c:pt>
                <c:pt idx="102">
                  <c:v>21127933315789.336</c:v>
                </c:pt>
                <c:pt idx="103">
                  <c:v>21000066602827.488</c:v>
                </c:pt>
                <c:pt idx="104">
                  <c:v>20870862318043.645</c:v>
                </c:pt>
                <c:pt idx="105">
                  <c:v>20740418014711.508</c:v>
                </c:pt>
                <c:pt idx="106">
                  <c:v>20608827994454.316</c:v>
                </c:pt>
                <c:pt idx="107">
                  <c:v>20476183375744.535</c:v>
                </c:pt>
                <c:pt idx="108">
                  <c:v>20342572163036.949</c:v>
                </c:pt>
                <c:pt idx="109">
                  <c:v>20208079316337.914</c:v>
                </c:pt>
                <c:pt idx="110">
                  <c:v>20072786821030.055</c:v>
                </c:pt>
                <c:pt idx="111">
                  <c:v>19936773757786.344</c:v>
                </c:pt>
                <c:pt idx="112">
                  <c:v>19800116372422.437</c:v>
                </c:pt>
                <c:pt idx="113">
                  <c:v>19662888145548.664</c:v>
                </c:pt>
                <c:pt idx="114">
                  <c:v>19525159861896.594</c:v>
                </c:pt>
                <c:pt idx="115">
                  <c:v>19386999679205.523</c:v>
                </c:pt>
                <c:pt idx="116">
                  <c:v>19248473196566.668</c:v>
                </c:pt>
                <c:pt idx="117">
                  <c:v>19109643522131.312</c:v>
                </c:pt>
                <c:pt idx="118">
                  <c:v>18970571340100.348</c:v>
                </c:pt>
                <c:pt idx="119">
                  <c:v>18831314976920.137</c:v>
                </c:pt>
                <c:pt idx="120">
                  <c:v>18691930466618.703</c:v>
                </c:pt>
                <c:pt idx="121">
                  <c:v>18552471615223.617</c:v>
                </c:pt>
                <c:pt idx="122">
                  <c:v>18412990064209.789</c:v>
                </c:pt>
                <c:pt idx="123">
                  <c:v>18273535352932.555</c:v>
                </c:pt>
                <c:pt idx="124">
                  <c:v>18134154980006.965</c:v>
                </c:pt>
                <c:pt idx="125">
                  <c:v>17994894463600.246</c:v>
                </c:pt>
                <c:pt idx="126">
                  <c:v>17855797400609.203</c:v>
                </c:pt>
                <c:pt idx="127">
                  <c:v>17716905524699.719</c:v>
                </c:pt>
                <c:pt idx="128">
                  <c:v>17578258763189.221</c:v>
                </c:pt>
                <c:pt idx="129">
                  <c:v>17439895292757.758</c:v>
                </c:pt>
                <c:pt idx="130">
                  <c:v>17301851593976.521</c:v>
                </c:pt>
                <c:pt idx="131">
                  <c:v>17164162504646.473</c:v>
                </c:pt>
                <c:pt idx="132">
                  <c:v>17026861271942.592</c:v>
                </c:pt>
                <c:pt idx="133">
                  <c:v>16889979603362.436</c:v>
                </c:pt>
                <c:pt idx="134">
                  <c:v>16753547716479.832</c:v>
                </c:pt>
                <c:pt idx="135">
                  <c:v>16617594387507.553</c:v>
                </c:pt>
                <c:pt idx="136">
                  <c:v>16482146998674.412</c:v>
                </c:pt>
                <c:pt idx="137">
                  <c:v>16347231584424.576</c:v>
                </c:pt>
                <c:pt idx="138">
                  <c:v>16212872876448.176</c:v>
                </c:pt>
                <c:pt idx="139">
                  <c:v>16079094347554.518</c:v>
                </c:pt>
                <c:pt idx="140">
                  <c:v>15945918254400.064</c:v>
                </c:pt>
                <c:pt idx="141">
                  <c:v>15813365679084.977</c:v>
                </c:pt>
                <c:pt idx="142">
                  <c:v>15681456569632.676</c:v>
                </c:pt>
                <c:pt idx="143">
                  <c:v>15550209779368.52</c:v>
                </c:pt>
                <c:pt idx="144">
                  <c:v>15419643105214.131</c:v>
                </c:pt>
                <c:pt idx="145">
                  <c:v>15289773324914.48</c:v>
                </c:pt>
                <c:pt idx="146">
                  <c:v>15160616233216.137</c:v>
                </c:pt>
                <c:pt idx="147">
                  <c:v>15032186677014.797</c:v>
                </c:pt>
                <c:pt idx="148">
                  <c:v>14904498589491.621</c:v>
                </c:pt>
                <c:pt idx="149">
                  <c:v>14777565023257.326</c:v>
                </c:pt>
                <c:pt idx="150">
                  <c:v>14651398182524.1</c:v>
                </c:pt>
                <c:pt idx="151">
                  <c:v>14526009454324.922</c:v>
                </c:pt>
                <c:pt idx="152">
                  <c:v>14401409438800.832</c:v>
                </c:pt>
                <c:pt idx="153">
                  <c:v>14277607978575.994</c:v>
                </c:pt>
                <c:pt idx="154">
                  <c:v>14154614187241.066</c:v>
                </c:pt>
                <c:pt idx="155">
                  <c:v>14032436476965.244</c:v>
                </c:pt>
                <c:pt idx="156">
                  <c:v>13911082585256.896</c:v>
                </c:pt>
                <c:pt idx="157">
                  <c:v>13790559600893.512</c:v>
                </c:pt>
                <c:pt idx="158">
                  <c:v>13670873989040.607</c:v>
                </c:pt>
                <c:pt idx="159">
                  <c:v>13552031615579.963</c:v>
                </c:pt>
                <c:pt idx="160">
                  <c:v>13434037770666.492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vl1924e!$X$3</c:f>
              <c:strCache>
                <c:ptCount val="1"/>
                <c:pt idx="0">
                  <c:v>5000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vl1924e!$X$4:$X$164</c:f>
              <c:numCache>
                <c:formatCode>0.00E+00</c:formatCode>
                <c:ptCount val="161"/>
                <c:pt idx="0">
                  <c:v>10515698915943.641</c:v>
                </c:pt>
                <c:pt idx="1">
                  <c:v>11330259938163.137</c:v>
                </c:pt>
                <c:pt idx="2">
                  <c:v>12162504638252.711</c:v>
                </c:pt>
                <c:pt idx="3">
                  <c:v>13009896961934.422</c:v>
                </c:pt>
                <c:pt idx="4">
                  <c:v>13869889270391.437</c:v>
                </c:pt>
                <c:pt idx="5">
                  <c:v>14739943320928.852</c:v>
                </c:pt>
                <c:pt idx="6">
                  <c:v>15617549283932.236</c:v>
                </c:pt>
                <c:pt idx="7">
                  <c:v>16500242759789.301</c:v>
                </c:pt>
                <c:pt idx="8">
                  <c:v>17385619799476.635</c:v>
                </c:pt>
                <c:pt idx="9">
                  <c:v>18271349965664.051</c:v>
                </c:pt>
                <c:pt idx="10">
                  <c:v>19155187497971.891</c:v>
                </c:pt>
                <c:pt idx="11">
                  <c:v>20034980667020.887</c:v>
                </c:pt>
                <c:pt idx="12">
                  <c:v>20908679417761.461</c:v>
                </c:pt>
                <c:pt idx="13">
                  <c:v>21774341413888.871</c:v>
                </c:pt>
                <c:pt idx="14">
                  <c:v>22630136602554.684</c:v>
                </c:pt>
                <c:pt idx="15">
                  <c:v>23474350422658.449</c:v>
                </c:pt>
                <c:pt idx="16">
                  <c:v>24305385781286.961</c:v>
                </c:pt>
                <c:pt idx="17">
                  <c:v>25121763921860.352</c:v>
                </c:pt>
                <c:pt idx="18">
                  <c:v>25922124304691.977</c:v>
                </c:pt>
                <c:pt idx="19">
                  <c:v>26705223616366.477</c:v>
                </c:pt>
                <c:pt idx="20">
                  <c:v>27469934018938.605</c:v>
                </c:pt>
                <c:pt idx="21">
                  <c:v>28215240743753.285</c:v>
                </c:pt>
                <c:pt idx="22">
                  <c:v>28940239127939.598</c:v>
                </c:pt>
                <c:pt idx="23">
                  <c:v>29644131184556.406</c:v>
                </c:pt>
                <c:pt idx="24">
                  <c:v>30326221790144.973</c:v>
                </c:pt>
                <c:pt idx="25">
                  <c:v>30985914566214.027</c:v>
                </c:pt>
                <c:pt idx="26">
                  <c:v>31622707524072.711</c:v>
                </c:pt>
                <c:pt idx="27">
                  <c:v>32236188535521.543</c:v>
                </c:pt>
                <c:pt idx="28">
                  <c:v>32826030685281.348</c:v>
                </c:pt>
                <c:pt idx="29">
                  <c:v>33391987554742.551</c:v>
                </c:pt>
                <c:pt idx="30">
                  <c:v>33933888480681.926</c:v>
                </c:pt>
                <c:pt idx="31">
                  <c:v>34451633827046.031</c:v>
                </c:pt>
                <c:pt idx="32">
                  <c:v>34945190302753.172</c:v>
                </c:pt>
                <c:pt idx="33">
                  <c:v>35414586353720.492</c:v>
                </c:pt>
                <c:pt idx="34">
                  <c:v>35859907652974.719</c:v>
                </c:pt>
                <c:pt idx="35">
                  <c:v>36281292708747.633</c:v>
                </c:pt>
                <c:pt idx="36">
                  <c:v>36678928606874.742</c:v>
                </c:pt>
                <c:pt idx="37">
                  <c:v>37053046900589.516</c:v>
                </c:pt>
                <c:pt idx="38">
                  <c:v>37403919657920.609</c:v>
                </c:pt>
                <c:pt idx="39">
                  <c:v>37731855674333.93</c:v>
                </c:pt>
                <c:pt idx="40">
                  <c:v>38037196855987.781</c:v>
                </c:pt>
                <c:pt idx="41">
                  <c:v>38320314776980.523</c:v>
                </c:pt>
                <c:pt idx="42">
                  <c:v>38581607412224.367</c:v>
                </c:pt>
                <c:pt idx="43">
                  <c:v>38821496046076.383</c:v>
                </c:pt>
                <c:pt idx="44">
                  <c:v>39040422355560.484</c:v>
                </c:pt>
                <c:pt idx="45">
                  <c:v>39238845665912.172</c:v>
                </c:pt>
                <c:pt idx="46">
                  <c:v>39417240375251.758</c:v>
                </c:pt>
                <c:pt idx="47">
                  <c:v>39576093544418.242</c:v>
                </c:pt>
                <c:pt idx="48">
                  <c:v>39715902647367.547</c:v>
                </c:pt>
                <c:pt idx="49">
                  <c:v>39837173477029.648</c:v>
                </c:pt>
                <c:pt idx="50">
                  <c:v>39940418201127.164</c:v>
                </c:pt>
                <c:pt idx="51">
                  <c:v>40026153562155.969</c:v>
                </c:pt>
                <c:pt idx="52">
                  <c:v>40094899215519.883</c:v>
                </c:pt>
                <c:pt idx="53">
                  <c:v>40147176199670.773</c:v>
                </c:pt>
                <c:pt idx="54">
                  <c:v>40183505532033.969</c:v>
                </c:pt>
                <c:pt idx="55">
                  <c:v>40204406924481.586</c:v>
                </c:pt>
                <c:pt idx="56">
                  <c:v>40210397612145.914</c:v>
                </c:pt>
                <c:pt idx="57">
                  <c:v>40201991289436.914</c:v>
                </c:pt>
                <c:pt idx="58">
                  <c:v>40179697147230.727</c:v>
                </c:pt>
                <c:pt idx="59">
                  <c:v>40144019005331.68</c:v>
                </c:pt>
                <c:pt idx="60">
                  <c:v>40095454534461.18</c:v>
                </c:pt>
                <c:pt idx="61">
                  <c:v>40034494562205.68</c:v>
                </c:pt>
                <c:pt idx="62">
                  <c:v>39961622457539.914</c:v>
                </c:pt>
                <c:pt idx="63">
                  <c:v>39877313588742.812</c:v>
                </c:pt>
                <c:pt idx="64">
                  <c:v>39782034849729.031</c:v>
                </c:pt>
                <c:pt idx="65">
                  <c:v>39676244250030.797</c:v>
                </c:pt>
                <c:pt idx="66">
                  <c:v>39560390563879.437</c:v>
                </c:pt>
                <c:pt idx="67">
                  <c:v>39434913034050.836</c:v>
                </c:pt>
                <c:pt idx="68">
                  <c:v>39300241126353.57</c:v>
                </c:pt>
                <c:pt idx="69">
                  <c:v>39156794330849.445</c:v>
                </c:pt>
                <c:pt idx="70">
                  <c:v>39004982006107.625</c:v>
                </c:pt>
                <c:pt idx="71">
                  <c:v>38845203262992.898</c:v>
                </c:pt>
                <c:pt idx="72">
                  <c:v>38677846884692.781</c:v>
                </c:pt>
                <c:pt idx="73">
                  <c:v>38503291279876.516</c:v>
                </c:pt>
                <c:pt idx="74">
                  <c:v>38321904466069.328</c:v>
                </c:pt>
                <c:pt idx="75">
                  <c:v>38134044080502.344</c:v>
                </c:pt>
                <c:pt idx="76">
                  <c:v>37940057415873.836</c:v>
                </c:pt>
                <c:pt idx="77">
                  <c:v>37740281478621.602</c:v>
                </c:pt>
                <c:pt idx="78">
                  <c:v>37535043067465.305</c:v>
                </c:pt>
                <c:pt idx="79">
                  <c:v>37324658870129.656</c:v>
                </c:pt>
                <c:pt idx="80">
                  <c:v>37109435576301.43</c:v>
                </c:pt>
                <c:pt idx="81">
                  <c:v>36889670005012.367</c:v>
                </c:pt>
                <c:pt idx="82">
                  <c:v>36665649244767.57</c:v>
                </c:pt>
                <c:pt idx="83">
                  <c:v>36437650804863.781</c:v>
                </c:pt>
                <c:pt idx="84">
                  <c:v>36205942776456.016</c:v>
                </c:pt>
                <c:pt idx="85">
                  <c:v>35970784002042.844</c:v>
                </c:pt>
                <c:pt idx="86">
                  <c:v>35732424252141.141</c:v>
                </c:pt>
                <c:pt idx="87">
                  <c:v>35491104408021.016</c:v>
                </c:pt>
                <c:pt idx="88">
                  <c:v>35247056649460.734</c:v>
                </c:pt>
                <c:pt idx="89">
                  <c:v>35000504646567.645</c:v>
                </c:pt>
                <c:pt idx="90">
                  <c:v>34751663754792.551</c:v>
                </c:pt>
                <c:pt idx="91">
                  <c:v>34500741212337.766</c:v>
                </c:pt>
                <c:pt idx="92">
                  <c:v>34247936339231.367</c:v>
                </c:pt>
                <c:pt idx="93">
                  <c:v>33993440737404.598</c:v>
                </c:pt>
                <c:pt idx="94">
                  <c:v>33737438491170.707</c:v>
                </c:pt>
                <c:pt idx="95">
                  <c:v>33480106367560.066</c:v>
                </c:pt>
                <c:pt idx="96">
                  <c:v>33221614016020.648</c:v>
                </c:pt>
                <c:pt idx="97">
                  <c:v>32962124167039.758</c:v>
                </c:pt>
                <c:pt idx="98">
                  <c:v>32701792829291.316</c:v>
                </c:pt>
                <c:pt idx="99">
                  <c:v>32440769484953.102</c:v>
                </c:pt>
                <c:pt idx="100">
                  <c:v>32179197282878.598</c:v>
                </c:pt>
                <c:pt idx="101">
                  <c:v>31917213229344.277</c:v>
                </c:pt>
                <c:pt idx="102">
                  <c:v>31654948376126.102</c:v>
                </c:pt>
                <c:pt idx="103">
                  <c:v>31392528005690.398</c:v>
                </c:pt>
                <c:pt idx="104">
                  <c:v>31130071813312.375</c:v>
                </c:pt>
                <c:pt idx="105">
                  <c:v>30867694085961.734</c:v>
                </c:pt>
                <c:pt idx="106">
                  <c:v>30605503877819.117</c:v>
                </c:pt>
                <c:pt idx="107">
                  <c:v>30343605182308.437</c:v>
                </c:pt>
                <c:pt idx="108">
                  <c:v>30082097100551.125</c:v>
                </c:pt>
                <c:pt idx="109">
                  <c:v>29821074006166.246</c:v>
                </c:pt>
                <c:pt idx="110">
                  <c:v>29560625706357.355</c:v>
                </c:pt>
                <c:pt idx="111">
                  <c:v>29300837599242.184</c:v>
                </c:pt>
                <c:pt idx="112">
                  <c:v>29041790827395.695</c:v>
                </c:pt>
                <c:pt idx="113">
                  <c:v>28783562427588.406</c:v>
                </c:pt>
                <c:pt idx="114">
                  <c:v>28526225476715.137</c:v>
                </c:pt>
                <c:pt idx="115">
                  <c:v>28269849233917.551</c:v>
                </c:pt>
                <c:pt idx="116">
                  <c:v>28014499278915.113</c:v>
                </c:pt>
                <c:pt idx="117">
                  <c:v>27760237646565.879</c:v>
                </c:pt>
                <c:pt idx="118">
                  <c:v>27507122957686.715</c:v>
                </c:pt>
                <c:pt idx="119">
                  <c:v>27255210546168.984</c:v>
                </c:pt>
                <c:pt idx="120">
                  <c:v>27004552582431.668</c:v>
                </c:pt>
                <c:pt idx="121">
                  <c:v>26755198193258.965</c:v>
                </c:pt>
                <c:pt idx="122">
                  <c:v>26507193578073.719</c:v>
                </c:pt>
                <c:pt idx="123">
                  <c:v>26260582121702.723</c:v>
                </c:pt>
                <c:pt idx="124">
                  <c:v>26015404503692.344</c:v>
                </c:pt>
                <c:pt idx="125">
                  <c:v>25771698804236.609</c:v>
                </c:pt>
                <c:pt idx="126">
                  <c:v>25529500606782.066</c:v>
                </c:pt>
                <c:pt idx="127">
                  <c:v>25288843097375.687</c:v>
                </c:pt>
                <c:pt idx="128">
                  <c:v>25049757160823.863</c:v>
                </c:pt>
                <c:pt idx="129">
                  <c:v>24812271473732.156</c:v>
                </c:pt>
                <c:pt idx="130">
                  <c:v>24576412594495.699</c:v>
                </c:pt>
                <c:pt idx="131">
                  <c:v>24342205050311.895</c:v>
                </c:pt>
                <c:pt idx="132">
                  <c:v>24109671421286.539</c:v>
                </c:pt>
                <c:pt idx="133">
                  <c:v>23878832421705.84</c:v>
                </c:pt>
                <c:pt idx="134">
                  <c:v>23649706978545.359</c:v>
                </c:pt>
                <c:pt idx="135">
                  <c:v>23422312307288.543</c:v>
                </c:pt>
                <c:pt idx="136">
                  <c:v>23196663985125.598</c:v>
                </c:pt>
                <c:pt idx="137">
                  <c:v>22972776021603.988</c:v>
                </c:pt>
                <c:pt idx="138">
                  <c:v>22750660926800.613</c:v>
                </c:pt>
                <c:pt idx="139">
                  <c:v>22530329777085.512</c:v>
                </c:pt>
                <c:pt idx="140">
                  <c:v>22311792278545.926</c:v>
                </c:pt>
                <c:pt idx="141">
                  <c:v>22095056828138.281</c:v>
                </c:pt>
                <c:pt idx="142">
                  <c:v>21880130572635.012</c:v>
                </c:pt>
                <c:pt idx="143">
                  <c:v>21667019465432.219</c:v>
                </c:pt>
                <c:pt idx="144">
                  <c:v>21455728321282.586</c:v>
                </c:pt>
                <c:pt idx="145">
                  <c:v>21246260869016.949</c:v>
                </c:pt>
                <c:pt idx="146">
                  <c:v>21038619802317.004</c:v>
                </c:pt>
                <c:pt idx="147">
                  <c:v>20832806828599.68</c:v>
                </c:pt>
                <c:pt idx="148">
                  <c:v>20628822716073.25</c:v>
                </c:pt>
                <c:pt idx="149">
                  <c:v>20426667339023.223</c:v>
                </c:pt>
                <c:pt idx="150">
                  <c:v>20226339721385.293</c:v>
                </c:pt>
                <c:pt idx="151">
                  <c:v>20027838078660.531</c:v>
                </c:pt>
                <c:pt idx="152">
                  <c:v>19831159858227.754</c:v>
                </c:pt>
                <c:pt idx="153">
                  <c:v>19636301778105.57</c:v>
                </c:pt>
                <c:pt idx="154">
                  <c:v>19443259864215.805</c:v>
                </c:pt>
                <c:pt idx="155">
                  <c:v>19252029486198.781</c:v>
                </c:pt>
                <c:pt idx="156">
                  <c:v>19062605391828.934</c:v>
                </c:pt>
                <c:pt idx="157">
                  <c:v>18874981740078.879</c:v>
                </c:pt>
                <c:pt idx="158">
                  <c:v>18689152132877.766</c:v>
                </c:pt>
                <c:pt idx="159">
                  <c:v>18505109645609.27</c:v>
                </c:pt>
                <c:pt idx="160">
                  <c:v>18322846856392.355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vl1924e!$Z$3</c:f>
              <c:strCache>
                <c:ptCount val="1"/>
                <c:pt idx="0">
                  <c:v>5500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vl1924e!$Z$4:$Z$164</c:f>
              <c:numCache>
                <c:formatCode>0.00E+00</c:formatCode>
                <c:ptCount val="161"/>
                <c:pt idx="0">
                  <c:v>25152219297265.695</c:v>
                </c:pt>
                <c:pt idx="1">
                  <c:v>26716265258433.336</c:v>
                </c:pt>
                <c:pt idx="2">
                  <c:v>28285082310012.195</c:v>
                </c:pt>
                <c:pt idx="3">
                  <c:v>29853701363052.191</c:v>
                </c:pt>
                <c:pt idx="4">
                  <c:v>31417357590225.699</c:v>
                </c:pt>
                <c:pt idx="5">
                  <c:v>32971513564571.242</c:v>
                </c:pt>
                <c:pt idx="6">
                  <c:v>34511877611703.766</c:v>
                </c:pt>
                <c:pt idx="7">
                  <c:v>36034417735111.5</c:v>
                </c:pt>
                <c:pt idx="8">
                  <c:v>37535371495022.039</c:v>
                </c:pt>
                <c:pt idx="9">
                  <c:v>39011252230469.375</c:v>
                </c:pt>
                <c:pt idx="10">
                  <c:v>40458852013795.297</c:v>
                </c:pt>
                <c:pt idx="11">
                  <c:v>41875241718829.094</c:v>
                </c:pt>
                <c:pt idx="12">
                  <c:v>43257768570122.734</c:v>
                </c:pt>
                <c:pt idx="13">
                  <c:v>44604051522374.883</c:v>
                </c:pt>
                <c:pt idx="14">
                  <c:v>45911974797823.891</c:v>
                </c:pt>
                <c:pt idx="15">
                  <c:v>47179679886006.992</c:v>
                </c:pt>
                <c:pt idx="16">
                  <c:v>48405556285747.234</c:v>
                </c:pt>
                <c:pt idx="17">
                  <c:v>49588231244276.859</c:v>
                </c:pt>
                <c:pt idx="18">
                  <c:v>50726558723591.906</c:v>
                </c:pt>
                <c:pt idx="19">
                  <c:v>51819607799925.945</c:v>
                </c:pt>
                <c:pt idx="20">
                  <c:v>52866650678952.461</c:v>
                </c:pt>
                <c:pt idx="21">
                  <c:v>53867150487230.844</c:v>
                </c:pt>
                <c:pt idx="22">
                  <c:v>54820748979673.148</c:v>
                </c:pt>
                <c:pt idx="23">
                  <c:v>55727254283519.719</c:v>
                </c:pt>
                <c:pt idx="24">
                  <c:v>56586628781545.992</c:v>
                </c:pt>
                <c:pt idx="25">
                  <c:v>57398977220971.047</c:v>
                </c:pt>
                <c:pt idx="26">
                  <c:v>58164535119807.273</c:v>
                </c:pt>
                <c:pt idx="27">
                  <c:v>58883657529110.016</c:v>
                </c:pt>
                <c:pt idx="28">
                  <c:v>59556808197717.906</c:v>
                </c:pt>
                <c:pt idx="29">
                  <c:v>60184549175530.828</c:v>
                </c:pt>
                <c:pt idx="30">
                  <c:v>60767530882071.516</c:v>
                </c:pt>
                <c:pt idx="31">
                  <c:v>61306482658939.531</c:v>
                </c:pt>
                <c:pt idx="32">
                  <c:v>61802203817689.406</c:v>
                </c:pt>
                <c:pt idx="33">
                  <c:v>62255555188567.477</c:v>
                </c:pt>
                <c:pt idx="34">
                  <c:v>62667451170337.961</c:v>
                </c:pt>
                <c:pt idx="35">
                  <c:v>63038852277017.133</c:v>
                </c:pt>
                <c:pt idx="36">
                  <c:v>63370758173656.969</c:v>
                </c:pt>
                <c:pt idx="37">
                  <c:v>63664201190277.43</c:v>
                </c:pt>
                <c:pt idx="38">
                  <c:v>63920240300580.391</c:v>
                </c:pt>
                <c:pt idx="39">
                  <c:v>64139955550122.125</c:v>
                </c:pt>
                <c:pt idx="40">
                  <c:v>64324442917097.258</c:v>
                </c:pt>
                <c:pt idx="41">
                  <c:v>64474809587769.375</c:v>
                </c:pt>
                <c:pt idx="42">
                  <c:v>64592169627780.648</c:v>
                </c:pt>
                <c:pt idx="43">
                  <c:v>64677640030080.055</c:v>
                </c:pt>
                <c:pt idx="44">
                  <c:v>64732337119950.445</c:v>
                </c:pt>
                <c:pt idx="45">
                  <c:v>64757373297570.352</c:v>
                </c:pt>
                <c:pt idx="46">
                  <c:v>64753854098685.07</c:v>
                </c:pt>
                <c:pt idx="47">
                  <c:v>64722875554233.469</c:v>
                </c:pt>
                <c:pt idx="48">
                  <c:v>64665521830185.031</c:v>
                </c:pt>
                <c:pt idx="49">
                  <c:v>64582863129334.141</c:v>
                </c:pt>
                <c:pt idx="50">
                  <c:v>64475953837377.867</c:v>
                </c:pt>
                <c:pt idx="51">
                  <c:v>64345830896235.164</c:v>
                </c:pt>
                <c:pt idx="52">
                  <c:v>64193512388247.789</c:v>
                </c:pt>
                <c:pt idx="53">
                  <c:v>64019996315609.789</c:v>
                </c:pt>
                <c:pt idx="54">
                  <c:v>63826259560105.758</c:v>
                </c:pt>
                <c:pt idx="55">
                  <c:v>63613257008976.422</c:v>
                </c:pt>
                <c:pt idx="56">
                  <c:v>63381920833471.867</c:v>
                </c:pt>
                <c:pt idx="57">
                  <c:v>63133159907392.227</c:v>
                </c:pt>
                <c:pt idx="58">
                  <c:v>62867859353640.906</c:v>
                </c:pt>
                <c:pt idx="59">
                  <c:v>62586880207529.602</c:v>
                </c:pt>
                <c:pt idx="60">
                  <c:v>62291059186266.547</c:v>
                </c:pt>
                <c:pt idx="61">
                  <c:v>61981208554733.25</c:v>
                </c:pt>
                <c:pt idx="62">
                  <c:v>61658116078302.969</c:v>
                </c:pt>
                <c:pt idx="63">
                  <c:v>61322545054078.969</c:v>
                </c:pt>
                <c:pt idx="64">
                  <c:v>60975234412523.773</c:v>
                </c:pt>
                <c:pt idx="65">
                  <c:v>60616898882026.961</c:v>
                </c:pt>
                <c:pt idx="66">
                  <c:v>60248229209493.875</c:v>
                </c:pt>
                <c:pt idx="67">
                  <c:v>59869892430557.484</c:v>
                </c:pt>
                <c:pt idx="68">
                  <c:v>59482532183501.898</c:v>
                </c:pt>
                <c:pt idx="69">
                  <c:v>59086769061441.398</c:v>
                </c:pt>
                <c:pt idx="70">
                  <c:v>58683200997741.172</c:v>
                </c:pt>
                <c:pt idx="71">
                  <c:v>58272403680063.82</c:v>
                </c:pt>
                <c:pt idx="72">
                  <c:v>57854930988816.227</c:v>
                </c:pt>
                <c:pt idx="73">
                  <c:v>57431315456124.859</c:v>
                </c:pt>
                <c:pt idx="74">
                  <c:v>57002068741805.656</c:v>
                </c:pt>
                <c:pt idx="75">
                  <c:v>56567682123106.297</c:v>
                </c:pt>
                <c:pt idx="76">
                  <c:v>56128626995290.867</c:v>
                </c:pt>
                <c:pt idx="77">
                  <c:v>55685355380408.945</c:v>
                </c:pt>
                <c:pt idx="78">
                  <c:v>55238300441842.328</c:v>
                </c:pt>
                <c:pt idx="79">
                  <c:v>54787877002458.523</c:v>
                </c:pt>
                <c:pt idx="80">
                  <c:v>54334482064415.312</c:v>
                </c:pt>
                <c:pt idx="81">
                  <c:v>53878495328863</c:v>
                </c:pt>
                <c:pt idx="82">
                  <c:v>53420279713975</c:v>
                </c:pt>
                <c:pt idx="83">
                  <c:v>52960181869910.125</c:v>
                </c:pt>
                <c:pt idx="84">
                  <c:v>52498532689465.664</c:v>
                </c:pt>
                <c:pt idx="85">
                  <c:v>52035647813327.523</c:v>
                </c:pt>
                <c:pt idx="86">
                  <c:v>51571828128954.469</c:v>
                </c:pt>
                <c:pt idx="87">
                  <c:v>51107360262257.773</c:v>
                </c:pt>
                <c:pt idx="88">
                  <c:v>50642517061348.773</c:v>
                </c:pt>
                <c:pt idx="89">
                  <c:v>50177558071727.523</c:v>
                </c:pt>
                <c:pt idx="90">
                  <c:v>49712730002382.234</c:v>
                </c:pt>
                <c:pt idx="91">
                  <c:v>49248267182350.781</c:v>
                </c:pt>
                <c:pt idx="92">
                  <c:v>48784392007376.266</c:v>
                </c:pt>
                <c:pt idx="93">
                  <c:v>48321315376355.445</c:v>
                </c:pt>
                <c:pt idx="94">
                  <c:v>47859237117345.57</c:v>
                </c:pt>
                <c:pt idx="95">
                  <c:v>47398346402950.477</c:v>
                </c:pt>
                <c:pt idx="96">
                  <c:v>46938822154960.164</c:v>
                </c:pt>
                <c:pt idx="97">
                  <c:v>46480833438163.086</c:v>
                </c:pt>
                <c:pt idx="98">
                  <c:v>46024539843294.625</c:v>
                </c:pt>
                <c:pt idx="99">
                  <c:v>45570091859120.078</c:v>
                </c:pt>
                <c:pt idx="100">
                  <c:v>45117631233685.578</c:v>
                </c:pt>
                <c:pt idx="101">
                  <c:v>44667291324799.953</c:v>
                </c:pt>
                <c:pt idx="102">
                  <c:v>44219197439835.633</c:v>
                </c:pt>
                <c:pt idx="103">
                  <c:v>43773467164961.406</c:v>
                </c:pt>
                <c:pt idx="104">
                  <c:v>43330210683938.336</c:v>
                </c:pt>
                <c:pt idx="105">
                  <c:v>42889531086629.695</c:v>
                </c:pt>
                <c:pt idx="106">
                  <c:v>42451524667389.141</c:v>
                </c:pt>
                <c:pt idx="107">
                  <c:v>42016281213505.992</c:v>
                </c:pt>
                <c:pt idx="108">
                  <c:v>41583884283895.922</c:v>
                </c:pt>
                <c:pt idx="109">
                  <c:v>41154411478236.742</c:v>
                </c:pt>
                <c:pt idx="110">
                  <c:v>40727934696754.531</c:v>
                </c:pt>
                <c:pt idx="111">
                  <c:v>40304520390872.266</c:v>
                </c:pt>
                <c:pt idx="112">
                  <c:v>39884229804939.266</c:v>
                </c:pt>
                <c:pt idx="113">
                  <c:v>39467119209260.562</c:v>
                </c:pt>
                <c:pt idx="114">
                  <c:v>39053240124651.016</c:v>
                </c:pt>
                <c:pt idx="115">
                  <c:v>38642639538737.664</c:v>
                </c:pt>
                <c:pt idx="116">
                  <c:v>38235360114237.164</c:v>
                </c:pt>
                <c:pt idx="117">
                  <c:v>37831440389432.797</c:v>
                </c:pt>
                <c:pt idx="118">
                  <c:v>37430914971076.086</c:v>
                </c:pt>
                <c:pt idx="119">
                  <c:v>37033814719936.734</c:v>
                </c:pt>
                <c:pt idx="120">
                  <c:v>36640166929221.648</c:v>
                </c:pt>
                <c:pt idx="121">
                  <c:v>36249995496082.648</c:v>
                </c:pt>
                <c:pt idx="122">
                  <c:v>35863321086428.766</c:v>
                </c:pt>
                <c:pt idx="123">
                  <c:v>35480161293256.336</c:v>
                </c:pt>
                <c:pt idx="124">
                  <c:v>35100530788706.371</c:v>
                </c:pt>
                <c:pt idx="125">
                  <c:v>34724441470055.234</c:v>
                </c:pt>
                <c:pt idx="126">
                  <c:v>34351902599840.516</c:v>
                </c:pt>
                <c:pt idx="127">
                  <c:v>33982920940319.684</c:v>
                </c:pt>
                <c:pt idx="128">
                  <c:v>33617500882454.965</c:v>
                </c:pt>
                <c:pt idx="129">
                  <c:v>33255644569614.082</c:v>
                </c:pt>
                <c:pt idx="130">
                  <c:v>32897352016170.309</c:v>
                </c:pt>
                <c:pt idx="131">
                  <c:v>32542621221182.949</c:v>
                </c:pt>
                <c:pt idx="132">
                  <c:v>32191448277332.543</c:v>
                </c:pt>
                <c:pt idx="133">
                  <c:v>31843827475282.527</c:v>
                </c:pt>
                <c:pt idx="134">
                  <c:v>31499751403632.02</c:v>
                </c:pt>
                <c:pt idx="135">
                  <c:v>31159211044622.266</c:v>
                </c:pt>
                <c:pt idx="136">
                  <c:v>30822195865752.871</c:v>
                </c:pt>
                <c:pt idx="137">
                  <c:v>30488693907459.91</c:v>
                </c:pt>
                <c:pt idx="138">
                  <c:v>30158691867003.301</c:v>
                </c:pt>
                <c:pt idx="139">
                  <c:v>29832175178706.707</c:v>
                </c:pt>
                <c:pt idx="140">
                  <c:v>29509128090688.434</c:v>
                </c:pt>
                <c:pt idx="141">
                  <c:v>29189533738217.355</c:v>
                </c:pt>
                <c:pt idx="142">
                  <c:v>28873374213823.352</c:v>
                </c:pt>
                <c:pt idx="143">
                  <c:v>28560630634288.641</c:v>
                </c:pt>
                <c:pt idx="144">
                  <c:v>28251283204640.687</c:v>
                </c:pt>
                <c:pt idx="145">
                  <c:v>27945311279264.293</c:v>
                </c:pt>
                <c:pt idx="146">
                  <c:v>27642693420246.512</c:v>
                </c:pt>
                <c:pt idx="147">
                  <c:v>27343407453063.125</c:v>
                </c:pt>
                <c:pt idx="148">
                  <c:v>27047430519713.312</c:v>
                </c:pt>
                <c:pt idx="149">
                  <c:v>26754739129403.762</c:v>
                </c:pt>
                <c:pt idx="150">
                  <c:v>26465309206881.148</c:v>
                </c:pt>
                <c:pt idx="151">
                  <c:v>26179116138507.281</c:v>
                </c:pt>
                <c:pt idx="152">
                  <c:v>25896134816168.941</c:v>
                </c:pt>
                <c:pt idx="153">
                  <c:v>25616339679110.426</c:v>
                </c:pt>
                <c:pt idx="154">
                  <c:v>25339704753773.43</c:v>
                </c:pt>
                <c:pt idx="155">
                  <c:v>25066203691726.68</c:v>
                </c:pt>
                <c:pt idx="156">
                  <c:v>24795809805763.367</c:v>
                </c:pt>
                <c:pt idx="157">
                  <c:v>24528496104243.086</c:v>
                </c:pt>
                <c:pt idx="158">
                  <c:v>24264235323750.559</c:v>
                </c:pt>
                <c:pt idx="159">
                  <c:v>24002999960141.992</c:v>
                </c:pt>
                <c:pt idx="160">
                  <c:v>23744762298046.105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vl1924e!$AA$3</c:f>
              <c:strCache>
                <c:ptCount val="1"/>
                <c:pt idx="0">
                  <c:v>6000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vl1924e!$AA$4:$AA$164</c:f>
              <c:numCache>
                <c:formatCode>0.00E+00</c:formatCode>
                <c:ptCount val="161"/>
                <c:pt idx="0">
                  <c:v>52027485168804.187</c:v>
                </c:pt>
                <c:pt idx="1">
                  <c:v>54609532527864.453</c:v>
                </c:pt>
                <c:pt idx="2">
                  <c:v>57154978473380.828</c:v>
                </c:pt>
                <c:pt idx="3">
                  <c:v>59656601952177.977</c:v>
                </c:pt>
                <c:pt idx="4">
                  <c:v>62107790062993.461</c:v>
                </c:pt>
                <c:pt idx="5">
                  <c:v>64502540349851.156</c:v>
                </c:pt>
                <c:pt idx="6">
                  <c:v>66835456276836.422</c:v>
                </c:pt>
                <c:pt idx="7">
                  <c:v>69101736888283.82</c:v>
                </c:pt>
                <c:pt idx="8">
                  <c:v>71297161593920.547</c:v>
                </c:pt>
                <c:pt idx="9">
                  <c:v>73418070946660.219</c:v>
                </c:pt>
                <c:pt idx="10">
                  <c:v>75461344204853.5</c:v>
                </c:pt>
                <c:pt idx="11">
                  <c:v>77424374393536.062</c:v>
                </c:pt>
                <c:pt idx="12">
                  <c:v>79305041502657.609</c:v>
                </c:pt>
                <c:pt idx="13">
                  <c:v>81101684385997.453</c:v>
                </c:pt>
                <c:pt idx="14">
                  <c:v>82813071853634.734</c:v>
                </c:pt>
                <c:pt idx="15">
                  <c:v>84438373384250.453</c:v>
                </c:pt>
                <c:pt idx="16">
                  <c:v>85977129821701.469</c:v>
                </c:pt>
                <c:pt idx="17">
                  <c:v>87429224363522.437</c:v>
                </c:pt>
                <c:pt idx="18">
                  <c:v>88794854097371.687</c:v>
                </c:pt>
                <c:pt idx="19">
                  <c:v>90074502294911.859</c:v>
                </c:pt>
                <c:pt idx="20">
                  <c:v>91268911631058.578</c:v>
                </c:pt>
                <c:pt idx="21">
                  <c:v>92379058459724.141</c:v>
                </c:pt>
                <c:pt idx="22">
                  <c:v>93406128244849.297</c:v>
                </c:pt>
                <c:pt idx="23">
                  <c:v>94351492217356.922</c:v>
                </c:pt>
                <c:pt idx="24">
                  <c:v>95216685304339.656</c:v>
                </c:pt>
                <c:pt idx="25">
                  <c:v>96003385355986.109</c:v>
                </c:pt>
                <c:pt idx="26">
                  <c:v>96713393678124.719</c:v>
                </c:pt>
                <c:pt idx="27">
                  <c:v>97348616863492.625</c:v>
                </c:pt>
                <c:pt idx="28">
                  <c:v>97911049902623.484</c:v>
                </c:pt>
                <c:pt idx="29">
                  <c:v>98402760545293.172</c:v>
                </c:pt>
                <c:pt idx="30">
                  <c:v>98825874875497.609</c:v>
                </c:pt>
                <c:pt idx="31">
                  <c:v>99182564056719.094</c:v>
                </c:pt>
                <c:pt idx="32">
                  <c:v>99475032199522.516</c:v>
                </c:pt>
                <c:pt idx="33">
                  <c:v>99705505300122.687</c:v>
                </c:pt>
                <c:pt idx="34">
                  <c:v>99876221196271.437</c:v>
                </c:pt>
                <c:pt idx="35">
                  <c:v>99989420485470.812</c:v>
                </c:pt>
                <c:pt idx="36">
                  <c:v>100047338349977.16</c:v>
                </c:pt>
                <c:pt idx="37">
                  <c:v>100052197233174.98</c:v>
                </c:pt>
                <c:pt idx="38">
                  <c:v>100006200312570.09</c:v>
                </c:pt>
                <c:pt idx="39">
                  <c:v>99911525715758.406</c:v>
                </c:pt>
                <c:pt idx="40">
                  <c:v>99770321427190.406</c:v>
                </c:pt>
                <c:pt idx="41">
                  <c:v>99584700835293.859</c:v>
                </c:pt>
                <c:pt idx="42">
                  <c:v>99356738871463.578</c:v>
                </c:pt>
                <c:pt idx="43">
                  <c:v>99088468694533.156</c:v>
                </c:pt>
                <c:pt idx="44">
                  <c:v>98781878876545.937</c:v>
                </c:pt>
                <c:pt idx="45">
                  <c:v>98438911047912.437</c:v>
                </c:pt>
                <c:pt idx="46">
                  <c:v>98061457962338.828</c:v>
                </c:pt>
                <c:pt idx="47">
                  <c:v>97651361944204.078</c:v>
                </c:pt>
                <c:pt idx="48">
                  <c:v>97210413683339.469</c:v>
                </c:pt>
                <c:pt idx="49">
                  <c:v>96740351344390.953</c:v>
                </c:pt>
                <c:pt idx="50">
                  <c:v>96242859960118.734</c:v>
                </c:pt>
                <c:pt idx="51">
                  <c:v>95719571080088.422</c:v>
                </c:pt>
                <c:pt idx="52">
                  <c:v>95172062648236.875</c:v>
                </c:pt>
                <c:pt idx="53">
                  <c:v>94601859084728.234</c:v>
                </c:pt>
                <c:pt idx="54">
                  <c:v>94010431549372.859</c:v>
                </c:pt>
                <c:pt idx="55">
                  <c:v>93399198365635.281</c:v>
                </c:pt>
                <c:pt idx="56">
                  <c:v>92769525585922.062</c:v>
                </c:pt>
                <c:pt idx="57">
                  <c:v>92122727680416.141</c:v>
                </c:pt>
                <c:pt idx="58">
                  <c:v>91460068333197.187</c:v>
                </c:pt>
                <c:pt idx="59">
                  <c:v>90782761330781.828</c:v>
                </c:pt>
                <c:pt idx="60">
                  <c:v>90091971529511.031</c:v>
                </c:pt>
                <c:pt idx="61">
                  <c:v>89388815889433.281</c:v>
                </c:pt>
                <c:pt idx="62">
                  <c:v>88674364563455.141</c:v>
                </c:pt>
                <c:pt idx="63">
                  <c:v>87949642031591.344</c:v>
                </c:pt>
                <c:pt idx="64">
                  <c:v>87215628271115.844</c:v>
                </c:pt>
                <c:pt idx="65">
                  <c:v>86473259954325.375</c:v>
                </c:pt>
                <c:pt idx="66">
                  <c:v>85723431666460.25</c:v>
                </c:pt>
                <c:pt idx="67">
                  <c:v>84966997137098.562</c:v>
                </c:pt>
                <c:pt idx="68">
                  <c:v>84204770479055.609</c:v>
                </c:pt>
                <c:pt idx="69">
                  <c:v>83437527429467.344</c:v>
                </c:pt>
                <c:pt idx="70">
                  <c:v>82666006588344.531</c:v>
                </c:pt>
                <c:pt idx="71">
                  <c:v>81890910650427.984</c:v>
                </c:pt>
                <c:pt idx="72">
                  <c:v>81112907626684.234</c:v>
                </c:pt>
                <c:pt idx="73">
                  <c:v>80332632052237.719</c:v>
                </c:pt>
                <c:pt idx="74">
                  <c:v>79550686177955.297</c:v>
                </c:pt>
                <c:pt idx="75">
                  <c:v>78767641143282.141</c:v>
                </c:pt>
                <c:pt idx="76">
                  <c:v>77984038128273.75</c:v>
                </c:pt>
                <c:pt idx="77">
                  <c:v>77200389483082.672</c:v>
                </c:pt>
                <c:pt idx="78">
                  <c:v>76417179833444.984</c:v>
                </c:pt>
                <c:pt idx="79">
                  <c:v>75634867160966.797</c:v>
                </c:pt>
                <c:pt idx="80">
                  <c:v>74853883857243.344</c:v>
                </c:pt>
                <c:pt idx="81">
                  <c:v>74074637751052.562</c:v>
                </c:pt>
                <c:pt idx="82">
                  <c:v>73297513108048.875</c:v>
                </c:pt>
                <c:pt idx="83">
                  <c:v>72522871602554.781</c:v>
                </c:pt>
                <c:pt idx="84">
                  <c:v>71751053261190.187</c:v>
                </c:pt>
                <c:pt idx="85">
                  <c:v>70982377378219.781</c:v>
                </c:pt>
                <c:pt idx="86">
                  <c:v>70217143402608.328</c:v>
                </c:pt>
                <c:pt idx="87">
                  <c:v>69455631796883.141</c:v>
                </c:pt>
                <c:pt idx="88">
                  <c:v>68698104867991.766</c:v>
                </c:pt>
                <c:pt idx="89">
                  <c:v>67944807570421.086</c:v>
                </c:pt>
                <c:pt idx="90">
                  <c:v>67195968281916.375</c:v>
                </c:pt>
                <c:pt idx="91">
                  <c:v>66451799552195.859</c:v>
                </c:pt>
                <c:pt idx="92">
                  <c:v>65712498825108.914</c:v>
                </c:pt>
                <c:pt idx="93">
                  <c:v>64978249134729.445</c:v>
                </c:pt>
                <c:pt idx="94">
                  <c:v>64249219775911.906</c:v>
                </c:pt>
                <c:pt idx="95">
                  <c:v>63525566949867.922</c:v>
                </c:pt>
                <c:pt idx="96">
                  <c:v>62807434385347.375</c:v>
                </c:pt>
                <c:pt idx="97">
                  <c:v>62094953936023.711</c:v>
                </c:pt>
                <c:pt idx="98">
                  <c:v>61388246154703.852</c:v>
                </c:pt>
                <c:pt idx="99">
                  <c:v>60687420844987.867</c:v>
                </c:pt>
                <c:pt idx="100">
                  <c:v>59992577591015.727</c:v>
                </c:pt>
                <c:pt idx="101">
                  <c:v>59303806265940.141</c:v>
                </c:pt>
                <c:pt idx="102">
                  <c:v>58621187519765.687</c:v>
                </c:pt>
                <c:pt idx="103">
                  <c:v>57944793247195.461</c:v>
                </c:pt>
                <c:pt idx="104">
                  <c:v>57274687036119.242</c:v>
                </c:pt>
                <c:pt idx="105">
                  <c:v>56610924597376.5</c:v>
                </c:pt>
                <c:pt idx="106">
                  <c:v>55953554176415.5</c:v>
                </c:pt>
                <c:pt idx="107">
                  <c:v>55302616947466.656</c:v>
                </c:pt>
                <c:pt idx="108">
                  <c:v>54658147390833.102</c:v>
                </c:pt>
                <c:pt idx="109">
                  <c:v>54020173653895.555</c:v>
                </c:pt>
                <c:pt idx="110">
                  <c:v>53388717896413.867</c:v>
                </c:pt>
                <c:pt idx="111">
                  <c:v>52763796620695.937</c:v>
                </c:pt>
                <c:pt idx="112">
                  <c:v>52145420987192.828</c:v>
                </c:pt>
                <c:pt idx="113">
                  <c:v>51533597116063.625</c:v>
                </c:pt>
                <c:pt idx="114">
                  <c:v>50928326375241.633</c:v>
                </c:pt>
                <c:pt idx="115">
                  <c:v>50329605655517.445</c:v>
                </c:pt>
                <c:pt idx="116">
                  <c:v>49737427633142.375</c:v>
                </c:pt>
                <c:pt idx="117">
                  <c:v>49151781020438.828</c:v>
                </c:pt>
                <c:pt idx="118">
                  <c:v>48572650804892.07</c:v>
                </c:pt>
                <c:pt idx="119">
                  <c:v>48000018477181.305</c:v>
                </c:pt>
                <c:pt idx="120">
                  <c:v>47433862248595.773</c:v>
                </c:pt>
                <c:pt idx="121">
                  <c:v>46874157258264.906</c:v>
                </c:pt>
                <c:pt idx="122">
                  <c:v>46320875770619.43</c:v>
                </c:pt>
                <c:pt idx="123">
                  <c:v>45773987363485.359</c:v>
                </c:pt>
                <c:pt idx="124">
                  <c:v>45233459107199.055</c:v>
                </c:pt>
                <c:pt idx="125">
                  <c:v>44699255735118.883</c:v>
                </c:pt>
                <c:pt idx="126">
                  <c:v>44171339805894.109</c:v>
                </c:pt>
                <c:pt idx="127">
                  <c:v>43649671857840.992</c:v>
                </c:pt>
                <c:pt idx="128">
                  <c:v>43134210555760.68</c:v>
                </c:pt>
                <c:pt idx="129">
                  <c:v>42624912830523.914</c:v>
                </c:pt>
                <c:pt idx="130">
                  <c:v>42121734011732.906</c:v>
                </c:pt>
                <c:pt idx="131">
                  <c:v>41624627953760.93</c:v>
                </c:pt>
                <c:pt idx="132">
                  <c:v>41133547155457.633</c:v>
                </c:pt>
                <c:pt idx="133">
                  <c:v>40648442873797.633</c:v>
                </c:pt>
                <c:pt idx="134">
                  <c:v>40169265231738.344</c:v>
                </c:pt>
                <c:pt idx="135">
                  <c:v>39695963320543.516</c:v>
                </c:pt>
                <c:pt idx="136">
                  <c:v>39228485296818.25</c:v>
                </c:pt>
                <c:pt idx="137">
                  <c:v>38766778474491.695</c:v>
                </c:pt>
                <c:pt idx="138">
                  <c:v>38310789411973.305</c:v>
                </c:pt>
                <c:pt idx="139">
                  <c:v>37860463994701.195</c:v>
                </c:pt>
                <c:pt idx="140">
                  <c:v>37415747513290.281</c:v>
                </c:pt>
                <c:pt idx="141">
                  <c:v>36976584737480.656</c:v>
                </c:pt>
                <c:pt idx="142">
                  <c:v>36542919986077.586</c:v>
                </c:pt>
                <c:pt idx="143">
                  <c:v>36114697193067.211</c:v>
                </c:pt>
                <c:pt idx="144">
                  <c:v>35691859970084.141</c:v>
                </c:pt>
                <c:pt idx="145">
                  <c:v>35274351665399.187</c:v>
                </c:pt>
                <c:pt idx="146">
                  <c:v>34862115419589.516</c:v>
                </c:pt>
                <c:pt idx="147">
                  <c:v>34455094218045.043</c:v>
                </c:pt>
                <c:pt idx="148">
                  <c:v>34053230940460.355</c:v>
                </c:pt>
                <c:pt idx="149">
                  <c:v>33656468407453.012</c:v>
                </c:pt>
                <c:pt idx="150">
                  <c:v>33264749424444.605</c:v>
                </c:pt>
                <c:pt idx="151">
                  <c:v>32878016822933.762</c:v>
                </c:pt>
                <c:pt idx="152">
                  <c:v>32496213499286.137</c:v>
                </c:pt>
                <c:pt idx="153">
                  <c:v>32119282451159.52</c:v>
                </c:pt>
                <c:pt idx="154">
                  <c:v>31747166811678.012</c:v>
                </c:pt>
                <c:pt idx="155">
                  <c:v>31379809881464.09</c:v>
                </c:pt>
                <c:pt idx="156">
                  <c:v>31017155158631.773</c:v>
                </c:pt>
                <c:pt idx="157">
                  <c:v>30659146366841.02</c:v>
                </c:pt>
                <c:pt idx="158">
                  <c:v>30305727481507.5</c:v>
                </c:pt>
                <c:pt idx="159">
                  <c:v>29956842754259.168</c:v>
                </c:pt>
                <c:pt idx="160">
                  <c:v>29612436735725.094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vl1924e!$AB$3</c:f>
              <c:strCache>
                <c:ptCount val="1"/>
                <c:pt idx="0">
                  <c:v>6500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vl1924e!$AB$4:$AB$164</c:f>
              <c:numCache>
                <c:formatCode>0.00E+00</c:formatCode>
                <c:ptCount val="161"/>
                <c:pt idx="0">
                  <c:v>96247032994619.953</c:v>
                </c:pt>
                <c:pt idx="1">
                  <c:v>100013769298600.48</c:v>
                </c:pt>
                <c:pt idx="2">
                  <c:v>103663174464480.03</c:v>
                </c:pt>
                <c:pt idx="3">
                  <c:v>107187375879080.14</c:v>
                </c:pt>
                <c:pt idx="4">
                  <c:v>110579646751742.47</c:v>
                </c:pt>
                <c:pt idx="5">
                  <c:v>113834354927527.72</c:v>
                </c:pt>
                <c:pt idx="6">
                  <c:v>116946906061797.91</c:v>
                </c:pt>
                <c:pt idx="7">
                  <c:v>119913682766229.47</c:v>
                </c:pt>
                <c:pt idx="8">
                  <c:v>122731981129149.11</c:v>
                </c:pt>
                <c:pt idx="9">
                  <c:v>125399945817443.7</c:v>
                </c:pt>
                <c:pt idx="10">
                  <c:v>127916504785454</c:v>
                </c:pt>
                <c:pt idx="11">
                  <c:v>130281304449516.75</c:v>
                </c:pt>
                <c:pt idx="12">
                  <c:v>132494646035780.86</c:v>
                </c:pt>
                <c:pt idx="13">
                  <c:v>134557423673609.39</c:v>
                </c:pt>
                <c:pt idx="14">
                  <c:v>136471064686898.22</c:v>
                </c:pt>
                <c:pt idx="15">
                  <c:v>138237472430311.92</c:v>
                </c:pt>
                <c:pt idx="16">
                  <c:v>139858971925861.56</c:v>
                </c:pt>
                <c:pt idx="17">
                  <c:v>141338258476418.28</c:v>
                </c:pt>
                <c:pt idx="18">
                  <c:v>142678349365579</c:v>
                </c:pt>
                <c:pt idx="19">
                  <c:v>143882538696684.34</c:v>
                </c:pt>
                <c:pt idx="20">
                  <c:v>144954355376631.12</c:v>
                </c:pt>
                <c:pt idx="21">
                  <c:v>145897524211382.75</c:v>
                </c:pt>
                <c:pt idx="22">
                  <c:v>146715930048753.19</c:v>
                </c:pt>
                <c:pt idx="23">
                  <c:v>147413584879194.19</c:v>
                </c:pt>
                <c:pt idx="24">
                  <c:v>147994597786102.34</c:v>
                </c:pt>
                <c:pt idx="25">
                  <c:v>148463147622776.06</c:v>
                </c:pt>
                <c:pt idx="26">
                  <c:v>148823458282910.62</c:v>
                </c:pt>
                <c:pt idx="27">
                  <c:v>149079776424761.66</c:v>
                </c:pt>
                <c:pt idx="28">
                  <c:v>149236351505285.59</c:v>
                </c:pt>
                <c:pt idx="29">
                  <c:v>149297417979173.5</c:v>
                </c:pt>
                <c:pt idx="30">
                  <c:v>149267179518288.94</c:v>
                </c:pt>
                <c:pt idx="31">
                  <c:v>149149795109232.94</c:v>
                </c:pt>
                <c:pt idx="32">
                  <c:v>148949366890246.19</c:v>
                </c:pt>
                <c:pt idx="33">
                  <c:v>148669929593137.25</c:v>
                </c:pt>
                <c:pt idx="34">
                  <c:v>148315441461166.12</c:v>
                </c:pt>
                <c:pt idx="35">
                  <c:v>147889776519587.34</c:v>
                </c:pt>
                <c:pt idx="36">
                  <c:v>147396718081715.16</c:v>
                </c:pt>
                <c:pt idx="37">
                  <c:v>146839953379749.69</c:v>
                </c:pt>
                <c:pt idx="38">
                  <c:v>146223069216093.91</c:v>
                </c:pt>
                <c:pt idx="39">
                  <c:v>145549548537391.12</c:v>
                </c:pt>
                <c:pt idx="40">
                  <c:v>144822767839937.06</c:v>
                </c:pt>
                <c:pt idx="41">
                  <c:v>144045995321426.41</c:v>
                </c:pt>
                <c:pt idx="42">
                  <c:v>143222389700099.16</c:v>
                </c:pt>
                <c:pt idx="43">
                  <c:v>142354999628257.53</c:v>
                </c:pt>
                <c:pt idx="44">
                  <c:v>141446763632771.91</c:v>
                </c:pt>
                <c:pt idx="45">
                  <c:v>140500510520574.75</c:v>
                </c:pt>
                <c:pt idx="46">
                  <c:v>139518960192259.16</c:v>
                </c:pt>
                <c:pt idx="47">
                  <c:v>138504724811707.31</c:v>
                </c:pt>
                <c:pt idx="48">
                  <c:v>137460310284226.84</c:v>
                </c:pt>
                <c:pt idx="49">
                  <c:v>136388117999908.08</c:v>
                </c:pt>
                <c:pt idx="50">
                  <c:v>135290446802902.87</c:v>
                </c:pt>
                <c:pt idx="51">
                  <c:v>134169495151015.95</c:v>
                </c:pt>
                <c:pt idx="52">
                  <c:v>133027363433441.64</c:v>
                </c:pt>
                <c:pt idx="53">
                  <c:v>131866056417659.98</c:v>
                </c:pt>
                <c:pt idx="54">
                  <c:v>130687485799452.33</c:v>
                </c:pt>
                <c:pt idx="55">
                  <c:v>129493472832707.52</c:v>
                </c:pt>
                <c:pt idx="56">
                  <c:v>128285751018182.83</c:v>
                </c:pt>
                <c:pt idx="57">
                  <c:v>127065968832682.27</c:v>
                </c:pt>
                <c:pt idx="58">
                  <c:v>125835692482203.48</c:v>
                </c:pt>
                <c:pt idx="59">
                  <c:v>124596408664532.14</c:v>
                </c:pt>
                <c:pt idx="60">
                  <c:v>123349527328503.53</c:v>
                </c:pt>
                <c:pt idx="61">
                  <c:v>122096384418752.69</c:v>
                </c:pt>
                <c:pt idx="62">
                  <c:v>120838244596214.05</c:v>
                </c:pt>
                <c:pt idx="63">
                  <c:v>119576303925951.22</c:v>
                </c:pt>
                <c:pt idx="64">
                  <c:v>118311692525078.08</c:v>
                </c:pt>
                <c:pt idx="65">
                  <c:v>117045477164611.67</c:v>
                </c:pt>
                <c:pt idx="66">
                  <c:v>115778663820058.73</c:v>
                </c:pt>
                <c:pt idx="67">
                  <c:v>114512200166408.47</c:v>
                </c:pt>
                <c:pt idx="68">
                  <c:v>113246978013984.67</c:v>
                </c:pt>
                <c:pt idx="69">
                  <c:v>111983835682304.12</c:v>
                </c:pt>
                <c:pt idx="70">
                  <c:v>110723560309714.86</c:v>
                </c:pt>
                <c:pt idx="71">
                  <c:v>109466890097137.31</c:v>
                </c:pt>
                <c:pt idx="72">
                  <c:v>108214516484726.12</c:v>
                </c:pt>
                <c:pt idx="73">
                  <c:v>106967086260701.87</c:v>
                </c:pt>
                <c:pt idx="74">
                  <c:v>105725203601988.09</c:v>
                </c:pt>
                <c:pt idx="75">
                  <c:v>104489432046619.58</c:v>
                </c:pt>
                <c:pt idx="76">
                  <c:v>103260296398188.42</c:v>
                </c:pt>
                <c:pt idx="77">
                  <c:v>102038284562842.5</c:v>
                </c:pt>
                <c:pt idx="78">
                  <c:v>100823849319575.47</c:v>
                </c:pt>
                <c:pt idx="79">
                  <c:v>99617410024734.922</c:v>
                </c:pt>
                <c:pt idx="80">
                  <c:v>98419354251837.234</c:v>
                </c:pt>
                <c:pt idx="81">
                  <c:v>97230039367911.734</c:v>
                </c:pt>
                <c:pt idx="82">
                  <c:v>96049794047711.859</c:v>
                </c:pt>
                <c:pt idx="83">
                  <c:v>94878919727222.781</c:v>
                </c:pt>
                <c:pt idx="84">
                  <c:v>93717691997969.656</c:v>
                </c:pt>
                <c:pt idx="85">
                  <c:v>92566361943690</c:v>
                </c:pt>
                <c:pt idx="86">
                  <c:v>91425157420978.922</c:v>
                </c:pt>
                <c:pt idx="87">
                  <c:v>90294284285545.031</c:v>
                </c:pt>
                <c:pt idx="88">
                  <c:v>89173927565740.531</c:v>
                </c:pt>
                <c:pt idx="89">
                  <c:v>88064252585033.547</c:v>
                </c:pt>
                <c:pt idx="90">
                  <c:v>86965406035100.797</c:v>
                </c:pt>
                <c:pt idx="91">
                  <c:v>85877517001205.703</c:v>
                </c:pt>
                <c:pt idx="92">
                  <c:v>84800697941522.719</c:v>
                </c:pt>
                <c:pt idx="93">
                  <c:v>83735045622045.922</c:v>
                </c:pt>
                <c:pt idx="94">
                  <c:v>82680642008701.578</c:v>
                </c:pt>
                <c:pt idx="95">
                  <c:v>81637555118256.859</c:v>
                </c:pt>
                <c:pt idx="96">
                  <c:v>80605839829587.187</c:v>
                </c:pt>
                <c:pt idx="97">
                  <c:v>79585538656833.453</c:v>
                </c:pt>
                <c:pt idx="98">
                  <c:v>78576682485944.5</c:v>
                </c:pt>
                <c:pt idx="99">
                  <c:v>77579291276065.266</c:v>
                </c:pt>
                <c:pt idx="100">
                  <c:v>76593374727189.812</c:v>
                </c:pt>
                <c:pt idx="101">
                  <c:v>75618932915463.937</c:v>
                </c:pt>
                <c:pt idx="102">
                  <c:v>74655956897477.047</c:v>
                </c:pt>
                <c:pt idx="103">
                  <c:v>73704429284846.375</c:v>
                </c:pt>
                <c:pt idx="104">
                  <c:v>72764324790352.922</c:v>
                </c:pt>
                <c:pt idx="105">
                  <c:v>71835610746849.937</c:v>
                </c:pt>
                <c:pt idx="106">
                  <c:v>70918247600121.328</c:v>
                </c:pt>
                <c:pt idx="107">
                  <c:v>70012189376829.922</c:v>
                </c:pt>
                <c:pt idx="108">
                  <c:v>69117384128651.477</c:v>
                </c:pt>
                <c:pt idx="109">
                  <c:v>68233774353655.344</c:v>
                </c:pt>
                <c:pt idx="110">
                  <c:v>67361297395948.953</c:v>
                </c:pt>
                <c:pt idx="111">
                  <c:v>66499885824568.617</c:v>
                </c:pt>
                <c:pt idx="112">
                  <c:v>65649467792559.992</c:v>
                </c:pt>
                <c:pt idx="113">
                  <c:v>64809967377154.602</c:v>
                </c:pt>
                <c:pt idx="114">
                  <c:v>63981304901914.836</c:v>
                </c:pt>
                <c:pt idx="115">
                  <c:v>63163397241681.898</c:v>
                </c:pt>
                <c:pt idx="116">
                  <c:v>62356158111131.937</c:v>
                </c:pt>
                <c:pt idx="117">
                  <c:v>61559498337706.711</c:v>
                </c:pt>
                <c:pt idx="118">
                  <c:v>60773326119659.625</c:v>
                </c:pt>
                <c:pt idx="119">
                  <c:v>59997547269921.383</c:v>
                </c:pt>
                <c:pt idx="120">
                  <c:v>59232065446464.086</c:v>
                </c:pt>
                <c:pt idx="121">
                  <c:v>58476782369810.398</c:v>
                </c:pt>
                <c:pt idx="122">
                  <c:v>57731598028308.734</c:v>
                </c:pt>
                <c:pt idx="123">
                  <c:v>56996410871766.992</c:v>
                </c:pt>
                <c:pt idx="124">
                  <c:v>56271117994012.602</c:v>
                </c:pt>
                <c:pt idx="125">
                  <c:v>55555615304920.32</c:v>
                </c:pt>
                <c:pt idx="126">
                  <c:v>54849797692426.852</c:v>
                </c:pt>
                <c:pt idx="127">
                  <c:v>54153559175026.125</c:v>
                </c:pt>
                <c:pt idx="128">
                  <c:v>53466793045218.711</c:v>
                </c:pt>
                <c:pt idx="129">
                  <c:v>52789392004366.375</c:v>
                </c:pt>
                <c:pt idx="130">
                  <c:v>52121248289382.414</c:v>
                </c:pt>
                <c:pt idx="131">
                  <c:v>51462253791669.031</c:v>
                </c:pt>
                <c:pt idx="132">
                  <c:v>50812300168693.492</c:v>
                </c:pt>
                <c:pt idx="133">
                  <c:v>50171278948577.891</c:v>
                </c:pt>
                <c:pt idx="134">
                  <c:v>49539081628057.789</c:v>
                </c:pt>
                <c:pt idx="135">
                  <c:v>48915599764151.039</c:v>
                </c:pt>
                <c:pt idx="136">
                  <c:v>48300725059860.125</c:v>
                </c:pt>
                <c:pt idx="137">
                  <c:v>47694349444217.234</c:v>
                </c:pt>
                <c:pt idx="138">
                  <c:v>47096365146965.312</c:v>
                </c:pt>
                <c:pt idx="139">
                  <c:v>46506664768156.859</c:v>
                </c:pt>
                <c:pt idx="140">
                  <c:v>45925141342935.781</c:v>
                </c:pt>
                <c:pt idx="141">
                  <c:v>45351688401757.977</c:v>
                </c:pt>
                <c:pt idx="142">
                  <c:v>44786200026290.617</c:v>
                </c:pt>
                <c:pt idx="143">
                  <c:v>44228570901222.562</c:v>
                </c:pt>
                <c:pt idx="144">
                  <c:v>43678696362203.359</c:v>
                </c:pt>
                <c:pt idx="145">
                  <c:v>43136472440120.187</c:v>
                </c:pt>
                <c:pt idx="146">
                  <c:v>42601795901911.023</c:v>
                </c:pt>
                <c:pt idx="147">
                  <c:v>42074564288102.047</c:v>
                </c:pt>
                <c:pt idx="148">
                  <c:v>41554675947249.781</c:v>
                </c:pt>
                <c:pt idx="149">
                  <c:v>41042030067457.594</c:v>
                </c:pt>
                <c:pt idx="150">
                  <c:v>40536526705129.648</c:v>
                </c:pt>
                <c:pt idx="151">
                  <c:v>40038066811115.297</c:v>
                </c:pt>
                <c:pt idx="152">
                  <c:v>39546552254391.766</c:v>
                </c:pt>
                <c:pt idx="153">
                  <c:v>39061885843423.445</c:v>
                </c:pt>
                <c:pt idx="154">
                  <c:v>38583971345330.344</c:v>
                </c:pt>
                <c:pt idx="155">
                  <c:v>38112713502991.609</c:v>
                </c:pt>
                <c:pt idx="156">
                  <c:v>37648018050202.758</c:v>
                </c:pt>
                <c:pt idx="157">
                  <c:v>37189791725000.797</c:v>
                </c:pt>
                <c:pt idx="158">
                  <c:v>36737942281264.211</c:v>
                </c:pt>
                <c:pt idx="159">
                  <c:v>36292378498690.328</c:v>
                </c:pt>
                <c:pt idx="160">
                  <c:v>35853010191246.555</c:v>
                </c:pt>
              </c:numCache>
            </c:numRef>
          </c:yVal>
          <c:smooth val="1"/>
        </c:ser>
        <c:axId val="74146944"/>
        <c:axId val="74148480"/>
      </c:scatterChart>
      <c:valAx>
        <c:axId val="7414694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4148480"/>
        <c:crosses val="autoZero"/>
        <c:crossBetween val="midCat"/>
      </c:valAx>
      <c:valAx>
        <c:axId val="74148480"/>
        <c:scaling>
          <c:orientation val="minMax"/>
        </c:scaling>
        <c:axPos val="l"/>
        <c:majorGridlines/>
        <c:numFmt formatCode="0.00E+00" sourceLinked="1"/>
        <c:tickLblPos val="nextTo"/>
        <c:crossAx val="741469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vl1924e!$AD$3</c:f>
              <c:strCache>
                <c:ptCount val="1"/>
                <c:pt idx="0">
                  <c:v>1500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vl1924e!$AD$4:$AD$164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20.088557073012332</c:v>
                </c:pt>
                <c:pt idx="17">
                  <c:v>42.859361650333575</c:v>
                </c:pt>
                <c:pt idx="18">
                  <c:v>103.69179511625988</c:v>
                </c:pt>
                <c:pt idx="19">
                  <c:v>240.19581158891526</c:v>
                </c:pt>
                <c:pt idx="20">
                  <c:v>557.5852428869573</c:v>
                </c:pt>
                <c:pt idx="21">
                  <c:v>1138.6515252804461</c:v>
                </c:pt>
                <c:pt idx="22">
                  <c:v>2702.6271887115545</c:v>
                </c:pt>
                <c:pt idx="23">
                  <c:v>6075.0189546823322</c:v>
                </c:pt>
                <c:pt idx="24">
                  <c:v>13824.26906058213</c:v>
                </c:pt>
                <c:pt idx="25">
                  <c:v>31109.437979353948</c:v>
                </c:pt>
                <c:pt idx="26">
                  <c:v>60617.967644010874</c:v>
                </c:pt>
                <c:pt idx="27">
                  <c:v>107332.96541282145</c:v>
                </c:pt>
                <c:pt idx="28">
                  <c:v>177878.19976616607</c:v>
                </c:pt>
                <c:pt idx="29">
                  <c:v>278259.50777549465</c:v>
                </c:pt>
                <c:pt idx="30">
                  <c:v>426350.19104360888</c:v>
                </c:pt>
                <c:pt idx="31">
                  <c:v>644103.04038638051</c:v>
                </c:pt>
                <c:pt idx="32">
                  <c:v>958622.06383031537</c:v>
                </c:pt>
                <c:pt idx="33">
                  <c:v>1399713.4797400511</c:v>
                </c:pt>
                <c:pt idx="34">
                  <c:v>2034316.2402543919</c:v>
                </c:pt>
                <c:pt idx="35">
                  <c:v>2960248.3838748932</c:v>
                </c:pt>
                <c:pt idx="36">
                  <c:v>4280369.1785430685</c:v>
                </c:pt>
                <c:pt idx="37">
                  <c:v>6081730.3923029434</c:v>
                </c:pt>
                <c:pt idx="38">
                  <c:v>8686532.8205774613</c:v>
                </c:pt>
                <c:pt idx="39">
                  <c:v>12508251.654944589</c:v>
                </c:pt>
                <c:pt idx="40">
                  <c:v>18034389.712586746</c:v>
                </c:pt>
                <c:pt idx="41">
                  <c:v>26163443.404247344</c:v>
                </c:pt>
                <c:pt idx="42">
                  <c:v>37053181.06860856</c:v>
                </c:pt>
                <c:pt idx="43">
                  <c:v>51217616.754246742</c:v>
                </c:pt>
                <c:pt idx="44">
                  <c:v>68143810.34939526</c:v>
                </c:pt>
                <c:pt idx="45">
                  <c:v>86509782.165952578</c:v>
                </c:pt>
                <c:pt idx="46">
                  <c:v>106527486.56244311</c:v>
                </c:pt>
                <c:pt idx="47">
                  <c:v>127752769.43449058</c:v>
                </c:pt>
                <c:pt idx="48">
                  <c:v>150128867.10842294</c:v>
                </c:pt>
                <c:pt idx="49">
                  <c:v>173393799.97899836</c:v>
                </c:pt>
                <c:pt idx="50">
                  <c:v>197301574.94656283</c:v>
                </c:pt>
                <c:pt idx="51">
                  <c:v>221774446.33519736</c:v>
                </c:pt>
                <c:pt idx="52">
                  <c:v>246192366.54347393</c:v>
                </c:pt>
                <c:pt idx="53">
                  <c:v>269515482.13097334</c:v>
                </c:pt>
                <c:pt idx="54">
                  <c:v>291177375.86581326</c:v>
                </c:pt>
                <c:pt idx="55">
                  <c:v>310253068.90992463</c:v>
                </c:pt>
                <c:pt idx="56">
                  <c:v>326044929.27683419</c:v>
                </c:pt>
                <c:pt idx="57">
                  <c:v>337562978.79038239</c:v>
                </c:pt>
                <c:pt idx="58">
                  <c:v>344719540.14174855</c:v>
                </c:pt>
                <c:pt idx="59">
                  <c:v>347775581.97819853</c:v>
                </c:pt>
                <c:pt idx="60">
                  <c:v>346399594.52957386</c:v>
                </c:pt>
                <c:pt idx="61">
                  <c:v>340671309.53567243</c:v>
                </c:pt>
                <c:pt idx="62">
                  <c:v>330399284.6020472</c:v>
                </c:pt>
                <c:pt idx="63">
                  <c:v>316155123.90005898</c:v>
                </c:pt>
                <c:pt idx="64">
                  <c:v>297324951.54906183</c:v>
                </c:pt>
                <c:pt idx="65">
                  <c:v>272345567.75981438</c:v>
                </c:pt>
                <c:pt idx="66">
                  <c:v>244037096.15945256</c:v>
                </c:pt>
                <c:pt idx="67">
                  <c:v>216554971.03375611</c:v>
                </c:pt>
                <c:pt idx="68">
                  <c:v>188958334.98684883</c:v>
                </c:pt>
                <c:pt idx="69">
                  <c:v>161210596.39722762</c:v>
                </c:pt>
                <c:pt idx="70">
                  <c:v>134642169.69560391</c:v>
                </c:pt>
                <c:pt idx="71">
                  <c:v>110603606.14178263</c:v>
                </c:pt>
                <c:pt idx="72">
                  <c:v>88935688.99318172</c:v>
                </c:pt>
                <c:pt idx="73">
                  <c:v>69815769.577883318</c:v>
                </c:pt>
                <c:pt idx="74">
                  <c:v>53758252.118055277</c:v>
                </c:pt>
                <c:pt idx="75">
                  <c:v>41753532.694738396</c:v>
                </c:pt>
                <c:pt idx="76">
                  <c:v>32734530.687368564</c:v>
                </c:pt>
                <c:pt idx="77">
                  <c:v>24526770.669476781</c:v>
                </c:pt>
                <c:pt idx="78">
                  <c:v>18029423.677912474</c:v>
                </c:pt>
                <c:pt idx="79">
                  <c:v>13397290.565126155</c:v>
                </c:pt>
                <c:pt idx="80">
                  <c:v>10224341.658469122</c:v>
                </c:pt>
                <c:pt idx="81">
                  <c:v>7764420.7451460278</c:v>
                </c:pt>
                <c:pt idx="82">
                  <c:v>5888551.8545004055</c:v>
                </c:pt>
                <c:pt idx="83">
                  <c:v>4434849.4422438992</c:v>
                </c:pt>
                <c:pt idx="84">
                  <c:v>3316794.1683846307</c:v>
                </c:pt>
                <c:pt idx="85">
                  <c:v>2482430.4542922257</c:v>
                </c:pt>
                <c:pt idx="86">
                  <c:v>1845350.8317977746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vl1924e!$AE$3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vl1924e!$AE$4:$AE$164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11053.971962030277</c:v>
                </c:pt>
                <c:pt idx="17">
                  <c:v>21728.187553530577</c:v>
                </c:pt>
                <c:pt idx="18">
                  <c:v>48533.654528103441</c:v>
                </c:pt>
                <c:pt idx="19">
                  <c:v>104007.05145443417</c:v>
                </c:pt>
                <c:pt idx="20">
                  <c:v>223796.04644069637</c:v>
                </c:pt>
                <c:pt idx="21">
                  <c:v>424413.7931178924</c:v>
                </c:pt>
                <c:pt idx="22">
                  <c:v>937187.05420940998</c:v>
                </c:pt>
                <c:pt idx="23">
                  <c:v>1963291.9505828307</c:v>
                </c:pt>
                <c:pt idx="24">
                  <c:v>4170663.7440787046</c:v>
                </c:pt>
                <c:pt idx="25">
                  <c:v>8775741.8288332168</c:v>
                </c:pt>
                <c:pt idx="26">
                  <c:v>16014011.006133234</c:v>
                </c:pt>
                <c:pt idx="27">
                  <c:v>26594630.942899652</c:v>
                </c:pt>
                <c:pt idx="28">
                  <c:v>41397902.228482597</c:v>
                </c:pt>
                <c:pt idx="29">
                  <c:v>60913246.341534972</c:v>
                </c:pt>
                <c:pt idx="30">
                  <c:v>87907371.683426157</c:v>
                </c:pt>
                <c:pt idx="31">
                  <c:v>125251454.22010359</c:v>
                </c:pt>
                <c:pt idx="32">
                  <c:v>176033896.00341046</c:v>
                </c:pt>
                <c:pt idx="33">
                  <c:v>243021391.11438468</c:v>
                </c:pt>
                <c:pt idx="34">
                  <c:v>334347630.98224467</c:v>
                </c:pt>
                <c:pt idx="35">
                  <c:v>461088145.95152402</c:v>
                </c:pt>
                <c:pt idx="36">
                  <c:v>632555989.07439482</c:v>
                </c:pt>
                <c:pt idx="37">
                  <c:v>853645858.8944639</c:v>
                </c:pt>
                <c:pt idx="38">
                  <c:v>1159274668.1473732</c:v>
                </c:pt>
                <c:pt idx="39">
                  <c:v>1588797114.8758066</c:v>
                </c:pt>
                <c:pt idx="40">
                  <c:v>2182401236.7695231</c:v>
                </c:pt>
                <c:pt idx="41">
                  <c:v>3019298000.418468</c:v>
                </c:pt>
                <c:pt idx="42">
                  <c:v>4081491210.4101448</c:v>
                </c:pt>
                <c:pt idx="43">
                  <c:v>5389985599.5075121</c:v>
                </c:pt>
                <c:pt idx="44">
                  <c:v>6857262642.5764599</c:v>
                </c:pt>
                <c:pt idx="45">
                  <c:v>8331363553.2417746</c:v>
                </c:pt>
                <c:pt idx="46">
                  <c:v>9826501644.0845528</c:v>
                </c:pt>
                <c:pt idx="47">
                  <c:v>11296496022.712528</c:v>
                </c:pt>
                <c:pt idx="48">
                  <c:v>12735438332.20635</c:v>
                </c:pt>
                <c:pt idx="49">
                  <c:v>14121805813.884487</c:v>
                </c:pt>
                <c:pt idx="50">
                  <c:v>15438884087.608582</c:v>
                </c:pt>
                <c:pt idx="51">
                  <c:v>16685474098.564188</c:v>
                </c:pt>
                <c:pt idx="52">
                  <c:v>17821651605.364506</c:v>
                </c:pt>
                <c:pt idx="53">
                  <c:v>18784513128.909893</c:v>
                </c:pt>
                <c:pt idx="54">
                  <c:v>19552642031.448711</c:v>
                </c:pt>
                <c:pt idx="55">
                  <c:v>20085225432.489124</c:v>
                </c:pt>
                <c:pt idx="56">
                  <c:v>20362205362.760967</c:v>
                </c:pt>
                <c:pt idx="57">
                  <c:v>20349597558.495647</c:v>
                </c:pt>
                <c:pt idx="58">
                  <c:v>20071540037.815849</c:v>
                </c:pt>
                <c:pt idx="59">
                  <c:v>19569567743.472759</c:v>
                </c:pt>
                <c:pt idx="60">
                  <c:v>18848383494.600056</c:v>
                </c:pt>
                <c:pt idx="61">
                  <c:v>17934446960.582008</c:v>
                </c:pt>
                <c:pt idx="62">
                  <c:v>16837685836.497536</c:v>
                </c:pt>
                <c:pt idx="63">
                  <c:v>15605002739.560474</c:v>
                </c:pt>
                <c:pt idx="64">
                  <c:v>14221296757.83004</c:v>
                </c:pt>
                <c:pt idx="65">
                  <c:v>12629637850.005392</c:v>
                </c:pt>
                <c:pt idx="66">
                  <c:v>10977476164.520866</c:v>
                </c:pt>
                <c:pt idx="67">
                  <c:v>9453642356.6848488</c:v>
                </c:pt>
                <c:pt idx="68">
                  <c:v>8009120542.4416313</c:v>
                </c:pt>
                <c:pt idx="69">
                  <c:v>6637412488.2172852</c:v>
                </c:pt>
                <c:pt idx="70">
                  <c:v>5387246784.5888205</c:v>
                </c:pt>
                <c:pt idx="71">
                  <c:v>4302543386.6792784</c:v>
                </c:pt>
                <c:pt idx="72">
                  <c:v>3365019588.6287217</c:v>
                </c:pt>
                <c:pt idx="73">
                  <c:v>2570406288.1535611</c:v>
                </c:pt>
                <c:pt idx="74">
                  <c:v>1926669516.0098035</c:v>
                </c:pt>
                <c:pt idx="75">
                  <c:v>1457277765.9752398</c:v>
                </c:pt>
                <c:pt idx="76">
                  <c:v>1113042188.6723642</c:v>
                </c:pt>
                <c:pt idx="77">
                  <c:v>812770505.76559675</c:v>
                </c:pt>
                <c:pt idx="78">
                  <c:v>582496784.34341657</c:v>
                </c:pt>
                <c:pt idx="79">
                  <c:v>422154436.72609383</c:v>
                </c:pt>
                <c:pt idx="80">
                  <c:v>314331282.83710611</c:v>
                </c:pt>
                <c:pt idx="81">
                  <c:v>232975933.9789418</c:v>
                </c:pt>
                <c:pt idx="82">
                  <c:v>172507875.40568483</c:v>
                </c:pt>
                <c:pt idx="83">
                  <c:v>126888798.31577823</c:v>
                </c:pt>
                <c:pt idx="84">
                  <c:v>92714879.109493032</c:v>
                </c:pt>
                <c:pt idx="85">
                  <c:v>67816301.746068448</c:v>
                </c:pt>
                <c:pt idx="86">
                  <c:v>49283185.93558009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vl1924e!$AF$3</c:f>
              <c:strCache>
                <c:ptCount val="1"/>
                <c:pt idx="0">
                  <c:v>2500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vl1924e!$AF$4:$AF$164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487371.62268818315</c:v>
                </c:pt>
                <c:pt idx="17">
                  <c:v>912032.50670641044</c:v>
                </c:pt>
                <c:pt idx="18">
                  <c:v>1941879.6829295587</c:v>
                </c:pt>
                <c:pt idx="19">
                  <c:v>3971562.4222865598</c:v>
                </c:pt>
                <c:pt idx="20">
                  <c:v>8165397.4291985724</c:v>
                </c:pt>
                <c:pt idx="21">
                  <c:v>14812520.467836803</c:v>
                </c:pt>
                <c:pt idx="22">
                  <c:v>31322087.317040004</c:v>
                </c:pt>
                <c:pt idx="23">
                  <c:v>62899562.813417561</c:v>
                </c:pt>
                <c:pt idx="24">
                  <c:v>128216358.10581619</c:v>
                </c:pt>
                <c:pt idx="25">
                  <c:v>259131006.91143644</c:v>
                </c:pt>
                <c:pt idx="26">
                  <c:v>454611067.45697874</c:v>
                </c:pt>
                <c:pt idx="27">
                  <c:v>726492618.49142718</c:v>
                </c:pt>
                <c:pt idx="28">
                  <c:v>1089162176.9985952</c:v>
                </c:pt>
                <c:pt idx="29">
                  <c:v>1544791137.670682</c:v>
                </c:pt>
                <c:pt idx="30">
                  <c:v>2150709376.6155782</c:v>
                </c:pt>
                <c:pt idx="31">
                  <c:v>2958561042.6235199</c:v>
                </c:pt>
                <c:pt idx="32">
                  <c:v>4017603908.41746</c:v>
                </c:pt>
                <c:pt idx="33">
                  <c:v>5363019990.1634407</c:v>
                </c:pt>
                <c:pt idx="34">
                  <c:v>7139504203.0395756</c:v>
                </c:pt>
                <c:pt idx="35">
                  <c:v>9533659408.6538105</c:v>
                </c:pt>
                <c:pt idx="36">
                  <c:v>12672785949.316734</c:v>
                </c:pt>
                <c:pt idx="37">
                  <c:v>16581769828.310987</c:v>
                </c:pt>
                <c:pt idx="38">
                  <c:v>21847081379.179394</c:v>
                </c:pt>
                <c:pt idx="39">
                  <c:v>29066656664.361069</c:v>
                </c:pt>
                <c:pt idx="40">
                  <c:v>38782736762.708046</c:v>
                </c:pt>
                <c:pt idx="41">
                  <c:v>52147927870.8675</c:v>
                </c:pt>
                <c:pt idx="42">
                  <c:v>68551951912.220383</c:v>
                </c:pt>
                <c:pt idx="43">
                  <c:v>88083394651.202301</c:v>
                </c:pt>
                <c:pt idx="44">
                  <c:v>109091649051.78926</c:v>
                </c:pt>
                <c:pt idx="45">
                  <c:v>129096172329.93823</c:v>
                </c:pt>
                <c:pt idx="46">
                  <c:v>148377741011.19037</c:v>
                </c:pt>
                <c:pt idx="47">
                  <c:v>166301458599.26697</c:v>
                </c:pt>
                <c:pt idx="48">
                  <c:v>182874349231.112</c:v>
                </c:pt>
                <c:pt idx="49">
                  <c:v>197885613924.26056</c:v>
                </c:pt>
                <c:pt idx="50">
                  <c:v>211211750632.92841</c:v>
                </c:pt>
                <c:pt idx="51">
                  <c:v>222949643430.2843</c:v>
                </c:pt>
                <c:pt idx="52">
                  <c:v>232683235829.04184</c:v>
                </c:pt>
                <c:pt idx="53">
                  <c:v>239741935948.44897</c:v>
                </c:pt>
                <c:pt idx="54">
                  <c:v>244033675638.09412</c:v>
                </c:pt>
                <c:pt idx="55">
                  <c:v>245239308499.703</c:v>
                </c:pt>
                <c:pt idx="56">
                  <c:v>243316578299.36072</c:v>
                </c:pt>
                <c:pt idx="57">
                  <c:v>238065505170.36911</c:v>
                </c:pt>
                <c:pt idx="58">
                  <c:v>229970051491.77209</c:v>
                </c:pt>
                <c:pt idx="59">
                  <c:v>219671647803.47897</c:v>
                </c:pt>
                <c:pt idx="60">
                  <c:v>207356437998.76367</c:v>
                </c:pt>
                <c:pt idx="61">
                  <c:v>193431331711.32318</c:v>
                </c:pt>
                <c:pt idx="62">
                  <c:v>178097523403.0018</c:v>
                </c:pt>
                <c:pt idx="63">
                  <c:v>161924947136.24289</c:v>
                </c:pt>
                <c:pt idx="64">
                  <c:v>144809820849.19635</c:v>
                </c:pt>
                <c:pt idx="65">
                  <c:v>126237930163.58667</c:v>
                </c:pt>
                <c:pt idx="66">
                  <c:v>107738209216.01944</c:v>
                </c:pt>
                <c:pt idx="67">
                  <c:v>91129673587.328918</c:v>
                </c:pt>
                <c:pt idx="68">
                  <c:v>75850956947.453171</c:v>
                </c:pt>
                <c:pt idx="69">
                  <c:v>61774606720.751129</c:v>
                </c:pt>
                <c:pt idx="70">
                  <c:v>49286685479.35585</c:v>
                </c:pt>
                <c:pt idx="71">
                  <c:v>38703791851.505959</c:v>
                </c:pt>
                <c:pt idx="72">
                  <c:v>29770953322.495827</c:v>
                </c:pt>
                <c:pt idx="73">
                  <c:v>22371375090.553303</c:v>
                </c:pt>
                <c:pt idx="74">
                  <c:v>16500242759.789301</c:v>
                </c:pt>
                <c:pt idx="75">
                  <c:v>12283488928.264572</c:v>
                </c:pt>
                <c:pt idx="76">
                  <c:v>9236110518.471962</c:v>
                </c:pt>
                <c:pt idx="77">
                  <c:v>6641147243.7240038</c:v>
                </c:pt>
                <c:pt idx="78">
                  <c:v>4687743225.5656834</c:v>
                </c:pt>
                <c:pt idx="79">
                  <c:v>3346817928.5440812</c:v>
                </c:pt>
                <c:pt idx="80">
                  <c:v>2455455597.3962717</c:v>
                </c:pt>
                <c:pt idx="81">
                  <c:v>1793620766.1755834</c:v>
                </c:pt>
                <c:pt idx="82">
                  <c:v>1309160767.9606462</c:v>
                </c:pt>
                <c:pt idx="83">
                  <c:v>949422196.42038321</c:v>
                </c:pt>
                <c:pt idx="84">
                  <c:v>684105854.69988275</c:v>
                </c:pt>
                <c:pt idx="85">
                  <c:v>493548366.48033732</c:v>
                </c:pt>
                <c:pt idx="86">
                  <c:v>353833047.97569412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vl1924e!$AG$3</c:f>
              <c:strCache>
                <c:ptCount val="1"/>
                <c:pt idx="0">
                  <c:v>3000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vl1924e!$AG$4:$AG$164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6082602.0395233538</c:v>
                </c:pt>
                <c:pt idx="17">
                  <c:v>11015468.870151697</c:v>
                </c:pt>
                <c:pt idx="18">
                  <c:v>22716612.489500366</c:v>
                </c:pt>
                <c:pt idx="19">
                  <c:v>45036273.150853507</c:v>
                </c:pt>
                <c:pt idx="20">
                  <c:v>89824794.320442468</c:v>
                </c:pt>
                <c:pt idx="21">
                  <c:v>158194454.91319782</c:v>
                </c:pt>
                <c:pt idx="22">
                  <c:v>324990009.88164139</c:v>
                </c:pt>
                <c:pt idx="23">
                  <c:v>634492170.33614063</c:v>
                </c:pt>
                <c:pt idx="24">
                  <c:v>1258267315.0842309</c:v>
                </c:pt>
                <c:pt idx="25">
                  <c:v>2475602601.9287834</c:v>
                </c:pt>
                <c:pt idx="26">
                  <c:v>4230630047.4373398</c:v>
                </c:pt>
                <c:pt idx="27">
                  <c:v>6589642054.6997356</c:v>
                </c:pt>
                <c:pt idx="28">
                  <c:v>9634782008.6300831</c:v>
                </c:pt>
                <c:pt idx="29">
                  <c:v>13334675726.652962</c:v>
                </c:pt>
                <c:pt idx="30">
                  <c:v>18125677385.527153</c:v>
                </c:pt>
                <c:pt idx="31">
                  <c:v>24356875258.032421</c:v>
                </c:pt>
                <c:pt idx="32">
                  <c:v>32326443040.982849</c:v>
                </c:pt>
                <c:pt idx="33">
                  <c:v>42195302219.585609</c:v>
                </c:pt>
                <c:pt idx="34">
                  <c:v>54953317738.959549</c:v>
                </c:pt>
                <c:pt idx="35">
                  <c:v>71821989927.523041</c:v>
                </c:pt>
                <c:pt idx="36">
                  <c:v>93483794949.672211</c:v>
                </c:pt>
                <c:pt idx="37">
                  <c:v>119825718927.09389</c:v>
                </c:pt>
                <c:pt idx="38">
                  <c:v>154721350566.47647</c:v>
                </c:pt>
                <c:pt idx="39">
                  <c:v>201821194051.33017</c:v>
                </c:pt>
                <c:pt idx="40">
                  <c:v>264117341508.32004</c:v>
                </c:pt>
                <c:pt idx="41">
                  <c:v>348456930520.70483</c:v>
                </c:pt>
                <c:pt idx="42">
                  <c:v>449621820763.052</c:v>
                </c:pt>
                <c:pt idx="43">
                  <c:v>567275880214.13953</c:v>
                </c:pt>
                <c:pt idx="44">
                  <c:v>690108212516.27734</c:v>
                </c:pt>
                <c:pt idx="45">
                  <c:v>802440453011.24805</c:v>
                </c:pt>
                <c:pt idx="46">
                  <c:v>906538231620.38245</c:v>
                </c:pt>
                <c:pt idx="47">
                  <c:v>999013788541.74377</c:v>
                </c:pt>
                <c:pt idx="48">
                  <c:v>1080494419175.8754</c:v>
                </c:pt>
                <c:pt idx="49">
                  <c:v>1150299120431.0376</c:v>
                </c:pt>
                <c:pt idx="50">
                  <c:v>1208287808125.3621</c:v>
                </c:pt>
                <c:pt idx="51">
                  <c:v>1255568187941.3845</c:v>
                </c:pt>
                <c:pt idx="52">
                  <c:v>1290333366655.9258</c:v>
                </c:pt>
                <c:pt idx="53">
                  <c:v>1309492555995.7693</c:v>
                </c:pt>
                <c:pt idx="54">
                  <c:v>1313248001884.3784</c:v>
                </c:pt>
                <c:pt idx="55">
                  <c:v>1300582170666.3157</c:v>
                </c:pt>
                <c:pt idx="56">
                  <c:v>1271979182601.7026</c:v>
                </c:pt>
                <c:pt idx="57">
                  <c:v>1227078731508.6689</c:v>
                </c:pt>
                <c:pt idx="58">
                  <c:v>1169012755070.3328</c:v>
                </c:pt>
                <c:pt idx="59">
                  <c:v>1101528476759.1707</c:v>
                </c:pt>
                <c:pt idx="60">
                  <c:v>1025916973172.3575</c:v>
                </c:pt>
                <c:pt idx="61">
                  <c:v>944476714971.77478</c:v>
                </c:pt>
                <c:pt idx="62">
                  <c:v>858393589422.36938</c:v>
                </c:pt>
                <c:pt idx="63">
                  <c:v>770546095924.95947</c:v>
                </c:pt>
                <c:pt idx="64">
                  <c:v>680501462448.69055</c:v>
                </c:pt>
                <c:pt idx="65">
                  <c:v>585942321925.96057</c:v>
                </c:pt>
                <c:pt idx="66">
                  <c:v>494031234916.47388</c:v>
                </c:pt>
                <c:pt idx="67">
                  <c:v>412902784411.55841</c:v>
                </c:pt>
                <c:pt idx="68">
                  <c:v>339651976906.99548</c:v>
                </c:pt>
                <c:pt idx="69">
                  <c:v>273431167405.60046</c:v>
                </c:pt>
                <c:pt idx="70">
                  <c:v>215680369294.81479</c:v>
                </c:pt>
                <c:pt idx="71">
                  <c:v>167476455749.20358</c:v>
                </c:pt>
                <c:pt idx="72">
                  <c:v>127405088527.71942</c:v>
                </c:pt>
                <c:pt idx="73">
                  <c:v>94700741178.047363</c:v>
                </c:pt>
                <c:pt idx="74">
                  <c:v>69101736888.283829</c:v>
                </c:pt>
                <c:pt idx="75">
                  <c:v>50901197189.434746</c:v>
                </c:pt>
                <c:pt idx="76">
                  <c:v>37876617096.770294</c:v>
                </c:pt>
                <c:pt idx="77">
                  <c:v>26956758934.795063</c:v>
                </c:pt>
                <c:pt idx="78">
                  <c:v>18836323827.252514</c:v>
                </c:pt>
                <c:pt idx="79">
                  <c:v>13314843281.836323</c:v>
                </c:pt>
                <c:pt idx="80">
                  <c:v>9673201060.2596569</c:v>
                </c:pt>
                <c:pt idx="81">
                  <c:v>6997841701.7244244</c:v>
                </c:pt>
                <c:pt idx="82">
                  <c:v>5059198964.2776222</c:v>
                </c:pt>
                <c:pt idx="83">
                  <c:v>3634646077.4650373</c:v>
                </c:pt>
                <c:pt idx="84">
                  <c:v>2594761826.6650786</c:v>
                </c:pt>
                <c:pt idx="85">
                  <c:v>1854947655.1863942</c:v>
                </c:pt>
                <c:pt idx="86">
                  <c:v>1317902371.2724586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vl1924e!$AH$3</c:f>
              <c:strCache>
                <c:ptCount val="1"/>
                <c:pt idx="0">
                  <c:v>3500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vl1924e!$AH$4:$AH$164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36907664.26129289</c:v>
                </c:pt>
                <c:pt idx="17">
                  <c:v>65292321.947104856</c:v>
                </c:pt>
                <c:pt idx="18">
                  <c:v>131612012.10833043</c:v>
                </c:pt>
                <c:pt idx="19">
                  <c:v>255186802.12002888</c:v>
                </c:pt>
                <c:pt idx="20">
                  <c:v>498055084.78493834</c:v>
                </c:pt>
                <c:pt idx="21">
                  <c:v>858796822.02426541</c:v>
                </c:pt>
                <c:pt idx="22">
                  <c:v>1728269066.0559101</c:v>
                </c:pt>
                <c:pt idx="23">
                  <c:v>3306936446.0632515</c:v>
                </c:pt>
                <c:pt idx="24">
                  <c:v>6430416380.7323523</c:v>
                </c:pt>
                <c:pt idx="25">
                  <c:v>12411227449.277388</c:v>
                </c:pt>
                <c:pt idx="26">
                  <c:v>20816154830.454254</c:v>
                </c:pt>
                <c:pt idx="27">
                  <c:v>31835105933.395905</c:v>
                </c:pt>
                <c:pt idx="28">
                  <c:v>45721068693.401146</c:v>
                </c:pt>
                <c:pt idx="29">
                  <c:v>62181594406.10833</c:v>
                </c:pt>
                <c:pt idx="30">
                  <c:v>83089788530.908066</c:v>
                </c:pt>
                <c:pt idx="31">
                  <c:v>109802578043.90477</c:v>
                </c:pt>
                <c:pt idx="32">
                  <c:v>143365506945.09308</c:v>
                </c:pt>
                <c:pt idx="33">
                  <c:v>184161902615.22858</c:v>
                </c:pt>
                <c:pt idx="34">
                  <c:v>236116766973.82751</c:v>
                </c:pt>
                <c:pt idx="35">
                  <c:v>303900338800.49725</c:v>
                </c:pt>
                <c:pt idx="36">
                  <c:v>389663816101.92688</c:v>
                </c:pt>
                <c:pt idx="37">
                  <c:v>492173987148.33691</c:v>
                </c:pt>
                <c:pt idx="38">
                  <c:v>626418383914.15674</c:v>
                </c:pt>
                <c:pt idx="39">
                  <c:v>805663110865.25623</c:v>
                </c:pt>
                <c:pt idx="40">
                  <c:v>1039870193179.2755</c:v>
                </c:pt>
                <c:pt idx="41">
                  <c:v>1353462528802.2109</c:v>
                </c:pt>
                <c:pt idx="42">
                  <c:v>1723357388992.1487</c:v>
                </c:pt>
                <c:pt idx="43">
                  <c:v>2146177806385.6221</c:v>
                </c:pt>
                <c:pt idx="44">
                  <c:v>2577753191945.9932</c:v>
                </c:pt>
                <c:pt idx="45">
                  <c:v>2960028914396.1553</c:v>
                </c:pt>
                <c:pt idx="46">
                  <c:v>3303174566171.4429</c:v>
                </c:pt>
                <c:pt idx="47">
                  <c:v>3596495619562.2075</c:v>
                </c:pt>
                <c:pt idx="48">
                  <c:v>3844066187611.6538</c:v>
                </c:pt>
                <c:pt idx="49">
                  <c:v>4045147405812.0293</c:v>
                </c:pt>
                <c:pt idx="50">
                  <c:v>4200892677292.2168</c:v>
                </c:pt>
                <c:pt idx="51">
                  <c:v>4316671943735.3657</c:v>
                </c:pt>
                <c:pt idx="52">
                  <c:v>4387688122554.8296</c:v>
                </c:pt>
                <c:pt idx="53">
                  <c:v>4405012753309.9434</c:v>
                </c:pt>
                <c:pt idx="54">
                  <c:v>4371034259410.5015</c:v>
                </c:pt>
                <c:pt idx="55">
                  <c:v>4283999901658.6523</c:v>
                </c:pt>
                <c:pt idx="56">
                  <c:v>4147101393890.8203</c:v>
                </c:pt>
                <c:pt idx="57">
                  <c:v>3960653721481.6196</c:v>
                </c:pt>
                <c:pt idx="58">
                  <c:v>3736098867634.6616</c:v>
                </c:pt>
                <c:pt idx="59">
                  <c:v>3486362242932.7241</c:v>
                </c:pt>
                <c:pt idx="60">
                  <c:v>3216161628746.1572</c:v>
                </c:pt>
                <c:pt idx="61">
                  <c:v>2933156486763.7441</c:v>
                </c:pt>
                <c:pt idx="62">
                  <c:v>2641292756971.001</c:v>
                </c:pt>
                <c:pt idx="63">
                  <c:v>2349529664910.7979</c:v>
                </c:pt>
                <c:pt idx="64">
                  <c:v>2056497386905.1335</c:v>
                </c:pt>
                <c:pt idx="65">
                  <c:v>1755228998753.7908</c:v>
                </c:pt>
                <c:pt idx="66">
                  <c:v>1467150584386.6072</c:v>
                </c:pt>
                <c:pt idx="67">
                  <c:v>1215820809402.3376</c:v>
                </c:pt>
                <c:pt idx="68">
                  <c:v>991781738729.26782</c:v>
                </c:pt>
                <c:pt idx="69">
                  <c:v>791858445723.39844</c:v>
                </c:pt>
                <c:pt idx="70">
                  <c:v>619560612412.34424</c:v>
                </c:pt>
                <c:pt idx="71">
                  <c:v>477260390944.03748</c:v>
                </c:pt>
                <c:pt idx="72">
                  <c:v>360222163574.38361</c:v>
                </c:pt>
                <c:pt idx="73">
                  <c:v>265687697102.98477</c:v>
                </c:pt>
                <c:pt idx="74">
                  <c:v>192394507302.38013</c:v>
                </c:pt>
                <c:pt idx="75">
                  <c:v>140658975172.08755</c:v>
                </c:pt>
                <c:pt idx="76">
                  <c:v>103895180031.01474</c:v>
                </c:pt>
                <c:pt idx="77">
                  <c:v>73404826508.443451</c:v>
                </c:pt>
                <c:pt idx="78">
                  <c:v>50925200629.748901</c:v>
                </c:pt>
                <c:pt idx="79">
                  <c:v>35743596971.025726</c:v>
                </c:pt>
                <c:pt idx="80">
                  <c:v>25787127738.871349</c:v>
                </c:pt>
                <c:pt idx="81">
                  <c:v>18527271099.070827</c:v>
                </c:pt>
                <c:pt idx="82">
                  <c:v>13304139662.564102</c:v>
                </c:pt>
                <c:pt idx="83">
                  <c:v>9494390175.8350754</c:v>
                </c:pt>
                <c:pt idx="84">
                  <c:v>6733544121.8002815</c:v>
                </c:pt>
                <c:pt idx="85">
                  <c:v>4782551338.1711454</c:v>
                </c:pt>
                <c:pt idx="86">
                  <c:v>3376235114.1240139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vl1924e!$AI$3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vl1924e!$AI$4:$AI$164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142694233.30923122</c:v>
                </c:pt>
                <c:pt idx="17">
                  <c:v>248043725.70565477</c:v>
                </c:pt>
                <c:pt idx="18">
                  <c:v>491511604.67165202</c:v>
                </c:pt>
                <c:pt idx="19">
                  <c:v>937253356.67761195</c:v>
                </c:pt>
                <c:pt idx="20">
                  <c:v>1799774585.1842585</c:v>
                </c:pt>
                <c:pt idx="21">
                  <c:v>3054554022.2718363</c:v>
                </c:pt>
                <c:pt idx="22">
                  <c:v>6052763765.014802</c:v>
                </c:pt>
                <c:pt idx="23">
                  <c:v>11408156920.500219</c:v>
                </c:pt>
                <c:pt idx="24">
                  <c:v>21859112309.790401</c:v>
                </c:pt>
                <c:pt idx="25">
                  <c:v>41587515240.015297</c:v>
                </c:pt>
                <c:pt idx="26">
                  <c:v>68777968741.228271</c:v>
                </c:pt>
                <c:pt idx="27">
                  <c:v>103752010507.79523</c:v>
                </c:pt>
                <c:pt idx="28">
                  <c:v>147022566707.93634</c:v>
                </c:pt>
                <c:pt idx="29">
                  <c:v>197350554648.04947</c:v>
                </c:pt>
                <c:pt idx="30">
                  <c:v>260351530721.25888</c:v>
                </c:pt>
                <c:pt idx="31">
                  <c:v>339769160275.85266</c:v>
                </c:pt>
                <c:pt idx="32">
                  <c:v>438221830056.29016</c:v>
                </c:pt>
                <c:pt idx="33">
                  <c:v>556214374871.81445</c:v>
                </c:pt>
                <c:pt idx="34">
                  <c:v>704812908334.90625</c:v>
                </c:pt>
                <c:pt idx="35">
                  <c:v>896790180322.64404</c:v>
                </c:pt>
                <c:pt idx="36">
                  <c:v>1137017280600.1445</c:v>
                </c:pt>
                <c:pt idx="37">
                  <c:v>1420412377378.8921</c:v>
                </c:pt>
                <c:pt idx="38">
                  <c:v>1788452855726.3821</c:v>
                </c:pt>
                <c:pt idx="39">
                  <c:v>2276036081407.7241</c:v>
                </c:pt>
                <c:pt idx="40">
                  <c:v>2907435397322.2324</c:v>
                </c:pt>
                <c:pt idx="41">
                  <c:v>3746039542614.499</c:v>
                </c:pt>
                <c:pt idx="42">
                  <c:v>4722630094715.0029</c:v>
                </c:pt>
                <c:pt idx="43">
                  <c:v>5824270097423.0508</c:v>
                </c:pt>
                <c:pt idx="44">
                  <c:v>6928938719502.8711</c:v>
                </c:pt>
                <c:pt idx="45">
                  <c:v>7882263469733.6367</c:v>
                </c:pt>
                <c:pt idx="46">
                  <c:v>8715532299996.5557</c:v>
                </c:pt>
                <c:pt idx="47">
                  <c:v>9404267191945.0859</c:v>
                </c:pt>
                <c:pt idx="48">
                  <c:v>9963062991741.2832</c:v>
                </c:pt>
                <c:pt idx="49">
                  <c:v>10393564861000.082</c:v>
                </c:pt>
                <c:pt idx="50">
                  <c:v>10702113744591.482</c:v>
                </c:pt>
                <c:pt idx="51">
                  <c:v>10905425100067.117</c:v>
                </c:pt>
                <c:pt idx="52">
                  <c:v>10994130165018.74</c:v>
                </c:pt>
                <c:pt idx="53">
                  <c:v>10948840447490.625</c:v>
                </c:pt>
                <c:pt idx="54">
                  <c:v>10778630793779.066</c:v>
                </c:pt>
                <c:pt idx="55">
                  <c:v>10482098897924.998</c:v>
                </c:pt>
                <c:pt idx="56">
                  <c:v>10069833773392.096</c:v>
                </c:pt>
                <c:pt idx="57">
                  <c:v>9545117945637.4707</c:v>
                </c:pt>
                <c:pt idx="58">
                  <c:v>8937705542560.0586</c:v>
                </c:pt>
                <c:pt idx="59">
                  <c:v>8279965460670.0869</c:v>
                </c:pt>
                <c:pt idx="60">
                  <c:v>7583958286643.3516</c:v>
                </c:pt>
                <c:pt idx="61">
                  <c:v>6868276421206.541</c:v>
                </c:pt>
                <c:pt idx="62">
                  <c:v>6142351619264.2549</c:v>
                </c:pt>
                <c:pt idx="63">
                  <c:v>5426934489761.6484</c:v>
                </c:pt>
                <c:pt idx="64">
                  <c:v>4718522638329.5537</c:v>
                </c:pt>
                <c:pt idx="65">
                  <c:v>4000953201712.1963</c:v>
                </c:pt>
                <c:pt idx="66">
                  <c:v>3322788030373.6646</c:v>
                </c:pt>
                <c:pt idx="67">
                  <c:v>2736157882158.8633</c:v>
                </c:pt>
                <c:pt idx="68">
                  <c:v>2218072058016.3008</c:v>
                </c:pt>
                <c:pt idx="69">
                  <c:v>1760104165440.8994</c:v>
                </c:pt>
                <c:pt idx="70">
                  <c:v>1368825918929.2961</c:v>
                </c:pt>
                <c:pt idx="71">
                  <c:v>1048177390208.7106</c:v>
                </c:pt>
                <c:pt idx="72">
                  <c:v>786511808271.28015</c:v>
                </c:pt>
                <c:pt idx="73">
                  <c:v>576768099121.15527</c:v>
                </c:pt>
                <c:pt idx="74">
                  <c:v>415294426311.25226</c:v>
                </c:pt>
                <c:pt idx="75">
                  <c:v>301927281924.15411</c:v>
                </c:pt>
                <c:pt idx="76">
                  <c:v>221788380763.96881</c:v>
                </c:pt>
                <c:pt idx="77">
                  <c:v>155852113649.69202</c:v>
                </c:pt>
                <c:pt idx="78">
                  <c:v>107547656211.7636</c:v>
                </c:pt>
                <c:pt idx="79">
                  <c:v>75089853257.778397</c:v>
                </c:pt>
                <c:pt idx="80">
                  <c:v>53893292550.41024</c:v>
                </c:pt>
                <c:pt idx="81">
                  <c:v>38523450453.84417</c:v>
                </c:pt>
                <c:pt idx="82">
                  <c:v>27524220897.856979</c:v>
                </c:pt>
                <c:pt idx="83">
                  <c:v>19545271041.81818</c:v>
                </c:pt>
                <c:pt idx="84">
                  <c:v>13794181169.043766</c:v>
                </c:pt>
                <c:pt idx="85">
                  <c:v>9750345886.265501</c:v>
                </c:pt>
                <c:pt idx="86">
                  <c:v>6850640575.4615459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vl1924e!$AJ$3</c:f>
              <c:strCache>
                <c:ptCount val="1"/>
                <c:pt idx="0">
                  <c:v>4500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vl1924e!$AJ$4:$AJ$164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408536348.27528411</c:v>
                </c:pt>
                <c:pt idx="17">
                  <c:v>700530872.54571259</c:v>
                </c:pt>
                <c:pt idx="18">
                  <c:v>1369809499.0656302</c:v>
                </c:pt>
                <c:pt idx="19">
                  <c:v>2578443507.6533608</c:v>
                </c:pt>
                <c:pt idx="20">
                  <c:v>4889160979.3200102</c:v>
                </c:pt>
                <c:pt idx="21">
                  <c:v>8196261930.6774206</c:v>
                </c:pt>
                <c:pt idx="22">
                  <c:v>16047403996.544638</c:v>
                </c:pt>
                <c:pt idx="23">
                  <c:v>29893456574.144077</c:v>
                </c:pt>
                <c:pt idx="24">
                  <c:v>56627165134.29393</c:v>
                </c:pt>
                <c:pt idx="25">
                  <c:v>106538043431.24582</c:v>
                </c:pt>
                <c:pt idx="26">
                  <c:v>174282691453.26224</c:v>
                </c:pt>
                <c:pt idx="27">
                  <c:v>260120418907.23132</c:v>
                </c:pt>
                <c:pt idx="28">
                  <c:v>364788442510.97528</c:v>
                </c:pt>
                <c:pt idx="29">
                  <c:v>484704624885.47876</c:v>
                </c:pt>
                <c:pt idx="30">
                  <c:v>633111065257.59729</c:v>
                </c:pt>
                <c:pt idx="31">
                  <c:v>818239916178.38843</c:v>
                </c:pt>
                <c:pt idx="32">
                  <c:v>1045347142971.0021</c:v>
                </c:pt>
                <c:pt idx="33">
                  <c:v>1314523901631.3535</c:v>
                </c:pt>
                <c:pt idx="34">
                  <c:v>1650619495130.1826</c:v>
                </c:pt>
                <c:pt idx="35">
                  <c:v>2081589956851.1877</c:v>
                </c:pt>
                <c:pt idx="36">
                  <c:v>2616281063805.6333</c:v>
                </c:pt>
                <c:pt idx="37">
                  <c:v>3240589735790.6948</c:v>
                </c:pt>
                <c:pt idx="38">
                  <c:v>4046283016812.5479</c:v>
                </c:pt>
                <c:pt idx="39">
                  <c:v>5107420842183.9053</c:v>
                </c:pt>
                <c:pt idx="40">
                  <c:v>6472151844293.3877</c:v>
                </c:pt>
                <c:pt idx="41">
                  <c:v>8273654186786.5352</c:v>
                </c:pt>
                <c:pt idx="42">
                  <c:v>10350552793813.809</c:v>
                </c:pt>
                <c:pt idx="43">
                  <c:v>12668990035941.457</c:v>
                </c:pt>
                <c:pt idx="44">
                  <c:v>14960718923261.271</c:v>
                </c:pt>
                <c:pt idx="45">
                  <c:v>16896023956406.984</c:v>
                </c:pt>
                <c:pt idx="46">
                  <c:v>18549667875731.055</c:v>
                </c:pt>
                <c:pt idx="47">
                  <c:v>19876274216468.844</c:v>
                </c:pt>
                <c:pt idx="48">
                  <c:v>20913572353759.934</c:v>
                </c:pt>
                <c:pt idx="49">
                  <c:v>21671110865274.027</c:v>
                </c:pt>
                <c:pt idx="50">
                  <c:v>22167768025678.895</c:v>
                </c:pt>
                <c:pt idx="51">
                  <c:v>22443148546295.383</c:v>
                </c:pt>
                <c:pt idx="52">
                  <c:v>22482388922177.496</c:v>
                </c:pt>
                <c:pt idx="53">
                  <c:v>22250530757326.891</c:v>
                </c:pt>
                <c:pt idx="54">
                  <c:v>21770854540264.25</c:v>
                </c:pt>
                <c:pt idx="55">
                  <c:v>21044929403773.832</c:v>
                </c:pt>
                <c:pt idx="56">
                  <c:v>20098116299913.051</c:v>
                </c:pt>
                <c:pt idx="57">
                  <c:v>18940590054520.367</c:v>
                </c:pt>
                <c:pt idx="58">
                  <c:v>17634436360583.473</c:v>
                </c:pt>
                <c:pt idx="59">
                  <c:v>16245402922392.223</c:v>
                </c:pt>
                <c:pt idx="60">
                  <c:v>14798113156528.002</c:v>
                </c:pt>
                <c:pt idx="61">
                  <c:v>13329308438669.912</c:v>
                </c:pt>
                <c:pt idx="62">
                  <c:v>11857249920120.559</c:v>
                </c:pt>
                <c:pt idx="63">
                  <c:v>10421551239374.09</c:v>
                </c:pt>
                <c:pt idx="64">
                  <c:v>9014682419141.8594</c:v>
                </c:pt>
                <c:pt idx="65">
                  <c:v>7605217993020.4121</c:v>
                </c:pt>
                <c:pt idx="66">
                  <c:v>6284792930583.2275</c:v>
                </c:pt>
                <c:pt idx="67">
                  <c:v>5149974943094.5645</c:v>
                </c:pt>
                <c:pt idx="68">
                  <c:v>4154797913410.918</c:v>
                </c:pt>
                <c:pt idx="69">
                  <c:v>3281381948583.0933</c:v>
                </c:pt>
                <c:pt idx="70">
                  <c:v>2540059500505.4575</c:v>
                </c:pt>
                <c:pt idx="71">
                  <c:v>1936154725124.7388</c:v>
                </c:pt>
                <c:pt idx="72">
                  <c:v>1446277876645.2017</c:v>
                </c:pt>
                <c:pt idx="73">
                  <c:v>1055892887064.0294</c:v>
                </c:pt>
                <c:pt idx="74">
                  <c:v>756967268999.94177</c:v>
                </c:pt>
                <c:pt idx="75">
                  <c:v>547968111733.35022</c:v>
                </c:pt>
                <c:pt idx="76">
                  <c:v>400822937771.49982</c:v>
                </c:pt>
                <c:pt idx="77">
                  <c:v>280488856022.55298</c:v>
                </c:pt>
                <c:pt idx="78">
                  <c:v>192761671403.13052</c:v>
                </c:pt>
                <c:pt idx="79">
                  <c:v>134043233216.8006</c:v>
                </c:pt>
                <c:pt idx="80">
                  <c:v>95822781628.715256</c:v>
                </c:pt>
                <c:pt idx="81">
                  <c:v>68226894566.689461</c:v>
                </c:pt>
                <c:pt idx="82">
                  <c:v>48558720536.99379</c:v>
                </c:pt>
                <c:pt idx="83">
                  <c:v>34351092136.698681</c:v>
                </c:pt>
                <c:pt idx="84">
                  <c:v>24152705722.39151</c:v>
                </c:pt>
                <c:pt idx="85">
                  <c:v>17009234087.386209</c:v>
                </c:pt>
                <c:pt idx="86">
                  <c:v>11907323718.865856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vl1924e!$AL$3</c:f>
              <c:strCache>
                <c:ptCount val="1"/>
                <c:pt idx="0">
                  <c:v>5225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vl1924e!$AL$4:$AL$164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1313624568.0035443</c:v>
                </c:pt>
                <c:pt idx="17">
                  <c:v>2218720083.5140715</c:v>
                </c:pt>
                <c:pt idx="18">
                  <c:v>4275039113.8328767</c:v>
                </c:pt>
                <c:pt idx="19">
                  <c:v>7932422670.5444231</c:v>
                </c:pt>
                <c:pt idx="20">
                  <c:v>14832297502.305824</c:v>
                </c:pt>
                <c:pt idx="21">
                  <c:v>24528307071.6203</c:v>
                </c:pt>
                <c:pt idx="22">
                  <c:v>47389321524.455856</c:v>
                </c:pt>
                <c:pt idx="23">
                  <c:v>87139864690.343918</c:v>
                </c:pt>
                <c:pt idx="24">
                  <c:v>162992160196.59796</c:v>
                </c:pt>
                <c:pt idx="25">
                  <c:v>302885950110.73584</c:v>
                </c:pt>
                <c:pt idx="26">
                  <c:v>489539829680.19745</c:v>
                </c:pt>
                <c:pt idx="27">
                  <c:v>722087976922.3551</c:v>
                </c:pt>
                <c:pt idx="28">
                  <c:v>1001052944645.1774</c:v>
                </c:pt>
                <c:pt idx="29">
                  <c:v>1315248839927.9197</c:v>
                </c:pt>
                <c:pt idx="30">
                  <c:v>1699167418305.6072</c:v>
                </c:pt>
                <c:pt idx="31">
                  <c:v>2172548870465.5198</c:v>
                </c:pt>
                <c:pt idx="32">
                  <c:v>2746538766009.2759</c:v>
                </c:pt>
                <c:pt idx="33">
                  <c:v>3418458975650.6382</c:v>
                </c:pt>
                <c:pt idx="34">
                  <c:v>4249548329716.4043</c:v>
                </c:pt>
                <c:pt idx="35">
                  <c:v>5306633675991.5439</c:v>
                </c:pt>
                <c:pt idx="36">
                  <c:v>6605835438042.0674</c:v>
                </c:pt>
                <c:pt idx="37">
                  <c:v>8105416889509.3018</c:v>
                </c:pt>
                <c:pt idx="38">
                  <c:v>10027700842801.928</c:v>
                </c:pt>
                <c:pt idx="39">
                  <c:v>12543648016509.633</c:v>
                </c:pt>
                <c:pt idx="40">
                  <c:v>15755378695068.473</c:v>
                </c:pt>
                <c:pt idx="41">
                  <c:v>19967050435662.012</c:v>
                </c:pt>
                <c:pt idx="42">
                  <c:v>24768099911902.766</c:v>
                </c:pt>
                <c:pt idx="43">
                  <c:v>30064760209314.48</c:v>
                </c:pt>
                <c:pt idx="44">
                  <c:v>35214921240324.078</c:v>
                </c:pt>
                <c:pt idx="45">
                  <c:v>39453647676467.437</c:v>
                </c:pt>
                <c:pt idx="46">
                  <c:v>42976901513685.391</c:v>
                </c:pt>
                <c:pt idx="47">
                  <c:v>45697907319331.164</c:v>
                </c:pt>
                <c:pt idx="48">
                  <c:v>47721728816351.437</c:v>
                </c:pt>
                <c:pt idx="49">
                  <c:v>49086066335262.703</c:v>
                </c:pt>
                <c:pt idx="50">
                  <c:v>49848139220474.25</c:v>
                </c:pt>
                <c:pt idx="51">
                  <c:v>50109479042950.211</c:v>
                </c:pt>
                <c:pt idx="52">
                  <c:v>49847721126780.539</c:v>
                </c:pt>
                <c:pt idx="53">
                  <c:v>48996616673745.242</c:v>
                </c:pt>
                <c:pt idx="54">
                  <c:v>47618829389657.203</c:v>
                </c:pt>
                <c:pt idx="55">
                  <c:v>45727923537409.484</c:v>
                </c:pt>
                <c:pt idx="56">
                  <c:v>43388238262945.445</c:v>
                </c:pt>
                <c:pt idx="57">
                  <c:v>40629678680184.391</c:v>
                </c:pt>
                <c:pt idx="58">
                  <c:v>37591874622781.922</c:v>
                </c:pt>
                <c:pt idx="59">
                  <c:v>34418621221333.375</c:v>
                </c:pt>
                <c:pt idx="60">
                  <c:v>31163539607467.828</c:v>
                </c:pt>
                <c:pt idx="61">
                  <c:v>27904306143758.246</c:v>
                </c:pt>
                <c:pt idx="62">
                  <c:v>24678307056282.211</c:v>
                </c:pt>
                <c:pt idx="63">
                  <c:v>21566271183718.133</c:v>
                </c:pt>
                <c:pt idx="64">
                  <c:v>18550127864826.398</c:v>
                </c:pt>
                <c:pt idx="65">
                  <c:v>15563360965064.516</c:v>
                </c:pt>
                <c:pt idx="66">
                  <c:v>12791410204499.816</c:v>
                </c:pt>
                <c:pt idx="67">
                  <c:v>10425762560651.65</c:v>
                </c:pt>
                <c:pt idx="68">
                  <c:v>8366936780007.4482</c:v>
                </c:pt>
                <c:pt idx="69">
                  <c:v>6573928087549.25</c:v>
                </c:pt>
                <c:pt idx="70">
                  <c:v>5062913190875.3613</c:v>
                </c:pt>
                <c:pt idx="71">
                  <c:v>3839910311239.937</c:v>
                </c:pt>
                <c:pt idx="72">
                  <c:v>2854252419498.6182</c:v>
                </c:pt>
                <c:pt idx="73">
                  <c:v>2073740960157.6814</c:v>
                </c:pt>
                <c:pt idx="74">
                  <c:v>1479583130835.0811</c:v>
                </c:pt>
                <c:pt idx="75">
                  <c:v>1066051187473.4988</c:v>
                </c:pt>
                <c:pt idx="76">
                  <c:v>776189902317.83301</c:v>
                </c:pt>
                <c:pt idx="77">
                  <c:v>540698449261.25232</c:v>
                </c:pt>
                <c:pt idx="78">
                  <c:v>369926158810.29529</c:v>
                </c:pt>
                <c:pt idx="79">
                  <c:v>256108616599.18942</c:v>
                </c:pt>
                <c:pt idx="80">
                  <c:v>182289832687.77496</c:v>
                </c:pt>
                <c:pt idx="81">
                  <c:v>129238665532.34146</c:v>
                </c:pt>
                <c:pt idx="82">
                  <c:v>91595783629.566116</c:v>
                </c:pt>
                <c:pt idx="83">
                  <c:v>64527937790.072945</c:v>
                </c:pt>
                <c:pt idx="84">
                  <c:v>45185494413.081291</c:v>
                </c:pt>
                <c:pt idx="85">
                  <c:v>31693520092.761303</c:v>
                </c:pt>
                <c:pt idx="86">
                  <c:v>22099286919.903736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vl1924e!$AM$3</c:f>
              <c:strCache>
                <c:ptCount val="1"/>
                <c:pt idx="0">
                  <c:v>5500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vl1924e!$AM$4:$AM$164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1887816695.1441422</c:v>
                </c:pt>
                <c:pt idx="17">
                  <c:v>3173646799.633719</c:v>
                </c:pt>
                <c:pt idx="18">
                  <c:v>6087187046.8310289</c:v>
                </c:pt>
                <c:pt idx="19">
                  <c:v>11244854892.583929</c:v>
                </c:pt>
                <c:pt idx="20">
                  <c:v>20935193668.865173</c:v>
                </c:pt>
                <c:pt idx="21">
                  <c:v>34474976311.827744</c:v>
                </c:pt>
                <c:pt idx="22">
                  <c:v>66333106265.404503</c:v>
                </c:pt>
                <c:pt idx="23">
                  <c:v>121485414338.073</c:v>
                </c:pt>
                <c:pt idx="24">
                  <c:v>226346515126.18396</c:v>
                </c:pt>
                <c:pt idx="25">
                  <c:v>419012533713.08862</c:v>
                </c:pt>
                <c:pt idx="26">
                  <c:v>674708607389.76428</c:v>
                </c:pt>
                <c:pt idx="27">
                  <c:v>991600792790.21277</c:v>
                </c:pt>
                <c:pt idx="28">
                  <c:v>1369806588547.5117</c:v>
                </c:pt>
                <c:pt idx="29">
                  <c:v>1793499565430.8186</c:v>
                </c:pt>
                <c:pt idx="30">
                  <c:v>2309166173518.7178</c:v>
                </c:pt>
                <c:pt idx="31">
                  <c:v>2942711167629.0977</c:v>
                </c:pt>
                <c:pt idx="32">
                  <c:v>3708132229061.3643</c:v>
                </c:pt>
                <c:pt idx="33">
                  <c:v>4600685528435.1357</c:v>
                </c:pt>
                <c:pt idx="34">
                  <c:v>5701484707477.3477</c:v>
                </c:pt>
                <c:pt idx="35">
                  <c:v>7098174766392.1299</c:v>
                </c:pt>
                <c:pt idx="36">
                  <c:v>8809802801301.793</c:v>
                </c:pt>
                <c:pt idx="37">
                  <c:v>10778349261513.969</c:v>
                </c:pt>
                <c:pt idx="38">
                  <c:v>13296688387326.734</c:v>
                </c:pt>
                <c:pt idx="39">
                  <c:v>16586592505261.582</c:v>
                </c:pt>
                <c:pt idx="40">
                  <c:v>20776795062222.414</c:v>
                </c:pt>
                <c:pt idx="41">
                  <c:v>26260589945098.465</c:v>
                </c:pt>
                <c:pt idx="42">
                  <c:v>32489861322773.668</c:v>
                </c:pt>
                <c:pt idx="43">
                  <c:v>39336940666294.687</c:v>
                </c:pt>
                <c:pt idx="44">
                  <c:v>45959959355164.812</c:v>
                </c:pt>
                <c:pt idx="45">
                  <c:v>51365548499632.805</c:v>
                </c:pt>
                <c:pt idx="46">
                  <c:v>55817822233066.531</c:v>
                </c:pt>
                <c:pt idx="47">
                  <c:v>59211722700790.492</c:v>
                </c:pt>
                <c:pt idx="48">
                  <c:v>61690907825996.516</c:v>
                </c:pt>
                <c:pt idx="49">
                  <c:v>63310580725686.258</c:v>
                </c:pt>
                <c:pt idx="50">
                  <c:v>64150350270499.109</c:v>
                </c:pt>
                <c:pt idx="51">
                  <c:v>64345830896235.164</c:v>
                </c:pt>
                <c:pt idx="52">
                  <c:v>63872544826306.547</c:v>
                </c:pt>
                <c:pt idx="53">
                  <c:v>62649968394455.742</c:v>
                </c:pt>
                <c:pt idx="54">
                  <c:v>60762599101220.68</c:v>
                </c:pt>
                <c:pt idx="55">
                  <c:v>58231575466017.016</c:v>
                </c:pt>
                <c:pt idx="56">
                  <c:v>55142271125120.523</c:v>
                </c:pt>
                <c:pt idx="57">
                  <c:v>51535598432404.273</c:v>
                </c:pt>
                <c:pt idx="58">
                  <c:v>47590969530706.164</c:v>
                </c:pt>
                <c:pt idx="59">
                  <c:v>43491623056212.32</c:v>
                </c:pt>
                <c:pt idx="60">
                  <c:v>39305658346534.195</c:v>
                </c:pt>
                <c:pt idx="61">
                  <c:v>35130949008822.805</c:v>
                </c:pt>
                <c:pt idx="62">
                  <c:v>31014032387386.395</c:v>
                </c:pt>
                <c:pt idx="63">
                  <c:v>27055506877859.641</c:v>
                </c:pt>
                <c:pt idx="64">
                  <c:v>23231564311171.559</c:v>
                </c:pt>
                <c:pt idx="65">
                  <c:v>19458024541130.656</c:v>
                </c:pt>
                <c:pt idx="66">
                  <c:v>15965780740515.877</c:v>
                </c:pt>
                <c:pt idx="67">
                  <c:v>12991766657430.975</c:v>
                </c:pt>
                <c:pt idx="68">
                  <c:v>10409443132112.832</c:v>
                </c:pt>
                <c:pt idx="69">
                  <c:v>8165791484291.2002</c:v>
                </c:pt>
                <c:pt idx="70">
                  <c:v>6279102506758.3057</c:v>
                </c:pt>
                <c:pt idx="71">
                  <c:v>4755028140293.208</c:v>
                </c:pt>
                <c:pt idx="72">
                  <c:v>3529150790317.7896</c:v>
                </c:pt>
                <c:pt idx="73">
                  <c:v>2560288043034.0464</c:v>
                </c:pt>
                <c:pt idx="74">
                  <c:v>1824066199737.781</c:v>
                </c:pt>
                <c:pt idx="75">
                  <c:v>1312370225256.0659</c:v>
                </c:pt>
                <c:pt idx="76">
                  <c:v>954186658919.94482</c:v>
                </c:pt>
                <c:pt idx="77">
                  <c:v>663769436134.47461</c:v>
                </c:pt>
                <c:pt idx="78">
                  <c:v>453506446627.52551</c:v>
                </c:pt>
                <c:pt idx="79">
                  <c:v>313551020085.07013</c:v>
                </c:pt>
                <c:pt idx="80">
                  <c:v>222880045428.2316</c:v>
                </c:pt>
                <c:pt idx="81">
                  <c:v>157810112818.23975</c:v>
                </c:pt>
                <c:pt idx="82">
                  <c:v>111701804881.92172</c:v>
                </c:pt>
                <c:pt idx="83">
                  <c:v>78592909894.946625</c:v>
                </c:pt>
                <c:pt idx="84">
                  <c:v>54965963725.870552</c:v>
                </c:pt>
                <c:pt idx="85">
                  <c:v>38506379381.862366</c:v>
                </c:pt>
                <c:pt idx="86">
                  <c:v>26817350627.05632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vl1924e!$AN$3</c:f>
              <c:strCache>
                <c:ptCount val="1"/>
                <c:pt idx="0">
                  <c:v>6000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vl1924e!$AN$4:$AN$164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3353108063.0463572</c:v>
                </c:pt>
                <c:pt idx="17">
                  <c:v>5595470359.2654362</c:v>
                </c:pt>
                <c:pt idx="18">
                  <c:v>10655382491.684603</c:v>
                </c:pt>
                <c:pt idx="19">
                  <c:v>19546166997.995872</c:v>
                </c:pt>
                <c:pt idx="20">
                  <c:v>36142489005.899193</c:v>
                </c:pt>
                <c:pt idx="21">
                  <c:v>59122597414.223457</c:v>
                </c:pt>
                <c:pt idx="22">
                  <c:v>113021415176.26764</c:v>
                </c:pt>
                <c:pt idx="23">
                  <c:v>205686253033.8381</c:v>
                </c:pt>
                <c:pt idx="24">
                  <c:v>380866741217.35864</c:v>
                </c:pt>
                <c:pt idx="25">
                  <c:v>700824713098.69861</c:v>
                </c:pt>
                <c:pt idx="26">
                  <c:v>1121875366666.2466</c:v>
                </c:pt>
                <c:pt idx="27">
                  <c:v>1639350707981.2158</c:v>
                </c:pt>
                <c:pt idx="28">
                  <c:v>2251954147760.3403</c:v>
                </c:pt>
                <c:pt idx="29">
                  <c:v>2932402264249.7363</c:v>
                </c:pt>
                <c:pt idx="30">
                  <c:v>3755383245268.9092</c:v>
                </c:pt>
                <c:pt idx="31">
                  <c:v>4760763074722.5166</c:v>
                </c:pt>
                <c:pt idx="32">
                  <c:v>5968501931971.3506</c:v>
                </c:pt>
                <c:pt idx="33">
                  <c:v>7368236841679.0664</c:v>
                </c:pt>
                <c:pt idx="34">
                  <c:v>9086738604436.7754</c:v>
                </c:pt>
                <c:pt idx="35">
                  <c:v>11258808746664.014</c:v>
                </c:pt>
                <c:pt idx="36">
                  <c:v>13908580977413.824</c:v>
                </c:pt>
                <c:pt idx="37">
                  <c:v>16938836991576.525</c:v>
                </c:pt>
                <c:pt idx="38">
                  <c:v>20803289789020.832</c:v>
                </c:pt>
                <c:pt idx="39">
                  <c:v>25837120550095.125</c:v>
                </c:pt>
                <c:pt idx="40">
                  <c:v>32225813820982.504</c:v>
                </c:pt>
                <c:pt idx="41">
                  <c:v>40560848650215.187</c:v>
                </c:pt>
                <c:pt idx="42">
                  <c:v>49976439652346.18</c:v>
                </c:pt>
                <c:pt idx="43">
                  <c:v>60265606660015.062</c:v>
                </c:pt>
                <c:pt idx="44">
                  <c:v>70135134002347.609</c:v>
                </c:pt>
                <c:pt idx="45">
                  <c:v>78081744243204.141</c:v>
                </c:pt>
                <c:pt idx="46">
                  <c:v>84528976763536.062</c:v>
                </c:pt>
                <c:pt idx="47">
                  <c:v>89336348474655.109</c:v>
                </c:pt>
                <c:pt idx="48">
                  <c:v>92738734653905.844</c:v>
                </c:pt>
                <c:pt idx="49">
                  <c:v>94834566422906.453</c:v>
                </c:pt>
                <c:pt idx="50">
                  <c:v>95756833517320.141</c:v>
                </c:pt>
                <c:pt idx="51">
                  <c:v>95719571080088.422</c:v>
                </c:pt>
                <c:pt idx="52">
                  <c:v>94696202334995.687</c:v>
                </c:pt>
                <c:pt idx="53">
                  <c:v>92577379300315.047</c:v>
                </c:pt>
                <c:pt idx="54">
                  <c:v>89497930835002.953</c:v>
                </c:pt>
                <c:pt idx="55">
                  <c:v>85497626183902.531</c:v>
                </c:pt>
                <c:pt idx="56">
                  <c:v>80709487259752.187</c:v>
                </c:pt>
                <c:pt idx="57">
                  <c:v>75199782605523.703</c:v>
                </c:pt>
                <c:pt idx="58">
                  <c:v>69235271728230.273</c:v>
                </c:pt>
                <c:pt idx="59">
                  <c:v>63084940848760.289</c:v>
                </c:pt>
                <c:pt idx="60">
                  <c:v>56848034035121.461</c:v>
                </c:pt>
                <c:pt idx="61">
                  <c:v>50665580846130.781</c:v>
                </c:pt>
                <c:pt idx="62">
                  <c:v>44603205375417.937</c:v>
                </c:pt>
                <c:pt idx="63">
                  <c:v>38803382064338.102</c:v>
                </c:pt>
                <c:pt idx="64">
                  <c:v>33229154371295.137</c:v>
                </c:pt>
                <c:pt idx="65">
                  <c:v>27757916445338.445</c:v>
                </c:pt>
                <c:pt idx="66">
                  <c:v>22716709391611.969</c:v>
                </c:pt>
                <c:pt idx="67">
                  <c:v>18437838378750.387</c:v>
                </c:pt>
                <c:pt idx="68">
                  <c:v>14735834833834.73</c:v>
                </c:pt>
                <c:pt idx="69">
                  <c:v>11531066290752.387</c:v>
                </c:pt>
                <c:pt idx="70">
                  <c:v>8845262704952.8652</c:v>
                </c:pt>
                <c:pt idx="71">
                  <c:v>6682298309074.9238</c:v>
                </c:pt>
                <c:pt idx="72">
                  <c:v>4947887365227.7383</c:v>
                </c:pt>
                <c:pt idx="73">
                  <c:v>3581228736888.7578</c:v>
                </c:pt>
                <c:pt idx="74">
                  <c:v>2545621957694.5693</c:v>
                </c:pt>
                <c:pt idx="75">
                  <c:v>1827409274524.1455</c:v>
                </c:pt>
                <c:pt idx="76">
                  <c:v>1325728648180.6538</c:v>
                </c:pt>
                <c:pt idx="77">
                  <c:v>920228642638.34546</c:v>
                </c:pt>
                <c:pt idx="78">
                  <c:v>627385046432.58337</c:v>
                </c:pt>
                <c:pt idx="79">
                  <c:v>432858344762.21295</c:v>
                </c:pt>
                <c:pt idx="80">
                  <c:v>307050631582.41217</c:v>
                </c:pt>
                <c:pt idx="81">
                  <c:v>216964613972.83298</c:v>
                </c:pt>
                <c:pt idx="82">
                  <c:v>153265099908.93021</c:v>
                </c:pt>
                <c:pt idx="83">
                  <c:v>107623941458.1913</c:v>
                </c:pt>
                <c:pt idx="84">
                  <c:v>75123352764.466125</c:v>
                </c:pt>
                <c:pt idx="85">
                  <c:v>52526959259.882637</c:v>
                </c:pt>
                <c:pt idx="86">
                  <c:v>36512914569.356331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vl1924e!$AO$3</c:f>
              <c:strCache>
                <c:ptCount val="1"/>
                <c:pt idx="0">
                  <c:v>6500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vl1924e!$AO$4:$AO$164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5454499905.1086006</c:v>
                </c:pt>
                <c:pt idx="17">
                  <c:v>9045648542.4907703</c:v>
                </c:pt>
                <c:pt idx="18">
                  <c:v>17121401923.86948</c:v>
                </c:pt>
                <c:pt idx="19">
                  <c:v>31222510897.1805</c:v>
                </c:pt>
                <c:pt idx="20">
                  <c:v>57401924729.14592</c:v>
                </c:pt>
                <c:pt idx="21">
                  <c:v>93374415495.284973</c:v>
                </c:pt>
                <c:pt idx="22">
                  <c:v>177526275358.99133</c:v>
                </c:pt>
                <c:pt idx="23">
                  <c:v>321361615036.64331</c:v>
                </c:pt>
                <c:pt idx="24">
                  <c:v>591978391144.40942</c:v>
                </c:pt>
                <c:pt idx="25">
                  <c:v>1083780977646.2653</c:v>
                </c:pt>
                <c:pt idx="26">
                  <c:v>1726352116081.7632</c:v>
                </c:pt>
                <c:pt idx="27">
                  <c:v>2510503434992.9863</c:v>
                </c:pt>
                <c:pt idx="28">
                  <c:v>3432436084621.5684</c:v>
                </c:pt>
                <c:pt idx="29">
                  <c:v>4449063055779.3701</c:v>
                </c:pt>
                <c:pt idx="30">
                  <c:v>5672152821694.9795</c:v>
                </c:pt>
                <c:pt idx="31">
                  <c:v>7159190165243.1807</c:v>
                </c:pt>
                <c:pt idx="32">
                  <c:v>8936962013414.7715</c:v>
                </c:pt>
                <c:pt idx="33">
                  <c:v>10986707796932.842</c:v>
                </c:pt>
                <c:pt idx="34">
                  <c:v>13493738864136.895</c:v>
                </c:pt>
                <c:pt idx="35">
                  <c:v>16652388836105.535</c:v>
                </c:pt>
                <c:pt idx="36">
                  <c:v>20491091747720.043</c:v>
                </c:pt>
                <c:pt idx="37">
                  <c:v>24860004107191.621</c:v>
                </c:pt>
                <c:pt idx="38">
                  <c:v>30417322858331.855</c:v>
                </c:pt>
                <c:pt idx="39">
                  <c:v>37639113251769.344</c:v>
                </c:pt>
                <c:pt idx="40">
                  <c:v>46777754012299.672</c:v>
                </c:pt>
                <c:pt idx="41">
                  <c:v>58669933894416.977</c:v>
                </c:pt>
                <c:pt idx="42">
                  <c:v>72040862019149.875</c:v>
                </c:pt>
                <c:pt idx="43">
                  <c:v>86580310773906.219</c:v>
                </c:pt>
                <c:pt idx="44">
                  <c:v>100427202179268.05</c:v>
                </c:pt>
                <c:pt idx="45">
                  <c:v>111445004944919.89</c:v>
                </c:pt>
                <c:pt idx="46">
                  <c:v>120265343685727.39</c:v>
                </c:pt>
                <c:pt idx="47">
                  <c:v>126711047493990.44</c:v>
                </c:pt>
                <c:pt idx="48">
                  <c:v>131137136011152.41</c:v>
                </c:pt>
                <c:pt idx="49">
                  <c:v>133701272075309.87</c:v>
                </c:pt>
                <c:pt idx="50">
                  <c:v>134607230046548.22</c:v>
                </c:pt>
                <c:pt idx="51">
                  <c:v>134169495151015.95</c:v>
                </c:pt>
                <c:pt idx="52">
                  <c:v>132362226616274.44</c:v>
                </c:pt>
                <c:pt idx="53">
                  <c:v>129044122810322.06</c:v>
                </c:pt>
                <c:pt idx="54">
                  <c:v>124414486481078.61</c:v>
                </c:pt>
                <c:pt idx="55">
                  <c:v>118538325031060.45</c:v>
                </c:pt>
                <c:pt idx="56">
                  <c:v>111608603385819.06</c:v>
                </c:pt>
                <c:pt idx="57">
                  <c:v>103723950358118.53</c:v>
                </c:pt>
                <c:pt idx="58">
                  <c:v>95257619209028.031</c:v>
                </c:pt>
                <c:pt idx="59">
                  <c:v>86582044380983.375</c:v>
                </c:pt>
                <c:pt idx="60">
                  <c:v>77833551744285.734</c:v>
                </c:pt>
                <c:pt idx="61">
                  <c:v>69204230688549.023</c:v>
                </c:pt>
                <c:pt idx="62">
                  <c:v>60781637031895.664</c:v>
                </c:pt>
                <c:pt idx="63">
                  <c:v>52757065292129.672</c:v>
                </c:pt>
                <c:pt idx="64">
                  <c:v>45076754852054.75</c:v>
                </c:pt>
                <c:pt idx="65">
                  <c:v>37571598169840.344</c:v>
                </c:pt>
                <c:pt idx="66">
                  <c:v>30681345912315.566</c:v>
                </c:pt>
                <c:pt idx="67">
                  <c:v>24849147436110.637</c:v>
                </c:pt>
                <c:pt idx="68">
                  <c:v>19818221152447.316</c:v>
                </c:pt>
                <c:pt idx="69">
                  <c:v>15476166091294.43</c:v>
                </c:pt>
                <c:pt idx="70">
                  <c:v>11847420953139.49</c:v>
                </c:pt>
                <c:pt idx="71">
                  <c:v>8932498231926.4062</c:v>
                </c:pt>
                <c:pt idx="72">
                  <c:v>6601085505568.2939</c:v>
                </c:pt>
                <c:pt idx="73">
                  <c:v>4768592705502.0898</c:v>
                </c:pt>
                <c:pt idx="74">
                  <c:v>3383206515263.6191</c:v>
                </c:pt>
                <c:pt idx="75">
                  <c:v>2424154823481.5742</c:v>
                </c:pt>
                <c:pt idx="76">
                  <c:v>1755425038769.2034</c:v>
                </c:pt>
                <c:pt idx="77">
                  <c:v>1216296351989.0825</c:v>
                </c:pt>
                <c:pt idx="78">
                  <c:v>827763802913.7146</c:v>
                </c:pt>
                <c:pt idx="79">
                  <c:v>570110437571.55798</c:v>
                </c:pt>
                <c:pt idx="80">
                  <c:v>403716191141.03632</c:v>
                </c:pt>
                <c:pt idx="81">
                  <c:v>284786785308.61346</c:v>
                </c:pt>
                <c:pt idx="82">
                  <c:v>200840119353.7655</c:v>
                </c:pt>
                <c:pt idx="83">
                  <c:v>140800316875.19861</c:v>
                </c:pt>
                <c:pt idx="84">
                  <c:v>98122423521.874222</c:v>
                </c:pt>
                <c:pt idx="85">
                  <c:v>68499107838.330597</c:v>
                </c:pt>
                <c:pt idx="86">
                  <c:v>47541081858.909035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vl1924e!$AP$3</c:f>
              <c:strCache>
                <c:ptCount val="1"/>
                <c:pt idx="0">
                  <c:v>Photo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vl1924e!$AP$4:$AP$164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51231.358152138229</c:v>
                </c:pt>
                <c:pt idx="17">
                  <c:v>141998.08534490058</c:v>
                </c:pt>
                <c:pt idx="18">
                  <c:v>513004.69365994522</c:v>
                </c:pt>
                <c:pt idx="19">
                  <c:v>1721335.7195081396</c:v>
                </c:pt>
                <c:pt idx="20">
                  <c:v>5873589.8109131064</c:v>
                </c:pt>
                <c:pt idx="21">
                  <c:v>15698116.525836993</c:v>
                </c:pt>
                <c:pt idx="22">
                  <c:v>57341079.044591583</c:v>
                </c:pt>
                <c:pt idx="23">
                  <c:v>189964905.02494976</c:v>
                </c:pt>
                <c:pt idx="24">
                  <c:v>651968640.78639185</c:v>
                </c:pt>
                <c:pt idx="25">
                  <c:v>2211067435.8083715</c:v>
                </c:pt>
                <c:pt idx="26">
                  <c:v>5678662024.2902899</c:v>
                </c:pt>
                <c:pt idx="27">
                  <c:v>12159961531.372461</c:v>
                </c:pt>
                <c:pt idx="28">
                  <c:v>23024217726.839081</c:v>
                </c:pt>
                <c:pt idx="29">
                  <c:v>39194415429.852005</c:v>
                </c:pt>
                <c:pt idx="30">
                  <c:v>64568361895.613068</c:v>
                </c:pt>
                <c:pt idx="31">
                  <c:v>104282345782.34496</c:v>
                </c:pt>
                <c:pt idx="32">
                  <c:v>164792325960.55655</c:v>
                </c:pt>
                <c:pt idx="33">
                  <c:v>252624118300.58215</c:v>
                </c:pt>
                <c:pt idx="34">
                  <c:v>386623907037.59851</c:v>
                </c:pt>
                <c:pt idx="35">
                  <c:v>597526951916.64783</c:v>
                </c:pt>
                <c:pt idx="36">
                  <c:v>918343242596.60828</c:v>
                </c:pt>
                <c:pt idx="37">
                  <c:v>1372247079393.9248</c:v>
                </c:pt>
                <c:pt idx="38">
                  <c:v>2085962329319.6572</c:v>
                </c:pt>
                <c:pt idx="39">
                  <c:v>3243787377069.3911</c:v>
                </c:pt>
                <c:pt idx="40">
                  <c:v>5088987318507.1172</c:v>
                </c:pt>
                <c:pt idx="41">
                  <c:v>8132579642445.1377</c:v>
                </c:pt>
                <c:pt idx="42">
                  <c:v>12458354255687.092</c:v>
                </c:pt>
                <c:pt idx="43">
                  <c:v>18285387159305.066</c:v>
                </c:pt>
                <c:pt idx="44">
                  <c:v>25002594080630.094</c:v>
                </c:pt>
                <c:pt idx="45">
                  <c:v>31294633336973.973</c:v>
                </c:pt>
                <c:pt idx="46">
                  <c:v>37046089104796.805</c:v>
                </c:pt>
                <c:pt idx="47">
                  <c:v>41806730511090.117</c:v>
                </c:pt>
                <c:pt idx="48">
                  <c:v>45526529290799.266</c:v>
                </c:pt>
                <c:pt idx="49">
                  <c:v>48119070828458.023</c:v>
                </c:pt>
                <c:pt idx="50">
                  <c:v>49596406117410.852</c:v>
                </c:pt>
                <c:pt idx="51">
                  <c:v>50109479042950.211</c:v>
                </c:pt>
                <c:pt idx="52">
                  <c:v>49598482521146.633</c:v>
                </c:pt>
                <c:pt idx="53">
                  <c:v>47948089076927.094</c:v>
                </c:pt>
                <c:pt idx="54">
                  <c:v>45333125578953.656</c:v>
                </c:pt>
                <c:pt idx="55">
                  <c:v>41859341206144.641</c:v>
                </c:pt>
                <c:pt idx="56">
                  <c:v>37747767288762.539</c:v>
                </c:pt>
                <c:pt idx="57">
                  <c:v>33166006706634.52</c:v>
                </c:pt>
                <c:pt idx="58">
                  <c:v>28457049089445.914</c:v>
                </c:pt>
                <c:pt idx="59">
                  <c:v>23917499886704.562</c:v>
                </c:pt>
                <c:pt idx="60">
                  <c:v>19664193492312.199</c:v>
                </c:pt>
                <c:pt idx="61">
                  <c:v>15816160722282.174</c:v>
                </c:pt>
                <c:pt idx="62">
                  <c:v>12413188449309.953</c:v>
                </c:pt>
                <c:pt idx="63">
                  <c:v>9515038846256.4395</c:v>
                </c:pt>
                <c:pt idx="64">
                  <c:v>7067598716498.8574</c:v>
                </c:pt>
                <c:pt idx="65">
                  <c:v>4995838869785.71</c:v>
                </c:pt>
                <c:pt idx="66">
                  <c:v>3389723704192.4517</c:v>
                </c:pt>
                <c:pt idx="67">
                  <c:v>2262390475661.4082</c:v>
                </c:pt>
                <c:pt idx="68">
                  <c:v>1464213936501.3035</c:v>
                </c:pt>
                <c:pt idx="69">
                  <c:v>908516861699.30627</c:v>
                </c:pt>
                <c:pt idx="70">
                  <c:v>541731711423.66364</c:v>
                </c:pt>
                <c:pt idx="71">
                  <c:v>313336681397.17889</c:v>
                </c:pt>
                <c:pt idx="72">
                  <c:v>174109397589.41571</c:v>
                </c:pt>
                <c:pt idx="73">
                  <c:v>92447372003.829437</c:v>
                </c:pt>
                <c:pt idx="74">
                  <c:v>47346660186.722595</c:v>
                </c:pt>
                <c:pt idx="75">
                  <c:v>24732387549.38517</c:v>
                </c:pt>
                <c:pt idx="76">
                  <c:v>13195228339.403162</c:v>
                </c:pt>
                <c:pt idx="77">
                  <c:v>6445125515.194128</c:v>
                </c:pt>
                <c:pt idx="78">
                  <c:v>3037093763.8325243</c:v>
                </c:pt>
                <c:pt idx="79">
                  <c:v>1465709612.7971611</c:v>
                </c:pt>
                <c:pt idx="80">
                  <c:v>747752893.6852529</c:v>
                </c:pt>
                <c:pt idx="81">
                  <c:v>378540051.34422815</c:v>
                </c:pt>
                <c:pt idx="82">
                  <c:v>191526783.56942275</c:v>
                </c:pt>
                <c:pt idx="83">
                  <c:v>95759459.680468261</c:v>
                </c:pt>
                <c:pt idx="84">
                  <c:v>47309212.65049611</c:v>
                </c:pt>
                <c:pt idx="85">
                  <c:v>23453204.868643362</c:v>
                </c:pt>
                <c:pt idx="86">
                  <c:v>11491629.198349942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74215808"/>
        <c:axId val="74217344"/>
      </c:scatterChart>
      <c:valAx>
        <c:axId val="74215808"/>
        <c:scaling>
          <c:orientation val="minMax"/>
          <c:max val="730"/>
          <c:min val="380"/>
        </c:scaling>
        <c:axPos val="b"/>
        <c:numFmt formatCode="General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74217344"/>
        <c:crosses val="autoZero"/>
        <c:crossBetween val="midCat"/>
      </c:valAx>
      <c:valAx>
        <c:axId val="74217344"/>
        <c:scaling>
          <c:orientation val="minMax"/>
        </c:scaling>
        <c:axPos val="l"/>
        <c:majorGridlines/>
        <c:numFmt formatCode="0.00E+00" sourceLinked="1"/>
        <c:tickLblPos val="nextTo"/>
        <c:crossAx val="742158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vl1924e!$AQ$3</c:f>
              <c:strCache>
                <c:ptCount val="1"/>
                <c:pt idx="0">
                  <c:v>1500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vl1924e!$AQ$4:$AQ$164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2.8229675956050809E-9</c:v>
                </c:pt>
                <c:pt idx="17">
                  <c:v>6.0228611078171347E-9</c:v>
                </c:pt>
                <c:pt idx="18">
                  <c:v>1.4571408811465666E-8</c:v>
                </c:pt>
                <c:pt idx="19">
                  <c:v>3.375379278119021E-8</c:v>
                </c:pt>
                <c:pt idx="20">
                  <c:v>7.8355307787242511E-8</c:v>
                </c:pt>
                <c:pt idx="21">
                  <c:v>1.6001031566728622E-7</c:v>
                </c:pt>
                <c:pt idx="22">
                  <c:v>3.7978979520553105E-7</c:v>
                </c:pt>
                <c:pt idx="23">
                  <c:v>8.5369902822907185E-7</c:v>
                </c:pt>
                <c:pt idx="24">
                  <c:v>1.9426713152721863E-6</c:v>
                </c:pt>
                <c:pt idx="25">
                  <c:v>4.3716895650600963E-6</c:v>
                </c:pt>
                <c:pt idx="26">
                  <c:v>8.5184096472698871E-6</c:v>
                </c:pt>
                <c:pt idx="27">
                  <c:v>1.5083088456744026E-5</c:v>
                </c:pt>
                <c:pt idx="28">
                  <c:v>2.4996538680174911E-5</c:v>
                </c:pt>
                <c:pt idx="29">
                  <c:v>3.9102737482053059E-5</c:v>
                </c:pt>
                <c:pt idx="30">
                  <c:v>5.9913351134266635E-5</c:v>
                </c:pt>
                <c:pt idx="31">
                  <c:v>9.0513320824033022E-5</c:v>
                </c:pt>
                <c:pt idx="32">
                  <c:v>1.3471146846383476E-4</c:v>
                </c:pt>
                <c:pt idx="33">
                  <c:v>1.9669634718295266E-4</c:v>
                </c:pt>
                <c:pt idx="34">
                  <c:v>2.8587463024740579E-4</c:v>
                </c:pt>
                <c:pt idx="35">
                  <c:v>4.1599231006231882E-4</c:v>
                </c:pt>
                <c:pt idx="36">
                  <c:v>6.0150380360006071E-4</c:v>
                </c:pt>
                <c:pt idx="37">
                  <c:v>8.5464216072256305E-4</c:v>
                </c:pt>
                <c:pt idx="38">
                  <c:v>1.220685018915252E-3</c:v>
                </c:pt>
                <c:pt idx="39">
                  <c:v>1.7577364551991347E-3</c:v>
                </c:pt>
                <c:pt idx="40">
                  <c:v>2.5343033638558815E-3</c:v>
                </c:pt>
                <c:pt idx="41">
                  <c:v>3.6766479867716279E-3</c:v>
                </c:pt>
                <c:pt idx="42">
                  <c:v>5.2069409012602897E-3</c:v>
                </c:pt>
                <c:pt idx="43">
                  <c:v>7.1974145228977078E-3</c:v>
                </c:pt>
                <c:pt idx="44">
                  <c:v>9.5759873523138476E-3</c:v>
                </c:pt>
                <c:pt idx="45">
                  <c:v>1.215688667283249E-2</c:v>
                </c:pt>
                <c:pt idx="46">
                  <c:v>1.4969897614549688E-2</c:v>
                </c:pt>
                <c:pt idx="47">
                  <c:v>1.7952604910925787E-2</c:v>
                </c:pt>
                <c:pt idx="48">
                  <c:v>2.1097031781408485E-2</c:v>
                </c:pt>
                <c:pt idx="49">
                  <c:v>2.4366363240550148E-2</c:v>
                </c:pt>
                <c:pt idx="50">
                  <c:v>2.7726030824994148E-2</c:v>
                </c:pt>
                <c:pt idx="51">
                  <c:v>3.116510923418157E-2</c:v>
                </c:pt>
                <c:pt idx="52">
                  <c:v>3.4596465565525029E-2</c:v>
                </c:pt>
                <c:pt idx="53">
                  <c:v>3.7873973217904644E-2</c:v>
                </c:pt>
                <c:pt idx="54">
                  <c:v>4.0918035758117942E-2</c:v>
                </c:pt>
                <c:pt idx="55">
                  <c:v>4.3598669470709464E-2</c:v>
                </c:pt>
                <c:pt idx="56">
                  <c:v>4.5817838818118496E-2</c:v>
                </c:pt>
                <c:pt idx="57">
                  <c:v>4.7436425978119312E-2</c:v>
                </c:pt>
                <c:pt idx="58">
                  <c:v>4.8442109996012638E-2</c:v>
                </c:pt>
                <c:pt idx="59">
                  <c:v>4.8871563791213372E-2</c:v>
                </c:pt>
                <c:pt idx="60">
                  <c:v>4.8678201571850932E-2</c:v>
                </c:pt>
                <c:pt idx="61">
                  <c:v>4.7873227732395884E-2</c:v>
                </c:pt>
                <c:pt idx="62">
                  <c:v>4.6429739610104222E-2</c:v>
                </c:pt>
                <c:pt idx="63">
                  <c:v>4.4428062538816475E-2</c:v>
                </c:pt>
                <c:pt idx="64">
                  <c:v>4.1781930904109039E-2</c:v>
                </c:pt>
                <c:pt idx="65">
                  <c:v>3.8271674257056874E-2</c:v>
                </c:pt>
                <c:pt idx="66">
                  <c:v>3.4293593715060793E-2</c:v>
                </c:pt>
                <c:pt idx="67">
                  <c:v>3.0431636462171258E-2</c:v>
                </c:pt>
                <c:pt idx="68">
                  <c:v>2.655358743032786E-2</c:v>
                </c:pt>
                <c:pt idx="69">
                  <c:v>2.2654304539818322E-2</c:v>
                </c:pt>
                <c:pt idx="70">
                  <c:v>1.8920745809228728E-2</c:v>
                </c:pt>
                <c:pt idx="71">
                  <c:v>1.5542699008221982E-2</c:v>
                </c:pt>
                <c:pt idx="72">
                  <c:v>1.249779002085967E-2</c:v>
                </c:pt>
                <c:pt idx="73">
                  <c:v>9.8109413465723751E-3</c:v>
                </c:pt>
                <c:pt idx="74">
                  <c:v>7.5544402305288008E-3</c:v>
                </c:pt>
                <c:pt idx="75">
                  <c:v>5.867463221518928E-3</c:v>
                </c:pt>
                <c:pt idx="76">
                  <c:v>4.6000575876067474E-3</c:v>
                </c:pt>
                <c:pt idx="77">
                  <c:v>3.4466526676416799E-3</c:v>
                </c:pt>
                <c:pt idx="78">
                  <c:v>2.5336055061196006E-3</c:v>
                </c:pt>
                <c:pt idx="79">
                  <c:v>1.8826696709374751E-3</c:v>
                </c:pt>
                <c:pt idx="80">
                  <c:v>1.4367873751882849E-3</c:v>
                </c:pt>
                <c:pt idx="81">
                  <c:v>1.0911041585777929E-3</c:v>
                </c:pt>
                <c:pt idx="82">
                  <c:v>8.2749552443599965E-4</c:v>
                </c:pt>
                <c:pt idx="83">
                  <c:v>6.2321232039412339E-4</c:v>
                </c:pt>
                <c:pt idx="84">
                  <c:v>4.6609631665484659E-4</c:v>
                </c:pt>
                <c:pt idx="85">
                  <c:v>3.4884639575356576E-4</c:v>
                </c:pt>
                <c:pt idx="86">
                  <c:v>2.5932004880960035E-4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vl1924e!$AR$3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vl1924e!$AR$4:$AR$164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2.5915615441150169E-8</c:v>
                </c:pt>
                <c:pt idx="17">
                  <c:v>5.094090656324225E-8</c:v>
                </c:pt>
                <c:pt idx="18">
                  <c:v>1.1378530097817886E-7</c:v>
                </c:pt>
                <c:pt idx="19">
                  <c:v>2.4384056318575737E-7</c:v>
                </c:pt>
                <c:pt idx="20">
                  <c:v>5.2468129073683876E-7</c:v>
                </c:pt>
                <c:pt idx="21">
                  <c:v>9.9502194217100174E-7</c:v>
                </c:pt>
                <c:pt idx="22">
                  <c:v>2.1971992851748197E-6</c:v>
                </c:pt>
                <c:pt idx="23">
                  <c:v>4.6028630581640407E-6</c:v>
                </c:pt>
                <c:pt idx="24">
                  <c:v>9.7779619938568474E-6</c:v>
                </c:pt>
                <c:pt idx="25">
                  <c:v>2.0574391832009479E-5</c:v>
                </c:pt>
                <c:pt idx="26">
                  <c:v>3.7544237703048236E-5</c:v>
                </c:pt>
                <c:pt idx="27">
                  <c:v>6.2350097384262978E-5</c:v>
                </c:pt>
                <c:pt idx="28">
                  <c:v>9.7055802014775364E-5</c:v>
                </c:pt>
                <c:pt idx="29">
                  <c:v>1.4280878157477489E-4</c:v>
                </c:pt>
                <c:pt idx="30">
                  <c:v>2.0609547833261332E-4</c:v>
                </c:pt>
                <c:pt idx="31">
                  <c:v>2.9364725477527311E-4</c:v>
                </c:pt>
                <c:pt idx="32">
                  <c:v>4.1270475165868816E-4</c:v>
                </c:pt>
                <c:pt idx="33">
                  <c:v>5.6975437767773957E-4</c:v>
                </c:pt>
                <c:pt idx="34">
                  <c:v>7.8386526200343058E-4</c:v>
                </c:pt>
                <c:pt idx="35">
                  <c:v>1.0810035628820143E-3</c:v>
                </c:pt>
                <c:pt idx="36">
                  <c:v>1.4830033778046147E-3</c:v>
                </c:pt>
                <c:pt idx="37">
                  <c:v>2.0013401407231353E-3</c:v>
                </c:pt>
                <c:pt idx="38">
                  <c:v>2.7178752211034435E-3</c:v>
                </c:pt>
                <c:pt idx="39">
                  <c:v>3.724874206716168E-3</c:v>
                </c:pt>
                <c:pt idx="40">
                  <c:v>5.1165564183339443E-3</c:v>
                </c:pt>
                <c:pt idx="41">
                  <c:v>7.0786289444058894E-3</c:v>
                </c:pt>
                <c:pt idx="42">
                  <c:v>9.5689003915291563E-3</c:v>
                </c:pt>
                <c:pt idx="43">
                  <c:v>1.2636615554117808E-2</c:v>
                </c:pt>
                <c:pt idx="44">
                  <c:v>1.6076590589735564E-2</c:v>
                </c:pt>
                <c:pt idx="45">
                  <c:v>1.9532563922531585E-2</c:v>
                </c:pt>
                <c:pt idx="46">
                  <c:v>2.3037858121466769E-2</c:v>
                </c:pt>
                <c:pt idx="47">
                  <c:v>2.6484203846608094E-2</c:v>
                </c:pt>
                <c:pt idx="48">
                  <c:v>2.9857749180623318E-2</c:v>
                </c:pt>
                <c:pt idx="49">
                  <c:v>3.3108034837100363E-2</c:v>
                </c:pt>
                <c:pt idx="50">
                  <c:v>3.6195874589632027E-2</c:v>
                </c:pt>
                <c:pt idx="51">
                  <c:v>3.9118457299962245E-2</c:v>
                </c:pt>
                <c:pt idx="52">
                  <c:v>4.1782182107684092E-2</c:v>
                </c:pt>
                <c:pt idx="53">
                  <c:v>4.4039574206469471E-2</c:v>
                </c:pt>
                <c:pt idx="54">
                  <c:v>4.5840423106376801E-2</c:v>
                </c:pt>
                <c:pt idx="55">
                  <c:v>4.7089044566528231E-2</c:v>
                </c:pt>
                <c:pt idx="56">
                  <c:v>4.7738413443389693E-2</c:v>
                </c:pt>
                <c:pt idx="57">
                  <c:v>4.7708854927408319E-2</c:v>
                </c:pt>
                <c:pt idx="58">
                  <c:v>4.7056959680956675E-2</c:v>
                </c:pt>
                <c:pt idx="59">
                  <c:v>4.5880104792325488E-2</c:v>
                </c:pt>
                <c:pt idx="60">
                  <c:v>4.418931584151229E-2</c:v>
                </c:pt>
                <c:pt idx="61">
                  <c:v>4.2046626513677306E-2</c:v>
                </c:pt>
                <c:pt idx="62">
                  <c:v>3.9475311911088405E-2</c:v>
                </c:pt>
                <c:pt idx="63">
                  <c:v>3.6585333429981465E-2</c:v>
                </c:pt>
                <c:pt idx="64">
                  <c:v>3.3341287558567946E-2</c:v>
                </c:pt>
                <c:pt idx="65">
                  <c:v>2.9609703987490344E-2</c:v>
                </c:pt>
                <c:pt idx="66">
                  <c:v>2.5736273962998466E-2</c:v>
                </c:pt>
                <c:pt idx="67">
                  <c:v>2.2163703750612253E-2</c:v>
                </c:pt>
                <c:pt idx="68">
                  <c:v>1.877707748062812E-2</c:v>
                </c:pt>
                <c:pt idx="69">
                  <c:v>1.5561160292407091E-2</c:v>
                </c:pt>
                <c:pt idx="70">
                  <c:v>1.2630194507055168E-2</c:v>
                </c:pt>
                <c:pt idx="71">
                  <c:v>1.008714878335591E-2</c:v>
                </c:pt>
                <c:pt idx="72">
                  <c:v>7.8891600150957971E-3</c:v>
                </c:pt>
                <c:pt idx="73">
                  <c:v>6.0262194548815397E-3</c:v>
                </c:pt>
                <c:pt idx="74">
                  <c:v>4.517003157833795E-3</c:v>
                </c:pt>
                <c:pt idx="75">
                  <c:v>3.4165321120478253E-3</c:v>
                </c:pt>
                <c:pt idx="76">
                  <c:v>2.6094849372235176E-3</c:v>
                </c:pt>
                <c:pt idx="77">
                  <c:v>1.9055094351317333E-3</c:v>
                </c:pt>
                <c:pt idx="78">
                  <c:v>1.3656414825913793E-3</c:v>
                </c:pt>
                <c:pt idx="79">
                  <c:v>9.8972496732834068E-4</c:v>
                </c:pt>
                <c:pt idx="80">
                  <c:v>7.3693769760871191E-4</c:v>
                </c:pt>
                <c:pt idx="81">
                  <c:v>5.4620318676220909E-4</c:v>
                </c:pt>
                <c:pt idx="82">
                  <c:v>4.0443813092162518E-4</c:v>
                </c:pt>
                <c:pt idx="83">
                  <c:v>2.9748594552590063E-4</c:v>
                </c:pt>
                <c:pt idx="84">
                  <c:v>2.1736649603669111E-4</c:v>
                </c:pt>
                <c:pt idx="85">
                  <c:v>1.5899273154744924E-4</c:v>
                </c:pt>
                <c:pt idx="86">
                  <c:v>1.1554254876060052E-4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vl1924e!$AS$3</c:f>
              <c:strCache>
                <c:ptCount val="1"/>
                <c:pt idx="0">
                  <c:v>2500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vl1924e!$AS$4:$AS$164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9.421534896344437E-8</c:v>
                </c:pt>
                <c:pt idx="17">
                  <c:v>1.7630788680596848E-7</c:v>
                </c:pt>
                <c:pt idx="18">
                  <c:v>3.7539089978836184E-7</c:v>
                </c:pt>
                <c:pt idx="19">
                  <c:v>7.677552859601546E-7</c:v>
                </c:pt>
                <c:pt idx="20">
                  <c:v>1.5784787878578464E-6</c:v>
                </c:pt>
                <c:pt idx="21">
                  <c:v>2.8634551540114599E-6</c:v>
                </c:pt>
                <c:pt idx="22">
                  <c:v>6.054971708368095E-6</c:v>
                </c:pt>
                <c:pt idx="23">
                  <c:v>1.215931331296591E-5</c:v>
                </c:pt>
                <c:pt idx="24">
                  <c:v>2.4785909477314982E-5</c:v>
                </c:pt>
                <c:pt idx="25">
                  <c:v>5.0093434059105393E-5</c:v>
                </c:pt>
                <c:pt idx="26">
                  <c:v>8.7882302475592394E-5</c:v>
                </c:pt>
                <c:pt idx="27">
                  <c:v>1.4044058452358441E-4</c:v>
                </c:pt>
                <c:pt idx="28">
                  <c:v>2.1054938327699939E-4</c:v>
                </c:pt>
                <c:pt idx="29">
                  <c:v>2.9862845790756451E-4</c:v>
                </c:pt>
                <c:pt idx="30">
                  <c:v>4.1576042798542189E-4</c:v>
                </c:pt>
                <c:pt idx="31">
                  <c:v>5.71928787160355E-4</c:v>
                </c:pt>
                <c:pt idx="32">
                  <c:v>7.7665571118124639E-4</c:v>
                </c:pt>
                <c:pt idx="33">
                  <c:v>1.0367423468034991E-3</c:v>
                </c:pt>
                <c:pt idx="34">
                  <c:v>1.3801601254607894E-3</c:v>
                </c:pt>
                <c:pt idx="35">
                  <c:v>1.8429818361821533E-3</c:v>
                </c:pt>
                <c:pt idx="36">
                  <c:v>2.449816310536005E-3</c:v>
                </c:pt>
                <c:pt idx="37">
                  <c:v>3.205474340481562E-3</c:v>
                </c:pt>
                <c:pt idx="38">
                  <c:v>4.2233283600285835E-3</c:v>
                </c:pt>
                <c:pt idx="39">
                  <c:v>5.6189672794829349E-3</c:v>
                </c:pt>
                <c:pt idx="40">
                  <c:v>7.4972134358214336E-3</c:v>
                </c:pt>
                <c:pt idx="41">
                  <c:v>1.0080880776305879E-2</c:v>
                </c:pt>
                <c:pt idx="42">
                  <c:v>1.3251994516856177E-2</c:v>
                </c:pt>
                <c:pt idx="43">
                  <c:v>1.7027679451614954E-2</c:v>
                </c:pt>
                <c:pt idx="44">
                  <c:v>2.108885151687994E-2</c:v>
                </c:pt>
                <c:pt idx="45">
                  <c:v>2.4955989146072582E-2</c:v>
                </c:pt>
                <c:pt idx="46">
                  <c:v>2.8683370136879778E-2</c:v>
                </c:pt>
                <c:pt idx="47">
                  <c:v>3.2148260640698201E-2</c:v>
                </c:pt>
                <c:pt idx="48">
                  <c:v>3.535201851564379E-2</c:v>
                </c:pt>
                <c:pt idx="49">
                  <c:v>3.8253893544080722E-2</c:v>
                </c:pt>
                <c:pt idx="50">
                  <c:v>4.0830011155148498E-2</c:v>
                </c:pt>
                <c:pt idx="51">
                  <c:v>4.3099100315281899E-2</c:v>
                </c:pt>
                <c:pt idx="52">
                  <c:v>4.4980731829769145E-2</c:v>
                </c:pt>
                <c:pt idx="53">
                  <c:v>4.6345271462401257E-2</c:v>
                </c:pt>
                <c:pt idx="54">
                  <c:v>4.7174921227994771E-2</c:v>
                </c:pt>
                <c:pt idx="55">
                  <c:v>4.7407985927477594E-2</c:v>
                </c:pt>
                <c:pt idx="56">
                  <c:v>4.7036296874699686E-2</c:v>
                </c:pt>
                <c:pt idx="57">
                  <c:v>4.6021195329493315E-2</c:v>
                </c:pt>
                <c:pt idx="58">
                  <c:v>4.4456237589156442E-2</c:v>
                </c:pt>
                <c:pt idx="59">
                  <c:v>4.246542061892071E-2</c:v>
                </c:pt>
                <c:pt idx="60">
                  <c:v>4.0084728483195727E-2</c:v>
                </c:pt>
                <c:pt idx="61">
                  <c:v>3.7392822169512702E-2</c:v>
                </c:pt>
                <c:pt idx="62">
                  <c:v>3.4428595215266422E-2</c:v>
                </c:pt>
                <c:pt idx="63">
                  <c:v>3.1302223375629247E-2</c:v>
                </c:pt>
                <c:pt idx="64">
                  <c:v>2.799364421216987E-2</c:v>
                </c:pt>
                <c:pt idx="65">
                  <c:v>2.4403453317992305E-2</c:v>
                </c:pt>
                <c:pt idx="66">
                  <c:v>2.0827213784004255E-2</c:v>
                </c:pt>
                <c:pt idx="67">
                  <c:v>1.7616565262044637E-2</c:v>
                </c:pt>
                <c:pt idx="68">
                  <c:v>1.4662988252370331E-2</c:v>
                </c:pt>
                <c:pt idx="69">
                  <c:v>1.1941844494706602E-2</c:v>
                </c:pt>
                <c:pt idx="70">
                  <c:v>9.5277649652161945E-3</c:v>
                </c:pt>
                <c:pt idx="71">
                  <c:v>7.4819523454921115E-3</c:v>
                </c:pt>
                <c:pt idx="72">
                  <c:v>5.7551170927485455E-3</c:v>
                </c:pt>
                <c:pt idx="73">
                  <c:v>4.3246812346665791E-3</c:v>
                </c:pt>
                <c:pt idx="74">
                  <c:v>3.1897140851585891E-3</c:v>
                </c:pt>
                <c:pt idx="75">
                  <c:v>2.3745600728286138E-3</c:v>
                </c:pt>
                <c:pt idx="76">
                  <c:v>1.7854617196691241E-3</c:v>
                </c:pt>
                <c:pt idx="77">
                  <c:v>1.2838211663492578E-3</c:v>
                </c:pt>
                <c:pt idx="78">
                  <c:v>9.0620246088940297E-4</c:v>
                </c:pt>
                <c:pt idx="79">
                  <c:v>6.4698395305758929E-4</c:v>
                </c:pt>
                <c:pt idx="80">
                  <c:v>4.7467188322727438E-4</c:v>
                </c:pt>
                <c:pt idx="81">
                  <c:v>3.4673049994424779E-4</c:v>
                </c:pt>
                <c:pt idx="82">
                  <c:v>2.5307800631137092E-4</c:v>
                </c:pt>
                <c:pt idx="83">
                  <c:v>1.8353580591337748E-4</c:v>
                </c:pt>
                <c:pt idx="84">
                  <c:v>1.3224666523048995E-4</c:v>
                </c:pt>
                <c:pt idx="85">
                  <c:v>9.5409394830591447E-5</c:v>
                </c:pt>
                <c:pt idx="86">
                  <c:v>6.8400584970367931E-5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vl1924e!$AT$3</c:f>
              <c:strCache>
                <c:ptCount val="1"/>
                <c:pt idx="0">
                  <c:v>3000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vl1924e!$AT$4:$AT$164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2.1882144543205448E-7</c:v>
                </c:pt>
                <c:pt idx="17">
                  <c:v>3.9628119752303909E-7</c:v>
                </c:pt>
                <c:pt idx="18">
                  <c:v>8.1722952578069062E-7</c:v>
                </c:pt>
                <c:pt idx="19">
                  <c:v>1.6201787201772686E-6</c:v>
                </c:pt>
                <c:pt idx="20">
                  <c:v>3.2314445694652869E-6</c:v>
                </c:pt>
                <c:pt idx="21">
                  <c:v>5.6910412778138173E-6</c:v>
                </c:pt>
                <c:pt idx="22">
                  <c:v>1.169150689971017E-5</c:v>
                </c:pt>
                <c:pt idx="23">
                  <c:v>2.2825838831165003E-5</c:v>
                </c:pt>
                <c:pt idx="24">
                  <c:v>4.5266132953885914E-5</c:v>
                </c:pt>
                <c:pt idx="25">
                  <c:v>8.9059737288330203E-5</c:v>
                </c:pt>
                <c:pt idx="26">
                  <c:v>1.5219680262709806E-4</c:v>
                </c:pt>
                <c:pt idx="27">
                  <c:v>2.370621963955157E-4</c:v>
                </c:pt>
                <c:pt idx="28">
                  <c:v>3.4661102466542409E-4</c:v>
                </c:pt>
                <c:pt idx="29">
                  <c:v>4.797146020591192E-4</c:v>
                </c:pt>
                <c:pt idx="30">
                  <c:v>6.5207075839651034E-4</c:v>
                </c:pt>
                <c:pt idx="31">
                  <c:v>8.7623793493952714E-4</c:v>
                </c:pt>
                <c:pt idx="32">
                  <c:v>1.1629429224436255E-3</c:v>
                </c:pt>
                <c:pt idx="33">
                  <c:v>1.5179748670283938E-3</c:v>
                </c:pt>
                <c:pt idx="34">
                  <c:v>1.9769441335781342E-3</c:v>
                </c:pt>
                <c:pt idx="35">
                  <c:v>2.5837941636863366E-3</c:v>
                </c:pt>
                <c:pt idx="36">
                  <c:v>3.3630770190850867E-3</c:v>
                </c:pt>
                <c:pt idx="37">
                  <c:v>4.3107270285294656E-3</c:v>
                </c:pt>
                <c:pt idx="38">
                  <c:v>5.5660964419774967E-3</c:v>
                </c:pt>
                <c:pt idx="39">
                  <c:v>7.2605120496418204E-3</c:v>
                </c:pt>
                <c:pt idx="40">
                  <c:v>9.5016142856275149E-3</c:v>
                </c:pt>
                <c:pt idx="41">
                  <c:v>1.2535728741072253E-2</c:v>
                </c:pt>
                <c:pt idx="42">
                  <c:v>1.6175132957551335E-2</c:v>
                </c:pt>
                <c:pt idx="43">
                  <c:v>2.0407734594605549E-2</c:v>
                </c:pt>
                <c:pt idx="44">
                  <c:v>2.4826624458761527E-2</c:v>
                </c:pt>
                <c:pt idx="45">
                  <c:v>2.8867773801429499E-2</c:v>
                </c:pt>
                <c:pt idx="46">
                  <c:v>3.2612688598337991E-2</c:v>
                </c:pt>
                <c:pt idx="47">
                  <c:v>3.5939494281363116E-2</c:v>
                </c:pt>
                <c:pt idx="48">
                  <c:v>3.8870757785735531E-2</c:v>
                </c:pt>
                <c:pt idx="49">
                  <c:v>4.1381980043472502E-2</c:v>
                </c:pt>
                <c:pt idx="50">
                  <c:v>4.3468121529883871E-2</c:v>
                </c:pt>
                <c:pt idx="51">
                  <c:v>4.5169031927225815E-2</c:v>
                </c:pt>
                <c:pt idx="52">
                  <c:v>4.6419708300197232E-2</c:v>
                </c:pt>
                <c:pt idx="53">
                  <c:v>4.7108959623464709E-2</c:v>
                </c:pt>
                <c:pt idx="54">
                  <c:v>4.7244061688707123E-2</c:v>
                </c:pt>
                <c:pt idx="55">
                  <c:v>4.6788408749927637E-2</c:v>
                </c:pt>
                <c:pt idx="56">
                  <c:v>4.5759417020515579E-2</c:v>
                </c:pt>
                <c:pt idx="57">
                  <c:v>4.4144124495230003E-2</c:v>
                </c:pt>
                <c:pt idx="58">
                  <c:v>4.2055202548323213E-2</c:v>
                </c:pt>
                <c:pt idx="59">
                  <c:v>3.9627457443837513E-2</c:v>
                </c:pt>
                <c:pt idx="60">
                  <c:v>3.6907335627771119E-2</c:v>
                </c:pt>
                <c:pt idx="61">
                  <c:v>3.3977524520614137E-2</c:v>
                </c:pt>
                <c:pt idx="62">
                  <c:v>3.0880686384955666E-2</c:v>
                </c:pt>
                <c:pt idx="63">
                  <c:v>2.7720375159631348E-2</c:v>
                </c:pt>
                <c:pt idx="64">
                  <c:v>2.4481021882424219E-2</c:v>
                </c:pt>
                <c:pt idx="65">
                  <c:v>2.107925933515457E-2</c:v>
                </c:pt>
                <c:pt idx="66">
                  <c:v>1.7772760442088201E-2</c:v>
                </c:pt>
                <c:pt idx="67">
                  <c:v>1.4854166608430192E-2</c:v>
                </c:pt>
                <c:pt idx="68">
                  <c:v>1.2218970770684789E-2</c:v>
                </c:pt>
                <c:pt idx="69">
                  <c:v>9.8366789227848569E-3</c:v>
                </c:pt>
                <c:pt idx="70">
                  <c:v>7.7590955077687469E-3</c:v>
                </c:pt>
                <c:pt idx="71">
                  <c:v>6.0249610092443289E-3</c:v>
                </c:pt>
                <c:pt idx="72">
                  <c:v>4.583394646876994E-3</c:v>
                </c:pt>
                <c:pt idx="73">
                  <c:v>3.4068566270515164E-3</c:v>
                </c:pt>
                <c:pt idx="74">
                  <c:v>2.4859331334694218E-3</c:v>
                </c:pt>
                <c:pt idx="75">
                  <c:v>1.831169205356555E-3</c:v>
                </c:pt>
                <c:pt idx="76">
                  <c:v>1.3626102854233787E-3</c:v>
                </c:pt>
                <c:pt idx="77">
                  <c:v>9.6976868056578328E-4</c:v>
                </c:pt>
                <c:pt idx="78">
                  <c:v>6.7763624510089381E-4</c:v>
                </c:pt>
                <c:pt idx="79">
                  <c:v>4.7900113038810906E-4</c:v>
                </c:pt>
                <c:pt idx="80">
                  <c:v>3.479931490186344E-4</c:v>
                </c:pt>
                <c:pt idx="81">
                  <c:v>2.5174716776244014E-4</c:v>
                </c:pt>
                <c:pt idx="82">
                  <c:v>1.8200454721485184E-4</c:v>
                </c:pt>
                <c:pt idx="83">
                  <c:v>1.3075629527247045E-4</c:v>
                </c:pt>
                <c:pt idx="84">
                  <c:v>9.334648720619963E-5</c:v>
                </c:pt>
                <c:pt idx="85">
                  <c:v>6.6731692205281018E-5</c:v>
                </c:pt>
                <c:pt idx="86">
                  <c:v>4.7411502502762786E-5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vl1924e!$AU$3</c:f>
              <c:strCache>
                <c:ptCount val="1"/>
                <c:pt idx="0">
                  <c:v>3500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vl1924e!$AU$4:$AU$164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3.9572508905733633E-7</c:v>
                </c:pt>
                <c:pt idx="17">
                  <c:v>7.0006624462485666E-7</c:v>
                </c:pt>
                <c:pt idx="18">
                  <c:v>1.4111479622189407E-6</c:v>
                </c:pt>
                <c:pt idx="19">
                  <c:v>2.7361205867777608E-6</c:v>
                </c:pt>
                <c:pt idx="20">
                  <c:v>5.3401616365271089E-6</c:v>
                </c:pt>
                <c:pt idx="21">
                  <c:v>9.2080454203688708E-6</c:v>
                </c:pt>
                <c:pt idx="22">
                  <c:v>1.8530553037388461E-5</c:v>
                </c:pt>
                <c:pt idx="23">
                  <c:v>3.5457072286142271E-5</c:v>
                </c:pt>
                <c:pt idx="24">
                  <c:v>6.8947118325496647E-5</c:v>
                </c:pt>
                <c:pt idx="25">
                  <c:v>1.3307355493712573E-4</c:v>
                </c:pt>
                <c:pt idx="26">
                  <c:v>2.2319143974526472E-4</c:v>
                </c:pt>
                <c:pt idx="27">
                  <c:v>3.4133696571676575E-4</c:v>
                </c:pt>
                <c:pt idx="28">
                  <c:v>4.9022267712204876E-4</c:v>
                </c:pt>
                <c:pt idx="29">
                  <c:v>6.6671293013497248E-4</c:v>
                </c:pt>
                <c:pt idx="30">
                  <c:v>8.9089121796939784E-4</c:v>
                </c:pt>
                <c:pt idx="31">
                  <c:v>1.1773065525774676E-3</c:v>
                </c:pt>
                <c:pt idx="32">
                  <c:v>1.5371692882525897E-3</c:v>
                </c:pt>
                <c:pt idx="33">
                  <c:v>1.9745894727293944E-3</c:v>
                </c:pt>
                <c:pt idx="34">
                  <c:v>2.5316510949364283E-3</c:v>
                </c:pt>
                <c:pt idx="35">
                  <c:v>3.2584285958866767E-3</c:v>
                </c:pt>
                <c:pt idx="36">
                  <c:v>4.1779871854712401E-3</c:v>
                </c:pt>
                <c:pt idx="37">
                  <c:v>5.2771043303393595E-3</c:v>
                </c:pt>
                <c:pt idx="38">
                  <c:v>6.716476800228125E-3</c:v>
                </c:pt>
                <c:pt idx="39">
                  <c:v>8.6383441672229985E-3</c:v>
                </c:pt>
                <c:pt idx="40">
                  <c:v>1.1149519565655745E-2</c:v>
                </c:pt>
                <c:pt idx="41">
                  <c:v>1.4511866043707756E-2</c:v>
                </c:pt>
                <c:pt idx="42">
                  <c:v>1.847788988781288E-2</c:v>
                </c:pt>
                <c:pt idx="43">
                  <c:v>2.3011383152076986E-2</c:v>
                </c:pt>
                <c:pt idx="44">
                  <c:v>2.7638747449008232E-2</c:v>
                </c:pt>
                <c:pt idx="45">
                  <c:v>3.1737519271577877E-2</c:v>
                </c:pt>
                <c:pt idx="46">
                  <c:v>3.541673729651329E-2</c:v>
                </c:pt>
                <c:pt idx="47">
                  <c:v>3.8561734475247945E-2</c:v>
                </c:pt>
                <c:pt idx="48">
                  <c:v>4.121619357067461E-2</c:v>
                </c:pt>
                <c:pt idx="49">
                  <c:v>4.3372192455262755E-2</c:v>
                </c:pt>
                <c:pt idx="50">
                  <c:v>4.5042097952137927E-2</c:v>
                </c:pt>
                <c:pt idx="51">
                  <c:v>4.628348673794247E-2</c:v>
                </c:pt>
                <c:pt idx="52">
                  <c:v>4.7044924348539713E-2</c:v>
                </c:pt>
                <c:pt idx="53">
                  <c:v>4.7230679561871998E-2</c:v>
                </c:pt>
                <c:pt idx="54">
                  <c:v>4.6866361125755401E-2</c:v>
                </c:pt>
                <c:pt idx="55">
                  <c:v>4.5933176117661581E-2</c:v>
                </c:pt>
                <c:pt idx="56">
                  <c:v>4.4465346189581922E-2</c:v>
                </c:pt>
                <c:pt idx="57">
                  <c:v>4.2466248624200537E-2</c:v>
                </c:pt>
                <c:pt idx="58">
                  <c:v>4.0058564710427673E-2</c:v>
                </c:pt>
                <c:pt idx="59">
                  <c:v>3.7380881090261595E-2</c:v>
                </c:pt>
                <c:pt idx="60">
                  <c:v>3.4483781957806756E-2</c:v>
                </c:pt>
                <c:pt idx="61">
                  <c:v>3.1449392292240003E-2</c:v>
                </c:pt>
                <c:pt idx="62">
                  <c:v>2.8320020581064864E-2</c:v>
                </c:pt>
                <c:pt idx="63">
                  <c:v>2.519172791069247E-2</c:v>
                </c:pt>
                <c:pt idx="64">
                  <c:v>2.2049826990344076E-2</c:v>
                </c:pt>
                <c:pt idx="65">
                  <c:v>1.8819618248676773E-2</c:v>
                </c:pt>
                <c:pt idx="66">
                  <c:v>1.5730832803630121E-2</c:v>
                </c:pt>
                <c:pt idx="67">
                  <c:v>1.3036067378099874E-2</c:v>
                </c:pt>
                <c:pt idx="68">
                  <c:v>1.0633913707069441E-2</c:v>
                </c:pt>
                <c:pt idx="69">
                  <c:v>8.490330131330796E-3</c:v>
                </c:pt>
                <c:pt idx="70">
                  <c:v>6.642947567408704E-3</c:v>
                </c:pt>
                <c:pt idx="71">
                  <c:v>5.1172003021589321E-3</c:v>
                </c:pt>
                <c:pt idx="72">
                  <c:v>3.8623128993399429E-3</c:v>
                </c:pt>
                <c:pt idx="73">
                  <c:v>2.8487114994102361E-3</c:v>
                </c:pt>
                <c:pt idx="74">
                  <c:v>2.0628597084162833E-3</c:v>
                </c:pt>
                <c:pt idx="75">
                  <c:v>1.508149772974502E-3</c:v>
                </c:pt>
                <c:pt idx="76">
                  <c:v>1.1139672529621376E-3</c:v>
                </c:pt>
                <c:pt idx="77">
                  <c:v>7.8704876314149449E-4</c:v>
                </c:pt>
                <c:pt idx="78">
                  <c:v>5.4602153665966391E-4</c:v>
                </c:pt>
                <c:pt idx="79">
                  <c:v>3.8324392447188697E-4</c:v>
                </c:pt>
                <c:pt idx="80">
                  <c:v>2.7649036115514675E-4</c:v>
                </c:pt>
                <c:pt idx="81">
                  <c:v>1.9864995936246183E-4</c:v>
                </c:pt>
                <c:pt idx="82">
                  <c:v>1.4264738661126514E-4</c:v>
                </c:pt>
                <c:pt idx="83">
                  <c:v>1.0179913774217852E-4</c:v>
                </c:pt>
                <c:pt idx="84">
                  <c:v>7.2197263105199194E-5</c:v>
                </c:pt>
                <c:pt idx="85">
                  <c:v>5.1278659652377636E-5</c:v>
                </c:pt>
                <c:pt idx="86">
                  <c:v>3.620009469459796E-5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vl1924e!$AV$3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vl1924e!$AV$4:$AV$164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6.1357973334941422E-7</c:v>
                </c:pt>
                <c:pt idx="17">
                  <c:v>1.0665785123050594E-6</c:v>
                </c:pt>
                <c:pt idx="18">
                  <c:v>2.1134810590349547E-6</c:v>
                </c:pt>
                <c:pt idx="19">
                  <c:v>4.0301535060974974E-6</c:v>
                </c:pt>
                <c:pt idx="20">
                  <c:v>7.7389617257572092E-6</c:v>
                </c:pt>
                <c:pt idx="21">
                  <c:v>1.3134465205929851E-5</c:v>
                </c:pt>
                <c:pt idx="22">
                  <c:v>2.6026652169723811E-5</c:v>
                </c:pt>
                <c:pt idx="23">
                  <c:v>4.9054637450692019E-5</c:v>
                </c:pt>
                <c:pt idx="24">
                  <c:v>9.3993345009468009E-5</c:v>
                </c:pt>
                <c:pt idx="25">
                  <c:v>1.7882472136302171E-4</c:v>
                </c:pt>
                <c:pt idx="26">
                  <c:v>2.9574262912996865E-4</c:v>
                </c:pt>
                <c:pt idx="27">
                  <c:v>4.4612966807061779E-4</c:v>
                </c:pt>
                <c:pt idx="28">
                  <c:v>6.3219140104638094E-4</c:v>
                </c:pt>
                <c:pt idx="29">
                  <c:v>8.4859981997237148E-4</c:v>
                </c:pt>
                <c:pt idx="30">
                  <c:v>1.1195016020785998E-3</c:v>
                </c:pt>
                <c:pt idx="31">
                  <c:v>1.4609943648572468E-3</c:v>
                </c:pt>
                <c:pt idx="32">
                  <c:v>1.8843370709391947E-3</c:v>
                </c:pt>
                <c:pt idx="33">
                  <c:v>2.3917004906524185E-3</c:v>
                </c:pt>
                <c:pt idx="34">
                  <c:v>3.0306684883346308E-3</c:v>
                </c:pt>
                <c:pt idx="35">
                  <c:v>3.8561633988410371E-3</c:v>
                </c:pt>
                <c:pt idx="36">
                  <c:v>4.8891307214387622E-3</c:v>
                </c:pt>
                <c:pt idx="37">
                  <c:v>6.1077187742384145E-3</c:v>
                </c:pt>
                <c:pt idx="38">
                  <c:v>7.6902787230827864E-3</c:v>
                </c:pt>
                <c:pt idx="39">
                  <c:v>9.7868679030454712E-3</c:v>
                </c:pt>
                <c:pt idx="40">
                  <c:v>1.2501860758126489E-2</c:v>
                </c:pt>
                <c:pt idx="41">
                  <c:v>1.6107826436774941E-2</c:v>
                </c:pt>
                <c:pt idx="42">
                  <c:v>2.0307128375283059E-2</c:v>
                </c:pt>
                <c:pt idx="43">
                  <c:v>2.5044138157898594E-2</c:v>
                </c:pt>
                <c:pt idx="44">
                  <c:v>2.9794170887717061E-2</c:v>
                </c:pt>
                <c:pt idx="45">
                  <c:v>3.3893430770030389E-2</c:v>
                </c:pt>
                <c:pt idx="46">
                  <c:v>3.7476454798570612E-2</c:v>
                </c:pt>
                <c:pt idx="47">
                  <c:v>4.0437988432760426E-2</c:v>
                </c:pt>
                <c:pt idx="48">
                  <c:v>4.2840788951634255E-2</c:v>
                </c:pt>
                <c:pt idx="49">
                  <c:v>4.4691930487072533E-2</c:v>
                </c:pt>
                <c:pt idx="50">
                  <c:v>4.6018678858949613E-2</c:v>
                </c:pt>
                <c:pt idx="51">
                  <c:v>4.6892909893985965E-2</c:v>
                </c:pt>
                <c:pt idx="52">
                  <c:v>4.7274338272957732E-2</c:v>
                </c:pt>
                <c:pt idx="53">
                  <c:v>4.7079594223671944E-2</c:v>
                </c:pt>
                <c:pt idx="54">
                  <c:v>4.6347699237337704E-2</c:v>
                </c:pt>
                <c:pt idx="55">
                  <c:v>4.5072623452085459E-2</c:v>
                </c:pt>
                <c:pt idx="56">
                  <c:v>4.3299899219901669E-2</c:v>
                </c:pt>
                <c:pt idx="57">
                  <c:v>4.1043641274423281E-2</c:v>
                </c:pt>
                <c:pt idx="58">
                  <c:v>3.8431791225054433E-2</c:v>
                </c:pt>
                <c:pt idx="59">
                  <c:v>3.5603534085996223E-2</c:v>
                </c:pt>
                <c:pt idx="60">
                  <c:v>3.261072991763761E-2</c:v>
                </c:pt>
                <c:pt idx="61">
                  <c:v>2.9533325330403169E-2</c:v>
                </c:pt>
                <c:pt idx="62">
                  <c:v>2.6411876508836397E-2</c:v>
                </c:pt>
                <c:pt idx="63">
                  <c:v>2.3335610275970944E-2</c:v>
                </c:pt>
                <c:pt idx="64">
                  <c:v>2.0289466470276241E-2</c:v>
                </c:pt>
                <c:pt idx="65">
                  <c:v>1.720394539932148E-2</c:v>
                </c:pt>
                <c:pt idx="66">
                  <c:v>1.4287861158586875E-2</c:v>
                </c:pt>
                <c:pt idx="67">
                  <c:v>1.1765374008483665E-2</c:v>
                </c:pt>
                <c:pt idx="68">
                  <c:v>9.5376248243900421E-3</c:v>
                </c:pt>
                <c:pt idx="69">
                  <c:v>7.5683804415420265E-3</c:v>
                </c:pt>
                <c:pt idx="70">
                  <c:v>5.8858989803624419E-3</c:v>
                </c:pt>
                <c:pt idx="71">
                  <c:v>4.5071225982440547E-3</c:v>
                </c:pt>
                <c:pt idx="72">
                  <c:v>3.3819706263072788E-3</c:v>
                </c:pt>
                <c:pt idx="73">
                  <c:v>2.4800807170412315E-3</c:v>
                </c:pt>
                <c:pt idx="74">
                  <c:v>1.7857501137088449E-3</c:v>
                </c:pt>
                <c:pt idx="75">
                  <c:v>1.2982757385329546E-3</c:v>
                </c:pt>
                <c:pt idx="76">
                  <c:v>9.5368153549867866E-4</c:v>
                </c:pt>
                <c:pt idx="77">
                  <c:v>6.7015811443400667E-4</c:v>
                </c:pt>
                <c:pt idx="78">
                  <c:v>4.6245079909966756E-4</c:v>
                </c:pt>
                <c:pt idx="79">
                  <c:v>3.2288349059845085E-4</c:v>
                </c:pt>
                <c:pt idx="80">
                  <c:v>2.3173909208189041E-4</c:v>
                </c:pt>
                <c:pt idx="81">
                  <c:v>1.6564936023689985E-4</c:v>
                </c:pt>
                <c:pt idx="82">
                  <c:v>1.183530947782521E-4</c:v>
                </c:pt>
                <c:pt idx="83">
                  <c:v>8.4043916253376713E-5</c:v>
                </c:pt>
                <c:pt idx="84">
                  <c:v>5.9314450256258813E-5</c:v>
                </c:pt>
                <c:pt idx="85">
                  <c:v>4.1926113552146715E-5</c:v>
                </c:pt>
                <c:pt idx="86">
                  <c:v>2.9457491869732372E-5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vl1924e!$AW$3</c:f>
              <c:strCache>
                <c:ptCount val="1"/>
                <c:pt idx="0">
                  <c:v>4500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vl1924e!$AW$4:$AW$164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8.5959773446550541E-7</c:v>
                </c:pt>
                <c:pt idx="17">
                  <c:v>1.4739808428445509E-6</c:v>
                </c:pt>
                <c:pt idx="18">
                  <c:v>2.8822041099087703E-6</c:v>
                </c:pt>
                <c:pt idx="19">
                  <c:v>5.4252802889710725E-6</c:v>
                </c:pt>
                <c:pt idx="20">
                  <c:v>1.0287240582149422E-5</c:v>
                </c:pt>
                <c:pt idx="21">
                  <c:v>1.7245682584768976E-5</c:v>
                </c:pt>
                <c:pt idx="22">
                  <c:v>3.3765201499738877E-5</c:v>
                </c:pt>
                <c:pt idx="23">
                  <c:v>6.2898558855189657E-5</c:v>
                </c:pt>
                <c:pt idx="24">
                  <c:v>1.1914871972626379E-4</c:v>
                </c:pt>
                <c:pt idx="25">
                  <c:v>2.2416575943489184E-4</c:v>
                </c:pt>
                <c:pt idx="26">
                  <c:v>3.6670667704903067E-4</c:v>
                </c:pt>
                <c:pt idx="27">
                  <c:v>5.4731708384049723E-4</c:v>
                </c:pt>
                <c:pt idx="28">
                  <c:v>7.6754815101627333E-4</c:v>
                </c:pt>
                <c:pt idx="29">
                  <c:v>1.0198627348471773E-3</c:v>
                </c:pt>
                <c:pt idx="30">
                  <c:v>1.3321234197593624E-3</c:v>
                </c:pt>
                <c:pt idx="31">
                  <c:v>1.72165140547603E-3</c:v>
                </c:pt>
                <c:pt idx="32">
                  <c:v>2.1995057223705666E-3</c:v>
                </c:pt>
                <c:pt idx="33">
                  <c:v>2.7658781709716221E-3</c:v>
                </c:pt>
                <c:pt idx="34">
                  <c:v>3.4730539509361474E-3</c:v>
                </c:pt>
                <c:pt idx="35">
                  <c:v>4.3798551060375305E-3</c:v>
                </c:pt>
                <c:pt idx="36">
                  <c:v>5.5048939578245682E-3</c:v>
                </c:pt>
                <c:pt idx="37">
                  <c:v>6.8184963393779306E-3</c:v>
                </c:pt>
                <c:pt idx="38">
                  <c:v>8.5137484802566867E-3</c:v>
                </c:pt>
                <c:pt idx="39">
                  <c:v>1.0746479238476117E-2</c:v>
                </c:pt>
                <c:pt idx="40">
                  <c:v>1.361799772764043E-2</c:v>
                </c:pt>
                <c:pt idx="41">
                  <c:v>1.7408522949640848E-2</c:v>
                </c:pt>
                <c:pt idx="42">
                  <c:v>2.1778507027807183E-2</c:v>
                </c:pt>
                <c:pt idx="43">
                  <c:v>2.665671042206303E-2</c:v>
                </c:pt>
                <c:pt idx="44">
                  <c:v>3.1478717002054894E-2</c:v>
                </c:pt>
                <c:pt idx="45">
                  <c:v>3.5550775287724913E-2</c:v>
                </c:pt>
                <c:pt idx="46">
                  <c:v>3.9030192902986413E-2</c:v>
                </c:pt>
                <c:pt idx="47">
                  <c:v>4.1821493627732152E-2</c:v>
                </c:pt>
                <c:pt idx="48">
                  <c:v>4.4004063508099031E-2</c:v>
                </c:pt>
                <c:pt idx="49">
                  <c:v>4.5597993622315217E-2</c:v>
                </c:pt>
                <c:pt idx="50">
                  <c:v>4.6643005581942419E-2</c:v>
                </c:pt>
                <c:pt idx="51">
                  <c:v>4.722243131146981E-2</c:v>
                </c:pt>
                <c:pt idx="52">
                  <c:v>4.7304996640969231E-2</c:v>
                </c:pt>
                <c:pt idx="53">
                  <c:v>4.6817145917124672E-2</c:v>
                </c:pt>
                <c:pt idx="54">
                  <c:v>4.5807863410917443E-2</c:v>
                </c:pt>
                <c:pt idx="55">
                  <c:v>4.4280450720827369E-2</c:v>
                </c:pt>
                <c:pt idx="56">
                  <c:v>4.228826960285114E-2</c:v>
                </c:pt>
                <c:pt idx="57">
                  <c:v>3.9852728818476561E-2</c:v>
                </c:pt>
                <c:pt idx="58">
                  <c:v>3.7104462327840204E-2</c:v>
                </c:pt>
                <c:pt idx="59">
                  <c:v>3.4181809296826501E-2</c:v>
                </c:pt>
                <c:pt idx="60">
                  <c:v>3.1136579639528802E-2</c:v>
                </c:pt>
                <c:pt idx="61">
                  <c:v>2.8046080561115603E-2</c:v>
                </c:pt>
                <c:pt idx="62">
                  <c:v>2.4948735189307895E-2</c:v>
                </c:pt>
                <c:pt idx="63">
                  <c:v>2.1927894232181628E-2</c:v>
                </c:pt>
                <c:pt idx="64">
                  <c:v>1.8967713930802686E-2</c:v>
                </c:pt>
                <c:pt idx="65">
                  <c:v>1.6002072237918784E-2</c:v>
                </c:pt>
                <c:pt idx="66">
                  <c:v>1.3223777486437684E-2</c:v>
                </c:pt>
                <c:pt idx="67">
                  <c:v>1.0836016947640664E-2</c:v>
                </c:pt>
                <c:pt idx="68">
                  <c:v>8.742073719040247E-3</c:v>
                </c:pt>
                <c:pt idx="69">
                  <c:v>6.9043268752610014E-3</c:v>
                </c:pt>
                <c:pt idx="70">
                  <c:v>5.3445168373875366E-3</c:v>
                </c:pt>
                <c:pt idx="71">
                  <c:v>4.0738461150840949E-3</c:v>
                </c:pt>
                <c:pt idx="72">
                  <c:v>3.0431005500986164E-3</c:v>
                </c:pt>
                <c:pt idx="73">
                  <c:v>2.2216949296929734E-3</c:v>
                </c:pt>
                <c:pt idx="74">
                  <c:v>1.5927281678702382E-3</c:v>
                </c:pt>
                <c:pt idx="75">
                  <c:v>1.1529748806780177E-3</c:v>
                </c:pt>
                <c:pt idx="76">
                  <c:v>8.4336801531799974E-4</c:v>
                </c:pt>
                <c:pt idx="77">
                  <c:v>5.9017413309168346E-4</c:v>
                </c:pt>
                <c:pt idx="78">
                  <c:v>4.0558813610940496E-4</c:v>
                </c:pt>
                <c:pt idx="79">
                  <c:v>2.8203918716175597E-4</c:v>
                </c:pt>
                <c:pt idx="80">
                  <c:v>2.0161987139201561E-4</c:v>
                </c:pt>
                <c:pt idx="81">
                  <c:v>1.4355560832404705E-4</c:v>
                </c:pt>
                <c:pt idx="82">
                  <c:v>1.0217197646760467E-4</c:v>
                </c:pt>
                <c:pt idx="83">
                  <c:v>7.2277830606213488E-5</c:v>
                </c:pt>
                <c:pt idx="84">
                  <c:v>5.0819495518156417E-5</c:v>
                </c:pt>
                <c:pt idx="85">
                  <c:v>3.5788979727841739E-5</c:v>
                </c:pt>
                <c:pt idx="86">
                  <c:v>2.5054095028497862E-5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vl1924e!$AX$3</c:f>
              <c:strCache>
                <c:ptCount val="1"/>
                <c:pt idx="0">
                  <c:v>5225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vl1924e!$AX$4:$AX$164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1.2434769568120618E-6</c:v>
                </c:pt>
                <c:pt idx="17">
                  <c:v>2.100240330963753E-6</c:v>
                </c:pt>
                <c:pt idx="18">
                  <c:v>4.0467518322990862E-6</c:v>
                </c:pt>
                <c:pt idx="19">
                  <c:v>7.508830942090734E-6</c:v>
                </c:pt>
                <c:pt idx="20">
                  <c:v>1.4040252146569648E-5</c:v>
                </c:pt>
                <c:pt idx="21">
                  <c:v>2.3218494367477368E-5</c:v>
                </c:pt>
                <c:pt idx="22">
                  <c:v>4.4858729617227824E-5</c:v>
                </c:pt>
                <c:pt idx="23">
                  <c:v>8.2486591984835144E-5</c:v>
                </c:pt>
                <c:pt idx="24">
                  <c:v>1.5428837148921446E-4</c:v>
                </c:pt>
                <c:pt idx="25">
                  <c:v>2.8671182671106342E-4</c:v>
                </c:pt>
                <c:pt idx="26">
                  <c:v>4.6339838069120562E-4</c:v>
                </c:pt>
                <c:pt idx="27">
                  <c:v>6.8352844637994449E-4</c:v>
                </c:pt>
                <c:pt idx="28">
                  <c:v>9.4759667224172972E-4</c:v>
                </c:pt>
                <c:pt idx="29">
                  <c:v>1.2450144925424014E-3</c:v>
                </c:pt>
                <c:pt idx="30">
                  <c:v>1.6084318015154259E-3</c:v>
                </c:pt>
                <c:pt idx="31">
                  <c:v>2.056534662774865E-3</c:v>
                </c:pt>
                <c:pt idx="32">
                  <c:v>2.5998734720028126E-3</c:v>
                </c:pt>
                <c:pt idx="33">
                  <c:v>3.2359131121377322E-3</c:v>
                </c:pt>
                <c:pt idx="34">
                  <c:v>4.0226222572043707E-3</c:v>
                </c:pt>
                <c:pt idx="35">
                  <c:v>5.0232591983012951E-3</c:v>
                </c:pt>
                <c:pt idx="36">
                  <c:v>6.2530835276488677E-3</c:v>
                </c:pt>
                <c:pt idx="37">
                  <c:v>7.6725872619587913E-3</c:v>
                </c:pt>
                <c:pt idx="38">
                  <c:v>9.4922211654277187E-3</c:v>
                </c:pt>
                <c:pt idx="39">
                  <c:v>1.1873816646560289E-2</c:v>
                </c:pt>
                <c:pt idx="40">
                  <c:v>1.491404076199683E-2</c:v>
                </c:pt>
                <c:pt idx="41">
                  <c:v>1.8900809041646181E-2</c:v>
                </c:pt>
                <c:pt idx="42">
                  <c:v>2.344548225927124E-2</c:v>
                </c:pt>
                <c:pt idx="43">
                  <c:v>2.8459300657858788E-2</c:v>
                </c:pt>
                <c:pt idx="44">
                  <c:v>3.3334442857478948E-2</c:v>
                </c:pt>
                <c:pt idx="45">
                  <c:v>3.7346821110715273E-2</c:v>
                </c:pt>
                <c:pt idx="46">
                  <c:v>4.0681933034085127E-2</c:v>
                </c:pt>
                <c:pt idx="47">
                  <c:v>4.3257637006959691E-2</c:v>
                </c:pt>
                <c:pt idx="48">
                  <c:v>4.5173386344740663E-2</c:v>
                </c:pt>
                <c:pt idx="49">
                  <c:v>4.6464868178594215E-2</c:v>
                </c:pt>
                <c:pt idx="50">
                  <c:v>4.7186246337356914E-2</c:v>
                </c:pt>
                <c:pt idx="51">
                  <c:v>4.743363060152312E-2</c:v>
                </c:pt>
                <c:pt idx="52">
                  <c:v>4.7185850569885307E-2</c:v>
                </c:pt>
                <c:pt idx="53">
                  <c:v>4.6380195133037032E-2</c:v>
                </c:pt>
                <c:pt idx="54">
                  <c:v>4.5075981752073883E-2</c:v>
                </c:pt>
                <c:pt idx="55">
                  <c:v>4.3286050357638543E-2</c:v>
                </c:pt>
                <c:pt idx="56">
                  <c:v>4.1071304382378521E-2</c:v>
                </c:pt>
                <c:pt idx="57">
                  <c:v>3.8460052005780752E-2</c:v>
                </c:pt>
                <c:pt idx="58">
                  <c:v>3.5584466822084673E-2</c:v>
                </c:pt>
                <c:pt idx="59">
                  <c:v>3.258066529542495E-2</c:v>
                </c:pt>
                <c:pt idx="60">
                  <c:v>2.9499405186582724E-2</c:v>
                </c:pt>
                <c:pt idx="61">
                  <c:v>2.6414214936865431E-2</c:v>
                </c:pt>
                <c:pt idx="62">
                  <c:v>2.3360484346191548E-2</c:v>
                </c:pt>
                <c:pt idx="63">
                  <c:v>2.0414631329612229E-2</c:v>
                </c:pt>
                <c:pt idx="64">
                  <c:v>1.7559550200013253E-2</c:v>
                </c:pt>
                <c:pt idx="65">
                  <c:v>1.4732276787437368E-2</c:v>
                </c:pt>
                <c:pt idx="66">
                  <c:v>1.2108348322534775E-2</c:v>
                </c:pt>
                <c:pt idx="67">
                  <c:v>9.8690263695869491E-3</c:v>
                </c:pt>
                <c:pt idx="68">
                  <c:v>7.9201419785066788E-3</c:v>
                </c:pt>
                <c:pt idx="69">
                  <c:v>6.2228800311117678E-3</c:v>
                </c:pt>
                <c:pt idx="70">
                  <c:v>4.79255339808501E-3</c:v>
                </c:pt>
                <c:pt idx="71">
                  <c:v>3.6348589273940942E-3</c:v>
                </c:pt>
                <c:pt idx="72">
                  <c:v>2.7018352115366572E-3</c:v>
                </c:pt>
                <c:pt idx="73">
                  <c:v>1.9630030993348772E-3</c:v>
                </c:pt>
                <c:pt idx="74">
                  <c:v>1.4005733249016891E-3</c:v>
                </c:pt>
                <c:pt idx="75">
                  <c:v>1.0091240059708249E-3</c:v>
                </c:pt>
                <c:pt idx="76">
                  <c:v>7.3474132651866347E-4</c:v>
                </c:pt>
                <c:pt idx="77">
                  <c:v>5.1182512767876983E-4</c:v>
                </c:pt>
                <c:pt idx="78">
                  <c:v>3.5017208524175554E-4</c:v>
                </c:pt>
                <c:pt idx="79">
                  <c:v>2.4243240491924773E-4</c:v>
                </c:pt>
                <c:pt idx="80">
                  <c:v>1.7255554739880802E-4</c:v>
                </c:pt>
                <c:pt idx="81">
                  <c:v>1.2233731496271333E-4</c:v>
                </c:pt>
                <c:pt idx="82">
                  <c:v>8.670456465168793E-5</c:v>
                </c:pt>
                <c:pt idx="83">
                  <c:v>6.1082143001105514E-5</c:v>
                </c:pt>
                <c:pt idx="84">
                  <c:v>4.2772586973019482E-5</c:v>
                </c:pt>
                <c:pt idx="85">
                  <c:v>3.0001084690053103E-5</c:v>
                </c:pt>
                <c:pt idx="86">
                  <c:v>2.091918400144017E-5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vl1924e!$AY$3</c:f>
              <c:strCache>
                <c:ptCount val="1"/>
                <c:pt idx="0">
                  <c:v>5500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vl1924e!$AY$4:$AY$164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1.3925738933694242E-6</c:v>
                </c:pt>
                <c:pt idx="17">
                  <c:v>2.3410841165423064E-6</c:v>
                </c:pt>
                <c:pt idx="18">
                  <c:v>4.4902970650051227E-6</c:v>
                </c:pt>
                <c:pt idx="19">
                  <c:v>8.2949215347119129E-6</c:v>
                </c:pt>
                <c:pt idx="20">
                  <c:v>1.544313292221864E-5</c:v>
                </c:pt>
                <c:pt idx="21">
                  <c:v>2.5430939407342702E-5</c:v>
                </c:pt>
                <c:pt idx="22">
                  <c:v>4.8931526185199351E-5</c:v>
                </c:pt>
                <c:pt idx="23">
                  <c:v>8.9615383139436967E-5</c:v>
                </c:pt>
                <c:pt idx="24">
                  <c:v>1.6696761323842628E-4</c:v>
                </c:pt>
                <c:pt idx="25">
                  <c:v>3.0909034597708648E-4</c:v>
                </c:pt>
                <c:pt idx="26">
                  <c:v>4.9770806387051557E-4</c:v>
                </c:pt>
                <c:pt idx="27">
                  <c:v>7.3146793342594035E-4</c:v>
                </c:pt>
                <c:pt idx="28">
                  <c:v>1.0104566291225896E-3</c:v>
                </c:pt>
                <c:pt idx="29">
                  <c:v>1.3229995682380938E-3</c:v>
                </c:pt>
                <c:pt idx="30">
                  <c:v>1.7033881186480375E-3</c:v>
                </c:pt>
                <c:pt idx="31">
                  <c:v>2.170731278257947E-3</c:v>
                </c:pt>
                <c:pt idx="32">
                  <c:v>2.7353546287810244E-3</c:v>
                </c:pt>
                <c:pt idx="33">
                  <c:v>3.3937588193710191E-3</c:v>
                </c:pt>
                <c:pt idx="34">
                  <c:v>4.2057784410428319E-3</c:v>
                </c:pt>
                <c:pt idx="35">
                  <c:v>5.2360660310277387E-3</c:v>
                </c:pt>
                <c:pt idx="36">
                  <c:v>6.4986719411806899E-3</c:v>
                </c:pt>
                <c:pt idx="37">
                  <c:v>7.9507972536792936E-3</c:v>
                </c:pt>
                <c:pt idx="38">
                  <c:v>9.8084846712544749E-3</c:v>
                </c:pt>
                <c:pt idx="39">
                  <c:v>1.2235327594144729E-2</c:v>
                </c:pt>
                <c:pt idx="40">
                  <c:v>1.532628801618291E-2</c:v>
                </c:pt>
                <c:pt idx="41">
                  <c:v>1.9371484570556503E-2</c:v>
                </c:pt>
                <c:pt idx="42">
                  <c:v>2.3966592092159136E-2</c:v>
                </c:pt>
                <c:pt idx="43">
                  <c:v>2.9017434138499016E-2</c:v>
                </c:pt>
                <c:pt idx="44">
                  <c:v>3.3902994767950972E-2</c:v>
                </c:pt>
                <c:pt idx="45">
                  <c:v>3.7890501786100594E-2</c:v>
                </c:pt>
                <c:pt idx="46">
                  <c:v>4.117478260810107E-2</c:v>
                </c:pt>
                <c:pt idx="47">
                  <c:v>4.3678339865648154E-2</c:v>
                </c:pt>
                <c:pt idx="48">
                  <c:v>4.5507144797330409E-2</c:v>
                </c:pt>
                <c:pt idx="49">
                  <c:v>4.670191874000585E-2</c:v>
                </c:pt>
                <c:pt idx="50">
                  <c:v>4.7321386269645327E-2</c:v>
                </c:pt>
                <c:pt idx="51">
                  <c:v>4.7465585235974932E-2</c:v>
                </c:pt>
                <c:pt idx="52">
                  <c:v>4.7116459271164195E-2</c:v>
                </c:pt>
                <c:pt idx="53">
                  <c:v>4.6214608987700009E-2</c:v>
                </c:pt>
                <c:pt idx="54">
                  <c:v>4.4822365126488913E-2</c:v>
                </c:pt>
                <c:pt idx="55">
                  <c:v>4.2955320806480672E-2</c:v>
                </c:pt>
                <c:pt idx="56">
                  <c:v>4.0676453062132849E-2</c:v>
                </c:pt>
                <c:pt idx="57">
                  <c:v>3.8015941452756732E-2</c:v>
                </c:pt>
                <c:pt idx="58">
                  <c:v>3.5106131807749928E-2</c:v>
                </c:pt>
                <c:pt idx="59">
                  <c:v>3.2082192621842774E-2</c:v>
                </c:pt>
                <c:pt idx="60">
                  <c:v>2.8994358306012446E-2</c:v>
                </c:pt>
                <c:pt idx="61">
                  <c:v>2.5914826669780917E-2</c:v>
                </c:pt>
                <c:pt idx="62">
                  <c:v>2.2877926623850742E-2</c:v>
                </c:pt>
                <c:pt idx="63">
                  <c:v>1.9957865955363564E-2</c:v>
                </c:pt>
                <c:pt idx="64">
                  <c:v>1.7137082241663385E-2</c:v>
                </c:pt>
                <c:pt idx="65">
                  <c:v>1.4353478842632642E-2</c:v>
                </c:pt>
                <c:pt idx="66">
                  <c:v>1.1777377275925163E-2</c:v>
                </c:pt>
                <c:pt idx="67">
                  <c:v>9.5835549724833467E-3</c:v>
                </c:pt>
                <c:pt idx="68">
                  <c:v>7.6786685844979028E-3</c:v>
                </c:pt>
                <c:pt idx="69">
                  <c:v>6.0236081548447314E-3</c:v>
                </c:pt>
                <c:pt idx="70">
                  <c:v>4.6318661378479216E-3</c:v>
                </c:pt>
                <c:pt idx="71">
                  <c:v>3.5076117651897817E-3</c:v>
                </c:pt>
                <c:pt idx="72">
                  <c:v>2.6033265141695208E-3</c:v>
                </c:pt>
                <c:pt idx="73">
                  <c:v>1.8886316120659554E-3</c:v>
                </c:pt>
                <c:pt idx="74">
                  <c:v>1.3455474655278759E-3</c:v>
                </c:pt>
                <c:pt idx="75">
                  <c:v>9.6808790749008901E-4</c:v>
                </c:pt>
                <c:pt idx="76">
                  <c:v>7.0386888410892731E-4</c:v>
                </c:pt>
                <c:pt idx="77">
                  <c:v>4.8963863406602357E-4</c:v>
                </c:pt>
                <c:pt idx="78">
                  <c:v>3.3453525422922774E-4</c:v>
                </c:pt>
                <c:pt idx="79">
                  <c:v>2.3129521310673716E-4</c:v>
                </c:pt>
                <c:pt idx="80">
                  <c:v>1.6441052429226879E-4</c:v>
                </c:pt>
                <c:pt idx="81">
                  <c:v>1.1641079548964603E-4</c:v>
                </c:pt>
                <c:pt idx="82">
                  <c:v>8.2398369354887176E-5</c:v>
                </c:pt>
                <c:pt idx="83">
                  <c:v>5.7975138584777422E-5</c:v>
                </c:pt>
                <c:pt idx="84">
                  <c:v>4.0546397489452039E-5</c:v>
                </c:pt>
                <c:pt idx="85">
                  <c:v>2.8404759208502429E-5</c:v>
                </c:pt>
                <c:pt idx="86">
                  <c:v>1.9782186728527336E-5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vl1924e!$AZ$3</c:f>
              <c:strCache>
                <c:ptCount val="1"/>
                <c:pt idx="0">
                  <c:v>6000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vl1924e!$AZ$4:$AZ$164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1.6633803954668788E-6</c:v>
                </c:pt>
                <c:pt idx="17">
                  <c:v>2.7757517873021391E-6</c:v>
                </c:pt>
                <c:pt idx="18">
                  <c:v>5.2858285535738648E-6</c:v>
                </c:pt>
                <c:pt idx="19">
                  <c:v>9.696290838133521E-6</c:v>
                </c:pt>
                <c:pt idx="20">
                  <c:v>1.7929248483918833E-5</c:v>
                </c:pt>
                <c:pt idx="21">
                  <c:v>2.9329018814428968E-5</c:v>
                </c:pt>
                <c:pt idx="22">
                  <c:v>5.6066670902734716E-5</c:v>
                </c:pt>
                <c:pt idx="23">
                  <c:v>1.0203502973378406E-4</c:v>
                </c:pt>
                <c:pt idx="24">
                  <c:v>1.8893702759187E-4</c:v>
                </c:pt>
                <c:pt idx="25">
                  <c:v>3.4765896789141408E-4</c:v>
                </c:pt>
                <c:pt idx="26">
                  <c:v>5.5653007776148482E-4</c:v>
                </c:pt>
                <c:pt idx="27">
                  <c:v>8.132346997708446E-4</c:v>
                </c:pt>
                <c:pt idx="28">
                  <c:v>1.1171296332966069E-3</c:v>
                </c:pt>
                <c:pt idx="29">
                  <c:v>1.454680358122494E-3</c:v>
                </c:pt>
                <c:pt idx="30">
                  <c:v>1.8629375344288532E-3</c:v>
                </c:pt>
                <c:pt idx="31">
                  <c:v>2.3616775293431908E-3</c:v>
                </c:pt>
                <c:pt idx="32">
                  <c:v>2.9608020133200462E-3</c:v>
                </c:pt>
                <c:pt idx="33">
                  <c:v>3.6551702125790712E-3</c:v>
                </c:pt>
                <c:pt idx="34">
                  <c:v>4.5076694723701289E-3</c:v>
                </c:pt>
                <c:pt idx="35">
                  <c:v>5.5851709498731502E-3</c:v>
                </c:pt>
                <c:pt idx="36">
                  <c:v>6.8996466834936798E-3</c:v>
                </c:pt>
                <c:pt idx="37">
                  <c:v>8.4028694703621974E-3</c:v>
                </c:pt>
                <c:pt idx="38">
                  <c:v>1.0319913270208002E-2</c:v>
                </c:pt>
                <c:pt idx="39">
                  <c:v>1.281705181887199E-2</c:v>
                </c:pt>
                <c:pt idx="40">
                  <c:v>1.598629866079768E-2</c:v>
                </c:pt>
                <c:pt idx="41">
                  <c:v>2.0121069527049836E-2</c:v>
                </c:pt>
                <c:pt idx="42">
                  <c:v>2.4791873208351446E-2</c:v>
                </c:pt>
                <c:pt idx="43">
                  <c:v>2.9896032801314858E-2</c:v>
                </c:pt>
                <c:pt idx="44">
                  <c:v>3.4792021235056342E-2</c:v>
                </c:pt>
                <c:pt idx="45">
                  <c:v>3.8734105843283399E-2</c:v>
                </c:pt>
                <c:pt idx="46">
                  <c:v>4.1932392321886634E-2</c:v>
                </c:pt>
                <c:pt idx="47">
                  <c:v>4.4317191054180555E-2</c:v>
                </c:pt>
                <c:pt idx="48">
                  <c:v>4.6005016904693531E-2</c:v>
                </c:pt>
                <c:pt idx="49">
                  <c:v>4.7044698719655685E-2</c:v>
                </c:pt>
                <c:pt idx="50">
                  <c:v>4.7502208879002653E-2</c:v>
                </c:pt>
                <c:pt idx="51">
                  <c:v>4.7483724056440073E-2</c:v>
                </c:pt>
                <c:pt idx="52">
                  <c:v>4.6976060278263398E-2</c:v>
                </c:pt>
                <c:pt idx="53">
                  <c:v>4.5924973158169381E-2</c:v>
                </c:pt>
                <c:pt idx="54">
                  <c:v>4.4397347412222794E-2</c:v>
                </c:pt>
                <c:pt idx="55">
                  <c:v>4.2412911418087222E-2</c:v>
                </c:pt>
                <c:pt idx="56">
                  <c:v>4.0037653517819113E-2</c:v>
                </c:pt>
                <c:pt idx="57">
                  <c:v>3.7304447628137775E-2</c:v>
                </c:pt>
                <c:pt idx="58">
                  <c:v>3.4345625462166421E-2</c:v>
                </c:pt>
                <c:pt idx="59">
                  <c:v>3.1294623341688831E-2</c:v>
                </c:pt>
                <c:pt idx="60">
                  <c:v>2.8200673392239438E-2</c:v>
                </c:pt>
                <c:pt idx="61">
                  <c:v>2.5133736318605191E-2</c:v>
                </c:pt>
                <c:pt idx="62">
                  <c:v>2.2126366344736376E-2</c:v>
                </c:pt>
                <c:pt idx="63">
                  <c:v>1.9249240940058174E-2</c:v>
                </c:pt>
                <c:pt idx="64">
                  <c:v>1.648402702802803E-2</c:v>
                </c:pt>
                <c:pt idx="65">
                  <c:v>1.3769903375030389E-2</c:v>
                </c:pt>
                <c:pt idx="66">
                  <c:v>1.1269105659898105E-2</c:v>
                </c:pt>
                <c:pt idx="67">
                  <c:v>9.1464809118429555E-3</c:v>
                </c:pt>
                <c:pt idx="68">
                  <c:v>7.3100235102979885E-3</c:v>
                </c:pt>
                <c:pt idx="69">
                  <c:v>5.7202300809359053E-3</c:v>
                </c:pt>
                <c:pt idx="70">
                  <c:v>4.3878802291882832E-3</c:v>
                </c:pt>
                <c:pt idx="71">
                  <c:v>3.3148958503527457E-3</c:v>
                </c:pt>
                <c:pt idx="72">
                  <c:v>2.4545045037471266E-3</c:v>
                </c:pt>
                <c:pt idx="73">
                  <c:v>1.7765444956197992E-3</c:v>
                </c:pt>
                <c:pt idx="74">
                  <c:v>1.2628097809803938E-3</c:v>
                </c:pt>
                <c:pt idx="75">
                  <c:v>9.0652514162523469E-4</c:v>
                </c:pt>
                <c:pt idx="76">
                  <c:v>6.5765582308404693E-4</c:v>
                </c:pt>
                <c:pt idx="77">
                  <c:v>4.5649894209525153E-4</c:v>
                </c:pt>
                <c:pt idx="78">
                  <c:v>3.1122766311829689E-4</c:v>
                </c:pt>
                <c:pt idx="79">
                  <c:v>2.1472856560356973E-4</c:v>
                </c:pt>
                <c:pt idx="80">
                  <c:v>1.5231898029730947E-4</c:v>
                </c:pt>
                <c:pt idx="81">
                  <c:v>1.0762989996348954E-4</c:v>
                </c:pt>
                <c:pt idx="82">
                  <c:v>7.6030404539414475E-5</c:v>
                </c:pt>
                <c:pt idx="83">
                  <c:v>5.33891395500651E-5</c:v>
                </c:pt>
                <c:pt idx="84">
                  <c:v>3.7266532983917118E-5</c:v>
                </c:pt>
                <c:pt idx="85">
                  <c:v>2.6057112572446276E-5</c:v>
                </c:pt>
                <c:pt idx="86">
                  <c:v>1.8113005943758819E-5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vl1924e!$BA$3</c:f>
              <c:strCache>
                <c:ptCount val="1"/>
                <c:pt idx="0">
                  <c:v>6500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vl1924e!$BA$4:$BA$164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1.9297718754242507E-6</c:v>
                </c:pt>
                <c:pt idx="17">
                  <c:v>3.2003003860944243E-6</c:v>
                </c:pt>
                <c:pt idx="18">
                  <c:v>6.057457232618677E-6</c:v>
                </c:pt>
                <c:pt idx="19">
                  <c:v>1.104635153684295E-5</c:v>
                </c:pt>
                <c:pt idx="20">
                  <c:v>2.0308483245875149E-5</c:v>
                </c:pt>
                <c:pt idx="21">
                  <c:v>3.3035351368915576E-5</c:v>
                </c:pt>
                <c:pt idx="22">
                  <c:v>6.2807813602809416E-5</c:v>
                </c:pt>
                <c:pt idx="23">
                  <c:v>1.1369596064302834E-4</c:v>
                </c:pt>
                <c:pt idx="24">
                  <c:v>2.0943867814892416E-4</c:v>
                </c:pt>
                <c:pt idx="25">
                  <c:v>3.8343571109474977E-4</c:v>
                </c:pt>
                <c:pt idx="26">
                  <c:v>6.1077382320119363E-4</c:v>
                </c:pt>
                <c:pt idx="27">
                  <c:v>8.8820221950466416E-4</c:v>
                </c:pt>
                <c:pt idx="28">
                  <c:v>1.2143768879875256E-3</c:v>
                </c:pt>
                <c:pt idx="29">
                  <c:v>1.5740538832883452E-3</c:v>
                </c:pt>
                <c:pt idx="30">
                  <c:v>2.0067762725898041E-3</c:v>
                </c:pt>
                <c:pt idx="31">
                  <c:v>2.5328818538910788E-3</c:v>
                </c:pt>
                <c:pt idx="32">
                  <c:v>3.1618476936941726E-3</c:v>
                </c:pt>
                <c:pt idx="33">
                  <c:v>3.8870364064298567E-3</c:v>
                </c:pt>
                <c:pt idx="34">
                  <c:v>4.7740101214305717E-3</c:v>
                </c:pt>
                <c:pt idx="35">
                  <c:v>5.8915229981850023E-3</c:v>
                </c:pt>
                <c:pt idx="36">
                  <c:v>7.249634840849957E-3</c:v>
                </c:pt>
                <c:pt idx="37">
                  <c:v>8.795331851423796E-3</c:v>
                </c:pt>
                <c:pt idx="38">
                  <c:v>1.0761480465465201E-2</c:v>
                </c:pt>
                <c:pt idx="39">
                  <c:v>1.331650993359519E-2</c:v>
                </c:pt>
                <c:pt idx="40">
                  <c:v>1.6549710451714179E-2</c:v>
                </c:pt>
                <c:pt idx="41">
                  <c:v>2.0757097870036836E-2</c:v>
                </c:pt>
                <c:pt idx="42">
                  <c:v>2.5487658231631512E-2</c:v>
                </c:pt>
                <c:pt idx="43">
                  <c:v>3.0631634724292631E-2</c:v>
                </c:pt>
                <c:pt idx="44">
                  <c:v>3.5530588260086857E-2</c:v>
                </c:pt>
                <c:pt idx="45">
                  <c:v>3.942862589433687E-2</c:v>
                </c:pt>
                <c:pt idx="46">
                  <c:v>4.2549212919699805E-2</c:v>
                </c:pt>
                <c:pt idx="47">
                  <c:v>4.4829667249683583E-2</c:v>
                </c:pt>
                <c:pt idx="48">
                  <c:v>4.6395592868374622E-2</c:v>
                </c:pt>
                <c:pt idx="49">
                  <c:v>4.7302770015217668E-2</c:v>
                </c:pt>
                <c:pt idx="50">
                  <c:v>4.7623292930906926E-2</c:v>
                </c:pt>
                <c:pt idx="51">
                  <c:v>4.7468424747758038E-2</c:v>
                </c:pt>
                <c:pt idx="52">
                  <c:v>4.682902314351254E-2</c:v>
                </c:pt>
                <c:pt idx="53">
                  <c:v>4.5655096382881753E-2</c:v>
                </c:pt>
                <c:pt idx="54">
                  <c:v>4.4017156674926346E-2</c:v>
                </c:pt>
                <c:pt idx="55">
                  <c:v>4.193820327883651E-2</c:v>
                </c:pt>
                <c:pt idx="56">
                  <c:v>3.9486506117199241E-2</c:v>
                </c:pt>
                <c:pt idx="57">
                  <c:v>3.669695951805374E-2</c:v>
                </c:pt>
                <c:pt idx="58">
                  <c:v>3.3701618419185793E-2</c:v>
                </c:pt>
                <c:pt idx="59">
                  <c:v>3.0632248064880904E-2</c:v>
                </c:pt>
                <c:pt idx="60">
                  <c:v>2.7537079793479288E-2</c:v>
                </c:pt>
                <c:pt idx="61">
                  <c:v>2.4484073767799389E-2</c:v>
                </c:pt>
                <c:pt idx="62">
                  <c:v>2.1504206751665901E-2</c:v>
                </c:pt>
                <c:pt idx="63">
                  <c:v>1.8665157686650592E-2</c:v>
                </c:pt>
                <c:pt idx="64">
                  <c:v>1.5947906363957841E-2</c:v>
                </c:pt>
                <c:pt idx="65">
                  <c:v>1.3292623471308973E-2</c:v>
                </c:pt>
                <c:pt idx="66">
                  <c:v>1.0854890360580276E-2</c:v>
                </c:pt>
                <c:pt idx="67">
                  <c:v>8.7914908212877087E-3</c:v>
                </c:pt>
                <c:pt idx="68">
                  <c:v>7.0115769486239184E-3</c:v>
                </c:pt>
                <c:pt idx="69">
                  <c:v>5.4753819015383809E-3</c:v>
                </c:pt>
                <c:pt idx="70">
                  <c:v>4.1915519569938201E-3</c:v>
                </c:pt>
                <c:pt idx="71">
                  <c:v>3.1602684325109029E-3</c:v>
                </c:pt>
                <c:pt idx="72">
                  <c:v>2.3354275144428179E-3</c:v>
                </c:pt>
                <c:pt idx="73">
                  <c:v>1.6871017047433517E-3</c:v>
                </c:pt>
                <c:pt idx="74">
                  <c:v>1.1969597388374741E-3</c:v>
                </c:pt>
                <c:pt idx="75">
                  <c:v>8.576525586969718E-4</c:v>
                </c:pt>
                <c:pt idx="76">
                  <c:v>6.2105966232753763E-4</c:v>
                </c:pt>
                <c:pt idx="77">
                  <c:v>4.3031891705623077E-4</c:v>
                </c:pt>
                <c:pt idx="78">
                  <c:v>2.9285825174568491E-4</c:v>
                </c:pt>
                <c:pt idx="79">
                  <c:v>2.0170191721536032E-4</c:v>
                </c:pt>
                <c:pt idx="80">
                  <c:v>1.4283255383095681E-4</c:v>
                </c:pt>
                <c:pt idx="81">
                  <c:v>1.0075598832925533E-4</c:v>
                </c:pt>
                <c:pt idx="82">
                  <c:v>7.1056122564554282E-5</c:v>
                </c:pt>
                <c:pt idx="83">
                  <c:v>4.9814372771754763E-5</c:v>
                </c:pt>
                <c:pt idx="84">
                  <c:v>3.4715170328197072E-5</c:v>
                </c:pt>
                <c:pt idx="85">
                  <c:v>2.4234605206291839E-5</c:v>
                </c:pt>
                <c:pt idx="86">
                  <c:v>1.6819771618776493E-5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vl1924e!$BB$3</c:f>
              <c:strCache>
                <c:ptCount val="1"/>
                <c:pt idx="0">
                  <c:v>Photo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vl1924e!$BB$4:$BB$164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6.6665453310881777E-11</c:v>
                </c:pt>
                <c:pt idx="17">
                  <c:v>1.8477680604686411E-10</c:v>
                </c:pt>
                <c:pt idx="18">
                  <c:v>6.6755385152760978E-10</c:v>
                </c:pt>
                <c:pt idx="19">
                  <c:v>2.2399098946478647E-9</c:v>
                </c:pt>
                <c:pt idx="20">
                  <c:v>7.6430830926615971E-9</c:v>
                </c:pt>
                <c:pt idx="21">
                  <c:v>2.0427372844853797E-8</c:v>
                </c:pt>
                <c:pt idx="22">
                  <c:v>7.4615804962477968E-8</c:v>
                </c:pt>
                <c:pt idx="23">
                  <c:v>2.4719423734657173E-7</c:v>
                </c:pt>
                <c:pt idx="24">
                  <c:v>8.4838244680987876E-7</c:v>
                </c:pt>
                <c:pt idx="25">
                  <c:v>2.8771794897836806E-6</c:v>
                </c:pt>
                <c:pt idx="26">
                  <c:v>7.389430842812849E-6</c:v>
                </c:pt>
                <c:pt idx="27">
                  <c:v>1.5823303870346356E-5</c:v>
                </c:pt>
                <c:pt idx="28">
                  <c:v>2.9960554770576677E-5</c:v>
                </c:pt>
                <c:pt idx="29">
                  <c:v>5.1002229223100317E-5</c:v>
                </c:pt>
                <c:pt idx="30">
                  <c:v>8.40203982593902E-5</c:v>
                </c:pt>
                <c:pt idx="31">
                  <c:v>1.3569872251399589E-4</c:v>
                </c:pt>
                <c:pt idx="32">
                  <c:v>2.1443810019033382E-4</c:v>
                </c:pt>
                <c:pt idx="33">
                  <c:v>3.2873033179713258E-4</c:v>
                </c:pt>
                <c:pt idx="34">
                  <c:v>5.0309925313604003E-4</c:v>
                </c:pt>
                <c:pt idx="35">
                  <c:v>7.7753951001453641E-4</c:v>
                </c:pt>
                <c:pt idx="36">
                  <c:v>1.1950057693352948E-3</c:v>
                </c:pt>
                <c:pt idx="37">
                  <c:v>1.785653882738446E-3</c:v>
                </c:pt>
                <c:pt idx="38">
                  <c:v>2.7143848863142783E-3</c:v>
                </c:pt>
                <c:pt idx="39">
                  <c:v>4.2210193861007697E-3</c:v>
                </c:pt>
                <c:pt idx="40">
                  <c:v>6.6221091674776552E-3</c:v>
                </c:pt>
                <c:pt idx="41">
                  <c:v>1.0582622206509391E-2</c:v>
                </c:pt>
                <c:pt idx="42">
                  <c:v>1.6211591180084087E-2</c:v>
                </c:pt>
                <c:pt idx="43">
                  <c:v>2.3794091507784318E-2</c:v>
                </c:pt>
                <c:pt idx="44">
                  <c:v>3.2534942044350382E-2</c:v>
                </c:pt>
                <c:pt idx="45">
                  <c:v>4.0722537774847738E-2</c:v>
                </c:pt>
                <c:pt idx="46">
                  <c:v>4.8206692397896551E-2</c:v>
                </c:pt>
                <c:pt idx="47">
                  <c:v>5.4401537290718338E-2</c:v>
                </c:pt>
                <c:pt idx="48">
                  <c:v>5.9241972540124768E-2</c:v>
                </c:pt>
                <c:pt idx="49">
                  <c:v>6.2615550033855494E-2</c:v>
                </c:pt>
                <c:pt idx="50">
                  <c:v>6.4537951279548256E-2</c:v>
                </c:pt>
                <c:pt idx="51">
                  <c:v>6.5205593918672672E-2</c:v>
                </c:pt>
                <c:pt idx="52">
                  <c:v>6.4540653226193734E-2</c:v>
                </c:pt>
                <c:pt idx="53">
                  <c:v>6.2393057865292471E-2</c:v>
                </c:pt>
                <c:pt idx="54">
                  <c:v>5.8990303511872455E-2</c:v>
                </c:pt>
                <c:pt idx="55">
                  <c:v>5.4469997623633873E-2</c:v>
                </c:pt>
                <c:pt idx="56">
                  <c:v>4.9119760017019967E-2</c:v>
                </c:pt>
                <c:pt idx="57">
                  <c:v>4.3157686061017581E-2</c:v>
                </c:pt>
                <c:pt idx="58">
                  <c:v>3.7030095353010828E-2</c:v>
                </c:pt>
                <c:pt idx="59">
                  <c:v>3.1122949488770778E-2</c:v>
                </c:pt>
                <c:pt idx="60">
                  <c:v>2.5588280702317678E-2</c:v>
                </c:pt>
                <c:pt idx="61">
                  <c:v>2.0580979349748073E-2</c:v>
                </c:pt>
                <c:pt idx="62">
                  <c:v>1.6152818602801596E-2</c:v>
                </c:pt>
                <c:pt idx="63">
                  <c:v>1.2381564745416776E-2</c:v>
                </c:pt>
                <c:pt idx="64">
                  <c:v>9.1968022954928754E-3</c:v>
                </c:pt>
                <c:pt idx="65">
                  <c:v>6.5008985694533497E-3</c:v>
                </c:pt>
                <c:pt idx="66">
                  <c:v>4.4109208791139488E-3</c:v>
                </c:pt>
                <c:pt idx="67">
                  <c:v>2.9439642450684151E-3</c:v>
                </c:pt>
                <c:pt idx="68">
                  <c:v>1.905326919717744E-3</c:v>
                </c:pt>
                <c:pt idx="69">
                  <c:v>1.1822190668048117E-3</c:v>
                </c:pt>
                <c:pt idx="70">
                  <c:v>7.0493524703543341E-4</c:v>
                </c:pt>
                <c:pt idx="71">
                  <c:v>4.0773332306042799E-4</c:v>
                </c:pt>
                <c:pt idx="72">
                  <c:v>2.2656205758813175E-4</c:v>
                </c:pt>
                <c:pt idx="73">
                  <c:v>1.202983130709328E-4</c:v>
                </c:pt>
                <c:pt idx="74">
                  <c:v>6.1610440908687938E-5</c:v>
                </c:pt>
                <c:pt idx="75">
                  <c:v>3.2183332375141326E-5</c:v>
                </c:pt>
                <c:pt idx="76">
                  <c:v>1.7170457909287169E-5</c:v>
                </c:pt>
                <c:pt idx="77">
                  <c:v>8.3868011626784104E-6</c:v>
                </c:pt>
                <c:pt idx="78">
                  <c:v>3.9520567054320213E-6</c:v>
                </c:pt>
                <c:pt idx="79">
                  <c:v>1.9072731874308424E-6</c:v>
                </c:pt>
                <c:pt idx="80">
                  <c:v>9.7302291838559095E-7</c:v>
                </c:pt>
                <c:pt idx="81">
                  <c:v>4.9258003358503946E-7</c:v>
                </c:pt>
                <c:pt idx="82">
                  <c:v>2.4922665157370626E-7</c:v>
                </c:pt>
                <c:pt idx="83">
                  <c:v>1.24608209086432E-7</c:v>
                </c:pt>
                <c:pt idx="84">
                  <c:v>6.156171182814119E-8</c:v>
                </c:pt>
                <c:pt idx="85">
                  <c:v>3.0518779719210569E-8</c:v>
                </c:pt>
                <c:pt idx="86">
                  <c:v>1.4953627961873376E-8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74385664"/>
        <c:axId val="74412032"/>
      </c:scatterChart>
      <c:valAx>
        <c:axId val="74385664"/>
        <c:scaling>
          <c:orientation val="minMax"/>
          <c:max val="730"/>
          <c:min val="380"/>
        </c:scaling>
        <c:axPos val="b"/>
        <c:numFmt formatCode="General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74412032"/>
        <c:crosses val="autoZero"/>
        <c:crossBetween val="midCat"/>
      </c:valAx>
      <c:valAx>
        <c:axId val="74412032"/>
        <c:scaling>
          <c:orientation val="minMax"/>
        </c:scaling>
        <c:axPos val="l"/>
        <c:majorGridlines/>
        <c:numFmt formatCode="0.00E+00" sourceLinked="1"/>
        <c:tickLblPos val="nextTo"/>
        <c:crossAx val="743856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1"/>
          <c:order val="0"/>
          <c:marker>
            <c:symbol val="none"/>
          </c:marker>
          <c:xVal>
            <c:numRef>
              <c:f>Cal!$A$2:$A$802</c:f>
              <c:numCache>
                <c:formatCode>General</c:formatCode>
                <c:ptCount val="8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  <c:pt idx="501">
                  <c:v>801</c:v>
                </c:pt>
                <c:pt idx="502">
                  <c:v>802</c:v>
                </c:pt>
                <c:pt idx="503">
                  <c:v>803</c:v>
                </c:pt>
                <c:pt idx="504">
                  <c:v>804</c:v>
                </c:pt>
                <c:pt idx="505">
                  <c:v>805</c:v>
                </c:pt>
                <c:pt idx="506">
                  <c:v>806</c:v>
                </c:pt>
                <c:pt idx="507">
                  <c:v>807</c:v>
                </c:pt>
                <c:pt idx="508">
                  <c:v>808</c:v>
                </c:pt>
                <c:pt idx="509">
                  <c:v>809</c:v>
                </c:pt>
                <c:pt idx="510">
                  <c:v>810</c:v>
                </c:pt>
                <c:pt idx="511">
                  <c:v>811</c:v>
                </c:pt>
                <c:pt idx="512">
                  <c:v>812</c:v>
                </c:pt>
                <c:pt idx="513">
                  <c:v>813</c:v>
                </c:pt>
                <c:pt idx="514">
                  <c:v>814</c:v>
                </c:pt>
                <c:pt idx="515">
                  <c:v>815</c:v>
                </c:pt>
                <c:pt idx="516">
                  <c:v>816</c:v>
                </c:pt>
                <c:pt idx="517">
                  <c:v>817</c:v>
                </c:pt>
                <c:pt idx="518">
                  <c:v>818</c:v>
                </c:pt>
                <c:pt idx="519">
                  <c:v>819</c:v>
                </c:pt>
                <c:pt idx="520">
                  <c:v>820</c:v>
                </c:pt>
                <c:pt idx="521">
                  <c:v>821</c:v>
                </c:pt>
                <c:pt idx="522">
                  <c:v>822</c:v>
                </c:pt>
                <c:pt idx="523">
                  <c:v>823</c:v>
                </c:pt>
                <c:pt idx="524">
                  <c:v>824</c:v>
                </c:pt>
                <c:pt idx="525">
                  <c:v>825</c:v>
                </c:pt>
                <c:pt idx="526">
                  <c:v>826</c:v>
                </c:pt>
                <c:pt idx="527">
                  <c:v>827</c:v>
                </c:pt>
                <c:pt idx="528">
                  <c:v>828</c:v>
                </c:pt>
                <c:pt idx="529">
                  <c:v>829</c:v>
                </c:pt>
                <c:pt idx="530">
                  <c:v>830</c:v>
                </c:pt>
                <c:pt idx="531">
                  <c:v>831</c:v>
                </c:pt>
                <c:pt idx="532">
                  <c:v>832</c:v>
                </c:pt>
                <c:pt idx="533">
                  <c:v>833</c:v>
                </c:pt>
                <c:pt idx="534">
                  <c:v>834</c:v>
                </c:pt>
                <c:pt idx="535">
                  <c:v>835</c:v>
                </c:pt>
                <c:pt idx="536">
                  <c:v>836</c:v>
                </c:pt>
                <c:pt idx="537">
                  <c:v>837</c:v>
                </c:pt>
                <c:pt idx="538">
                  <c:v>838</c:v>
                </c:pt>
                <c:pt idx="539">
                  <c:v>839</c:v>
                </c:pt>
                <c:pt idx="540">
                  <c:v>840</c:v>
                </c:pt>
                <c:pt idx="541">
                  <c:v>841</c:v>
                </c:pt>
                <c:pt idx="542">
                  <c:v>842</c:v>
                </c:pt>
                <c:pt idx="543">
                  <c:v>843</c:v>
                </c:pt>
                <c:pt idx="544">
                  <c:v>844</c:v>
                </c:pt>
                <c:pt idx="545">
                  <c:v>845</c:v>
                </c:pt>
                <c:pt idx="546">
                  <c:v>846</c:v>
                </c:pt>
                <c:pt idx="547">
                  <c:v>847</c:v>
                </c:pt>
                <c:pt idx="548">
                  <c:v>848</c:v>
                </c:pt>
                <c:pt idx="549">
                  <c:v>849</c:v>
                </c:pt>
                <c:pt idx="550">
                  <c:v>850</c:v>
                </c:pt>
                <c:pt idx="551">
                  <c:v>851</c:v>
                </c:pt>
                <c:pt idx="552">
                  <c:v>852</c:v>
                </c:pt>
                <c:pt idx="553">
                  <c:v>853</c:v>
                </c:pt>
                <c:pt idx="554">
                  <c:v>854</c:v>
                </c:pt>
                <c:pt idx="555">
                  <c:v>855</c:v>
                </c:pt>
                <c:pt idx="556">
                  <c:v>856</c:v>
                </c:pt>
                <c:pt idx="557">
                  <c:v>857</c:v>
                </c:pt>
                <c:pt idx="558">
                  <c:v>858</c:v>
                </c:pt>
                <c:pt idx="559">
                  <c:v>859</c:v>
                </c:pt>
                <c:pt idx="560">
                  <c:v>860</c:v>
                </c:pt>
                <c:pt idx="561">
                  <c:v>861</c:v>
                </c:pt>
                <c:pt idx="562">
                  <c:v>862</c:v>
                </c:pt>
                <c:pt idx="563">
                  <c:v>863</c:v>
                </c:pt>
                <c:pt idx="564">
                  <c:v>864</c:v>
                </c:pt>
                <c:pt idx="565">
                  <c:v>865</c:v>
                </c:pt>
                <c:pt idx="566">
                  <c:v>866</c:v>
                </c:pt>
                <c:pt idx="567">
                  <c:v>867</c:v>
                </c:pt>
                <c:pt idx="568">
                  <c:v>868</c:v>
                </c:pt>
                <c:pt idx="569">
                  <c:v>869</c:v>
                </c:pt>
                <c:pt idx="570">
                  <c:v>870</c:v>
                </c:pt>
                <c:pt idx="571">
                  <c:v>871</c:v>
                </c:pt>
                <c:pt idx="572">
                  <c:v>872</c:v>
                </c:pt>
                <c:pt idx="573">
                  <c:v>873</c:v>
                </c:pt>
                <c:pt idx="574">
                  <c:v>874</c:v>
                </c:pt>
                <c:pt idx="575">
                  <c:v>875</c:v>
                </c:pt>
                <c:pt idx="576">
                  <c:v>876</c:v>
                </c:pt>
                <c:pt idx="577">
                  <c:v>877</c:v>
                </c:pt>
                <c:pt idx="578">
                  <c:v>878</c:v>
                </c:pt>
                <c:pt idx="579">
                  <c:v>879</c:v>
                </c:pt>
                <c:pt idx="580">
                  <c:v>880</c:v>
                </c:pt>
                <c:pt idx="581">
                  <c:v>881</c:v>
                </c:pt>
                <c:pt idx="582">
                  <c:v>882</c:v>
                </c:pt>
                <c:pt idx="583">
                  <c:v>883</c:v>
                </c:pt>
                <c:pt idx="584">
                  <c:v>884</c:v>
                </c:pt>
                <c:pt idx="585">
                  <c:v>885</c:v>
                </c:pt>
                <c:pt idx="586">
                  <c:v>886</c:v>
                </c:pt>
                <c:pt idx="587">
                  <c:v>887</c:v>
                </c:pt>
                <c:pt idx="588">
                  <c:v>888</c:v>
                </c:pt>
                <c:pt idx="589">
                  <c:v>889</c:v>
                </c:pt>
                <c:pt idx="590">
                  <c:v>890</c:v>
                </c:pt>
                <c:pt idx="591">
                  <c:v>891</c:v>
                </c:pt>
                <c:pt idx="592">
                  <c:v>892</c:v>
                </c:pt>
                <c:pt idx="593">
                  <c:v>893</c:v>
                </c:pt>
                <c:pt idx="594">
                  <c:v>894</c:v>
                </c:pt>
                <c:pt idx="595">
                  <c:v>895</c:v>
                </c:pt>
                <c:pt idx="596">
                  <c:v>896</c:v>
                </c:pt>
                <c:pt idx="597">
                  <c:v>897</c:v>
                </c:pt>
                <c:pt idx="598">
                  <c:v>898</c:v>
                </c:pt>
                <c:pt idx="599">
                  <c:v>899</c:v>
                </c:pt>
                <c:pt idx="600">
                  <c:v>900</c:v>
                </c:pt>
                <c:pt idx="601">
                  <c:v>901</c:v>
                </c:pt>
                <c:pt idx="602">
                  <c:v>902</c:v>
                </c:pt>
                <c:pt idx="603">
                  <c:v>903</c:v>
                </c:pt>
                <c:pt idx="604">
                  <c:v>904</c:v>
                </c:pt>
                <c:pt idx="605">
                  <c:v>905</c:v>
                </c:pt>
                <c:pt idx="606">
                  <c:v>906</c:v>
                </c:pt>
                <c:pt idx="607">
                  <c:v>907</c:v>
                </c:pt>
                <c:pt idx="608">
                  <c:v>908</c:v>
                </c:pt>
                <c:pt idx="609">
                  <c:v>909</c:v>
                </c:pt>
                <c:pt idx="610">
                  <c:v>910</c:v>
                </c:pt>
                <c:pt idx="611">
                  <c:v>911</c:v>
                </c:pt>
                <c:pt idx="612">
                  <c:v>912</c:v>
                </c:pt>
                <c:pt idx="613">
                  <c:v>913</c:v>
                </c:pt>
                <c:pt idx="614">
                  <c:v>914</c:v>
                </c:pt>
                <c:pt idx="615">
                  <c:v>915</c:v>
                </c:pt>
                <c:pt idx="616">
                  <c:v>916</c:v>
                </c:pt>
                <c:pt idx="617">
                  <c:v>917</c:v>
                </c:pt>
                <c:pt idx="618">
                  <c:v>918</c:v>
                </c:pt>
                <c:pt idx="619">
                  <c:v>919</c:v>
                </c:pt>
                <c:pt idx="620">
                  <c:v>920</c:v>
                </c:pt>
                <c:pt idx="621">
                  <c:v>921</c:v>
                </c:pt>
                <c:pt idx="622">
                  <c:v>922</c:v>
                </c:pt>
                <c:pt idx="623">
                  <c:v>923</c:v>
                </c:pt>
                <c:pt idx="624">
                  <c:v>924</c:v>
                </c:pt>
                <c:pt idx="625">
                  <c:v>925</c:v>
                </c:pt>
                <c:pt idx="626">
                  <c:v>926</c:v>
                </c:pt>
                <c:pt idx="627">
                  <c:v>927</c:v>
                </c:pt>
                <c:pt idx="628">
                  <c:v>928</c:v>
                </c:pt>
                <c:pt idx="629">
                  <c:v>929</c:v>
                </c:pt>
                <c:pt idx="630">
                  <c:v>930</c:v>
                </c:pt>
                <c:pt idx="631">
                  <c:v>931</c:v>
                </c:pt>
                <c:pt idx="632">
                  <c:v>932</c:v>
                </c:pt>
                <c:pt idx="633">
                  <c:v>933</c:v>
                </c:pt>
                <c:pt idx="634">
                  <c:v>934</c:v>
                </c:pt>
                <c:pt idx="635">
                  <c:v>935</c:v>
                </c:pt>
                <c:pt idx="636">
                  <c:v>936</c:v>
                </c:pt>
                <c:pt idx="637">
                  <c:v>937</c:v>
                </c:pt>
                <c:pt idx="638">
                  <c:v>938</c:v>
                </c:pt>
                <c:pt idx="639">
                  <c:v>939</c:v>
                </c:pt>
                <c:pt idx="640">
                  <c:v>940</c:v>
                </c:pt>
                <c:pt idx="641">
                  <c:v>941</c:v>
                </c:pt>
                <c:pt idx="642">
                  <c:v>942</c:v>
                </c:pt>
                <c:pt idx="643">
                  <c:v>943</c:v>
                </c:pt>
                <c:pt idx="644">
                  <c:v>944</c:v>
                </c:pt>
                <c:pt idx="645">
                  <c:v>945</c:v>
                </c:pt>
                <c:pt idx="646">
                  <c:v>946</c:v>
                </c:pt>
                <c:pt idx="647">
                  <c:v>947</c:v>
                </c:pt>
                <c:pt idx="648">
                  <c:v>948</c:v>
                </c:pt>
                <c:pt idx="649">
                  <c:v>949</c:v>
                </c:pt>
                <c:pt idx="650">
                  <c:v>950</c:v>
                </c:pt>
                <c:pt idx="651">
                  <c:v>951</c:v>
                </c:pt>
                <c:pt idx="652">
                  <c:v>952</c:v>
                </c:pt>
                <c:pt idx="653">
                  <c:v>953</c:v>
                </c:pt>
                <c:pt idx="654">
                  <c:v>954</c:v>
                </c:pt>
                <c:pt idx="655">
                  <c:v>955</c:v>
                </c:pt>
                <c:pt idx="656">
                  <c:v>956</c:v>
                </c:pt>
                <c:pt idx="657">
                  <c:v>957</c:v>
                </c:pt>
                <c:pt idx="658">
                  <c:v>958</c:v>
                </c:pt>
                <c:pt idx="659">
                  <c:v>959</c:v>
                </c:pt>
                <c:pt idx="660">
                  <c:v>960</c:v>
                </c:pt>
                <c:pt idx="661">
                  <c:v>961</c:v>
                </c:pt>
                <c:pt idx="662">
                  <c:v>962</c:v>
                </c:pt>
                <c:pt idx="663">
                  <c:v>963</c:v>
                </c:pt>
                <c:pt idx="664">
                  <c:v>964</c:v>
                </c:pt>
                <c:pt idx="665">
                  <c:v>965</c:v>
                </c:pt>
                <c:pt idx="666">
                  <c:v>966</c:v>
                </c:pt>
                <c:pt idx="667">
                  <c:v>967</c:v>
                </c:pt>
                <c:pt idx="668">
                  <c:v>968</c:v>
                </c:pt>
                <c:pt idx="669">
                  <c:v>969</c:v>
                </c:pt>
                <c:pt idx="670">
                  <c:v>970</c:v>
                </c:pt>
                <c:pt idx="671">
                  <c:v>971</c:v>
                </c:pt>
                <c:pt idx="672">
                  <c:v>972</c:v>
                </c:pt>
                <c:pt idx="673">
                  <c:v>973</c:v>
                </c:pt>
                <c:pt idx="674">
                  <c:v>974</c:v>
                </c:pt>
                <c:pt idx="675">
                  <c:v>975</c:v>
                </c:pt>
                <c:pt idx="676">
                  <c:v>976</c:v>
                </c:pt>
                <c:pt idx="677">
                  <c:v>977</c:v>
                </c:pt>
                <c:pt idx="678">
                  <c:v>978</c:v>
                </c:pt>
                <c:pt idx="679">
                  <c:v>979</c:v>
                </c:pt>
                <c:pt idx="680">
                  <c:v>980</c:v>
                </c:pt>
                <c:pt idx="681">
                  <c:v>981</c:v>
                </c:pt>
                <c:pt idx="682">
                  <c:v>982</c:v>
                </c:pt>
                <c:pt idx="683">
                  <c:v>983</c:v>
                </c:pt>
                <c:pt idx="684">
                  <c:v>984</c:v>
                </c:pt>
                <c:pt idx="685">
                  <c:v>985</c:v>
                </c:pt>
                <c:pt idx="686">
                  <c:v>986</c:v>
                </c:pt>
                <c:pt idx="687">
                  <c:v>987</c:v>
                </c:pt>
                <c:pt idx="688">
                  <c:v>988</c:v>
                </c:pt>
                <c:pt idx="689">
                  <c:v>989</c:v>
                </c:pt>
                <c:pt idx="690">
                  <c:v>990</c:v>
                </c:pt>
                <c:pt idx="691">
                  <c:v>991</c:v>
                </c:pt>
                <c:pt idx="692">
                  <c:v>992</c:v>
                </c:pt>
                <c:pt idx="693">
                  <c:v>993</c:v>
                </c:pt>
                <c:pt idx="694">
                  <c:v>994</c:v>
                </c:pt>
                <c:pt idx="695">
                  <c:v>995</c:v>
                </c:pt>
                <c:pt idx="696">
                  <c:v>996</c:v>
                </c:pt>
                <c:pt idx="697">
                  <c:v>997</c:v>
                </c:pt>
                <c:pt idx="698">
                  <c:v>998</c:v>
                </c:pt>
                <c:pt idx="699">
                  <c:v>999</c:v>
                </c:pt>
                <c:pt idx="700">
                  <c:v>1000</c:v>
                </c:pt>
                <c:pt idx="701">
                  <c:v>1001</c:v>
                </c:pt>
                <c:pt idx="702">
                  <c:v>1002</c:v>
                </c:pt>
                <c:pt idx="703">
                  <c:v>1003</c:v>
                </c:pt>
                <c:pt idx="704">
                  <c:v>1004</c:v>
                </c:pt>
                <c:pt idx="705">
                  <c:v>1005</c:v>
                </c:pt>
                <c:pt idx="706">
                  <c:v>1006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1010</c:v>
                </c:pt>
                <c:pt idx="711">
                  <c:v>1011</c:v>
                </c:pt>
                <c:pt idx="712">
                  <c:v>1012</c:v>
                </c:pt>
                <c:pt idx="713">
                  <c:v>1013</c:v>
                </c:pt>
                <c:pt idx="714">
                  <c:v>1014</c:v>
                </c:pt>
                <c:pt idx="715">
                  <c:v>1015</c:v>
                </c:pt>
                <c:pt idx="716">
                  <c:v>1016</c:v>
                </c:pt>
                <c:pt idx="717">
                  <c:v>1017</c:v>
                </c:pt>
                <c:pt idx="718">
                  <c:v>1018</c:v>
                </c:pt>
                <c:pt idx="719">
                  <c:v>1019</c:v>
                </c:pt>
                <c:pt idx="720">
                  <c:v>1020</c:v>
                </c:pt>
                <c:pt idx="721">
                  <c:v>1021</c:v>
                </c:pt>
                <c:pt idx="722">
                  <c:v>1022</c:v>
                </c:pt>
                <c:pt idx="723">
                  <c:v>1023</c:v>
                </c:pt>
                <c:pt idx="724">
                  <c:v>1024</c:v>
                </c:pt>
                <c:pt idx="725">
                  <c:v>1025</c:v>
                </c:pt>
                <c:pt idx="726">
                  <c:v>1026</c:v>
                </c:pt>
                <c:pt idx="727">
                  <c:v>1027</c:v>
                </c:pt>
                <c:pt idx="728">
                  <c:v>1028</c:v>
                </c:pt>
                <c:pt idx="729">
                  <c:v>1029</c:v>
                </c:pt>
                <c:pt idx="730">
                  <c:v>1030</c:v>
                </c:pt>
                <c:pt idx="731">
                  <c:v>1031</c:v>
                </c:pt>
                <c:pt idx="732">
                  <c:v>1032</c:v>
                </c:pt>
                <c:pt idx="733">
                  <c:v>1033</c:v>
                </c:pt>
                <c:pt idx="734">
                  <c:v>1034</c:v>
                </c:pt>
                <c:pt idx="735">
                  <c:v>1035</c:v>
                </c:pt>
                <c:pt idx="736">
                  <c:v>1036</c:v>
                </c:pt>
                <c:pt idx="737">
                  <c:v>1037</c:v>
                </c:pt>
                <c:pt idx="738">
                  <c:v>1038</c:v>
                </c:pt>
                <c:pt idx="739">
                  <c:v>1039</c:v>
                </c:pt>
                <c:pt idx="740">
                  <c:v>1040</c:v>
                </c:pt>
                <c:pt idx="741">
                  <c:v>1041</c:v>
                </c:pt>
                <c:pt idx="742">
                  <c:v>1042</c:v>
                </c:pt>
                <c:pt idx="743">
                  <c:v>1043</c:v>
                </c:pt>
                <c:pt idx="744">
                  <c:v>1044</c:v>
                </c:pt>
                <c:pt idx="745">
                  <c:v>1045</c:v>
                </c:pt>
                <c:pt idx="746">
                  <c:v>1046</c:v>
                </c:pt>
                <c:pt idx="747">
                  <c:v>1047</c:v>
                </c:pt>
                <c:pt idx="748">
                  <c:v>1048</c:v>
                </c:pt>
                <c:pt idx="749">
                  <c:v>1049</c:v>
                </c:pt>
                <c:pt idx="750">
                  <c:v>1050</c:v>
                </c:pt>
                <c:pt idx="751">
                  <c:v>1051</c:v>
                </c:pt>
                <c:pt idx="752">
                  <c:v>1052</c:v>
                </c:pt>
                <c:pt idx="753">
                  <c:v>1053</c:v>
                </c:pt>
                <c:pt idx="754">
                  <c:v>1054</c:v>
                </c:pt>
                <c:pt idx="755">
                  <c:v>1055</c:v>
                </c:pt>
                <c:pt idx="756">
                  <c:v>1056</c:v>
                </c:pt>
                <c:pt idx="757">
                  <c:v>1057</c:v>
                </c:pt>
                <c:pt idx="758">
                  <c:v>1058</c:v>
                </c:pt>
                <c:pt idx="759">
                  <c:v>1059</c:v>
                </c:pt>
                <c:pt idx="760">
                  <c:v>1060</c:v>
                </c:pt>
                <c:pt idx="761">
                  <c:v>1061</c:v>
                </c:pt>
                <c:pt idx="762">
                  <c:v>1062</c:v>
                </c:pt>
                <c:pt idx="763">
                  <c:v>1063</c:v>
                </c:pt>
                <c:pt idx="764">
                  <c:v>1064</c:v>
                </c:pt>
                <c:pt idx="765">
                  <c:v>1065</c:v>
                </c:pt>
                <c:pt idx="766">
                  <c:v>1066</c:v>
                </c:pt>
                <c:pt idx="767">
                  <c:v>1067</c:v>
                </c:pt>
                <c:pt idx="768">
                  <c:v>1068</c:v>
                </c:pt>
                <c:pt idx="769">
                  <c:v>1069</c:v>
                </c:pt>
                <c:pt idx="770">
                  <c:v>1070</c:v>
                </c:pt>
                <c:pt idx="771">
                  <c:v>1071</c:v>
                </c:pt>
                <c:pt idx="772">
                  <c:v>1072</c:v>
                </c:pt>
                <c:pt idx="773">
                  <c:v>1073</c:v>
                </c:pt>
                <c:pt idx="774">
                  <c:v>1074</c:v>
                </c:pt>
                <c:pt idx="775">
                  <c:v>1075</c:v>
                </c:pt>
                <c:pt idx="776">
                  <c:v>1076</c:v>
                </c:pt>
                <c:pt idx="777">
                  <c:v>1077</c:v>
                </c:pt>
                <c:pt idx="778">
                  <c:v>1078</c:v>
                </c:pt>
                <c:pt idx="779">
                  <c:v>1079</c:v>
                </c:pt>
                <c:pt idx="780">
                  <c:v>1080</c:v>
                </c:pt>
                <c:pt idx="781">
                  <c:v>1081</c:v>
                </c:pt>
                <c:pt idx="782">
                  <c:v>1082</c:v>
                </c:pt>
                <c:pt idx="783">
                  <c:v>1083</c:v>
                </c:pt>
                <c:pt idx="784">
                  <c:v>1084</c:v>
                </c:pt>
                <c:pt idx="785">
                  <c:v>1085</c:v>
                </c:pt>
                <c:pt idx="786">
                  <c:v>1086</c:v>
                </c:pt>
                <c:pt idx="787">
                  <c:v>1087</c:v>
                </c:pt>
                <c:pt idx="788">
                  <c:v>1088</c:v>
                </c:pt>
                <c:pt idx="789">
                  <c:v>1089</c:v>
                </c:pt>
                <c:pt idx="790">
                  <c:v>1090</c:v>
                </c:pt>
                <c:pt idx="791">
                  <c:v>1091</c:v>
                </c:pt>
                <c:pt idx="792">
                  <c:v>1092</c:v>
                </c:pt>
                <c:pt idx="793">
                  <c:v>1093</c:v>
                </c:pt>
                <c:pt idx="794">
                  <c:v>1094</c:v>
                </c:pt>
                <c:pt idx="795">
                  <c:v>1095</c:v>
                </c:pt>
                <c:pt idx="796">
                  <c:v>1096</c:v>
                </c:pt>
                <c:pt idx="797">
                  <c:v>1097</c:v>
                </c:pt>
                <c:pt idx="798">
                  <c:v>1098</c:v>
                </c:pt>
                <c:pt idx="799">
                  <c:v>1099</c:v>
                </c:pt>
                <c:pt idx="800">
                  <c:v>1100</c:v>
                </c:pt>
              </c:numCache>
            </c:numRef>
          </c:xVal>
          <c:yVal>
            <c:numRef>
              <c:f>Cal!$D$2:$D$802</c:f>
              <c:numCache>
                <c:formatCode>General</c:formatCode>
                <c:ptCount val="801"/>
                <c:pt idx="0">
                  <c:v>2.3939210536012442E-2</c:v>
                </c:pt>
                <c:pt idx="1">
                  <c:v>2.3939210536012442E-2</c:v>
                </c:pt>
                <c:pt idx="2">
                  <c:v>2.3939210536012442E-2</c:v>
                </c:pt>
                <c:pt idx="3">
                  <c:v>2.3939210536012442E-2</c:v>
                </c:pt>
                <c:pt idx="4">
                  <c:v>2.3939210536012442E-2</c:v>
                </c:pt>
                <c:pt idx="5">
                  <c:v>2.3866129706182217E-2</c:v>
                </c:pt>
                <c:pt idx="6">
                  <c:v>2.3838417202978201E-2</c:v>
                </c:pt>
                <c:pt idx="7">
                  <c:v>2.402435972712582E-2</c:v>
                </c:pt>
                <c:pt idx="8">
                  <c:v>2.4281595190784804E-2</c:v>
                </c:pt>
                <c:pt idx="9">
                  <c:v>2.4606324174581282E-2</c:v>
                </c:pt>
                <c:pt idx="10">
                  <c:v>2.4994970999508415E-2</c:v>
                </c:pt>
                <c:pt idx="11">
                  <c:v>2.5466532051019473E-2</c:v>
                </c:pt>
                <c:pt idx="12">
                  <c:v>2.6026371152517352E-2</c:v>
                </c:pt>
                <c:pt idx="13">
                  <c:v>2.6646105189482138E-2</c:v>
                </c:pt>
                <c:pt idx="14">
                  <c:v>2.732260550630216E-2</c:v>
                </c:pt>
                <c:pt idx="15">
                  <c:v>2.8052072581972655E-2</c:v>
                </c:pt>
                <c:pt idx="16">
                  <c:v>2.8797854156802711E-2</c:v>
                </c:pt>
                <c:pt idx="17">
                  <c:v>2.9604871584838828E-2</c:v>
                </c:pt>
                <c:pt idx="18">
                  <c:v>3.0419264365332842E-2</c:v>
                </c:pt>
                <c:pt idx="19">
                  <c:v>3.126494532803771E-2</c:v>
                </c:pt>
                <c:pt idx="20">
                  <c:v>3.2136327417337879E-2</c:v>
                </c:pt>
                <c:pt idx="21">
                  <c:v>3.3098669646180322E-2</c:v>
                </c:pt>
                <c:pt idx="22">
                  <c:v>3.4014749704868008E-2</c:v>
                </c:pt>
                <c:pt idx="23">
                  <c:v>3.496703484740514E-2</c:v>
                </c:pt>
                <c:pt idx="24">
                  <c:v>3.5936752022182009E-2</c:v>
                </c:pt>
                <c:pt idx="25">
                  <c:v>3.6947144413128942E-2</c:v>
                </c:pt>
                <c:pt idx="26">
                  <c:v>3.7919096450804372E-2</c:v>
                </c:pt>
                <c:pt idx="27">
                  <c:v>3.8926583215090557E-2</c:v>
                </c:pt>
                <c:pt idx="28">
                  <c:v>3.9943456403550737E-2</c:v>
                </c:pt>
                <c:pt idx="29">
                  <c:v>4.0988489474318136E-2</c:v>
                </c:pt>
                <c:pt idx="30">
                  <c:v>4.2082913218405668E-2</c:v>
                </c:pt>
                <c:pt idx="31">
                  <c:v>4.3170632577059255E-2</c:v>
                </c:pt>
                <c:pt idx="32">
                  <c:v>4.4330091847803912E-2</c:v>
                </c:pt>
                <c:pt idx="33">
                  <c:v>4.5593026083799351E-2</c:v>
                </c:pt>
                <c:pt idx="34">
                  <c:v>4.6919878110110017E-2</c:v>
                </c:pt>
                <c:pt idx="35">
                  <c:v>4.8335008440484661E-2</c:v>
                </c:pt>
                <c:pt idx="36">
                  <c:v>4.9902110565901679E-2</c:v>
                </c:pt>
                <c:pt idx="37">
                  <c:v>5.1570229510642794E-2</c:v>
                </c:pt>
                <c:pt idx="38">
                  <c:v>5.3187840452245352E-2</c:v>
                </c:pt>
                <c:pt idx="39">
                  <c:v>5.490088115755646E-2</c:v>
                </c:pt>
                <c:pt idx="40">
                  <c:v>5.661347478865697E-2</c:v>
                </c:pt>
                <c:pt idx="41">
                  <c:v>5.8432225728640909E-2</c:v>
                </c:pt>
                <c:pt idx="42">
                  <c:v>6.0217229933963834E-2</c:v>
                </c:pt>
                <c:pt idx="43">
                  <c:v>6.2093417561857142E-2</c:v>
                </c:pt>
                <c:pt idx="44">
                  <c:v>6.3993294533213549E-2</c:v>
                </c:pt>
                <c:pt idx="45">
                  <c:v>6.5936081278745978E-2</c:v>
                </c:pt>
                <c:pt idx="46">
                  <c:v>6.7830818167066556E-2</c:v>
                </c:pt>
                <c:pt idx="47">
                  <c:v>6.9905239861787871E-2</c:v>
                </c:pt>
                <c:pt idx="48">
                  <c:v>7.1390768779990968E-2</c:v>
                </c:pt>
                <c:pt idx="49">
                  <c:v>7.5298914691224017E-2</c:v>
                </c:pt>
                <c:pt idx="50">
                  <c:v>7.8862888260627609E-2</c:v>
                </c:pt>
                <c:pt idx="51">
                  <c:v>8.2144819083305468E-2</c:v>
                </c:pt>
                <c:pt idx="52">
                  <c:v>8.5073190733456344E-2</c:v>
                </c:pt>
                <c:pt idx="53">
                  <c:v>8.8450104144001271E-2</c:v>
                </c:pt>
                <c:pt idx="54">
                  <c:v>8.9243489009986993E-2</c:v>
                </c:pt>
                <c:pt idx="55">
                  <c:v>9.0276006645260656E-2</c:v>
                </c:pt>
                <c:pt idx="56">
                  <c:v>9.1607998957868891E-2</c:v>
                </c:pt>
                <c:pt idx="57">
                  <c:v>9.3212647593028858E-2</c:v>
                </c:pt>
                <c:pt idx="58">
                  <c:v>9.5143589870091499E-2</c:v>
                </c:pt>
                <c:pt idx="59">
                  <c:v>9.722426918092883E-2</c:v>
                </c:pt>
                <c:pt idx="60">
                  <c:v>9.9539611128733441E-2</c:v>
                </c:pt>
                <c:pt idx="61">
                  <c:v>0.10217454192648327</c:v>
                </c:pt>
                <c:pt idx="62">
                  <c:v>0.10493686234859256</c:v>
                </c:pt>
                <c:pt idx="63">
                  <c:v>0.10773941009961434</c:v>
                </c:pt>
                <c:pt idx="64">
                  <c:v>0.11064923248933797</c:v>
                </c:pt>
                <c:pt idx="65">
                  <c:v>0.11351435762109022</c:v>
                </c:pt>
                <c:pt idx="66">
                  <c:v>0.11610459116086864</c:v>
                </c:pt>
                <c:pt idx="67">
                  <c:v>0.11868588402948232</c:v>
                </c:pt>
                <c:pt idx="68">
                  <c:v>0.12123588922403949</c:v>
                </c:pt>
                <c:pt idx="69">
                  <c:v>0.12400938355411813</c:v>
                </c:pt>
                <c:pt idx="70">
                  <c:v>0.12694155457282746</c:v>
                </c:pt>
                <c:pt idx="71">
                  <c:v>0.12997429543828118</c:v>
                </c:pt>
                <c:pt idx="72">
                  <c:v>0.13284389070235406</c:v>
                </c:pt>
                <c:pt idx="73">
                  <c:v>0.13556821723561716</c:v>
                </c:pt>
                <c:pt idx="74">
                  <c:v>0.1381271618817686</c:v>
                </c:pt>
                <c:pt idx="75">
                  <c:v>0.14070175077147182</c:v>
                </c:pt>
                <c:pt idx="76">
                  <c:v>0.14314448214037417</c:v>
                </c:pt>
                <c:pt idx="77">
                  <c:v>0.14572801088819512</c:v>
                </c:pt>
                <c:pt idx="78">
                  <c:v>0.14861771890204639</c:v>
                </c:pt>
                <c:pt idx="79">
                  <c:v>0.15135322035958759</c:v>
                </c:pt>
                <c:pt idx="80">
                  <c:v>0.1544641824428</c:v>
                </c:pt>
                <c:pt idx="81">
                  <c:v>0.15780757270660462</c:v>
                </c:pt>
                <c:pt idx="82">
                  <c:v>0.16141244416542117</c:v>
                </c:pt>
                <c:pt idx="83">
                  <c:v>0.16495250520996443</c:v>
                </c:pt>
                <c:pt idx="84">
                  <c:v>0.1690602263090264</c:v>
                </c:pt>
                <c:pt idx="85">
                  <c:v>0.17279472144205393</c:v>
                </c:pt>
                <c:pt idx="86">
                  <c:v>0.17643088179449745</c:v>
                </c:pt>
                <c:pt idx="87">
                  <c:v>0.17969828590670373</c:v>
                </c:pt>
                <c:pt idx="88">
                  <c:v>0.1828181870349869</c:v>
                </c:pt>
                <c:pt idx="89">
                  <c:v>0.18556709766991952</c:v>
                </c:pt>
                <c:pt idx="90">
                  <c:v>0.18848809498392122</c:v>
                </c:pt>
                <c:pt idx="91">
                  <c:v>0.19156776939307715</c:v>
                </c:pt>
                <c:pt idx="92">
                  <c:v>0.19497820635688592</c:v>
                </c:pt>
                <c:pt idx="93">
                  <c:v>0.19863224601904145</c:v>
                </c:pt>
                <c:pt idx="94">
                  <c:v>0.20248071976968135</c:v>
                </c:pt>
                <c:pt idx="95">
                  <c:v>0.20638059475720311</c:v>
                </c:pt>
                <c:pt idx="96">
                  <c:v>0.21044138231256282</c:v>
                </c:pt>
                <c:pt idx="97">
                  <c:v>0.21438595821676745</c:v>
                </c:pt>
                <c:pt idx="98">
                  <c:v>0.21837522934632597</c:v>
                </c:pt>
                <c:pt idx="99">
                  <c:v>0.22225499280363978</c:v>
                </c:pt>
                <c:pt idx="100">
                  <c:v>0.22605877051587875</c:v>
                </c:pt>
                <c:pt idx="101">
                  <c:v>0.22973068989426987</c:v>
                </c:pt>
                <c:pt idx="102">
                  <c:v>0.23366185499498909</c:v>
                </c:pt>
                <c:pt idx="103">
                  <c:v>0.23807128766690164</c:v>
                </c:pt>
                <c:pt idx="104">
                  <c:v>0.24245390117098445</c:v>
                </c:pt>
                <c:pt idx="105">
                  <c:v>0.24672924044288883</c:v>
                </c:pt>
                <c:pt idx="106">
                  <c:v>0.25143367583045961</c:v>
                </c:pt>
                <c:pt idx="107">
                  <c:v>0.25619845231303001</c:v>
                </c:pt>
                <c:pt idx="108">
                  <c:v>0.26064364116522576</c:v>
                </c:pt>
                <c:pt idx="109">
                  <c:v>0.26528773464474992</c:v>
                </c:pt>
                <c:pt idx="110">
                  <c:v>0.27003686891638612</c:v>
                </c:pt>
                <c:pt idx="111">
                  <c:v>0.27454463555583575</c:v>
                </c:pt>
                <c:pt idx="112">
                  <c:v>0.27902558384050258</c:v>
                </c:pt>
                <c:pt idx="113">
                  <c:v>0.28353111622683891</c:v>
                </c:pt>
                <c:pt idx="114">
                  <c:v>0.28800759519223201</c:v>
                </c:pt>
                <c:pt idx="115">
                  <c:v>0.29285506424445229</c:v>
                </c:pt>
                <c:pt idx="116">
                  <c:v>0.29792825627878383</c:v>
                </c:pt>
                <c:pt idx="117">
                  <c:v>0.30288746888245599</c:v>
                </c:pt>
                <c:pt idx="118">
                  <c:v>0.30808357898599414</c:v>
                </c:pt>
                <c:pt idx="119">
                  <c:v>0.31343389645888931</c:v>
                </c:pt>
                <c:pt idx="120">
                  <c:v>0.31877750954635048</c:v>
                </c:pt>
                <c:pt idx="121">
                  <c:v>0.32391774950025659</c:v>
                </c:pt>
                <c:pt idx="122">
                  <c:v>0.32927700805083998</c:v>
                </c:pt>
                <c:pt idx="123">
                  <c:v>0.33421163655284269</c:v>
                </c:pt>
                <c:pt idx="124">
                  <c:v>0.33911050806151533</c:v>
                </c:pt>
                <c:pt idx="125">
                  <c:v>0.34400490943786727</c:v>
                </c:pt>
                <c:pt idx="126">
                  <c:v>0.3490356384673407</c:v>
                </c:pt>
                <c:pt idx="127">
                  <c:v>0.35393674504217365</c:v>
                </c:pt>
                <c:pt idx="128">
                  <c:v>0.35895406773992011</c:v>
                </c:pt>
                <c:pt idx="129">
                  <c:v>0.36398926690171418</c:v>
                </c:pt>
                <c:pt idx="130">
                  <c:v>0.36870040748776595</c:v>
                </c:pt>
                <c:pt idx="131">
                  <c:v>0.37317911989322539</c:v>
                </c:pt>
                <c:pt idx="132">
                  <c:v>0.37767571038882652</c:v>
                </c:pt>
                <c:pt idx="133">
                  <c:v>0.38225722689414371</c:v>
                </c:pt>
                <c:pt idx="134">
                  <c:v>0.38718515182375945</c:v>
                </c:pt>
                <c:pt idx="135">
                  <c:v>0.39221588166627991</c:v>
                </c:pt>
                <c:pt idx="136">
                  <c:v>0.39725778521350802</c:v>
                </c:pt>
                <c:pt idx="137">
                  <c:v>0.40218570770398276</c:v>
                </c:pt>
                <c:pt idx="138">
                  <c:v>0.40697283403510942</c:v>
                </c:pt>
                <c:pt idx="139">
                  <c:v>0.41138226589397497</c:v>
                </c:pt>
                <c:pt idx="140">
                  <c:v>0.41574029692248216</c:v>
                </c:pt>
                <c:pt idx="141">
                  <c:v>0.42025253450729949</c:v>
                </c:pt>
                <c:pt idx="142">
                  <c:v>0.42510894463720794</c:v>
                </c:pt>
                <c:pt idx="143">
                  <c:v>0.43045926211010316</c:v>
                </c:pt>
                <c:pt idx="144">
                  <c:v>0.43583863463003542</c:v>
                </c:pt>
                <c:pt idx="145">
                  <c:v>0.441548769298097</c:v>
                </c:pt>
                <c:pt idx="146">
                  <c:v>0.44752485488696764</c:v>
                </c:pt>
                <c:pt idx="147">
                  <c:v>0.45330427416685809</c:v>
                </c:pt>
                <c:pt idx="148">
                  <c:v>0.45874845791411067</c:v>
                </c:pt>
                <c:pt idx="149">
                  <c:v>0.46416135398730668</c:v>
                </c:pt>
                <c:pt idx="150">
                  <c:v>0.46927924246656261</c:v>
                </c:pt>
                <c:pt idx="151">
                  <c:v>0.47394121810146334</c:v>
                </c:pt>
                <c:pt idx="152">
                  <c:v>0.47841992969387592</c:v>
                </c:pt>
                <c:pt idx="153">
                  <c:v>0.48287405799766586</c:v>
                </c:pt>
                <c:pt idx="154">
                  <c:v>0.48731477753058805</c:v>
                </c:pt>
                <c:pt idx="155">
                  <c:v>0.49182254417003762</c:v>
                </c:pt>
                <c:pt idx="156">
                  <c:v>0.49632807167809201</c:v>
                </c:pt>
                <c:pt idx="157">
                  <c:v>0.50097886791695623</c:v>
                </c:pt>
                <c:pt idx="158">
                  <c:v>0.50612804732245653</c:v>
                </c:pt>
                <c:pt idx="159">
                  <c:v>0.51117888706909098</c:v>
                </c:pt>
                <c:pt idx="160">
                  <c:v>0.51606658243391501</c:v>
                </c:pt>
                <c:pt idx="161">
                  <c:v>0.5209922731104174</c:v>
                </c:pt>
                <c:pt idx="162">
                  <c:v>0.5229321593108327</c:v>
                </c:pt>
                <c:pt idx="163">
                  <c:v>0.52827577402438797</c:v>
                </c:pt>
                <c:pt idx="164">
                  <c:v>0.54002457288162109</c:v>
                </c:pt>
                <c:pt idx="165">
                  <c:v>0.55049054620675286</c:v>
                </c:pt>
                <c:pt idx="166">
                  <c:v>0.55981002246595168</c:v>
                </c:pt>
                <c:pt idx="167">
                  <c:v>0.57138449591924401</c:v>
                </c:pt>
                <c:pt idx="168">
                  <c:v>0.57825453642410651</c:v>
                </c:pt>
                <c:pt idx="169">
                  <c:v>0.5781204422110513</c:v>
                </c:pt>
                <c:pt idx="170">
                  <c:v>0.57894735327270352</c:v>
                </c:pt>
                <c:pt idx="171">
                  <c:v>0.58051177437568924</c:v>
                </c:pt>
                <c:pt idx="172">
                  <c:v>0.58254552197218012</c:v>
                </c:pt>
                <c:pt idx="173">
                  <c:v>0.58533913027160756</c:v>
                </c:pt>
                <c:pt idx="174">
                  <c:v>0.58873615927759526</c:v>
                </c:pt>
                <c:pt idx="175">
                  <c:v>0.59240137345750554</c:v>
                </c:pt>
                <c:pt idx="176">
                  <c:v>0.59646886702439317</c:v>
                </c:pt>
                <c:pt idx="177">
                  <c:v>0.60096098738767378</c:v>
                </c:pt>
                <c:pt idx="178">
                  <c:v>0.60578834165749795</c:v>
                </c:pt>
                <c:pt idx="179">
                  <c:v>0.61068274465994399</c:v>
                </c:pt>
                <c:pt idx="180">
                  <c:v>0.61559949019352322</c:v>
                </c:pt>
                <c:pt idx="181">
                  <c:v>0.62069503288945793</c:v>
                </c:pt>
                <c:pt idx="182">
                  <c:v>0.62545534167884864</c:v>
                </c:pt>
                <c:pt idx="183">
                  <c:v>0.63030504498418227</c:v>
                </c:pt>
                <c:pt idx="184">
                  <c:v>0.63517709895111907</c:v>
                </c:pt>
                <c:pt idx="185">
                  <c:v>0.64051848103765485</c:v>
                </c:pt>
                <c:pt idx="186">
                  <c:v>0.6461727431169435</c:v>
                </c:pt>
                <c:pt idx="187">
                  <c:v>0.65227398428032202</c:v>
                </c:pt>
                <c:pt idx="188">
                  <c:v>0.65819643315962695</c:v>
                </c:pt>
                <c:pt idx="189">
                  <c:v>0.66443176365777867</c:v>
                </c:pt>
                <c:pt idx="190">
                  <c:v>0.67082353903058878</c:v>
                </c:pt>
                <c:pt idx="191">
                  <c:v>0.6770141747099101</c:v>
                </c:pt>
                <c:pt idx="192">
                  <c:v>0.68293662684140288</c:v>
                </c:pt>
                <c:pt idx="193">
                  <c:v>0.68843444892431516</c:v>
                </c:pt>
                <c:pt idx="194">
                  <c:v>0.69397696907824569</c:v>
                </c:pt>
                <c:pt idx="195">
                  <c:v>0.69911720496691687</c:v>
                </c:pt>
                <c:pt idx="196">
                  <c:v>0.7043915366947372</c:v>
                </c:pt>
                <c:pt idx="197">
                  <c:v>0.70944237806746568</c:v>
                </c:pt>
                <c:pt idx="198">
                  <c:v>0.71476140786630427</c:v>
                </c:pt>
                <c:pt idx="199">
                  <c:v>0.71996869086150306</c:v>
                </c:pt>
                <c:pt idx="200">
                  <c:v>0.72528772066034175</c:v>
                </c:pt>
                <c:pt idx="201">
                  <c:v>0.73051735269104967</c:v>
                </c:pt>
                <c:pt idx="202">
                  <c:v>0.73610456928990475</c:v>
                </c:pt>
                <c:pt idx="203">
                  <c:v>0.74193762365326688</c:v>
                </c:pt>
                <c:pt idx="204">
                  <c:v>0.74770363416228924</c:v>
                </c:pt>
                <c:pt idx="205">
                  <c:v>0.75324615431622</c:v>
                </c:pt>
                <c:pt idx="206">
                  <c:v>0.75874397965132023</c:v>
                </c:pt>
                <c:pt idx="207">
                  <c:v>0.76444293817553333</c:v>
                </c:pt>
                <c:pt idx="208">
                  <c:v>0.77009720025482187</c:v>
                </c:pt>
                <c:pt idx="209">
                  <c:v>0.77566206619207378</c:v>
                </c:pt>
                <c:pt idx="210">
                  <c:v>0.78142807182281437</c:v>
                </c:pt>
                <c:pt idx="211">
                  <c:v>0.78701528679557542</c:v>
                </c:pt>
                <c:pt idx="212">
                  <c:v>0.79249076146907238</c:v>
                </c:pt>
                <c:pt idx="213">
                  <c:v>0.79794388710706021</c:v>
                </c:pt>
                <c:pt idx="214">
                  <c:v>0.80375459406100713</c:v>
                </c:pt>
                <c:pt idx="215">
                  <c:v>0.80931946812872901</c:v>
                </c:pt>
                <c:pt idx="216">
                  <c:v>0.81515252086599721</c:v>
                </c:pt>
                <c:pt idx="217">
                  <c:v>0.82060564487789089</c:v>
                </c:pt>
                <c:pt idx="218">
                  <c:v>0.82599171853106923</c:v>
                </c:pt>
                <c:pt idx="219">
                  <c:v>0.83072967340666892</c:v>
                </c:pt>
                <c:pt idx="220">
                  <c:v>0.83566877122794536</c:v>
                </c:pt>
                <c:pt idx="221">
                  <c:v>0.84040672610354483</c:v>
                </c:pt>
                <c:pt idx="222">
                  <c:v>0.84561401072483766</c:v>
                </c:pt>
                <c:pt idx="223">
                  <c:v>0.85064250794033869</c:v>
                </c:pt>
                <c:pt idx="224">
                  <c:v>0.85598388514859258</c:v>
                </c:pt>
                <c:pt idx="225">
                  <c:v>0.86119116814379137</c:v>
                </c:pt>
                <c:pt idx="226">
                  <c:v>0.86630906150132925</c:v>
                </c:pt>
                <c:pt idx="227">
                  <c:v>0.8710023199320045</c:v>
                </c:pt>
                <c:pt idx="228">
                  <c:v>0.8756508867960372</c:v>
                </c:pt>
                <c:pt idx="229">
                  <c:v>0.88018770848252392</c:v>
                </c:pt>
                <c:pt idx="230">
                  <c:v>0.88463513077478595</c:v>
                </c:pt>
                <c:pt idx="231">
                  <c:v>0.88897081764606578</c:v>
                </c:pt>
                <c:pt idx="232">
                  <c:v>0.89366407607674125</c:v>
                </c:pt>
                <c:pt idx="233">
                  <c:v>0.89804444801028771</c:v>
                </c:pt>
                <c:pt idx="234">
                  <c:v>0.90264832005549001</c:v>
                </c:pt>
                <c:pt idx="235">
                  <c:v>0.90720749077748608</c:v>
                </c:pt>
                <c:pt idx="236">
                  <c:v>0.91176665499510601</c:v>
                </c:pt>
                <c:pt idx="237">
                  <c:v>0.91628113415045964</c:v>
                </c:pt>
                <c:pt idx="238">
                  <c:v>0.92095204354562576</c:v>
                </c:pt>
                <c:pt idx="239">
                  <c:v>0.9254665129444154</c:v>
                </c:pt>
                <c:pt idx="240">
                  <c:v>0.93020446944610879</c:v>
                </c:pt>
                <c:pt idx="241">
                  <c:v>0.9347859826992384</c:v>
                </c:pt>
                <c:pt idx="242">
                  <c:v>0.93867468235595841</c:v>
                </c:pt>
                <c:pt idx="243">
                  <c:v>0.94296567115621988</c:v>
                </c:pt>
                <c:pt idx="244">
                  <c:v>0.94687672310063731</c:v>
                </c:pt>
                <c:pt idx="245">
                  <c:v>0.95058663697765977</c:v>
                </c:pt>
                <c:pt idx="246">
                  <c:v>0.95460944060399888</c:v>
                </c:pt>
                <c:pt idx="247">
                  <c:v>0.95896746675422428</c:v>
                </c:pt>
                <c:pt idx="248">
                  <c:v>0.96296791158849027</c:v>
                </c:pt>
                <c:pt idx="249">
                  <c:v>0.96712479641913285</c:v>
                </c:pt>
                <c:pt idx="250">
                  <c:v>0.97130403353747252</c:v>
                </c:pt>
                <c:pt idx="251">
                  <c:v>0.97541622029709674</c:v>
                </c:pt>
                <c:pt idx="252">
                  <c:v>0.97957311488430299</c:v>
                </c:pt>
                <c:pt idx="253">
                  <c:v>0.98352886164755071</c:v>
                </c:pt>
                <c:pt idx="254">
                  <c:v>0.98761870262385387</c:v>
                </c:pt>
                <c:pt idx="255">
                  <c:v>0.99175324817555099</c:v>
                </c:pt>
                <c:pt idx="256">
                  <c:v>0.99577604854970225</c:v>
                </c:pt>
                <c:pt idx="257">
                  <c:v>0.99977649013178049</c:v>
                </c:pt>
                <c:pt idx="258">
                  <c:v>1.0040674789320421</c:v>
                </c:pt>
                <c:pt idx="259">
                  <c:v>1.0079338360576287</c:v>
                </c:pt>
                <c:pt idx="260">
                  <c:v>1.0116437401780876</c:v>
                </c:pt>
                <c:pt idx="261">
                  <c:v>1.0152195533376791</c:v>
                </c:pt>
                <c:pt idx="262">
                  <c:v>1.0188400775770405</c:v>
                </c:pt>
                <c:pt idx="263">
                  <c:v>1.0224605855554627</c:v>
                </c:pt>
                <c:pt idx="264">
                  <c:v>1.0262598890701458</c:v>
                </c:pt>
                <c:pt idx="265">
                  <c:v>1.0300145042703746</c:v>
                </c:pt>
                <c:pt idx="266">
                  <c:v>1.0339255594669798</c:v>
                </c:pt>
                <c:pt idx="267">
                  <c:v>1.0376354635874387</c:v>
                </c:pt>
                <c:pt idx="268">
                  <c:v>1.0411442393970662</c:v>
                </c:pt>
                <c:pt idx="269">
                  <c:v>1.0447871061675613</c:v>
                </c:pt>
                <c:pt idx="270">
                  <c:v>1.0481170864409277</c:v>
                </c:pt>
                <c:pt idx="271">
                  <c:v>1.0513129659968627</c:v>
                </c:pt>
                <c:pt idx="272">
                  <c:v>1.0542406668832514</c:v>
                </c:pt>
                <c:pt idx="273">
                  <c:v>1.057034276808773</c:v>
                </c:pt>
                <c:pt idx="274">
                  <c:v>1.0596937957734269</c:v>
                </c:pt>
                <c:pt idx="275">
                  <c:v>1.0624874024467608</c:v>
                </c:pt>
                <c:pt idx="276">
                  <c:v>1.0651916162302455</c:v>
                </c:pt>
                <c:pt idx="277">
                  <c:v>1.0680969713333128</c:v>
                </c:pt>
                <c:pt idx="278">
                  <c:v>1.0711364206494356</c:v>
                </c:pt>
                <c:pt idx="279">
                  <c:v>1.0741088163546546</c:v>
                </c:pt>
                <c:pt idx="280">
                  <c:v>1.0770812120598738</c:v>
                </c:pt>
                <c:pt idx="281">
                  <c:v>1.0798077748788679</c:v>
                </c:pt>
                <c:pt idx="282">
                  <c:v>1.0828472241949902</c:v>
                </c:pt>
                <c:pt idx="283">
                  <c:v>1.0858419656835305</c:v>
                </c:pt>
                <c:pt idx="284">
                  <c:v>1.0889037575307867</c:v>
                </c:pt>
                <c:pt idx="285">
                  <c:v>1.0918985055237029</c:v>
                </c:pt>
                <c:pt idx="286">
                  <c:v>1.094982652910844</c:v>
                </c:pt>
                <c:pt idx="287">
                  <c:v>1.0977315647653469</c:v>
                </c:pt>
                <c:pt idx="288">
                  <c:v>1.1001005495205696</c:v>
                </c:pt>
                <c:pt idx="289">
                  <c:v>1.1024918768069258</c:v>
                </c:pt>
                <c:pt idx="290">
                  <c:v>1.1046150156671712</c:v>
                </c:pt>
                <c:pt idx="291">
                  <c:v>1.1066040603143619</c:v>
                </c:pt>
                <c:pt idx="292">
                  <c:v>1.1085707559260434</c:v>
                </c:pt>
                <c:pt idx="293">
                  <c:v>1.1106268476797614</c:v>
                </c:pt>
                <c:pt idx="294">
                  <c:v>1.1123477201617813</c:v>
                </c:pt>
                <c:pt idx="295">
                  <c:v>1.114135636498141</c:v>
                </c:pt>
                <c:pt idx="296">
                  <c:v>1.1163034766815929</c:v>
                </c:pt>
                <c:pt idx="297">
                  <c:v>1.1184713168650449</c:v>
                </c:pt>
                <c:pt idx="298">
                  <c:v>1.1205497641586484</c:v>
                </c:pt>
                <c:pt idx="299">
                  <c:v>1.1226729030188938</c:v>
                </c:pt>
                <c:pt idx="300">
                  <c:v>1.1250865793407592</c:v>
                </c:pt>
                <c:pt idx="301">
                  <c:v>1.1271873756698714</c:v>
                </c:pt>
                <c:pt idx="302">
                  <c:v>1.1291987693525711</c:v>
                </c:pt>
                <c:pt idx="303">
                  <c:v>1.1312548611062891</c:v>
                </c:pt>
                <c:pt idx="304">
                  <c:v>1.133154509611443</c:v>
                </c:pt>
                <c:pt idx="305">
                  <c:v>1.1348083252303716</c:v>
                </c:pt>
                <c:pt idx="306">
                  <c:v>1.1364621441014879</c:v>
                </c:pt>
                <c:pt idx="307">
                  <c:v>1.1376913378023055</c:v>
                </c:pt>
                <c:pt idx="308">
                  <c:v>1.1389428772864445</c:v>
                </c:pt>
                <c:pt idx="309">
                  <c:v>1.1400826748452253</c:v>
                </c:pt>
                <c:pt idx="310">
                  <c:v>1.1412001233684972</c:v>
                </c:pt>
                <c:pt idx="311">
                  <c:v>1.1421164305721863</c:v>
                </c:pt>
                <c:pt idx="312">
                  <c:v>1.143233872591082</c:v>
                </c:pt>
                <c:pt idx="313">
                  <c:v>1.1441948713614134</c:v>
                </c:pt>
                <c:pt idx="314">
                  <c:v>1.1454017030179702</c:v>
                </c:pt>
                <c:pt idx="315">
                  <c:v>1.1466085346745269</c:v>
                </c:pt>
                <c:pt idx="316">
                  <c:v>1.1477036211535376</c:v>
                </c:pt>
                <c:pt idx="317">
                  <c:v>1.1485752237818325</c:v>
                </c:pt>
                <c:pt idx="318">
                  <c:v>1.1496256219463887</c:v>
                </c:pt>
                <c:pt idx="319">
                  <c:v>1.1504525330080408</c:v>
                </c:pt>
                <c:pt idx="320">
                  <c:v>1.1509889098602613</c:v>
                </c:pt>
                <c:pt idx="321">
                  <c:v>1.1517264247798766</c:v>
                </c:pt>
                <c:pt idx="322">
                  <c:v>1.1525086377705107</c:v>
                </c:pt>
                <c:pt idx="323">
                  <c:v>1.1531120584770709</c:v>
                </c:pt>
                <c:pt idx="324">
                  <c:v>1.1534696430452178</c:v>
                </c:pt>
                <c:pt idx="325">
                  <c:v>1.1540283656807599</c:v>
                </c:pt>
                <c:pt idx="326">
                  <c:v>1.1541848089293243</c:v>
                </c:pt>
                <c:pt idx="327">
                  <c:v>1.1545423934974715</c:v>
                </c:pt>
                <c:pt idx="328">
                  <c:v>1.1546764877105267</c:v>
                </c:pt>
                <c:pt idx="329">
                  <c:v>1.1549223271011277</c:v>
                </c:pt>
                <c:pt idx="330">
                  <c:v>1.1549446761366369</c:v>
                </c:pt>
                <c:pt idx="331">
                  <c:v>1.1550117232431645</c:v>
                </c:pt>
                <c:pt idx="332">
                  <c:v>1.1548999780656186</c:v>
                </c:pt>
                <c:pt idx="333">
                  <c:v>1.1548105819235814</c:v>
                </c:pt>
                <c:pt idx="334">
                  <c:v>1.1547658838525632</c:v>
                </c:pt>
                <c:pt idx="335">
                  <c:v>1.1545200444619621</c:v>
                </c:pt>
                <c:pt idx="336">
                  <c:v>1.1543189031423795</c:v>
                </c:pt>
                <c:pt idx="337">
                  <c:v>1.153894271467705</c:v>
                </c:pt>
                <c:pt idx="338">
                  <c:v>1.1532684984734476</c:v>
                </c:pt>
                <c:pt idx="339">
                  <c:v>1.1524639331951163</c:v>
                </c:pt>
                <c:pt idx="340">
                  <c:v>1.1517264150233131</c:v>
                </c:pt>
                <c:pt idx="341">
                  <c:v>1.1508771549261516</c:v>
                </c:pt>
                <c:pt idx="342">
                  <c:v>1.149871451580426</c:v>
                </c:pt>
                <c:pt idx="343">
                  <c:v>1.1488210631724334</c:v>
                </c:pt>
                <c:pt idx="344">
                  <c:v>1.1478153728354592</c:v>
                </c:pt>
                <c:pt idx="345">
                  <c:v>1.146653242502109</c:v>
                </c:pt>
                <c:pt idx="346">
                  <c:v>1.1452452695259694</c:v>
                </c:pt>
                <c:pt idx="347">
                  <c:v>1.1437479004077935</c:v>
                </c:pt>
                <c:pt idx="348">
                  <c:v>1.1423622634584114</c:v>
                </c:pt>
                <c:pt idx="349">
                  <c:v>1.1403732058024691</c:v>
                </c:pt>
                <c:pt idx="350">
                  <c:v>1.1383841513987147</c:v>
                </c:pt>
                <c:pt idx="351">
                  <c:v>1.1362610125384693</c:v>
                </c:pt>
                <c:pt idx="352">
                  <c:v>1.1339814304296592</c:v>
                </c:pt>
                <c:pt idx="353">
                  <c:v>1.1310537262910825</c:v>
                </c:pt>
                <c:pt idx="354">
                  <c:v>1.1281930725112215</c:v>
                </c:pt>
                <c:pt idx="355">
                  <c:v>1.1247736993480062</c:v>
                </c:pt>
                <c:pt idx="356">
                  <c:v>1.1211308260731354</c:v>
                </c:pt>
                <c:pt idx="357">
                  <c:v>1.1171080256989843</c:v>
                </c:pt>
                <c:pt idx="358">
                  <c:v>1.1129734931560387</c:v>
                </c:pt>
                <c:pt idx="359">
                  <c:v>1.108682510860153</c:v>
                </c:pt>
                <c:pt idx="360">
                  <c:v>1.1043468304932489</c:v>
                </c:pt>
                <c:pt idx="361">
                  <c:v>1.1001675933749091</c:v>
                </c:pt>
                <c:pt idx="362">
                  <c:v>1.0962341956471708</c:v>
                </c:pt>
                <c:pt idx="363">
                  <c:v>1.093038303082484</c:v>
                </c:pt>
                <c:pt idx="364">
                  <c:v>1.0902446964091503</c:v>
                </c:pt>
                <c:pt idx="365">
                  <c:v>1.0884344310372815</c:v>
                </c:pt>
                <c:pt idx="366">
                  <c:v>1.0874510799792532</c:v>
                </c:pt>
                <c:pt idx="367">
                  <c:v>1.0876075232278173</c:v>
                </c:pt>
                <c:pt idx="368">
                  <c:v>1.0882779877887172</c:v>
                </c:pt>
                <c:pt idx="369">
                  <c:v>1.0899765047308523</c:v>
                </c:pt>
                <c:pt idx="370">
                  <c:v>1.0929042121216166</c:v>
                </c:pt>
                <c:pt idx="371">
                  <c:v>1.0966141292508271</c:v>
                </c:pt>
                <c:pt idx="372">
                  <c:v>1.1015979251431218</c:v>
                </c:pt>
                <c:pt idx="373">
                  <c:v>1.1081684928000053</c:v>
                </c:pt>
                <c:pt idx="374">
                  <c:v>1.1161023386141982</c:v>
                </c:pt>
                <c:pt idx="375">
                  <c:v>1.1251312806639655</c:v>
                </c:pt>
                <c:pt idx="376">
                  <c:v>1.1352106143739129</c:v>
                </c:pt>
                <c:pt idx="377">
                  <c:v>1.1461392081810218</c:v>
                </c:pt>
                <c:pt idx="378">
                  <c:v>1.1579170620852921</c:v>
                </c:pt>
                <c:pt idx="379">
                  <c:v>1.1694937714177918</c:v>
                </c:pt>
                <c:pt idx="380">
                  <c:v>1.1811151788213097</c:v>
                </c:pt>
                <c:pt idx="381">
                  <c:v>1.1937646418582506</c:v>
                </c:pt>
                <c:pt idx="382">
                  <c:v>1.2061459164690813</c:v>
                </c:pt>
                <c:pt idx="383">
                  <c:v>1.2181472509718798</c:v>
                </c:pt>
                <c:pt idx="384">
                  <c:v>1.230282686192109</c:v>
                </c:pt>
                <c:pt idx="385">
                  <c:v>1.242574564660903</c:v>
                </c:pt>
                <c:pt idx="386">
                  <c:v>1.2532349700419017</c:v>
                </c:pt>
                <c:pt idx="387">
                  <c:v>1.263649536032299</c:v>
                </c:pt>
                <c:pt idx="388">
                  <c:v>1.2735277381792278</c:v>
                </c:pt>
                <c:pt idx="389">
                  <c:v>1.2829366073282753</c:v>
                </c:pt>
                <c:pt idx="390">
                  <c:v>1.2913844744548035</c:v>
                </c:pt>
                <c:pt idx="391">
                  <c:v>1.3003910707212496</c:v>
                </c:pt>
                <c:pt idx="392">
                  <c:v>1.3085484068905342</c:v>
                </c:pt>
                <c:pt idx="393">
                  <c:v>1.3164822592091028</c:v>
                </c:pt>
                <c:pt idx="394">
                  <c:v>1.3244831521298228</c:v>
                </c:pt>
                <c:pt idx="395">
                  <c:v>1.3319923727737168</c:v>
                </c:pt>
                <c:pt idx="396">
                  <c:v>1.3391663513805969</c:v>
                </c:pt>
                <c:pt idx="397">
                  <c:v>1.3459827616802695</c:v>
                </c:pt>
                <c:pt idx="398">
                  <c:v>1.3524415744030434</c:v>
                </c:pt>
                <c:pt idx="399">
                  <c:v>1.3585651711063069</c:v>
                </c:pt>
                <c:pt idx="400">
                  <c:v>1.3644876264899879</c:v>
                </c:pt>
                <c:pt idx="401">
                  <c:v>1.3695161204533008</c:v>
                </c:pt>
                <c:pt idx="402">
                  <c:v>1.3741646808129577</c:v>
                </c:pt>
                <c:pt idx="403">
                  <c:v>1.3781427863682787</c:v>
                </c:pt>
                <c:pt idx="404">
                  <c:v>1.3815845085670027</c:v>
                </c:pt>
                <c:pt idx="405">
                  <c:v>1.3844451525903001</c:v>
                </c:pt>
                <c:pt idx="406">
                  <c:v>1.3869035269831838</c:v>
                </c:pt>
                <c:pt idx="407">
                  <c:v>1.3890713639144479</c:v>
                </c:pt>
                <c:pt idx="408">
                  <c:v>1.3906581291746609</c:v>
                </c:pt>
                <c:pt idx="409">
                  <c:v>1.3917979234812539</c:v>
                </c:pt>
                <c:pt idx="410">
                  <c:v>1.3927812777914705</c:v>
                </c:pt>
                <c:pt idx="411">
                  <c:v>1.3933623527147094</c:v>
                </c:pt>
                <c:pt idx="412">
                  <c:v>1.3935187959632738</c:v>
                </c:pt>
                <c:pt idx="413">
                  <c:v>1.3938093334248931</c:v>
                </c:pt>
                <c:pt idx="414">
                  <c:v>1.3937422830661776</c:v>
                </c:pt>
                <c:pt idx="415">
                  <c:v>1.3931612113951266</c:v>
                </c:pt>
                <c:pt idx="416">
                  <c:v>1.3924013474400019</c:v>
                </c:pt>
                <c:pt idx="417">
                  <c:v>1.3914403551740464</c:v>
                </c:pt>
                <c:pt idx="418">
                  <c:v>1.3903005706240172</c:v>
                </c:pt>
                <c:pt idx="419">
                  <c:v>1.388914946683387</c:v>
                </c:pt>
                <c:pt idx="420">
                  <c:v>1.3872611310644585</c:v>
                </c:pt>
                <c:pt idx="421">
                  <c:v>1.3853391270194197</c:v>
                </c:pt>
                <c:pt idx="422">
                  <c:v>1.3834841570721566</c:v>
                </c:pt>
                <c:pt idx="423">
                  <c:v>1.3812716155654985</c:v>
                </c:pt>
                <c:pt idx="424">
                  <c:v>1.3787238450305779</c:v>
                </c:pt>
                <c:pt idx="425">
                  <c:v>1.3762654706376944</c:v>
                </c:pt>
                <c:pt idx="426">
                  <c:v>1.3735389078187006</c:v>
                </c:pt>
                <c:pt idx="427">
                  <c:v>1.3707676501808763</c:v>
                </c:pt>
                <c:pt idx="428">
                  <c:v>1.3675717641205651</c:v>
                </c:pt>
                <c:pt idx="429">
                  <c:v>1.3645770128754606</c:v>
                </c:pt>
                <c:pt idx="430">
                  <c:v>1.3613140732042464</c:v>
                </c:pt>
                <c:pt idx="431">
                  <c:v>1.35814054268382</c:v>
                </c:pt>
                <c:pt idx="432">
                  <c:v>1.3547882231315085</c:v>
                </c:pt>
                <c:pt idx="433">
                  <c:v>1.3515029344247849</c:v>
                </c:pt>
                <c:pt idx="434">
                  <c:v>1.3481282495760243</c:v>
                </c:pt>
                <c:pt idx="435">
                  <c:v>1.3449994138744288</c:v>
                </c:pt>
                <c:pt idx="436">
                  <c:v>1.3416247355300441</c:v>
                </c:pt>
                <c:pt idx="437">
                  <c:v>1.3381830035747562</c:v>
                </c:pt>
                <c:pt idx="438">
                  <c:v>1.3346965768006378</c:v>
                </c:pt>
                <c:pt idx="439">
                  <c:v>1.3311878139997613</c:v>
                </c:pt>
                <c:pt idx="440">
                  <c:v>1.3274108562683993</c:v>
                </c:pt>
                <c:pt idx="441">
                  <c:v>1.3235445023950003</c:v>
                </c:pt>
                <c:pt idx="442">
                  <c:v>1.3194546646708856</c:v>
                </c:pt>
                <c:pt idx="443">
                  <c:v>1.3152977798402428</c:v>
                </c:pt>
                <c:pt idx="444">
                  <c:v>1.3108056529725867</c:v>
                </c:pt>
                <c:pt idx="445">
                  <c:v>1.3061570893607419</c:v>
                </c:pt>
                <c:pt idx="446">
                  <c:v>1.3013297269604478</c:v>
                </c:pt>
                <c:pt idx="447">
                  <c:v>1.2967035156362998</c:v>
                </c:pt>
                <c:pt idx="448">
                  <c:v>1.292032606241134</c:v>
                </c:pt>
                <c:pt idx="449">
                  <c:v>1.2872946432350645</c:v>
                </c:pt>
                <c:pt idx="450">
                  <c:v>1.2827801705840869</c:v>
                </c:pt>
                <c:pt idx="451">
                  <c:v>1.27813161022443</c:v>
                </c:pt>
                <c:pt idx="452">
                  <c:v>1.273214854934287</c:v>
                </c:pt>
                <c:pt idx="453">
                  <c:v>1.2683651500028592</c:v>
                </c:pt>
                <c:pt idx="454">
                  <c:v>1.2635824954301473</c:v>
                </c:pt>
                <c:pt idx="455">
                  <c:v>1.258308168580609</c:v>
                </c:pt>
                <c:pt idx="456">
                  <c:v>1.2535255107557088</c:v>
                </c:pt>
                <c:pt idx="457">
                  <c:v>1.2487205006431117</c:v>
                </c:pt>
                <c:pt idx="458">
                  <c:v>1.2436920066797987</c:v>
                </c:pt>
                <c:pt idx="459">
                  <c:v>1.2386858617519949</c:v>
                </c:pt>
                <c:pt idx="460">
                  <c:v>1.2338361535683795</c:v>
                </c:pt>
                <c:pt idx="461">
                  <c:v>1.2287853138217451</c:v>
                </c:pt>
                <c:pt idx="462">
                  <c:v>1.2240026592490332</c:v>
                </c:pt>
                <c:pt idx="463">
                  <c:v>1.2186612787885911</c:v>
                </c:pt>
                <c:pt idx="464">
                  <c:v>1.2131187602607547</c:v>
                </c:pt>
                <c:pt idx="465">
                  <c:v>1.2078667759423496</c:v>
                </c:pt>
                <c:pt idx="466">
                  <c:v>1.2024806941587012</c:v>
                </c:pt>
                <c:pt idx="467">
                  <c:v>1.19684877623664</c:v>
                </c:pt>
                <c:pt idx="468">
                  <c:v>1.1917532351667992</c:v>
                </c:pt>
                <c:pt idx="469">
                  <c:v>1.1869258825230689</c:v>
                </c:pt>
                <c:pt idx="470">
                  <c:v>1.1817856433822098</c:v>
                </c:pt>
                <c:pt idx="471">
                  <c:v>1.1768465488131212</c:v>
                </c:pt>
                <c:pt idx="472">
                  <c:v>1.171348731608491</c:v>
                </c:pt>
                <c:pt idx="473">
                  <c:v>1.1661861434321228</c:v>
                </c:pt>
                <c:pt idx="474">
                  <c:v>1.1610235552557544</c:v>
                </c:pt>
                <c:pt idx="475">
                  <c:v>1.1556821812996882</c:v>
                </c:pt>
                <c:pt idx="476">
                  <c:v>1.150608989265357</c:v>
                </c:pt>
                <c:pt idx="477">
                  <c:v>1.1457816333694384</c:v>
                </c:pt>
                <c:pt idx="478">
                  <c:v>1.1407754884416346</c:v>
                </c:pt>
                <c:pt idx="479">
                  <c:v>1.1356799441196057</c:v>
                </c:pt>
                <c:pt idx="480">
                  <c:v>1.1308302424403665</c:v>
                </c:pt>
                <c:pt idx="481">
                  <c:v>1.1255782581219611</c:v>
                </c:pt>
                <c:pt idx="482">
                  <c:v>1.1206391570484968</c:v>
                </c:pt>
                <c:pt idx="483">
                  <c:v>1.1154989179076378</c:v>
                </c:pt>
                <c:pt idx="484">
                  <c:v>1.1102469335892327</c:v>
                </c:pt>
                <c:pt idx="485">
                  <c:v>1.1050396408374701</c:v>
                </c:pt>
                <c:pt idx="486">
                  <c:v>1.0998100023023865</c:v>
                </c:pt>
                <c:pt idx="487">
                  <c:v>1.0944239237709261</c:v>
                </c:pt>
                <c:pt idx="488">
                  <c:v>1.089171939452521</c:v>
                </c:pt>
                <c:pt idx="489">
                  <c:v>1.084255193918942</c:v>
                </c:pt>
                <c:pt idx="490">
                  <c:v>1.0779751637236779</c:v>
                </c:pt>
                <c:pt idx="491">
                  <c:v>1.0717845296704502</c:v>
                </c:pt>
                <c:pt idx="492">
                  <c:v>1.0659514769331822</c:v>
                </c:pt>
                <c:pt idx="493">
                  <c:v>1.0603195687676845</c:v>
                </c:pt>
                <c:pt idx="494">
                  <c:v>1.0547547012043388</c:v>
                </c:pt>
                <c:pt idx="495">
                  <c:v>1.0508883473309398</c:v>
                </c:pt>
                <c:pt idx="496">
                  <c:v>1.0469996476742196</c:v>
                </c:pt>
                <c:pt idx="497">
                  <c:v>1.043066246694293</c:v>
                </c:pt>
                <c:pt idx="498">
                  <c:v>1.0391328424621786</c:v>
                </c:pt>
                <c:pt idx="499">
                  <c:v>1.0339479052503011</c:v>
                </c:pt>
                <c:pt idx="500">
                  <c:v>1.0284053867224645</c:v>
                </c:pt>
                <c:pt idx="501">
                  <c:v>1.022885217230137</c:v>
                </c:pt>
                <c:pt idx="502">
                  <c:v>1.0174320980965252</c:v>
                </c:pt>
                <c:pt idx="503">
                  <c:v>1.0120236672773679</c:v>
                </c:pt>
                <c:pt idx="504">
                  <c:v>1.0078891249778585</c:v>
                </c:pt>
                <c:pt idx="505">
                  <c:v>1.0034416994334088</c:v>
                </c:pt>
                <c:pt idx="506">
                  <c:v>0.99926245581069306</c:v>
                </c:pt>
                <c:pt idx="507">
                  <c:v>0.99521731290540871</c:v>
                </c:pt>
                <c:pt idx="508">
                  <c:v>0.9913733145718947</c:v>
                </c:pt>
                <c:pt idx="509">
                  <c:v>0.98732817166661013</c:v>
                </c:pt>
                <c:pt idx="510">
                  <c:v>0.98395349332222559</c:v>
                </c:pt>
                <c:pt idx="511">
                  <c:v>0.98082465436844202</c:v>
                </c:pt>
                <c:pt idx="512">
                  <c:v>0.97747231855519079</c:v>
                </c:pt>
                <c:pt idx="513">
                  <c:v>0.97394119696224168</c:v>
                </c:pt>
                <c:pt idx="514">
                  <c:v>0.97047712572800826</c:v>
                </c:pt>
                <c:pt idx="515">
                  <c:v>0.96712479641913285</c:v>
                </c:pt>
                <c:pt idx="516">
                  <c:v>0.96366072193271146</c:v>
                </c:pt>
                <c:pt idx="517">
                  <c:v>0.9601519591318356</c:v>
                </c:pt>
                <c:pt idx="518">
                  <c:v>0.95659848850337748</c:v>
                </c:pt>
                <c:pt idx="519">
                  <c:v>0.95315675654808929</c:v>
                </c:pt>
                <c:pt idx="520">
                  <c:v>0.94978207495151667</c:v>
                </c:pt>
                <c:pt idx="521">
                  <c:v>0.94634035275279249</c:v>
                </c:pt>
                <c:pt idx="522">
                  <c:v>0.9432115072946331</c:v>
                </c:pt>
                <c:pt idx="523">
                  <c:v>0.94041789736911174</c:v>
                </c:pt>
                <c:pt idx="524">
                  <c:v>0.93775838165664527</c:v>
                </c:pt>
                <c:pt idx="525">
                  <c:v>0.93518826208621575</c:v>
                </c:pt>
                <c:pt idx="526">
                  <c:v>0.93277458901653854</c:v>
                </c:pt>
                <c:pt idx="527">
                  <c:v>0.93053970823093479</c:v>
                </c:pt>
                <c:pt idx="528">
                  <c:v>0.92839422033517993</c:v>
                </c:pt>
                <c:pt idx="529">
                  <c:v>0.92644987375900778</c:v>
                </c:pt>
                <c:pt idx="530">
                  <c:v>0.92455022200166592</c:v>
                </c:pt>
                <c:pt idx="531">
                  <c:v>0.92280700048413689</c:v>
                </c:pt>
                <c:pt idx="532">
                  <c:v>0.92115317510864458</c:v>
                </c:pt>
                <c:pt idx="533">
                  <c:v>0.91972284008824412</c:v>
                </c:pt>
                <c:pt idx="534">
                  <c:v>0.91842660253308672</c:v>
                </c:pt>
                <c:pt idx="535">
                  <c:v>0.91724212316422715</c:v>
                </c:pt>
                <c:pt idx="536">
                  <c:v>0.91621408704393192</c:v>
                </c:pt>
                <c:pt idx="537">
                  <c:v>0.91536483995552231</c:v>
                </c:pt>
                <c:pt idx="538">
                  <c:v>0.91442619672507597</c:v>
                </c:pt>
                <c:pt idx="539">
                  <c:v>0.91373338963304285</c:v>
                </c:pt>
                <c:pt idx="540">
                  <c:v>0.91324171085184047</c:v>
                </c:pt>
                <c:pt idx="541">
                  <c:v>0.91279473014165668</c:v>
                </c:pt>
                <c:pt idx="542">
                  <c:v>0.9125488907510555</c:v>
                </c:pt>
                <c:pt idx="543">
                  <c:v>0.91252654171554626</c:v>
                </c:pt>
                <c:pt idx="544">
                  <c:v>0.91245949460901876</c:v>
                </c:pt>
                <c:pt idx="545">
                  <c:v>0.91257123978656463</c:v>
                </c:pt>
                <c:pt idx="546">
                  <c:v>0.91290647531920255</c:v>
                </c:pt>
                <c:pt idx="547">
                  <c:v>0.91319701278082199</c:v>
                </c:pt>
                <c:pt idx="548">
                  <c:v>0.91371103409315757</c:v>
                </c:pt>
                <c:pt idx="549">
                  <c:v>0.91449324057941561</c:v>
                </c:pt>
                <c:pt idx="550">
                  <c:v>0.91511900056492124</c:v>
                </c:pt>
                <c:pt idx="551">
                  <c:v>0.91601294572434921</c:v>
                </c:pt>
                <c:pt idx="552">
                  <c:v>0.91706333413234165</c:v>
                </c:pt>
                <c:pt idx="553">
                  <c:v>0.9182254709700679</c:v>
                </c:pt>
                <c:pt idx="554">
                  <c:v>0.9194323091310006</c:v>
                </c:pt>
                <c:pt idx="555">
                  <c:v>0.92077324475717626</c:v>
                </c:pt>
                <c:pt idx="556">
                  <c:v>0.9222035797775765</c:v>
                </c:pt>
                <c:pt idx="557">
                  <c:v>0.9237456567233352</c:v>
                </c:pt>
                <c:pt idx="558">
                  <c:v>0.92515363945603846</c:v>
                </c:pt>
                <c:pt idx="559">
                  <c:v>0.92682980085828814</c:v>
                </c:pt>
                <c:pt idx="560">
                  <c:v>0.9287071003279328</c:v>
                </c:pt>
                <c:pt idx="561">
                  <c:v>0.93163479796213355</c:v>
                </c:pt>
                <c:pt idx="562">
                  <c:v>0.93460719691954064</c:v>
                </c:pt>
                <c:pt idx="563">
                  <c:v>0.93780308623203956</c:v>
                </c:pt>
                <c:pt idx="564">
                  <c:v>0.94088723361918059</c:v>
                </c:pt>
                <c:pt idx="565">
                  <c:v>0.9438596390809636</c:v>
                </c:pt>
                <c:pt idx="566">
                  <c:v>0.94598277794120933</c:v>
                </c:pt>
                <c:pt idx="567">
                  <c:v>0.94837410197537719</c:v>
                </c:pt>
                <c:pt idx="568">
                  <c:v>0.95051958987113228</c:v>
                </c:pt>
                <c:pt idx="569">
                  <c:v>0.95268742680239638</c:v>
                </c:pt>
                <c:pt idx="570">
                  <c:v>0.95534693926267467</c:v>
                </c:pt>
                <c:pt idx="571">
                  <c:v>0.95796176340849848</c:v>
                </c:pt>
                <c:pt idx="572">
                  <c:v>0.96064362490428601</c:v>
                </c:pt>
                <c:pt idx="573">
                  <c:v>0.96392890710663381</c:v>
                </c:pt>
                <c:pt idx="574">
                  <c:v>0.967616475200335</c:v>
                </c:pt>
                <c:pt idx="575">
                  <c:v>0.97116994257660527</c:v>
                </c:pt>
                <c:pt idx="576">
                  <c:v>0.97487984994925192</c:v>
                </c:pt>
                <c:pt idx="577">
                  <c:v>0.97850037093642561</c:v>
                </c:pt>
                <c:pt idx="578">
                  <c:v>0.98194209963952572</c:v>
                </c:pt>
                <c:pt idx="579">
                  <c:v>0.98513798244764905</c:v>
                </c:pt>
                <c:pt idx="580">
                  <c:v>0.98853500982754272</c:v>
                </c:pt>
                <c:pt idx="581">
                  <c:v>0.99190969142411534</c:v>
                </c:pt>
                <c:pt idx="582">
                  <c:v>0.99557490723011954</c:v>
                </c:pt>
                <c:pt idx="583">
                  <c:v>0.99948595267016105</c:v>
                </c:pt>
                <c:pt idx="584">
                  <c:v>1.0035311020798212</c:v>
                </c:pt>
                <c:pt idx="585">
                  <c:v>1.0075986005249908</c:v>
                </c:pt>
                <c:pt idx="586">
                  <c:v>1.0117554853556334</c:v>
                </c:pt>
                <c:pt idx="587">
                  <c:v>1.0159794205449917</c:v>
                </c:pt>
                <c:pt idx="588">
                  <c:v>1.0201586609155191</c:v>
                </c:pt>
                <c:pt idx="589">
                  <c:v>1.0241591057497854</c:v>
                </c:pt>
                <c:pt idx="590">
                  <c:v>1.0279807582999778</c:v>
                </c:pt>
                <c:pt idx="591">
                  <c:v>1.0318918167487712</c:v>
                </c:pt>
                <c:pt idx="592">
                  <c:v>1.0357805131533033</c:v>
                </c:pt>
                <c:pt idx="593">
                  <c:v>1.0398480083462851</c:v>
                </c:pt>
                <c:pt idx="594">
                  <c:v>1.0438484596849271</c:v>
                </c:pt>
                <c:pt idx="595">
                  <c:v>1.0480053510199456</c:v>
                </c:pt>
                <c:pt idx="596">
                  <c:v>1.0523410216302858</c:v>
                </c:pt>
                <c:pt idx="597">
                  <c:v>1.056475567181983</c:v>
                </c:pt>
                <c:pt idx="598">
                  <c:v>1.0604536662329278</c:v>
                </c:pt>
                <c:pt idx="599">
                  <c:v>1.0644317555273086</c:v>
                </c:pt>
                <c:pt idx="600">
                  <c:v>1.0681193138644463</c:v>
                </c:pt>
                <c:pt idx="601">
                  <c:v>1.0718292342458446</c:v>
                </c:pt>
                <c:pt idx="602">
                  <c:v>1.0755838396895097</c:v>
                </c:pt>
                <c:pt idx="603">
                  <c:v>1.0790032128527245</c:v>
                </c:pt>
                <c:pt idx="604">
                  <c:v>1.0827801770884626</c:v>
                </c:pt>
                <c:pt idx="605">
                  <c:v>1.0868923671002748</c:v>
                </c:pt>
                <c:pt idx="606">
                  <c:v>1.0908257615758257</c:v>
                </c:pt>
                <c:pt idx="607">
                  <c:v>1.0948262161666553</c:v>
                </c:pt>
                <c:pt idx="608">
                  <c:v>1.0989607617183528</c:v>
                </c:pt>
                <c:pt idx="609">
                  <c:v>1.1028047633040543</c:v>
                </c:pt>
                <c:pt idx="610">
                  <c:v>1.1064252842912281</c:v>
                </c:pt>
                <c:pt idx="611">
                  <c:v>1.1096658716747456</c:v>
                </c:pt>
                <c:pt idx="612">
                  <c:v>1.1128841002661898</c:v>
                </c:pt>
                <c:pt idx="613">
                  <c:v>1.1160129327155974</c:v>
                </c:pt>
                <c:pt idx="614">
                  <c:v>1.1192982181701332</c:v>
                </c:pt>
                <c:pt idx="615">
                  <c:v>1.1225164597703294</c:v>
                </c:pt>
                <c:pt idx="616">
                  <c:v>1.1259134838980354</c:v>
                </c:pt>
                <c:pt idx="617">
                  <c:v>1.1291764170648739</c:v>
                </c:pt>
                <c:pt idx="618">
                  <c:v>1.132595799984653</c:v>
                </c:pt>
                <c:pt idx="619">
                  <c:v>1.1358810821870007</c:v>
                </c:pt>
                <c:pt idx="620">
                  <c:v>1.1394121972755737</c:v>
                </c:pt>
                <c:pt idx="621">
                  <c:v>1.1426527814069032</c:v>
                </c:pt>
                <c:pt idx="622">
                  <c:v>1.1458486739715903</c:v>
                </c:pt>
                <c:pt idx="623">
                  <c:v>1.1489551703942404</c:v>
                </c:pt>
                <c:pt idx="624">
                  <c:v>1.1519499183871567</c:v>
                </c:pt>
                <c:pt idx="625">
                  <c:v>1.1549670154155822</c:v>
                </c:pt>
                <c:pt idx="626">
                  <c:v>1.1581405589447598</c:v>
                </c:pt>
                <c:pt idx="627">
                  <c:v>1.1612470521152221</c:v>
                </c:pt>
                <c:pt idx="628">
                  <c:v>1.1643311897457993</c:v>
                </c:pt>
                <c:pt idx="629">
                  <c:v>1.167303591955394</c:v>
                </c:pt>
                <c:pt idx="630">
                  <c:v>1.1702089438062737</c:v>
                </c:pt>
                <c:pt idx="631">
                  <c:v>1.1729578524085891</c:v>
                </c:pt>
                <c:pt idx="632">
                  <c:v>1.175572666797849</c:v>
                </c:pt>
                <c:pt idx="633">
                  <c:v>1.1782098334748061</c:v>
                </c:pt>
                <c:pt idx="634">
                  <c:v>1.1809140407539149</c:v>
                </c:pt>
                <c:pt idx="635">
                  <c:v>1.1833724151467986</c:v>
                </c:pt>
                <c:pt idx="636">
                  <c:v>1.1858084437563607</c:v>
                </c:pt>
                <c:pt idx="637">
                  <c:v>1.1879092368332853</c:v>
                </c:pt>
                <c:pt idx="638">
                  <c:v>1.1897641937717967</c:v>
                </c:pt>
                <c:pt idx="639">
                  <c:v>1.1914627139661191</c:v>
                </c:pt>
                <c:pt idx="640">
                  <c:v>1.1929824418763686</c:v>
                </c:pt>
                <c:pt idx="641">
                  <c:v>1.1944798077423571</c:v>
                </c:pt>
                <c:pt idx="642">
                  <c:v>1.1962230162511343</c:v>
                </c:pt>
                <c:pt idx="643">
                  <c:v>1.1980332718664393</c:v>
                </c:pt>
                <c:pt idx="644">
                  <c:v>1.1998882223005747</c:v>
                </c:pt>
                <c:pt idx="645">
                  <c:v>1.2017655250224071</c:v>
                </c:pt>
                <c:pt idx="646">
                  <c:v>1.2037098878595189</c:v>
                </c:pt>
                <c:pt idx="647">
                  <c:v>1.2055648480502181</c:v>
                </c:pt>
                <c:pt idx="648">
                  <c:v>1.2073751036655231</c:v>
                </c:pt>
                <c:pt idx="649">
                  <c:v>1.2091630102453188</c:v>
                </c:pt>
                <c:pt idx="650">
                  <c:v>1.2110179639316421</c:v>
                </c:pt>
                <c:pt idx="651">
                  <c:v>1.2127611691882314</c:v>
                </c:pt>
                <c:pt idx="652">
                  <c:v>1.2147055222687795</c:v>
                </c:pt>
                <c:pt idx="653">
                  <c:v>1.2166498818537037</c:v>
                </c:pt>
                <c:pt idx="654">
                  <c:v>1.2185942381864394</c:v>
                </c:pt>
                <c:pt idx="655">
                  <c:v>1.2204491951249508</c:v>
                </c:pt>
                <c:pt idx="656">
                  <c:v>1.2221253565272006</c:v>
                </c:pt>
                <c:pt idx="657">
                  <c:v>1.2236897727519043</c:v>
                </c:pt>
                <c:pt idx="658">
                  <c:v>1.2250977457280439</c:v>
                </c:pt>
                <c:pt idx="659">
                  <c:v>1.2265504200273896</c:v>
                </c:pt>
                <c:pt idx="660">
                  <c:v>1.227757258188322</c:v>
                </c:pt>
                <c:pt idx="661">
                  <c:v>1.2291652441732133</c:v>
                </c:pt>
                <c:pt idx="662">
                  <c:v>1.2305732301581045</c:v>
                </c:pt>
                <c:pt idx="663">
                  <c:v>1.2320259142140142</c:v>
                </c:pt>
                <c:pt idx="664">
                  <c:v>1.2333444975524928</c:v>
                </c:pt>
                <c:pt idx="665">
                  <c:v>1.23481951763516</c:v>
                </c:pt>
                <c:pt idx="666">
                  <c:v>1.2362498396468082</c:v>
                </c:pt>
                <c:pt idx="667">
                  <c:v>1.2375237151577048</c:v>
                </c:pt>
                <c:pt idx="668">
                  <c:v>1.2387975906686013</c:v>
                </c:pt>
                <c:pt idx="669">
                  <c:v>1.2399820797940246</c:v>
                </c:pt>
                <c:pt idx="670">
                  <c:v>1.2410995283172963</c:v>
                </c:pt>
                <c:pt idx="671">
                  <c:v>1.2420381845564945</c:v>
                </c:pt>
                <c:pt idx="672">
                  <c:v>1.2429768440478808</c:v>
                </c:pt>
                <c:pt idx="673">
                  <c:v>1.2438484564327392</c:v>
                </c:pt>
                <c:pt idx="674">
                  <c:v>1.2446977197820885</c:v>
                </c:pt>
                <c:pt idx="675">
                  <c:v>1.2455916812024563</c:v>
                </c:pt>
                <c:pt idx="676">
                  <c:v>1.2464185955162965</c:v>
                </c:pt>
                <c:pt idx="677">
                  <c:v>1.2471337646525904</c:v>
                </c:pt>
                <c:pt idx="678">
                  <c:v>1.2477371853591506</c:v>
                </c:pt>
                <c:pt idx="679">
                  <c:v>1.248228857635977</c:v>
                </c:pt>
                <c:pt idx="680">
                  <c:v>1.2485417408809178</c:v>
                </c:pt>
                <c:pt idx="681">
                  <c:v>1.2490110543656712</c:v>
                </c:pt>
                <c:pt idx="682">
                  <c:v>1.2494580188149154</c:v>
                </c:pt>
                <c:pt idx="683">
                  <c:v>1.2501955207257791</c:v>
                </c:pt>
                <c:pt idx="684">
                  <c:v>1.2508883278178122</c:v>
                </c:pt>
                <c:pt idx="685">
                  <c:v>1.2520057633323323</c:v>
                </c:pt>
                <c:pt idx="686">
                  <c:v>1.2528326743939844</c:v>
                </c:pt>
                <c:pt idx="687">
                  <c:v>1.2537489815976732</c:v>
                </c:pt>
                <c:pt idx="688">
                  <c:v>1.254508848804986</c:v>
                </c:pt>
                <c:pt idx="689">
                  <c:v>1.2552910650478075</c:v>
                </c:pt>
                <c:pt idx="690">
                  <c:v>1.2554922063673903</c:v>
                </c:pt>
                <c:pt idx="691">
                  <c:v>1.2557603947935008</c:v>
                </c:pt>
                <c:pt idx="692">
                  <c:v>1.2560732812906295</c:v>
                </c:pt>
                <c:pt idx="693">
                  <c:v>1.2563861645355701</c:v>
                </c:pt>
                <c:pt idx="694">
                  <c:v>1.2570119342776396</c:v>
                </c:pt>
                <c:pt idx="695">
                  <c:v>1.2580623356943836</c:v>
                </c:pt>
                <c:pt idx="696">
                  <c:v>1.2590680390401094</c:v>
                </c:pt>
                <c:pt idx="697">
                  <c:v>1.259604412640142</c:v>
                </c:pt>
                <c:pt idx="698">
                  <c:v>1.2603866256307759</c:v>
                </c:pt>
                <c:pt idx="699">
                  <c:v>1.2604313237017943</c:v>
                </c:pt>
                <c:pt idx="700">
                  <c:v>1.26027488045323</c:v>
                </c:pt>
                <c:pt idx="701">
                  <c:v>1.2601631352756839</c:v>
                </c:pt>
                <c:pt idx="702">
                  <c:v>1.2602301823822117</c:v>
                </c:pt>
                <c:pt idx="703">
                  <c:v>1.260140786240175</c:v>
                </c:pt>
                <c:pt idx="704">
                  <c:v>1.2608782946554147</c:v>
                </c:pt>
                <c:pt idx="705">
                  <c:v>1.2616828534293698</c:v>
                </c:pt>
                <c:pt idx="706">
                  <c:v>1.2623086231714391</c:v>
                </c:pt>
                <c:pt idx="707">
                  <c:v>1.2634707567569774</c:v>
                </c:pt>
                <c:pt idx="708">
                  <c:v>1.2642976645664417</c:v>
                </c:pt>
                <c:pt idx="709">
                  <c:v>1.264565849740364</c:v>
                </c:pt>
                <c:pt idx="710">
                  <c:v>1.2648116793744015</c:v>
                </c:pt>
                <c:pt idx="711">
                  <c:v>1.2646105348026306</c:v>
                </c:pt>
                <c:pt idx="712">
                  <c:v>1.2642753057743685</c:v>
                </c:pt>
                <c:pt idx="713">
                  <c:v>1.2649457703352684</c:v>
                </c:pt>
                <c:pt idx="714">
                  <c:v>1.2652139587613789</c:v>
                </c:pt>
                <c:pt idx="715">
                  <c:v>1.2656385904360534</c:v>
                </c:pt>
                <c:pt idx="716">
                  <c:v>1.266845431849174</c:v>
                </c:pt>
                <c:pt idx="717">
                  <c:v>1.2684769016847812</c:v>
                </c:pt>
                <c:pt idx="718">
                  <c:v>1.2684322068659508</c:v>
                </c:pt>
                <c:pt idx="719">
                  <c:v>1.2688568385406254</c:v>
                </c:pt>
                <c:pt idx="720">
                  <c:v>1.2680075882000279</c:v>
                </c:pt>
                <c:pt idx="721">
                  <c:v>1.2679628901290094</c:v>
                </c:pt>
                <c:pt idx="722">
                  <c:v>1.2671806836427515</c:v>
                </c:pt>
                <c:pt idx="723">
                  <c:v>1.2672700830369763</c:v>
                </c:pt>
                <c:pt idx="724">
                  <c:v>1.2677394062782934</c:v>
                </c:pt>
                <c:pt idx="725">
                  <c:v>1.2693485173218275</c:v>
                </c:pt>
                <c:pt idx="726">
                  <c:v>1.2699072367051816</c:v>
                </c:pt>
                <c:pt idx="727">
                  <c:v>1.2700860257370672</c:v>
                </c:pt>
                <c:pt idx="728">
                  <c:v>1.2699519282718241</c:v>
                </c:pt>
                <c:pt idx="729">
                  <c:v>1.2697507869522415</c:v>
                </c:pt>
                <c:pt idx="730">
                  <c:v>1.2701977644102374</c:v>
                </c:pt>
                <c:pt idx="731">
                  <c:v>1.2694155546717916</c:v>
                </c:pt>
                <c:pt idx="732">
                  <c:v>1.2703095095877834</c:v>
                </c:pt>
                <c:pt idx="733">
                  <c:v>1.2715833883508676</c:v>
                </c:pt>
                <c:pt idx="734">
                  <c:v>1.2720750703842576</c:v>
                </c:pt>
                <c:pt idx="735">
                  <c:v>1.2724773497712352</c:v>
                </c:pt>
                <c:pt idx="736">
                  <c:v>1.2731254620444381</c:v>
                </c:pt>
                <c:pt idx="737">
                  <c:v>1.2732595465009293</c:v>
                </c:pt>
                <c:pt idx="738">
                  <c:v>1.2736171310690765</c:v>
                </c:pt>
                <c:pt idx="739">
                  <c:v>1.2739076587741323</c:v>
                </c:pt>
                <c:pt idx="740">
                  <c:v>1.2740864543103936</c:v>
                </c:pt>
                <c:pt idx="741">
                  <c:v>1.275360342830042</c:v>
                </c:pt>
                <c:pt idx="742">
                  <c:v>1.2755391351141157</c:v>
                </c:pt>
                <c:pt idx="743">
                  <c:v>1.2754273931887572</c:v>
                </c:pt>
                <c:pt idx="744">
                  <c:v>1.2768577217047821</c:v>
                </c:pt>
                <c:pt idx="745">
                  <c:v>1.2770141584489703</c:v>
                </c:pt>
                <c:pt idx="746">
                  <c:v>1.2759861093199232</c:v>
                </c:pt>
                <c:pt idx="747">
                  <c:v>1.2770141617011581</c:v>
                </c:pt>
                <c:pt idx="748">
                  <c:v>1.2783997856417886</c:v>
                </c:pt>
                <c:pt idx="749">
                  <c:v>1.2762766435293549</c:v>
                </c:pt>
                <c:pt idx="750">
                  <c:v>1.2758743641423773</c:v>
                </c:pt>
                <c:pt idx="751">
                  <c:v>1.2771482526620255</c:v>
                </c:pt>
                <c:pt idx="752">
                  <c:v>1.2801876922215842</c:v>
                </c:pt>
                <c:pt idx="753">
                  <c:v>1.2800536077650928</c:v>
                </c:pt>
                <c:pt idx="754">
                  <c:v>1.2829813119036695</c:v>
                </c:pt>
                <c:pt idx="755">
                  <c:v>1.2879651110481523</c:v>
                </c:pt>
                <c:pt idx="756">
                  <c:v>1.287585177444496</c:v>
                </c:pt>
                <c:pt idx="757">
                  <c:v>1.2863559902480541</c:v>
                </c:pt>
                <c:pt idx="758">
                  <c:v>1.2868700050560138</c:v>
                </c:pt>
                <c:pt idx="759">
                  <c:v>1.2892836781256911</c:v>
                </c:pt>
                <c:pt idx="760">
                  <c:v>1.2884120754973964</c:v>
                </c:pt>
                <c:pt idx="761">
                  <c:v>1.2912056821707298</c:v>
                </c:pt>
                <c:pt idx="762">
                  <c:v>1.2878980541850606</c:v>
                </c:pt>
                <c:pt idx="763">
                  <c:v>1.2879651045437766</c:v>
                </c:pt>
                <c:pt idx="764">
                  <c:v>1.285417337261044</c:v>
                </c:pt>
                <c:pt idx="765">
                  <c:v>1.2809475626810847</c:v>
                </c:pt>
                <c:pt idx="766">
                  <c:v>1.276299002321428</c:v>
                </c:pt>
                <c:pt idx="767">
                  <c:v>1.2756955816148676</c:v>
                </c:pt>
                <c:pt idx="768">
                  <c:v>1.2723432555581802</c:v>
                </c:pt>
                <c:pt idx="769">
                  <c:v>1.2648340349142864</c:v>
                </c:pt>
                <c:pt idx="770">
                  <c:v>1.2603866061176483</c:v>
                </c:pt>
                <c:pt idx="771">
                  <c:v>1.258978626637133</c:v>
                </c:pt>
                <c:pt idx="772">
                  <c:v>1.2566543399529286</c:v>
                </c:pt>
                <c:pt idx="773">
                  <c:v>1.2522739582628184</c:v>
                </c:pt>
                <c:pt idx="774">
                  <c:v>1.2494133077351453</c:v>
                </c:pt>
                <c:pt idx="775">
                  <c:v>1.2465303049197749</c:v>
                </c:pt>
                <c:pt idx="776">
                  <c:v>1.241434767102122</c:v>
                </c:pt>
                <c:pt idx="777">
                  <c:v>1.2354676266561744</c:v>
                </c:pt>
                <c:pt idx="778">
                  <c:v>1.2314448327863992</c:v>
                </c:pt>
                <c:pt idx="779">
                  <c:v>1.233366830327062</c:v>
                </c:pt>
                <c:pt idx="780">
                  <c:v>1.2329198528690661</c:v>
                </c:pt>
                <c:pt idx="781">
                  <c:v>1.2323834792690334</c:v>
                </c:pt>
                <c:pt idx="782">
                  <c:v>1.2308190565399539</c:v>
                </c:pt>
                <c:pt idx="783">
                  <c:v>1.2317130114559458</c:v>
                </c:pt>
                <c:pt idx="784">
                  <c:v>1.2306179184725592</c:v>
                </c:pt>
                <c:pt idx="785">
                  <c:v>1.2286288673209929</c:v>
                </c:pt>
                <c:pt idx="786">
                  <c:v>1.2257458580012464</c:v>
                </c:pt>
                <c:pt idx="787">
                  <c:v>1.2270197465208945</c:v>
                </c:pt>
                <c:pt idx="788">
                  <c:v>1.2278019562593405</c:v>
                </c:pt>
                <c:pt idx="789">
                  <c:v>1.2248742553729517</c:v>
                </c:pt>
                <c:pt idx="790">
                  <c:v>1.2238238604605836</c:v>
                </c:pt>
                <c:pt idx="791">
                  <c:v>1.2246284257389146</c:v>
                </c:pt>
                <c:pt idx="792">
                  <c:v>1.2241814482809186</c:v>
                </c:pt>
                <c:pt idx="793">
                  <c:v>1.2204491918727629</c:v>
                </c:pt>
                <c:pt idx="794">
                  <c:v>1.2186612787885911</c:v>
                </c:pt>
                <c:pt idx="795">
                  <c:v>1.2162475992145381</c:v>
                </c:pt>
                <c:pt idx="796">
                  <c:v>1.2132081498984155</c:v>
                </c:pt>
                <c:pt idx="797">
                  <c:v>1.2080679107575563</c:v>
                </c:pt>
                <c:pt idx="798">
                  <c:v>1.2040451103834051</c:v>
                </c:pt>
                <c:pt idx="799">
                  <c:v>1.2006704352912085</c:v>
                </c:pt>
                <c:pt idx="800">
                  <c:v>1.1975192570584796</c:v>
                </c:pt>
              </c:numCache>
            </c:numRef>
          </c:yVal>
        </c:ser>
        <c:axId val="74581504"/>
        <c:axId val="74583040"/>
      </c:scatterChart>
      <c:valAx>
        <c:axId val="7458150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4583040"/>
        <c:crosses val="autoZero"/>
        <c:crossBetween val="midCat"/>
        <c:minorUnit val="5"/>
      </c:valAx>
      <c:valAx>
        <c:axId val="74583040"/>
        <c:scaling>
          <c:orientation val="minMax"/>
        </c:scaling>
        <c:axPos val="l"/>
        <c:majorGridlines/>
        <c:numFmt formatCode="General" sourceLinked="1"/>
        <c:tickLblPos val="nextTo"/>
        <c:crossAx val="74581504"/>
        <c:crosses val="autoZero"/>
        <c:crossBetween val="midCat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Cal!$F$2:$F$162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Cal!$G$2:$G$162</c:f>
              <c:numCache>
                <c:formatCode>General</c:formatCode>
                <c:ptCount val="16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0.11351435762109022</c:v>
                </c:pt>
                <c:pt idx="14">
                  <c:v>0.12694155457282746</c:v>
                </c:pt>
                <c:pt idx="15">
                  <c:v>0.14070175077147182</c:v>
                </c:pt>
                <c:pt idx="16">
                  <c:v>0.1544641824428</c:v>
                </c:pt>
                <c:pt idx="17">
                  <c:v>0.17279472144205393</c:v>
                </c:pt>
                <c:pt idx="18">
                  <c:v>0.18848809498392122</c:v>
                </c:pt>
                <c:pt idx="19">
                  <c:v>0.20638059475720311</c:v>
                </c:pt>
                <c:pt idx="20">
                  <c:v>0.22605877051587875</c:v>
                </c:pt>
                <c:pt idx="21">
                  <c:v>0.24672924044288883</c:v>
                </c:pt>
                <c:pt idx="22">
                  <c:v>0.27003686891638612</c:v>
                </c:pt>
                <c:pt idx="23">
                  <c:v>0.29285506424445229</c:v>
                </c:pt>
                <c:pt idx="24">
                  <c:v>0.31877750954635048</c:v>
                </c:pt>
                <c:pt idx="25">
                  <c:v>0.34400490943786727</c:v>
                </c:pt>
                <c:pt idx="26">
                  <c:v>0.36870040748776595</c:v>
                </c:pt>
                <c:pt idx="27">
                  <c:v>0.39221588166627991</c:v>
                </c:pt>
                <c:pt idx="28">
                  <c:v>0.41574029692248216</c:v>
                </c:pt>
                <c:pt idx="29">
                  <c:v>0.441548769298097</c:v>
                </c:pt>
                <c:pt idx="30">
                  <c:v>0.46927924246656261</c:v>
                </c:pt>
                <c:pt idx="31">
                  <c:v>0.49182254417003762</c:v>
                </c:pt>
                <c:pt idx="32">
                  <c:v>0.51606658243391501</c:v>
                </c:pt>
                <c:pt idx="33">
                  <c:v>0.55049054620675286</c:v>
                </c:pt>
                <c:pt idx="34">
                  <c:v>0.57894735327270352</c:v>
                </c:pt>
                <c:pt idx="35">
                  <c:v>0.59240137345750554</c:v>
                </c:pt>
                <c:pt idx="36">
                  <c:v>0.61559949019352322</c:v>
                </c:pt>
                <c:pt idx="37">
                  <c:v>0.64051848103765485</c:v>
                </c:pt>
                <c:pt idx="38">
                  <c:v>0.67082353903058878</c:v>
                </c:pt>
                <c:pt idx="39">
                  <c:v>0.69911720496691687</c:v>
                </c:pt>
                <c:pt idx="40">
                  <c:v>0.72528772066034175</c:v>
                </c:pt>
                <c:pt idx="41">
                  <c:v>0.75324615431622</c:v>
                </c:pt>
                <c:pt idx="42">
                  <c:v>0.78142807182281437</c:v>
                </c:pt>
                <c:pt idx="43">
                  <c:v>0.80931946812872901</c:v>
                </c:pt>
                <c:pt idx="44">
                  <c:v>0.83566877122794536</c:v>
                </c:pt>
                <c:pt idx="45">
                  <c:v>0.86119116814379137</c:v>
                </c:pt>
                <c:pt idx="46">
                  <c:v>0.88463513077478595</c:v>
                </c:pt>
                <c:pt idx="47">
                  <c:v>0.90720749077748608</c:v>
                </c:pt>
                <c:pt idx="48">
                  <c:v>0.93020446944610879</c:v>
                </c:pt>
                <c:pt idx="49">
                  <c:v>0.95058663697765977</c:v>
                </c:pt>
                <c:pt idx="50">
                  <c:v>0.97130403353747252</c:v>
                </c:pt>
                <c:pt idx="51">
                  <c:v>0.99175324817555099</c:v>
                </c:pt>
                <c:pt idx="52">
                  <c:v>1.0116437401780876</c:v>
                </c:pt>
                <c:pt idx="53">
                  <c:v>1.0300145042703746</c:v>
                </c:pt>
                <c:pt idx="54">
                  <c:v>1.0481170864409277</c:v>
                </c:pt>
                <c:pt idx="55">
                  <c:v>1.0624874024467608</c:v>
                </c:pt>
                <c:pt idx="56">
                  <c:v>1.0770812120598738</c:v>
                </c:pt>
                <c:pt idx="57">
                  <c:v>1.0918985055237029</c:v>
                </c:pt>
                <c:pt idx="58">
                  <c:v>1.1046150156671712</c:v>
                </c:pt>
                <c:pt idx="59">
                  <c:v>1.114135636498141</c:v>
                </c:pt>
                <c:pt idx="60">
                  <c:v>1.1250865793407592</c:v>
                </c:pt>
                <c:pt idx="61">
                  <c:v>1.1348083252303716</c:v>
                </c:pt>
                <c:pt idx="62">
                  <c:v>1.1412001233684972</c:v>
                </c:pt>
                <c:pt idx="63">
                  <c:v>1.1466085346745269</c:v>
                </c:pt>
                <c:pt idx="64">
                  <c:v>1.1509889098602613</c:v>
                </c:pt>
                <c:pt idx="65">
                  <c:v>1.1540283656807599</c:v>
                </c:pt>
                <c:pt idx="66">
                  <c:v>1.1549446761366369</c:v>
                </c:pt>
                <c:pt idx="67">
                  <c:v>1.1545200444619621</c:v>
                </c:pt>
                <c:pt idx="68">
                  <c:v>1.1517264150233131</c:v>
                </c:pt>
                <c:pt idx="69">
                  <c:v>1.146653242502109</c:v>
                </c:pt>
                <c:pt idx="70">
                  <c:v>1.1383841513987147</c:v>
                </c:pt>
                <c:pt idx="71">
                  <c:v>1.1247736993480062</c:v>
                </c:pt>
                <c:pt idx="72">
                  <c:v>1.1043468304932489</c:v>
                </c:pt>
                <c:pt idx="73">
                  <c:v>1.0884344310372815</c:v>
                </c:pt>
                <c:pt idx="74">
                  <c:v>1.0929042121216166</c:v>
                </c:pt>
                <c:pt idx="75">
                  <c:v>1.1251312806639655</c:v>
                </c:pt>
                <c:pt idx="76">
                  <c:v>1.1811151788213097</c:v>
                </c:pt>
                <c:pt idx="77">
                  <c:v>1.242574564660903</c:v>
                </c:pt>
                <c:pt idx="78">
                  <c:v>1.2913844744548035</c:v>
                </c:pt>
                <c:pt idx="79">
                  <c:v>1.3319923727737168</c:v>
                </c:pt>
                <c:pt idx="80">
                  <c:v>1.3644876264899879</c:v>
                </c:pt>
                <c:pt idx="81">
                  <c:v>1.3844451525903001</c:v>
                </c:pt>
                <c:pt idx="82">
                  <c:v>1.3927812777914705</c:v>
                </c:pt>
                <c:pt idx="83">
                  <c:v>1.3931612113951266</c:v>
                </c:pt>
                <c:pt idx="84">
                  <c:v>1.3872611310644585</c:v>
                </c:pt>
                <c:pt idx="85">
                  <c:v>1.3762654706376944</c:v>
                </c:pt>
                <c:pt idx="86">
                  <c:v>1.3613140732042464</c:v>
                </c:pt>
                <c:pt idx="87">
                  <c:v>1.3449994138744288</c:v>
                </c:pt>
                <c:pt idx="88">
                  <c:v>1.3274108562683993</c:v>
                </c:pt>
                <c:pt idx="89">
                  <c:v>1.3061570893607419</c:v>
                </c:pt>
                <c:pt idx="90">
                  <c:v>1.2827801705840869</c:v>
                </c:pt>
                <c:pt idx="91">
                  <c:v>1.258308168580609</c:v>
                </c:pt>
                <c:pt idx="92">
                  <c:v>1.2338361535683795</c:v>
                </c:pt>
                <c:pt idx="93">
                  <c:v>1.2078667759423496</c:v>
                </c:pt>
                <c:pt idx="94">
                  <c:v>1.1817856433822098</c:v>
                </c:pt>
                <c:pt idx="95">
                  <c:v>1.1556821812996882</c:v>
                </c:pt>
                <c:pt idx="96">
                  <c:v>1.1308302424403665</c:v>
                </c:pt>
                <c:pt idx="97">
                  <c:v>1.1050396408374701</c:v>
                </c:pt>
                <c:pt idx="98">
                  <c:v>1.0779751637236779</c:v>
                </c:pt>
                <c:pt idx="99">
                  <c:v>1.0508883473309398</c:v>
                </c:pt>
                <c:pt idx="100">
                  <c:v>1.0284053867224645</c:v>
                </c:pt>
                <c:pt idx="101">
                  <c:v>1.0034416994334088</c:v>
                </c:pt>
                <c:pt idx="102">
                  <c:v>0.98395349332222559</c:v>
                </c:pt>
                <c:pt idx="103">
                  <c:v>0.96712479641913285</c:v>
                </c:pt>
                <c:pt idx="104">
                  <c:v>0.94978207495151667</c:v>
                </c:pt>
                <c:pt idx="105">
                  <c:v>0.93518826208621575</c:v>
                </c:pt>
                <c:pt idx="106">
                  <c:v>0.92455022200166592</c:v>
                </c:pt>
                <c:pt idx="107">
                  <c:v>0.91724212316422715</c:v>
                </c:pt>
                <c:pt idx="108">
                  <c:v>0.91324171085184047</c:v>
                </c:pt>
                <c:pt idx="109">
                  <c:v>0.91257123978656463</c:v>
                </c:pt>
                <c:pt idx="110">
                  <c:v>0.91511900056492124</c:v>
                </c:pt>
                <c:pt idx="111">
                  <c:v>0.92077324475717626</c:v>
                </c:pt>
                <c:pt idx="112">
                  <c:v>0.9287071003279328</c:v>
                </c:pt>
                <c:pt idx="113">
                  <c:v>0.9438596390809636</c:v>
                </c:pt>
                <c:pt idx="114">
                  <c:v>0.95534693926267467</c:v>
                </c:pt>
                <c:pt idx="115">
                  <c:v>0.97116994257660527</c:v>
                </c:pt>
                <c:pt idx="116">
                  <c:v>0.98853500982754272</c:v>
                </c:pt>
                <c:pt idx="117">
                  <c:v>1.0075986005249908</c:v>
                </c:pt>
                <c:pt idx="118">
                  <c:v>1.0279807582999778</c:v>
                </c:pt>
                <c:pt idx="119">
                  <c:v>1.0480053510199456</c:v>
                </c:pt>
                <c:pt idx="120">
                  <c:v>1.0681193138644463</c:v>
                </c:pt>
                <c:pt idx="121">
                  <c:v>1.0868923671002748</c:v>
                </c:pt>
                <c:pt idx="122">
                  <c:v>1.1064252842912281</c:v>
                </c:pt>
                <c:pt idx="123">
                  <c:v>1.1225164597703294</c:v>
                </c:pt>
                <c:pt idx="124">
                  <c:v>1.1394121972755737</c:v>
                </c:pt>
                <c:pt idx="125">
                  <c:v>1.1549670154155822</c:v>
                </c:pt>
                <c:pt idx="126">
                  <c:v>1.1702089438062737</c:v>
                </c:pt>
                <c:pt idx="127">
                  <c:v>1.1833724151467986</c:v>
                </c:pt>
                <c:pt idx="128">
                  <c:v>1.1929824418763686</c:v>
                </c:pt>
                <c:pt idx="129">
                  <c:v>1.2017655250224071</c:v>
                </c:pt>
                <c:pt idx="130">
                  <c:v>1.2110179639316421</c:v>
                </c:pt>
                <c:pt idx="131">
                  <c:v>1.2204491951249508</c:v>
                </c:pt>
                <c:pt idx="132">
                  <c:v>1.227757258188322</c:v>
                </c:pt>
                <c:pt idx="133">
                  <c:v>1.23481951763516</c:v>
                </c:pt>
                <c:pt idx="134">
                  <c:v>1.2410995283172963</c:v>
                </c:pt>
                <c:pt idx="135">
                  <c:v>1.2455916812024563</c:v>
                </c:pt>
                <c:pt idx="136">
                  <c:v>1.2485417408809178</c:v>
                </c:pt>
                <c:pt idx="137">
                  <c:v>1.2520057633323323</c:v>
                </c:pt>
                <c:pt idx="138">
                  <c:v>1.2554922063673903</c:v>
                </c:pt>
                <c:pt idx="139">
                  <c:v>1.2580623356943836</c:v>
                </c:pt>
                <c:pt idx="140">
                  <c:v>1.26027488045323</c:v>
                </c:pt>
                <c:pt idx="141">
                  <c:v>1.2616828534293698</c:v>
                </c:pt>
                <c:pt idx="142">
                  <c:v>1.2648116793744015</c:v>
                </c:pt>
                <c:pt idx="143">
                  <c:v>1.2656385904360534</c:v>
                </c:pt>
                <c:pt idx="144">
                  <c:v>1.2680075882000279</c:v>
                </c:pt>
                <c:pt idx="145">
                  <c:v>1.2693485173218275</c:v>
                </c:pt>
                <c:pt idx="146">
                  <c:v>1.2701977644102374</c:v>
                </c:pt>
                <c:pt idx="147">
                  <c:v>1.2724773497712352</c:v>
                </c:pt>
                <c:pt idx="148">
                  <c:v>1.2740864543103936</c:v>
                </c:pt>
                <c:pt idx="149">
                  <c:v>1.2770141584489703</c:v>
                </c:pt>
                <c:pt idx="150">
                  <c:v>1.2758743641423773</c:v>
                </c:pt>
                <c:pt idx="151">
                  <c:v>1.2879651110481523</c:v>
                </c:pt>
                <c:pt idx="152">
                  <c:v>1.2884120754973964</c:v>
                </c:pt>
                <c:pt idx="153">
                  <c:v>1.2809475626810847</c:v>
                </c:pt>
                <c:pt idx="154">
                  <c:v>1.2603866061176483</c:v>
                </c:pt>
                <c:pt idx="155">
                  <c:v>1.2465303049197749</c:v>
                </c:pt>
                <c:pt idx="156">
                  <c:v>1.2329198528690661</c:v>
                </c:pt>
                <c:pt idx="157">
                  <c:v>1.2286288673209929</c:v>
                </c:pt>
                <c:pt idx="158">
                  <c:v>1.2238238604605836</c:v>
                </c:pt>
                <c:pt idx="159">
                  <c:v>1.2162475992145381</c:v>
                </c:pt>
                <c:pt idx="160">
                  <c:v>1.1975192570584796</c:v>
                </c:pt>
              </c:numCache>
            </c:numRef>
          </c:yVal>
        </c:ser>
        <c:axId val="74602368"/>
        <c:axId val="74603904"/>
      </c:scatterChart>
      <c:valAx>
        <c:axId val="7460236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4603904"/>
        <c:crosses val="autoZero"/>
        <c:crossBetween val="midCat"/>
        <c:majorUnit val="100"/>
        <c:minorUnit val="5"/>
      </c:valAx>
      <c:valAx>
        <c:axId val="74603904"/>
        <c:scaling>
          <c:orientation val="minMax"/>
        </c:scaling>
        <c:axPos val="l"/>
        <c:majorGridlines/>
        <c:numFmt formatCode="General" sourceLinked="1"/>
        <c:tickLblPos val="nextTo"/>
        <c:crossAx val="74602368"/>
        <c:crosses val="autoZero"/>
        <c:crossBetween val="midCat"/>
      </c:valAx>
    </c:plotArea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6</xdr:row>
      <xdr:rowOff>7142</xdr:rowOff>
    </xdr:from>
    <xdr:to>
      <xdr:col>8</xdr:col>
      <xdr:colOff>447676</xdr:colOff>
      <xdr:row>20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15875</xdr:colOff>
      <xdr:row>0</xdr:row>
      <xdr:rowOff>174625</xdr:rowOff>
    </xdr:from>
    <xdr:to>
      <xdr:col>16</xdr:col>
      <xdr:colOff>384968</xdr:colOff>
      <xdr:row>15</xdr:row>
      <xdr:rowOff>55562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16</xdr:row>
      <xdr:rowOff>0</xdr:rowOff>
    </xdr:from>
    <xdr:to>
      <xdr:col>16</xdr:col>
      <xdr:colOff>369093</xdr:colOff>
      <xdr:row>30</xdr:row>
      <xdr:rowOff>103188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21</xdr:row>
      <xdr:rowOff>111125</xdr:rowOff>
    </xdr:from>
    <xdr:to>
      <xdr:col>7</xdr:col>
      <xdr:colOff>591343</xdr:colOff>
      <xdr:row>35</xdr:row>
      <xdr:rowOff>182563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3</xdr:row>
      <xdr:rowOff>15875</xdr:rowOff>
    </xdr:from>
    <xdr:to>
      <xdr:col>10</xdr:col>
      <xdr:colOff>587375</xdr:colOff>
      <xdr:row>19</xdr:row>
      <xdr:rowOff>107156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305594</xdr:colOff>
      <xdr:row>173</xdr:row>
      <xdr:rowOff>3970</xdr:rowOff>
    </xdr:from>
    <xdr:to>
      <xdr:col>22</xdr:col>
      <xdr:colOff>23812</xdr:colOff>
      <xdr:row>187</xdr:row>
      <xdr:rowOff>75407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</xdr:colOff>
      <xdr:row>172</xdr:row>
      <xdr:rowOff>186530</xdr:rowOff>
    </xdr:from>
    <xdr:to>
      <xdr:col>29</xdr:col>
      <xdr:colOff>321469</xdr:colOff>
      <xdr:row>187</xdr:row>
      <xdr:rowOff>67468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317501</xdr:colOff>
      <xdr:row>173</xdr:row>
      <xdr:rowOff>0</xdr:rowOff>
    </xdr:from>
    <xdr:to>
      <xdr:col>37</xdr:col>
      <xdr:colOff>35719</xdr:colOff>
      <xdr:row>187</xdr:row>
      <xdr:rowOff>71438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3</xdr:row>
      <xdr:rowOff>15876</xdr:rowOff>
    </xdr:from>
    <xdr:to>
      <xdr:col>19</xdr:col>
      <xdr:colOff>523875</xdr:colOff>
      <xdr:row>19</xdr:row>
      <xdr:rowOff>111126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587375</xdr:colOff>
      <xdr:row>19</xdr:row>
      <xdr:rowOff>111125</xdr:rowOff>
    </xdr:from>
    <xdr:to>
      <xdr:col>19</xdr:col>
      <xdr:colOff>508000</xdr:colOff>
      <xdr:row>36</xdr:row>
      <xdr:rowOff>15875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523875</xdr:colOff>
      <xdr:row>3</xdr:row>
      <xdr:rowOff>15875</xdr:rowOff>
    </xdr:from>
    <xdr:to>
      <xdr:col>28</xdr:col>
      <xdr:colOff>444500</xdr:colOff>
      <xdr:row>19</xdr:row>
      <xdr:rowOff>111125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523875</xdr:colOff>
      <xdr:row>19</xdr:row>
      <xdr:rowOff>142875</xdr:rowOff>
    </xdr:from>
    <xdr:to>
      <xdr:col>28</xdr:col>
      <xdr:colOff>444500</xdr:colOff>
      <xdr:row>36</xdr:row>
      <xdr:rowOff>47625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547687</xdr:colOff>
      <xdr:row>4</xdr:row>
      <xdr:rowOff>166688</xdr:rowOff>
    </xdr:from>
    <xdr:to>
      <xdr:col>8</xdr:col>
      <xdr:colOff>261937</xdr:colOff>
      <xdr:row>19</xdr:row>
      <xdr:rowOff>47626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27214</xdr:rowOff>
    </xdr:from>
    <xdr:to>
      <xdr:col>8</xdr:col>
      <xdr:colOff>421821</xdr:colOff>
      <xdr:row>16</xdr:row>
      <xdr:rowOff>108857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421821</xdr:colOff>
      <xdr:row>16</xdr:row>
      <xdr:rowOff>81643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421821</xdr:colOff>
      <xdr:row>16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77560</xdr:colOff>
      <xdr:row>17</xdr:row>
      <xdr:rowOff>27214</xdr:rowOff>
    </xdr:from>
    <xdr:to>
      <xdr:col>25</xdr:col>
      <xdr:colOff>122464</xdr:colOff>
      <xdr:row>44</xdr:row>
      <xdr:rowOff>122463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559594</xdr:colOff>
      <xdr:row>4</xdr:row>
      <xdr:rowOff>11906</xdr:rowOff>
    </xdr:from>
    <xdr:to>
      <xdr:col>13</xdr:col>
      <xdr:colOff>595313</xdr:colOff>
      <xdr:row>21</xdr:row>
      <xdr:rowOff>11906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23812</xdr:colOff>
      <xdr:row>3</xdr:row>
      <xdr:rowOff>178592</xdr:rowOff>
    </xdr:from>
    <xdr:to>
      <xdr:col>28</xdr:col>
      <xdr:colOff>23812</xdr:colOff>
      <xdr:row>20</xdr:row>
      <xdr:rowOff>178594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40</xdr:col>
      <xdr:colOff>0</xdr:colOff>
      <xdr:row>21</xdr:row>
      <xdr:rowOff>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4</xdr:row>
      <xdr:rowOff>0</xdr:rowOff>
    </xdr:from>
    <xdr:to>
      <xdr:col>53</xdr:col>
      <xdr:colOff>122464</xdr:colOff>
      <xdr:row>21</xdr:row>
      <xdr:rowOff>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17</xdr:row>
      <xdr:rowOff>9525</xdr:rowOff>
    </xdr:from>
    <xdr:to>
      <xdr:col>18</xdr:col>
      <xdr:colOff>333375</xdr:colOff>
      <xdr:row>31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</xdr:row>
      <xdr:rowOff>0</xdr:rowOff>
    </xdr:from>
    <xdr:to>
      <xdr:col>18</xdr:col>
      <xdr:colOff>304800</xdr:colOff>
      <xdr:row>16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V162"/>
  <sheetViews>
    <sheetView topLeftCell="A8" zoomScale="60" zoomScaleNormal="60" workbookViewId="0">
      <pane ySplit="9750" topLeftCell="A153"/>
      <selection activeCell="M40" sqref="M40"/>
      <selection pane="bottomLeft" activeCell="F158" sqref="F158"/>
    </sheetView>
  </sheetViews>
  <sheetFormatPr defaultRowHeight="15"/>
  <cols>
    <col min="1" max="1" width="5" bestFit="1" customWidth="1"/>
    <col min="2" max="2" width="25" customWidth="1"/>
    <col min="3" max="3" width="8" bestFit="1" customWidth="1"/>
    <col min="4" max="4" width="7.140625" bestFit="1" customWidth="1"/>
    <col min="5" max="5" width="7" bestFit="1" customWidth="1"/>
    <col min="6" max="6" width="7.140625" customWidth="1"/>
    <col min="7" max="7" width="5.7109375" bestFit="1" customWidth="1"/>
    <col min="8" max="20" width="9.140625" customWidth="1"/>
  </cols>
  <sheetData>
    <row r="1" spans="1:22">
      <c r="A1" s="60" t="s">
        <v>41</v>
      </c>
      <c r="B1" s="61"/>
      <c r="C1" s="61"/>
      <c r="D1" s="61"/>
      <c r="E1" s="61"/>
      <c r="F1" s="61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V1" s="1"/>
    </row>
    <row r="2" spans="1:22">
      <c r="A2" s="9" t="s">
        <v>0</v>
      </c>
      <c r="B2" s="27" t="s">
        <v>1</v>
      </c>
      <c r="C2" s="28" t="s">
        <v>2</v>
      </c>
      <c r="D2" s="28" t="s">
        <v>3</v>
      </c>
      <c r="E2" s="28" t="s">
        <v>4</v>
      </c>
      <c r="F2" s="29" t="s">
        <v>5</v>
      </c>
      <c r="U2">
        <f>Calculations!A3</f>
        <v>300</v>
      </c>
      <c r="V2" s="1" t="e">
        <f ca="1">Calculations!C3</f>
        <v>#DIV/0!</v>
      </c>
    </row>
    <row r="3" spans="1:22">
      <c r="A3" s="10">
        <v>1</v>
      </c>
      <c r="B3" s="14" t="s">
        <v>8</v>
      </c>
      <c r="C3" s="17" t="e">
        <f ca="1">Calculations!B168</f>
        <v>#VALUE!</v>
      </c>
      <c r="D3" s="17" t="e">
        <f ca="1">Calculations!C168</f>
        <v>#VALUE!</v>
      </c>
      <c r="E3" s="17" t="e">
        <f ca="1">Calculations!D168</f>
        <v>#VALUE!</v>
      </c>
      <c r="F3" s="18" t="s">
        <v>7</v>
      </c>
      <c r="U3">
        <f>Calculations!A4</f>
        <v>305</v>
      </c>
      <c r="V3" s="1" t="e">
        <f ca="1">Calculations!C4</f>
        <v>#DIV/0!</v>
      </c>
    </row>
    <row r="4" spans="1:22">
      <c r="A4" s="10">
        <v>1.01</v>
      </c>
      <c r="B4" s="15" t="s">
        <v>6</v>
      </c>
      <c r="C4" s="19" t="e">
        <f ca="1">Calculations!B169</f>
        <v>#VALUE!</v>
      </c>
      <c r="D4" s="19" t="e">
        <f ca="1">Calculations!C169</f>
        <v>#VALUE!</v>
      </c>
      <c r="E4" s="19" t="e">
        <f ca="1">Calculations!D169</f>
        <v>#VALUE!</v>
      </c>
      <c r="F4" s="20" t="s">
        <v>7</v>
      </c>
      <c r="U4">
        <f>Calculations!A5</f>
        <v>310</v>
      </c>
      <c r="V4" s="1" t="e">
        <f ca="1">Calculations!C5</f>
        <v>#DIV/0!</v>
      </c>
    </row>
    <row r="5" spans="1:22">
      <c r="A5" s="10">
        <v>1.01</v>
      </c>
      <c r="B5" s="16" t="s">
        <v>17</v>
      </c>
      <c r="C5" s="21" t="e">
        <f ca="1">Calculations!B172</f>
        <v>#REF!</v>
      </c>
      <c r="D5" s="21" t="e">
        <f ca="1">Calculations!C172</f>
        <v>#REF!</v>
      </c>
      <c r="E5" s="21" t="e">
        <f ca="1">Calculations!D172</f>
        <v>#REF!</v>
      </c>
      <c r="F5" s="22" t="s">
        <v>16</v>
      </c>
      <c r="U5">
        <f>Calculations!A6</f>
        <v>315</v>
      </c>
      <c r="V5" s="1" t="e">
        <f ca="1">Calculations!C6</f>
        <v>#DIV/0!</v>
      </c>
    </row>
    <row r="6" spans="1:22">
      <c r="A6" s="3"/>
      <c r="D6" s="30"/>
      <c r="E6" s="31"/>
      <c r="F6" s="8"/>
      <c r="G6" s="8"/>
      <c r="U6">
        <f>Calculations!A7</f>
        <v>320</v>
      </c>
      <c r="V6" s="1" t="e">
        <f ca="1">Calculations!C7</f>
        <v>#DIV/0!</v>
      </c>
    </row>
    <row r="7" spans="1:22">
      <c r="A7" s="3"/>
      <c r="U7">
        <f>Calculations!A8</f>
        <v>325</v>
      </c>
      <c r="V7" s="1" t="e">
        <f ca="1">Calculations!C8</f>
        <v>#DIV/0!</v>
      </c>
    </row>
    <row r="8" spans="1:22">
      <c r="A8" s="3"/>
      <c r="B8" s="38"/>
      <c r="C8" s="39"/>
      <c r="U8">
        <f>Calculations!A9</f>
        <v>330</v>
      </c>
      <c r="V8" s="1" t="e">
        <f ca="1">Calculations!C9</f>
        <v>#DIV/0!</v>
      </c>
    </row>
    <row r="9" spans="1:22">
      <c r="A9" s="3"/>
      <c r="U9">
        <f>Calculations!A10</f>
        <v>335</v>
      </c>
      <c r="V9" s="1" t="e">
        <f ca="1">Calculations!C10</f>
        <v>#DIV/0!</v>
      </c>
    </row>
    <row r="10" spans="1:22">
      <c r="A10" s="3"/>
      <c r="B10" s="11"/>
      <c r="C10" s="11"/>
      <c r="U10">
        <f>Calculations!A11</f>
        <v>340</v>
      </c>
      <c r="V10" s="1" t="e">
        <f ca="1">Calculations!C11</f>
        <v>#DIV/0!</v>
      </c>
    </row>
    <row r="11" spans="1:22">
      <c r="A11" s="3"/>
      <c r="B11" s="11"/>
      <c r="C11" s="11"/>
      <c r="D11" s="12"/>
      <c r="E11" s="32"/>
      <c r="U11">
        <f>Calculations!A12</f>
        <v>345</v>
      </c>
      <c r="V11" s="1" t="e">
        <f ca="1">Calculations!C12</f>
        <v>#DIV/0!</v>
      </c>
    </row>
    <row r="12" spans="1:22">
      <c r="A12" s="3"/>
      <c r="F12" s="2"/>
      <c r="U12">
        <f>Calculations!A13</f>
        <v>350</v>
      </c>
      <c r="V12" s="1" t="e">
        <f ca="1">Calculations!C13</f>
        <v>#DIV/0!</v>
      </c>
    </row>
    <row r="13" spans="1:22">
      <c r="U13">
        <f>Calculations!A14</f>
        <v>355</v>
      </c>
      <c r="V13" s="1" t="e">
        <f ca="1">Calculations!C14</f>
        <v>#DIV/0!</v>
      </c>
    </row>
    <row r="14" spans="1:22">
      <c r="U14">
        <f>Calculations!A15</f>
        <v>360</v>
      </c>
      <c r="V14" s="1" t="e">
        <f ca="1">Calculations!C15</f>
        <v>#DIV/0!</v>
      </c>
    </row>
    <row r="15" spans="1:22">
      <c r="U15">
        <f>Calculations!A16</f>
        <v>365</v>
      </c>
      <c r="V15" s="1" t="e">
        <f ca="1">Calculations!C16</f>
        <v>#DIV/0!</v>
      </c>
    </row>
    <row r="16" spans="1:22">
      <c r="U16">
        <f>Calculations!A17</f>
        <v>370</v>
      </c>
      <c r="V16" s="1" t="e">
        <f ca="1">Calculations!C17</f>
        <v>#DIV/0!</v>
      </c>
    </row>
    <row r="17" spans="21:22">
      <c r="U17">
        <f>Calculations!A18</f>
        <v>375</v>
      </c>
      <c r="V17" s="1" t="e">
        <f ca="1">Calculations!C18</f>
        <v>#DIV/0!</v>
      </c>
    </row>
    <row r="18" spans="21:22">
      <c r="U18">
        <f>Calculations!A19</f>
        <v>380</v>
      </c>
      <c r="V18" s="1" t="e">
        <f ca="1">Calculations!C19</f>
        <v>#DIV/0!</v>
      </c>
    </row>
    <row r="19" spans="21:22">
      <c r="U19">
        <f>Calculations!A20</f>
        <v>385</v>
      </c>
      <c r="V19" s="1" t="e">
        <f ca="1">Calculations!C20</f>
        <v>#DIV/0!</v>
      </c>
    </row>
    <row r="20" spans="21:22">
      <c r="U20">
        <f>Calculations!A21</f>
        <v>390</v>
      </c>
      <c r="V20" s="1" t="e">
        <f ca="1">Calculations!C21</f>
        <v>#REF!</v>
      </c>
    </row>
    <row r="21" spans="21:22">
      <c r="U21">
        <f>Calculations!A22</f>
        <v>395</v>
      </c>
      <c r="V21" s="1" t="e">
        <f ca="1">Calculations!C22</f>
        <v>#DIV/0!</v>
      </c>
    </row>
    <row r="22" spans="21:22">
      <c r="U22">
        <f>Calculations!A23</f>
        <v>400</v>
      </c>
      <c r="V22" s="1" t="e">
        <f ca="1">Calculations!C23</f>
        <v>#DIV/0!</v>
      </c>
    </row>
    <row r="23" spans="21:22">
      <c r="U23">
        <f>Calculations!A24</f>
        <v>405</v>
      </c>
      <c r="V23" s="1" t="e">
        <f ca="1">Calculations!C24</f>
        <v>#DIV/0!</v>
      </c>
    </row>
    <row r="24" spans="21:22">
      <c r="U24">
        <f>Calculations!A25</f>
        <v>410</v>
      </c>
      <c r="V24" s="1" t="e">
        <f ca="1">Calculations!C25</f>
        <v>#DIV/0!</v>
      </c>
    </row>
    <row r="25" spans="21:22">
      <c r="U25">
        <f>Calculations!A26</f>
        <v>415</v>
      </c>
      <c r="V25" s="1" t="e">
        <f ca="1">Calculations!C26</f>
        <v>#DIV/0!</v>
      </c>
    </row>
    <row r="26" spans="21:22">
      <c r="U26">
        <f>Calculations!A27</f>
        <v>420</v>
      </c>
      <c r="V26" s="1" t="e">
        <f ca="1">Calculations!C27</f>
        <v>#REF!</v>
      </c>
    </row>
    <row r="27" spans="21:22">
      <c r="U27">
        <f>Calculations!A28</f>
        <v>425</v>
      </c>
      <c r="V27" s="1" t="e">
        <f ca="1">Calculations!C28</f>
        <v>#DIV/0!</v>
      </c>
    </row>
    <row r="28" spans="21:22">
      <c r="U28">
        <f>Calculations!A29</f>
        <v>430</v>
      </c>
      <c r="V28" s="1" t="e">
        <f ca="1">Calculations!C29</f>
        <v>#DIV/0!</v>
      </c>
    </row>
    <row r="29" spans="21:22">
      <c r="U29">
        <f>Calculations!A30</f>
        <v>435</v>
      </c>
      <c r="V29" s="1" t="e">
        <f ca="1">Calculations!C30</f>
        <v>#DIV/0!</v>
      </c>
    </row>
    <row r="30" spans="21:22">
      <c r="U30">
        <f>Calculations!A31</f>
        <v>440</v>
      </c>
      <c r="V30" s="1" t="e">
        <f ca="1">Calculations!C31</f>
        <v>#DIV/0!</v>
      </c>
    </row>
    <row r="31" spans="21:22">
      <c r="U31">
        <f>Calculations!A32</f>
        <v>445</v>
      </c>
      <c r="V31" s="1" t="e">
        <f ca="1">Calculations!C32</f>
        <v>#DIV/0!</v>
      </c>
    </row>
    <row r="32" spans="21:22" ht="15.75" thickBot="1">
      <c r="U32">
        <f>Calculations!A33</f>
        <v>450</v>
      </c>
      <c r="V32" s="1" t="e">
        <f ca="1">Calculations!C33</f>
        <v>#DIV/0!</v>
      </c>
    </row>
    <row r="33" spans="10:22">
      <c r="J33" s="47" t="s">
        <v>28</v>
      </c>
      <c r="K33" s="34" t="s">
        <v>3</v>
      </c>
      <c r="L33" s="35" t="s">
        <v>26</v>
      </c>
      <c r="M33" s="36" t="s">
        <v>0</v>
      </c>
      <c r="U33">
        <f>Calculations!A34</f>
        <v>455</v>
      </c>
      <c r="V33" s="1" t="e">
        <f ca="1">Calculations!C34</f>
        <v>#DIV/0!</v>
      </c>
    </row>
    <row r="34" spans="10:22">
      <c r="J34" s="37" t="s">
        <v>27</v>
      </c>
      <c r="K34" s="32" t="e">
        <f ca="1">D3</f>
        <v>#VALUE!</v>
      </c>
      <c r="L34" s="11" t="e">
        <f ca="1">Calculations!G168</f>
        <v>#VALUE!</v>
      </c>
      <c r="M34" s="64">
        <f ca="1">COUNT(Calculations!I3:AN3)</f>
        <v>25</v>
      </c>
      <c r="U34">
        <f>Calculations!A35</f>
        <v>460</v>
      </c>
      <c r="V34" s="1" t="e">
        <f ca="1">Calculations!C35</f>
        <v>#DIV/0!</v>
      </c>
    </row>
    <row r="35" spans="10:22">
      <c r="J35" s="37" t="s">
        <v>6</v>
      </c>
      <c r="K35" s="32" t="e">
        <f ca="1">D4</f>
        <v>#VALUE!</v>
      </c>
      <c r="L35" s="11" t="e">
        <f ca="1">Calculations!G169</f>
        <v>#VALUE!</v>
      </c>
      <c r="M35" s="64"/>
      <c r="U35">
        <f>Calculations!A36</f>
        <v>465</v>
      </c>
      <c r="V35" s="1" t="e">
        <f ca="1">Calculations!C36</f>
        <v>#DIV/0!</v>
      </c>
    </row>
    <row r="36" spans="10:22">
      <c r="J36" s="37" t="s">
        <v>13</v>
      </c>
      <c r="K36" s="56" t="e">
        <f ca="1">D5</f>
        <v>#REF!</v>
      </c>
      <c r="L36" s="56" t="e">
        <f ca="1">Calculations!G172</f>
        <v>#REF!</v>
      </c>
      <c r="M36" s="64"/>
      <c r="U36">
        <f>Calculations!A37</f>
        <v>470</v>
      </c>
      <c r="V36" s="1" t="e">
        <f ca="1">Calculations!C37</f>
        <v>#DIV/0!</v>
      </c>
    </row>
    <row r="37" spans="10:22" ht="15.75" thickBot="1">
      <c r="J37" s="57" t="s">
        <v>42</v>
      </c>
      <c r="K37" s="59" t="e">
        <f ca="1">vl1924e!A1</f>
        <v>#DIV/0!</v>
      </c>
      <c r="L37" s="58"/>
      <c r="M37" s="65"/>
      <c r="U37">
        <f>Calculations!A38</f>
        <v>475</v>
      </c>
      <c r="V37" s="1" t="e">
        <f ca="1">Calculations!C38</f>
        <v>#DIV/0!</v>
      </c>
    </row>
    <row r="38" spans="10:22">
      <c r="J38" s="62" t="s">
        <v>23</v>
      </c>
      <c r="K38" s="63"/>
      <c r="L38" s="63"/>
      <c r="M38" s="33">
        <v>0.1</v>
      </c>
      <c r="U38">
        <f>Calculations!A39</f>
        <v>480</v>
      </c>
      <c r="V38" s="1" t="e">
        <f ca="1">Calculations!C39</f>
        <v>#DIV/0!</v>
      </c>
    </row>
    <row r="39" spans="10:22">
      <c r="U39">
        <f>Calculations!A40</f>
        <v>485</v>
      </c>
      <c r="V39" s="1" t="e">
        <f ca="1">Calculations!C40</f>
        <v>#DIV/0!</v>
      </c>
    </row>
    <row r="40" spans="10:22">
      <c r="K40" s="6" t="e">
        <f ca="1">K34</f>
        <v>#VALUE!</v>
      </c>
      <c r="L40" s="6" t="e">
        <f ca="1">K35</f>
        <v>#VALUE!</v>
      </c>
      <c r="M40" s="2" t="e">
        <f ca="1">K36</f>
        <v>#REF!</v>
      </c>
      <c r="U40">
        <f>Calculations!A41</f>
        <v>490</v>
      </c>
      <c r="V40" s="1" t="e">
        <f ca="1">Calculations!C41</f>
        <v>#DIV/0!</v>
      </c>
    </row>
    <row r="41" spans="10:22">
      <c r="U41">
        <f>Calculations!A42</f>
        <v>495</v>
      </c>
      <c r="V41" s="1" t="e">
        <f ca="1">Calculations!C42</f>
        <v>#DIV/0!</v>
      </c>
    </row>
    <row r="42" spans="10:22">
      <c r="U42">
        <f>Calculations!A43</f>
        <v>500</v>
      </c>
      <c r="V42" s="1" t="e">
        <f ca="1">Calculations!C43</f>
        <v>#DIV/0!</v>
      </c>
    </row>
    <row r="43" spans="10:22">
      <c r="U43">
        <f>Calculations!A44</f>
        <v>505</v>
      </c>
      <c r="V43" s="1" t="e">
        <f ca="1">Calculations!C44</f>
        <v>#DIV/0!</v>
      </c>
    </row>
    <row r="44" spans="10:22">
      <c r="U44">
        <f>Calculations!A45</f>
        <v>510</v>
      </c>
      <c r="V44" s="1" t="e">
        <f ca="1">Calculations!C45</f>
        <v>#DIV/0!</v>
      </c>
    </row>
    <row r="45" spans="10:22">
      <c r="O45" s="48"/>
      <c r="P45" s="48"/>
      <c r="Q45" s="48"/>
      <c r="R45" s="48"/>
      <c r="S45" s="48"/>
      <c r="U45">
        <f>Calculations!A46</f>
        <v>515</v>
      </c>
      <c r="V45" s="1" t="e">
        <f ca="1">Calculations!C46</f>
        <v>#DIV/0!</v>
      </c>
    </row>
    <row r="46" spans="10:22">
      <c r="O46" s="49"/>
      <c r="P46" s="49"/>
      <c r="Q46" s="49"/>
      <c r="R46" s="49"/>
      <c r="S46" s="49"/>
      <c r="U46">
        <f>Calculations!A47</f>
        <v>520</v>
      </c>
      <c r="V46" s="1" t="e">
        <f ca="1">Calculations!C47</f>
        <v>#DIV/0!</v>
      </c>
    </row>
    <row r="47" spans="10:22">
      <c r="O47" s="49"/>
      <c r="P47" s="49"/>
      <c r="Q47" s="49"/>
      <c r="R47" s="49"/>
      <c r="S47" s="49"/>
      <c r="U47">
        <f>Calculations!A48</f>
        <v>525</v>
      </c>
      <c r="V47" s="1" t="e">
        <f ca="1">Calculations!C48</f>
        <v>#DIV/0!</v>
      </c>
    </row>
    <row r="48" spans="10:22">
      <c r="O48" s="49"/>
      <c r="P48" s="49"/>
      <c r="Q48" s="49"/>
      <c r="R48" s="49"/>
      <c r="S48" s="49"/>
      <c r="U48">
        <f>Calculations!A49</f>
        <v>530</v>
      </c>
      <c r="V48" s="1" t="e">
        <f ca="1">Calculations!C49</f>
        <v>#DIV/0!</v>
      </c>
    </row>
    <row r="49" spans="15:22">
      <c r="O49" s="50"/>
      <c r="P49" s="50"/>
      <c r="Q49" s="50"/>
      <c r="R49" s="50"/>
      <c r="S49" s="50"/>
      <c r="U49">
        <f>Calculations!A50</f>
        <v>535</v>
      </c>
      <c r="V49" s="1" t="e">
        <f ca="1">Calculations!C50</f>
        <v>#DIV/0!</v>
      </c>
    </row>
    <row r="50" spans="15:22">
      <c r="U50">
        <f>Calculations!A51</f>
        <v>540</v>
      </c>
      <c r="V50" s="1" t="e">
        <f ca="1">Calculations!C51</f>
        <v>#DIV/0!</v>
      </c>
    </row>
    <row r="51" spans="15:22">
      <c r="U51">
        <f>Calculations!A52</f>
        <v>545</v>
      </c>
      <c r="V51" s="1" t="e">
        <f ca="1">Calculations!C52</f>
        <v>#DIV/0!</v>
      </c>
    </row>
    <row r="52" spans="15:22">
      <c r="U52">
        <f>Calculations!A53</f>
        <v>550</v>
      </c>
      <c r="V52" s="1" t="e">
        <f ca="1">Calculations!C53</f>
        <v>#DIV/0!</v>
      </c>
    </row>
    <row r="53" spans="15:22">
      <c r="U53">
        <f>Calculations!A54</f>
        <v>555</v>
      </c>
      <c r="V53" s="1" t="e">
        <f ca="1">Calculations!C54</f>
        <v>#DIV/0!</v>
      </c>
    </row>
    <row r="54" spans="15:22">
      <c r="U54">
        <f>Calculations!A55</f>
        <v>560</v>
      </c>
      <c r="V54" s="1" t="e">
        <f ca="1">Calculations!C55</f>
        <v>#DIV/0!</v>
      </c>
    </row>
    <row r="55" spans="15:22">
      <c r="U55">
        <f>Calculations!A56</f>
        <v>565</v>
      </c>
      <c r="V55" s="1" t="e">
        <f ca="1">Calculations!C56</f>
        <v>#DIV/0!</v>
      </c>
    </row>
    <row r="56" spans="15:22">
      <c r="U56">
        <f>Calculations!A57</f>
        <v>570</v>
      </c>
      <c r="V56" s="1" t="e">
        <f ca="1">Calculations!C57</f>
        <v>#DIV/0!</v>
      </c>
    </row>
    <row r="57" spans="15:22">
      <c r="U57">
        <f>Calculations!A58</f>
        <v>575</v>
      </c>
      <c r="V57" s="1" t="e">
        <f ca="1">Calculations!C58</f>
        <v>#DIV/0!</v>
      </c>
    </row>
    <row r="58" spans="15:22">
      <c r="U58">
        <f>Calculations!A59</f>
        <v>580</v>
      </c>
      <c r="V58" s="1" t="e">
        <f ca="1">Calculations!C59</f>
        <v>#DIV/0!</v>
      </c>
    </row>
    <row r="59" spans="15:22">
      <c r="U59">
        <f>Calculations!A60</f>
        <v>585</v>
      </c>
      <c r="V59" s="1" t="e">
        <f ca="1">Calculations!C60</f>
        <v>#DIV/0!</v>
      </c>
    </row>
    <row r="60" spans="15:22">
      <c r="U60">
        <f>Calculations!A61</f>
        <v>590</v>
      </c>
      <c r="V60" s="1" t="e">
        <f ca="1">Calculations!C61</f>
        <v>#DIV/0!</v>
      </c>
    </row>
    <row r="61" spans="15:22">
      <c r="U61">
        <f>Calculations!A62</f>
        <v>595</v>
      </c>
      <c r="V61" s="1" t="e">
        <f ca="1">Calculations!C62</f>
        <v>#DIV/0!</v>
      </c>
    </row>
    <row r="62" spans="15:22">
      <c r="U62">
        <f>Calculations!A63</f>
        <v>600</v>
      </c>
      <c r="V62" s="1" t="e">
        <f ca="1">Calculations!C63</f>
        <v>#DIV/0!</v>
      </c>
    </row>
    <row r="63" spans="15:22">
      <c r="U63">
        <f>Calculations!A64</f>
        <v>605</v>
      </c>
      <c r="V63" s="1" t="e">
        <f ca="1">Calculations!C64</f>
        <v>#DIV/0!</v>
      </c>
    </row>
    <row r="64" spans="15:22">
      <c r="U64">
        <f>Calculations!A65</f>
        <v>610</v>
      </c>
      <c r="V64" s="1" t="e">
        <f ca="1">Calculations!C65</f>
        <v>#DIV/0!</v>
      </c>
    </row>
    <row r="65" spans="21:22">
      <c r="U65">
        <f>Calculations!A66</f>
        <v>615</v>
      </c>
      <c r="V65" s="1" t="e">
        <f ca="1">Calculations!C66</f>
        <v>#DIV/0!</v>
      </c>
    </row>
    <row r="66" spans="21:22">
      <c r="U66">
        <f>Calculations!A67</f>
        <v>620</v>
      </c>
      <c r="V66" s="1" t="e">
        <f ca="1">Calculations!C67</f>
        <v>#DIV/0!</v>
      </c>
    </row>
    <row r="67" spans="21:22">
      <c r="U67">
        <f>Calculations!A68</f>
        <v>625</v>
      </c>
      <c r="V67" s="1" t="e">
        <f ca="1">Calculations!C68</f>
        <v>#DIV/0!</v>
      </c>
    </row>
    <row r="68" spans="21:22">
      <c r="U68">
        <f>Calculations!A69</f>
        <v>630</v>
      </c>
      <c r="V68" s="1" t="e">
        <f ca="1">Calculations!C69</f>
        <v>#DIV/0!</v>
      </c>
    </row>
    <row r="69" spans="21:22">
      <c r="U69">
        <f>Calculations!A70</f>
        <v>635</v>
      </c>
      <c r="V69" s="1" t="e">
        <f ca="1">Calculations!C70</f>
        <v>#DIV/0!</v>
      </c>
    </row>
    <row r="70" spans="21:22">
      <c r="U70">
        <f>Calculations!A71</f>
        <v>640</v>
      </c>
      <c r="V70" s="1" t="e">
        <f ca="1">Calculations!C71</f>
        <v>#DIV/0!</v>
      </c>
    </row>
    <row r="71" spans="21:22">
      <c r="U71">
        <f>Calculations!A72</f>
        <v>645</v>
      </c>
      <c r="V71" s="1" t="e">
        <f ca="1">Calculations!C72</f>
        <v>#DIV/0!</v>
      </c>
    </row>
    <row r="72" spans="21:22">
      <c r="U72">
        <f>Calculations!A73</f>
        <v>650</v>
      </c>
      <c r="V72" s="1" t="e">
        <f ca="1">Calculations!C73</f>
        <v>#DIV/0!</v>
      </c>
    </row>
    <row r="73" spans="21:22">
      <c r="U73">
        <f>Calculations!A74</f>
        <v>655</v>
      </c>
      <c r="V73" s="1" t="e">
        <f ca="1">Calculations!C74</f>
        <v>#DIV/0!</v>
      </c>
    </row>
    <row r="74" spans="21:22">
      <c r="U74">
        <f>Calculations!A75</f>
        <v>660</v>
      </c>
      <c r="V74" s="1" t="e">
        <f ca="1">Calculations!C75</f>
        <v>#DIV/0!</v>
      </c>
    </row>
    <row r="75" spans="21:22">
      <c r="U75">
        <f>Calculations!A76</f>
        <v>665</v>
      </c>
      <c r="V75" s="1" t="e">
        <f ca="1">Calculations!C76</f>
        <v>#DIV/0!</v>
      </c>
    </row>
    <row r="76" spans="21:22">
      <c r="U76">
        <f>Calculations!A77</f>
        <v>670</v>
      </c>
      <c r="V76" s="1" t="e">
        <f ca="1">Calculations!C77</f>
        <v>#DIV/0!</v>
      </c>
    </row>
    <row r="77" spans="21:22">
      <c r="U77">
        <f>Calculations!A78</f>
        <v>675</v>
      </c>
      <c r="V77" s="1" t="e">
        <f ca="1">Calculations!C78</f>
        <v>#DIV/0!</v>
      </c>
    </row>
    <row r="78" spans="21:22">
      <c r="U78">
        <f>Calculations!A79</f>
        <v>680</v>
      </c>
      <c r="V78" s="1" t="e">
        <f ca="1">Calculations!C79</f>
        <v>#DIV/0!</v>
      </c>
    </row>
    <row r="79" spans="21:22">
      <c r="U79">
        <f>Calculations!A80</f>
        <v>685</v>
      </c>
      <c r="V79" s="1" t="e">
        <f ca="1">Calculations!C80</f>
        <v>#DIV/0!</v>
      </c>
    </row>
    <row r="80" spans="21:22">
      <c r="U80">
        <f>Calculations!A81</f>
        <v>690</v>
      </c>
      <c r="V80" s="1" t="e">
        <f ca="1">Calculations!C81</f>
        <v>#DIV/0!</v>
      </c>
    </row>
    <row r="81" spans="21:22">
      <c r="U81">
        <f>Calculations!A82</f>
        <v>695</v>
      </c>
      <c r="V81" s="1" t="e">
        <f ca="1">Calculations!C82</f>
        <v>#DIV/0!</v>
      </c>
    </row>
    <row r="82" spans="21:22">
      <c r="U82">
        <f>Calculations!A83</f>
        <v>700</v>
      </c>
      <c r="V82" s="1" t="e">
        <f ca="1">Calculations!C83</f>
        <v>#DIV/0!</v>
      </c>
    </row>
    <row r="83" spans="21:22">
      <c r="U83">
        <f>Calculations!A84</f>
        <v>705</v>
      </c>
      <c r="V83" s="1" t="e">
        <f ca="1">Calculations!C84</f>
        <v>#DIV/0!</v>
      </c>
    </row>
    <row r="84" spans="21:22">
      <c r="U84">
        <f>Calculations!A85</f>
        <v>710</v>
      </c>
      <c r="V84" s="1" t="e">
        <f ca="1">Calculations!C85</f>
        <v>#DIV/0!</v>
      </c>
    </row>
    <row r="85" spans="21:22">
      <c r="U85">
        <f>Calculations!A86</f>
        <v>715</v>
      </c>
      <c r="V85" s="1" t="e">
        <f ca="1">Calculations!C86</f>
        <v>#DIV/0!</v>
      </c>
    </row>
    <row r="86" spans="21:22">
      <c r="U86">
        <f>Calculations!A87</f>
        <v>720</v>
      </c>
      <c r="V86" s="1" t="e">
        <f ca="1">Calculations!C87</f>
        <v>#DIV/0!</v>
      </c>
    </row>
    <row r="87" spans="21:22">
      <c r="U87">
        <f>Calculations!A88</f>
        <v>725</v>
      </c>
      <c r="V87" s="1" t="e">
        <f ca="1">Calculations!C88</f>
        <v>#DIV/0!</v>
      </c>
    </row>
    <row r="88" spans="21:22">
      <c r="U88">
        <f>Calculations!A89</f>
        <v>730</v>
      </c>
      <c r="V88" s="1" t="e">
        <f ca="1">Calculations!C89</f>
        <v>#DIV/0!</v>
      </c>
    </row>
    <row r="89" spans="21:22">
      <c r="U89">
        <f>Calculations!A90</f>
        <v>735</v>
      </c>
      <c r="V89" s="1" t="e">
        <f ca="1">Calculations!C90</f>
        <v>#DIV/0!</v>
      </c>
    </row>
    <row r="90" spans="21:22">
      <c r="U90">
        <f>Calculations!A91</f>
        <v>740</v>
      </c>
      <c r="V90" s="1" t="e">
        <f ca="1">Calculations!C91</f>
        <v>#DIV/0!</v>
      </c>
    </row>
    <row r="91" spans="21:22">
      <c r="U91">
        <f>Calculations!A92</f>
        <v>745</v>
      </c>
      <c r="V91" s="1" t="e">
        <f ca="1">Calculations!C92</f>
        <v>#DIV/0!</v>
      </c>
    </row>
    <row r="92" spans="21:22">
      <c r="U92">
        <f>Calculations!A93</f>
        <v>750</v>
      </c>
      <c r="V92" s="1" t="e">
        <f ca="1">Calculations!C93</f>
        <v>#DIV/0!</v>
      </c>
    </row>
    <row r="93" spans="21:22">
      <c r="U93">
        <f>Calculations!A94</f>
        <v>755</v>
      </c>
      <c r="V93" s="1" t="e">
        <f ca="1">Calculations!C94</f>
        <v>#DIV/0!</v>
      </c>
    </row>
    <row r="94" spans="21:22">
      <c r="U94">
        <f>Calculations!A95</f>
        <v>760</v>
      </c>
      <c r="V94" s="1" t="e">
        <f ca="1">Calculations!C95</f>
        <v>#DIV/0!</v>
      </c>
    </row>
    <row r="95" spans="21:22">
      <c r="U95">
        <f>Calculations!A96</f>
        <v>765</v>
      </c>
      <c r="V95" s="1" t="e">
        <f ca="1">Calculations!C96</f>
        <v>#DIV/0!</v>
      </c>
    </row>
    <row r="96" spans="21:22">
      <c r="U96">
        <f>Calculations!A97</f>
        <v>770</v>
      </c>
      <c r="V96" s="1" t="e">
        <f ca="1">Calculations!C97</f>
        <v>#DIV/0!</v>
      </c>
    </row>
    <row r="97" spans="21:22">
      <c r="U97">
        <f>Calculations!A98</f>
        <v>775</v>
      </c>
      <c r="V97" s="1" t="e">
        <f ca="1">Calculations!C98</f>
        <v>#DIV/0!</v>
      </c>
    </row>
    <row r="98" spans="21:22">
      <c r="U98">
        <f>Calculations!A99</f>
        <v>780</v>
      </c>
      <c r="V98" s="1" t="e">
        <f ca="1">Calculations!C99</f>
        <v>#DIV/0!</v>
      </c>
    </row>
    <row r="99" spans="21:22">
      <c r="U99">
        <f>Calculations!A100</f>
        <v>785</v>
      </c>
      <c r="V99" s="1" t="e">
        <f ca="1">Calculations!C100</f>
        <v>#DIV/0!</v>
      </c>
    </row>
    <row r="100" spans="21:22">
      <c r="U100">
        <f>Calculations!A101</f>
        <v>790</v>
      </c>
      <c r="V100" s="1" t="e">
        <f ca="1">Calculations!C101</f>
        <v>#DIV/0!</v>
      </c>
    </row>
    <row r="101" spans="21:22">
      <c r="U101">
        <f>Calculations!A102</f>
        <v>795</v>
      </c>
      <c r="V101" s="1" t="e">
        <f ca="1">Calculations!C102</f>
        <v>#DIV/0!</v>
      </c>
    </row>
    <row r="102" spans="21:22">
      <c r="U102">
        <f>Calculations!A103</f>
        <v>800</v>
      </c>
      <c r="V102" s="1" t="e">
        <f ca="1">Calculations!C103</f>
        <v>#DIV/0!</v>
      </c>
    </row>
    <row r="103" spans="21:22">
      <c r="U103">
        <f>Calculations!A104</f>
        <v>805</v>
      </c>
      <c r="V103" s="1" t="e">
        <f ca="1">Calculations!C104</f>
        <v>#DIV/0!</v>
      </c>
    </row>
    <row r="104" spans="21:22">
      <c r="U104">
        <f>Calculations!A105</f>
        <v>810</v>
      </c>
      <c r="V104" s="1" t="e">
        <f ca="1">Calculations!C105</f>
        <v>#DIV/0!</v>
      </c>
    </row>
    <row r="105" spans="21:22">
      <c r="U105">
        <f>Calculations!A106</f>
        <v>815</v>
      </c>
      <c r="V105" s="1" t="e">
        <f ca="1">Calculations!C106</f>
        <v>#DIV/0!</v>
      </c>
    </row>
    <row r="106" spans="21:22">
      <c r="U106">
        <f>Calculations!A107</f>
        <v>820</v>
      </c>
      <c r="V106" s="1" t="e">
        <f ca="1">Calculations!C107</f>
        <v>#DIV/0!</v>
      </c>
    </row>
    <row r="107" spans="21:22">
      <c r="U107">
        <f>Calculations!A108</f>
        <v>825</v>
      </c>
      <c r="V107" s="1" t="e">
        <f ca="1">Calculations!C108</f>
        <v>#DIV/0!</v>
      </c>
    </row>
    <row r="108" spans="21:22">
      <c r="U108">
        <f>Calculations!A109</f>
        <v>830</v>
      </c>
      <c r="V108" s="1" t="e">
        <f ca="1">Calculations!C109</f>
        <v>#DIV/0!</v>
      </c>
    </row>
    <row r="109" spans="21:22">
      <c r="U109">
        <f>Calculations!A110</f>
        <v>835</v>
      </c>
      <c r="V109" s="1" t="e">
        <f ca="1">Calculations!C110</f>
        <v>#DIV/0!</v>
      </c>
    </row>
    <row r="110" spans="21:22">
      <c r="U110">
        <f>Calculations!A111</f>
        <v>840</v>
      </c>
      <c r="V110" s="1" t="e">
        <f ca="1">Calculations!C111</f>
        <v>#DIV/0!</v>
      </c>
    </row>
    <row r="111" spans="21:22">
      <c r="U111">
        <f>Calculations!A112</f>
        <v>845</v>
      </c>
      <c r="V111" s="1" t="e">
        <f ca="1">Calculations!C112</f>
        <v>#DIV/0!</v>
      </c>
    </row>
    <row r="112" spans="21:22">
      <c r="U112">
        <f>Calculations!A113</f>
        <v>850</v>
      </c>
      <c r="V112" s="1" t="e">
        <f ca="1">Calculations!C113</f>
        <v>#DIV/0!</v>
      </c>
    </row>
    <row r="113" spans="21:22">
      <c r="U113">
        <f>Calculations!A114</f>
        <v>855</v>
      </c>
      <c r="V113" s="1" t="e">
        <f ca="1">Calculations!C114</f>
        <v>#DIV/0!</v>
      </c>
    </row>
    <row r="114" spans="21:22">
      <c r="U114">
        <f>Calculations!A115</f>
        <v>860</v>
      </c>
      <c r="V114" s="1" t="e">
        <f ca="1">Calculations!C115</f>
        <v>#DIV/0!</v>
      </c>
    </row>
    <row r="115" spans="21:22">
      <c r="U115">
        <f>Calculations!A116</f>
        <v>865</v>
      </c>
      <c r="V115" s="1" t="e">
        <f ca="1">Calculations!C116</f>
        <v>#DIV/0!</v>
      </c>
    </row>
    <row r="116" spans="21:22">
      <c r="U116">
        <f>Calculations!A117</f>
        <v>870</v>
      </c>
      <c r="V116" s="1" t="e">
        <f ca="1">Calculations!C117</f>
        <v>#DIV/0!</v>
      </c>
    </row>
    <row r="117" spans="21:22">
      <c r="U117">
        <f>Calculations!A118</f>
        <v>875</v>
      </c>
      <c r="V117" s="1" t="e">
        <f ca="1">Calculations!C118</f>
        <v>#DIV/0!</v>
      </c>
    </row>
    <row r="118" spans="21:22">
      <c r="U118">
        <f>Calculations!A119</f>
        <v>880</v>
      </c>
      <c r="V118" s="1" t="e">
        <f ca="1">Calculations!C119</f>
        <v>#DIV/0!</v>
      </c>
    </row>
    <row r="119" spans="21:22">
      <c r="U119">
        <f>Calculations!A120</f>
        <v>885</v>
      </c>
      <c r="V119" s="1" t="e">
        <f ca="1">Calculations!C120</f>
        <v>#DIV/0!</v>
      </c>
    </row>
    <row r="120" spans="21:22">
      <c r="U120">
        <f>Calculations!A121</f>
        <v>890</v>
      </c>
      <c r="V120" s="1" t="e">
        <f ca="1">Calculations!C121</f>
        <v>#DIV/0!</v>
      </c>
    </row>
    <row r="121" spans="21:22">
      <c r="U121">
        <f>Calculations!A122</f>
        <v>895</v>
      </c>
      <c r="V121" s="1" t="e">
        <f ca="1">Calculations!C122</f>
        <v>#DIV/0!</v>
      </c>
    </row>
    <row r="122" spans="21:22">
      <c r="U122">
        <f>Calculations!A123</f>
        <v>900</v>
      </c>
      <c r="V122" s="1" t="e">
        <f ca="1">Calculations!C123</f>
        <v>#DIV/0!</v>
      </c>
    </row>
    <row r="123" spans="21:22">
      <c r="U123">
        <f>Calculations!A124</f>
        <v>905</v>
      </c>
      <c r="V123" s="1" t="e">
        <f ca="1">Calculations!C124</f>
        <v>#DIV/0!</v>
      </c>
    </row>
    <row r="124" spans="21:22">
      <c r="U124">
        <f>Calculations!A125</f>
        <v>910</v>
      </c>
      <c r="V124" s="1" t="e">
        <f ca="1">Calculations!C125</f>
        <v>#DIV/0!</v>
      </c>
    </row>
    <row r="125" spans="21:22">
      <c r="U125">
        <f>Calculations!A126</f>
        <v>915</v>
      </c>
      <c r="V125" s="1" t="e">
        <f ca="1">Calculations!C126</f>
        <v>#DIV/0!</v>
      </c>
    </row>
    <row r="126" spans="21:22">
      <c r="U126">
        <f>Calculations!A127</f>
        <v>920</v>
      </c>
      <c r="V126" s="1" t="e">
        <f ca="1">Calculations!C127</f>
        <v>#DIV/0!</v>
      </c>
    </row>
    <row r="127" spans="21:22">
      <c r="U127">
        <f>Calculations!A128</f>
        <v>925</v>
      </c>
      <c r="V127" s="1" t="e">
        <f ca="1">Calculations!C128</f>
        <v>#DIV/0!</v>
      </c>
    </row>
    <row r="128" spans="21:22">
      <c r="U128">
        <f>Calculations!A129</f>
        <v>930</v>
      </c>
      <c r="V128" s="1" t="e">
        <f ca="1">Calculations!C129</f>
        <v>#DIV/0!</v>
      </c>
    </row>
    <row r="129" spans="21:22">
      <c r="U129">
        <f>Calculations!A130</f>
        <v>935</v>
      </c>
      <c r="V129" s="1" t="e">
        <f ca="1">Calculations!C130</f>
        <v>#DIV/0!</v>
      </c>
    </row>
    <row r="130" spans="21:22">
      <c r="U130">
        <f>Calculations!A131</f>
        <v>940</v>
      </c>
      <c r="V130" s="1" t="e">
        <f ca="1">Calculations!C131</f>
        <v>#DIV/0!</v>
      </c>
    </row>
    <row r="131" spans="21:22">
      <c r="U131">
        <f>Calculations!A132</f>
        <v>945</v>
      </c>
      <c r="V131" s="1" t="e">
        <f ca="1">Calculations!C132</f>
        <v>#DIV/0!</v>
      </c>
    </row>
    <row r="132" spans="21:22">
      <c r="U132">
        <f>Calculations!A133</f>
        <v>950</v>
      </c>
      <c r="V132" s="1" t="e">
        <f ca="1">Calculations!C133</f>
        <v>#DIV/0!</v>
      </c>
    </row>
    <row r="133" spans="21:22">
      <c r="U133">
        <f>Calculations!A134</f>
        <v>955</v>
      </c>
      <c r="V133" s="1" t="e">
        <f ca="1">Calculations!C134</f>
        <v>#DIV/0!</v>
      </c>
    </row>
    <row r="134" spans="21:22">
      <c r="U134">
        <f>Calculations!A135</f>
        <v>960</v>
      </c>
      <c r="V134" s="1" t="e">
        <f ca="1">Calculations!C135</f>
        <v>#DIV/0!</v>
      </c>
    </row>
    <row r="135" spans="21:22">
      <c r="U135">
        <f>Calculations!A136</f>
        <v>965</v>
      </c>
      <c r="V135" s="1" t="e">
        <f ca="1">Calculations!C136</f>
        <v>#DIV/0!</v>
      </c>
    </row>
    <row r="136" spans="21:22">
      <c r="U136">
        <f>Calculations!A137</f>
        <v>970</v>
      </c>
      <c r="V136" s="1" t="e">
        <f ca="1">Calculations!C137</f>
        <v>#DIV/0!</v>
      </c>
    </row>
    <row r="137" spans="21:22">
      <c r="U137">
        <f>Calculations!A138</f>
        <v>975</v>
      </c>
      <c r="V137" s="1" t="e">
        <f ca="1">Calculations!C138</f>
        <v>#DIV/0!</v>
      </c>
    </row>
    <row r="138" spans="21:22">
      <c r="U138">
        <f>Calculations!A139</f>
        <v>980</v>
      </c>
      <c r="V138" s="1" t="e">
        <f ca="1">Calculations!C139</f>
        <v>#DIV/0!</v>
      </c>
    </row>
    <row r="139" spans="21:22">
      <c r="U139">
        <f>Calculations!A140</f>
        <v>985</v>
      </c>
      <c r="V139" s="1" t="e">
        <f ca="1">Calculations!C140</f>
        <v>#DIV/0!</v>
      </c>
    </row>
    <row r="140" spans="21:22">
      <c r="U140">
        <f>Calculations!A141</f>
        <v>990</v>
      </c>
      <c r="V140" s="1" t="e">
        <f ca="1">Calculations!C141</f>
        <v>#DIV/0!</v>
      </c>
    </row>
    <row r="141" spans="21:22">
      <c r="U141">
        <f>Calculations!A142</f>
        <v>995</v>
      </c>
      <c r="V141" s="1" t="e">
        <f ca="1">Calculations!C142</f>
        <v>#DIV/0!</v>
      </c>
    </row>
    <row r="142" spans="21:22">
      <c r="U142">
        <f>Calculations!A143</f>
        <v>1000</v>
      </c>
      <c r="V142" s="1" t="e">
        <f ca="1">Calculations!C143</f>
        <v>#DIV/0!</v>
      </c>
    </row>
    <row r="143" spans="21:22">
      <c r="U143">
        <f>Calculations!A144</f>
        <v>1005</v>
      </c>
      <c r="V143" s="1" t="e">
        <f ca="1">Calculations!C144</f>
        <v>#DIV/0!</v>
      </c>
    </row>
    <row r="144" spans="21:22">
      <c r="U144">
        <f>Calculations!A145</f>
        <v>1010</v>
      </c>
      <c r="V144" s="1" t="e">
        <f ca="1">Calculations!C145</f>
        <v>#DIV/0!</v>
      </c>
    </row>
    <row r="145" spans="21:22">
      <c r="U145">
        <f>Calculations!A146</f>
        <v>1015</v>
      </c>
      <c r="V145" s="1" t="e">
        <f ca="1">Calculations!C146</f>
        <v>#DIV/0!</v>
      </c>
    </row>
    <row r="146" spans="21:22">
      <c r="U146">
        <f>Calculations!A147</f>
        <v>1020</v>
      </c>
      <c r="V146" s="1" t="e">
        <f ca="1">Calculations!C147</f>
        <v>#DIV/0!</v>
      </c>
    </row>
    <row r="147" spans="21:22">
      <c r="U147">
        <f>Calculations!A148</f>
        <v>1025</v>
      </c>
      <c r="V147" s="1" t="e">
        <f ca="1">Calculations!C148</f>
        <v>#DIV/0!</v>
      </c>
    </row>
    <row r="148" spans="21:22">
      <c r="U148">
        <f>Calculations!A149</f>
        <v>1030</v>
      </c>
      <c r="V148" s="1" t="e">
        <f ca="1">Calculations!C149</f>
        <v>#DIV/0!</v>
      </c>
    </row>
    <row r="149" spans="21:22">
      <c r="U149">
        <f>Calculations!A150</f>
        <v>1035</v>
      </c>
      <c r="V149" s="1" t="e">
        <f ca="1">Calculations!C150</f>
        <v>#DIV/0!</v>
      </c>
    </row>
    <row r="150" spans="21:22">
      <c r="U150">
        <f>Calculations!A151</f>
        <v>1040</v>
      </c>
      <c r="V150" s="1" t="e">
        <f ca="1">Calculations!C151</f>
        <v>#DIV/0!</v>
      </c>
    </row>
    <row r="151" spans="21:22">
      <c r="U151">
        <f>Calculations!A152</f>
        <v>1045</v>
      </c>
      <c r="V151" s="1" t="e">
        <f ca="1">Calculations!C152</f>
        <v>#DIV/0!</v>
      </c>
    </row>
    <row r="152" spans="21:22">
      <c r="U152">
        <f>Calculations!A153</f>
        <v>1050</v>
      </c>
      <c r="V152" s="1" t="e">
        <f ca="1">Calculations!C153</f>
        <v>#DIV/0!</v>
      </c>
    </row>
    <row r="153" spans="21:22">
      <c r="U153">
        <f>Calculations!A154</f>
        <v>1055</v>
      </c>
      <c r="V153" s="1" t="e">
        <f ca="1">Calculations!C154</f>
        <v>#DIV/0!</v>
      </c>
    </row>
    <row r="154" spans="21:22">
      <c r="U154">
        <f>Calculations!A155</f>
        <v>1060</v>
      </c>
      <c r="V154" s="1" t="e">
        <f ca="1">Calculations!C155</f>
        <v>#DIV/0!</v>
      </c>
    </row>
    <row r="155" spans="21:22">
      <c r="U155">
        <f>Calculations!A156</f>
        <v>1065</v>
      </c>
      <c r="V155" s="1" t="e">
        <f ca="1">Calculations!C156</f>
        <v>#DIV/0!</v>
      </c>
    </row>
    <row r="156" spans="21:22">
      <c r="U156">
        <f>Calculations!A157</f>
        <v>1070</v>
      </c>
      <c r="V156" s="1" t="e">
        <f ca="1">Calculations!C157</f>
        <v>#DIV/0!</v>
      </c>
    </row>
    <row r="157" spans="21:22">
      <c r="U157">
        <f>Calculations!A158</f>
        <v>1075</v>
      </c>
      <c r="V157" s="1" t="e">
        <f ca="1">Calculations!C158</f>
        <v>#DIV/0!</v>
      </c>
    </row>
    <row r="158" spans="21:22">
      <c r="U158">
        <f>Calculations!A159</f>
        <v>1080</v>
      </c>
      <c r="V158" s="1" t="e">
        <f ca="1">Calculations!C159</f>
        <v>#DIV/0!</v>
      </c>
    </row>
    <row r="159" spans="21:22">
      <c r="U159">
        <f>Calculations!A160</f>
        <v>1085</v>
      </c>
      <c r="V159" s="1" t="e">
        <f ca="1">Calculations!C160</f>
        <v>#DIV/0!</v>
      </c>
    </row>
    <row r="160" spans="21:22">
      <c r="U160">
        <f>Calculations!A161</f>
        <v>1090</v>
      </c>
      <c r="V160" s="1" t="e">
        <f ca="1">Calculations!C161</f>
        <v>#DIV/0!</v>
      </c>
    </row>
    <row r="161" spans="21:22">
      <c r="U161">
        <f>Calculations!A162</f>
        <v>1095</v>
      </c>
      <c r="V161" s="1" t="e">
        <f ca="1">Calculations!C162</f>
        <v>#DIV/0!</v>
      </c>
    </row>
    <row r="162" spans="21:22">
      <c r="U162">
        <f>Calculations!A163</f>
        <v>1100</v>
      </c>
      <c r="V162" s="1" t="e">
        <f ca="1">Calculations!C163</f>
        <v>#DIV/0!</v>
      </c>
    </row>
  </sheetData>
  <mergeCells count="3">
    <mergeCell ref="A1:F1"/>
    <mergeCell ref="J38:L38"/>
    <mergeCell ref="M34:M37"/>
  </mergeCells>
  <pageMargins left="0.7" right="0.7" top="0.75" bottom="0.75" header="0.3" footer="0.3"/>
  <pageSetup scale="78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N183"/>
  <sheetViews>
    <sheetView zoomScale="60" zoomScaleNormal="60" workbookViewId="0">
      <pane xSplit="9975" ySplit="4500" topLeftCell="AE165" activePane="bottomLeft"/>
      <selection activeCell="I2" sqref="I2:AN172"/>
      <selection pane="topRight" activeCell="AH2" sqref="AH2:AH172"/>
      <selection pane="bottomLeft" activeCell="I171" sqref="I171"/>
      <selection pane="bottomRight" activeCell="O11" sqref="O11"/>
    </sheetView>
  </sheetViews>
  <sheetFormatPr defaultRowHeight="15"/>
  <cols>
    <col min="5" max="5" width="2.5703125" customWidth="1"/>
    <col min="7" max="7" width="8.7109375" customWidth="1"/>
    <col min="8" max="8" width="2.5703125" customWidth="1"/>
    <col min="9" max="9" width="12" bestFit="1" customWidth="1"/>
  </cols>
  <sheetData>
    <row r="1" spans="1:40">
      <c r="B1" s="23" t="s">
        <v>22</v>
      </c>
      <c r="C1" s="23" t="s">
        <v>20</v>
      </c>
      <c r="D1" s="23" t="s">
        <v>21</v>
      </c>
      <c r="E1" s="23"/>
      <c r="I1">
        <f>data0!B1</f>
        <v>-60</v>
      </c>
      <c r="J1">
        <f>data0!C1</f>
        <v>-55</v>
      </c>
      <c r="K1">
        <f>data0!D1</f>
        <v>-50</v>
      </c>
      <c r="L1">
        <f>data0!E1</f>
        <v>-45</v>
      </c>
      <c r="M1">
        <f>data0!F1</f>
        <v>-40</v>
      </c>
      <c r="N1">
        <f>data0!G1</f>
        <v>-35</v>
      </c>
      <c r="O1">
        <f>data0!H1</f>
        <v>-30</v>
      </c>
      <c r="P1">
        <f>data0!I1</f>
        <v>-25</v>
      </c>
      <c r="Q1">
        <f>data0!J1</f>
        <v>-20</v>
      </c>
      <c r="R1">
        <f>data0!K1</f>
        <v>-15</v>
      </c>
      <c r="S1">
        <f>data0!L1</f>
        <v>-10</v>
      </c>
      <c r="T1">
        <f>data0!M1</f>
        <v>-5</v>
      </c>
      <c r="U1">
        <f>data0!N1</f>
        <v>0</v>
      </c>
      <c r="V1">
        <f>data0!O1</f>
        <v>5</v>
      </c>
      <c r="W1">
        <f>data0!P1</f>
        <v>10</v>
      </c>
      <c r="X1">
        <f>data0!Q1</f>
        <v>15</v>
      </c>
      <c r="Y1">
        <f>data0!R1</f>
        <v>20</v>
      </c>
      <c r="Z1">
        <f>data0!S1</f>
        <v>25</v>
      </c>
      <c r="AA1">
        <f>data0!T1</f>
        <v>30</v>
      </c>
      <c r="AB1">
        <f>data0!U1</f>
        <v>35</v>
      </c>
      <c r="AC1">
        <f>data0!V1</f>
        <v>40</v>
      </c>
      <c r="AD1">
        <f>data0!W1</f>
        <v>45</v>
      </c>
      <c r="AE1">
        <f>data0!X1</f>
        <v>50</v>
      </c>
      <c r="AF1">
        <f>data0!Y1</f>
        <v>55</v>
      </c>
      <c r="AG1">
        <f>data0!Z1</f>
        <v>60</v>
      </c>
      <c r="AH1">
        <f>data0!AA1</f>
        <v>0</v>
      </c>
      <c r="AI1">
        <f>data0!AB1</f>
        <v>0</v>
      </c>
      <c r="AJ1">
        <f>data0!AC1</f>
        <v>0</v>
      </c>
      <c r="AK1">
        <f>data0!AD1</f>
        <v>0</v>
      </c>
      <c r="AL1">
        <f>data0!AE1</f>
        <v>0</v>
      </c>
      <c r="AM1">
        <f>data0!AF1</f>
        <v>0</v>
      </c>
      <c r="AN1">
        <f>data0!AG1</f>
        <v>0</v>
      </c>
    </row>
    <row r="2" spans="1:40">
      <c r="C2">
        <v>1.5</v>
      </c>
      <c r="F2" t="e">
        <f ca="1">MAX(F3:F163)</f>
        <v>#DIV/0!</v>
      </c>
      <c r="I2">
        <f>SUM(data0!B2:B162)</f>
        <v>376.55678507685661</v>
      </c>
      <c r="J2">
        <f>SUM(data0!C2:C162)</f>
        <v>626.6178383231163</v>
      </c>
      <c r="K2">
        <f>SUM(data0!D2:D162)</f>
        <v>1296.214915394783</v>
      </c>
      <c r="L2">
        <f>SUM(data0!E2:E162)</f>
        <v>12873.260092198849</v>
      </c>
      <c r="M2">
        <f>SUM(data0!F2:F162)</f>
        <v>11953.113553196192</v>
      </c>
      <c r="N2">
        <f>SUM(data0!G2:G162)</f>
        <v>19516.971867263317</v>
      </c>
      <c r="O2">
        <f>SUM(data0!H2:H162)</f>
        <v>20665.201450824738</v>
      </c>
      <c r="P2">
        <f>SUM(data0!I2:I162)</f>
        <v>20651.526199489832</v>
      </c>
      <c r="Q2">
        <f>SUM(data0!J2:J162)</f>
        <v>20547.008620798588</v>
      </c>
      <c r="R2">
        <f>SUM(data0!K2:K162)</f>
        <v>20473.260057359934</v>
      </c>
      <c r="S2">
        <f>SUM(data0!L2:L162)</f>
        <v>20612.454107791185</v>
      </c>
      <c r="T2">
        <f>SUM(data0!M2:M162)</f>
        <v>20504.51764112711</v>
      </c>
      <c r="U2">
        <f>SUM(data0!N2:N162)</f>
        <v>20623.199148714542</v>
      </c>
      <c r="V2">
        <f>SUM(data0!O2:O162)</f>
        <v>20346.764418751001</v>
      </c>
      <c r="W2">
        <f>SUM(data0!P2:P162)</f>
        <v>20177.289341986179</v>
      </c>
      <c r="X2">
        <f>SUM(data0!Q2:Q162)</f>
        <v>19705.006149679422</v>
      </c>
      <c r="Y2">
        <f>SUM(data0!R2:R162)</f>
        <v>18725.274889290333</v>
      </c>
      <c r="Z2">
        <f>SUM(data0!S2:S162)</f>
        <v>18795.60447627306</v>
      </c>
      <c r="AA2">
        <f>SUM(data0!T2:T162)</f>
        <v>18752.136810094118</v>
      </c>
      <c r="AB2">
        <f>SUM(data0!U2:U162)</f>
        <v>18040.048945426941</v>
      </c>
      <c r="AC2">
        <f>SUM(data0!V2:V162)</f>
        <v>17074.481078445911</v>
      </c>
      <c r="AD2">
        <f>SUM(data0!W2:W162)</f>
        <v>16173.382302373648</v>
      </c>
      <c r="AE2">
        <f>SUM(data0!X2:X162)</f>
        <v>10834.188069730997</v>
      </c>
      <c r="AF2">
        <f>SUM(data0!Y2:Y162)</f>
        <v>1213.1868280768394</v>
      </c>
      <c r="AG2">
        <f>SUM(data0!Z2:Z162)</f>
        <v>473.74848160147667</v>
      </c>
      <c r="AH2">
        <f>SUM(data0!AA2:AA162)</f>
        <v>0</v>
      </c>
      <c r="AI2">
        <f>SUM(data0!AB2:AB162)</f>
        <v>0</v>
      </c>
      <c r="AJ2">
        <f>SUM(data0!AC2:AC162)</f>
        <v>0</v>
      </c>
      <c r="AK2">
        <f>SUM(data0!AD2:AD162)</f>
        <v>0</v>
      </c>
      <c r="AL2">
        <f>SUM(data0!AE2:AE162)</f>
        <v>0</v>
      </c>
      <c r="AM2">
        <f>SUM(data0!AF2:AF162)</f>
        <v>0</v>
      </c>
      <c r="AN2">
        <f>SUM(data0!AG2:AG162)</f>
        <v>0</v>
      </c>
    </row>
    <row r="3" spans="1:40">
      <c r="A3">
        <f>data0!A2</f>
        <v>300</v>
      </c>
      <c r="B3" t="e">
        <f ca="1">C3-C$2*G3/F$2</f>
        <v>#DIV/0!</v>
      </c>
      <c r="C3" t="e">
        <f ca="1">F3/F$2</f>
        <v>#DIV/0!</v>
      </c>
      <c r="D3" t="e">
        <f ca="1">C3+C$2*G3/F$2</f>
        <v>#DIV/0!</v>
      </c>
      <c r="F3" t="e">
        <f ca="1">AVERAGE(I3:AN3)</f>
        <v>#DIV/0!</v>
      </c>
      <c r="G3" t="e">
        <f ca="1">STDEV(I3:AN3)</f>
        <v>#DIV/0!</v>
      </c>
      <c r="I3">
        <f ca="1">data0!B2/Calculations!I$2/Cal!$G2</f>
        <v>2.5940336674171935E-2</v>
      </c>
      <c r="J3">
        <f ca="1">data0!C2/Calculations!J$2/Cal!$G2</f>
        <v>1.558846426711615E-2</v>
      </c>
      <c r="K3">
        <f ca="1">data0!D2/Calculations!K$2/Cal!$G2</f>
        <v>1.1303692618223662E-2</v>
      </c>
      <c r="L3">
        <f ca="1">data0!E2/Calculations!L$2/Cal!$G2</f>
        <v>3.4145232668039045E-3</v>
      </c>
      <c r="M3">
        <f ca="1">data0!F2/Calculations!M$2/Cal!$G2</f>
        <v>1.2257906616190018E-3</v>
      </c>
      <c r="N3">
        <f ca="1">data0!G2/Calculations!N$2/Cal!$G2</f>
        <v>8.0078076441534689E-3</v>
      </c>
      <c r="O3">
        <f ca="1">data0!H2/Calculations!O$2/Cal!$G2</f>
        <v>4.9631311957743125E-3</v>
      </c>
      <c r="P3">
        <f ca="1">data0!I2/Calculations!P$2/Cal!$G2</f>
        <v>1.5608740927464863E-2</v>
      </c>
      <c r="Q3">
        <f ca="1">data0!J2/Calculations!Q$2/Cal!$G2</f>
        <v>3.3277870433993692E-3</v>
      </c>
      <c r="R3">
        <f ca="1">data0!K2/Calculations!R$2/Cal!$G2</f>
        <v>4.7711061914274667E-4</v>
      </c>
      <c r="S3">
        <f ca="1">data0!L2/Calculations!S$2/Cal!$G2</f>
        <v>4.7388873400306606E-4</v>
      </c>
      <c r="T3">
        <f ca="1">data0!M2/Calculations!T$2/Cal!$G2</f>
        <v>3.5728747656497994E-3</v>
      </c>
      <c r="U3">
        <f ca="1">data0!N2/Calculations!U$2/Cal!$G2</f>
        <v>6.8678065759521676E-3</v>
      </c>
      <c r="V3">
        <f ca="1">data0!O2/Calculations!V$2/Cal!$G2</f>
        <v>3.8406144901684878E-3</v>
      </c>
      <c r="W3">
        <f ca="1">data0!P2/Calculations!W$2/Cal!$G2</f>
        <v>4.8410911972757262E-4</v>
      </c>
      <c r="X3">
        <f ca="1">data0!Q2/Calculations!X$2/Cal!$G2</f>
        <v>4.7092650515751042E-3</v>
      </c>
      <c r="Y3">
        <f ca="1">data0!R2/Calculations!Y$2/Cal!$G2</f>
        <v>1.5649452472560966E-3</v>
      </c>
      <c r="Z3">
        <f ca="1">data0!S2/Calculations!Z$2/Cal!$G2</f>
        <v>1.2212867412304084E-2</v>
      </c>
      <c r="AA3">
        <f ca="1">data0!T2/Calculations!AA$2/Cal!$G2</f>
        <v>7.813517530915389E-4</v>
      </c>
      <c r="AB3">
        <f ca="1">data0!U2/Calculations!AB$2/Cal!$G2</f>
        <v>5.4146248778962449E-4</v>
      </c>
      <c r="AC3">
        <f ca="1">data0!V2/Calculations!AC$2/Cal!$G2</f>
        <v>1.1441647610794072E-3</v>
      </c>
      <c r="AD3">
        <f ca="1">data0!W2/Calculations!AD$2/Cal!$G2</f>
        <v>3.3217575820450049E-3</v>
      </c>
      <c r="AE3">
        <f ca="1">data0!X2/Calculations!AE$2/Cal!$G2</f>
        <v>6.3111392038634239E-3</v>
      </c>
      <c r="AF3">
        <f ca="1">data0!Y2/Calculations!AF$2/Cal!$G2</f>
        <v>8.0515297032377493E-3</v>
      </c>
      <c r="AG3">
        <f ca="1">data0!Z2/Calculations!AG$2/Cal!$G2</f>
        <v>2.0618556388439124E-2</v>
      </c>
      <c r="AH3" t="e">
        <f ca="1">data0!AA2/Calculations!AH$2/Cal!$G2</f>
        <v>#DIV/0!</v>
      </c>
      <c r="AI3" t="e">
        <f ca="1">data0!AB2/Calculations!AI$2/Cal!$G2</f>
        <v>#DIV/0!</v>
      </c>
      <c r="AJ3" t="e">
        <f ca="1">data0!AC2/Calculations!AJ$2/Cal!$G2</f>
        <v>#DIV/0!</v>
      </c>
      <c r="AK3" t="e">
        <f ca="1">data0!AD2/Calculations!AK$2/Cal!$G2</f>
        <v>#DIV/0!</v>
      </c>
      <c r="AL3" t="e">
        <f ca="1">data0!AE2/Calculations!AL$2/Cal!$G2</f>
        <v>#DIV/0!</v>
      </c>
      <c r="AM3" t="e">
        <f ca="1">data0!AF2/Calculations!AM$2/Cal!$G2</f>
        <v>#DIV/0!</v>
      </c>
      <c r="AN3" t="e">
        <f ca="1">data0!AG2/Calculations!AN$2/Cal!$G2</f>
        <v>#DIV/0!</v>
      </c>
    </row>
    <row r="4" spans="1:40">
      <c r="A4">
        <f>data0!A3</f>
        <v>305</v>
      </c>
      <c r="B4" t="e">
        <f t="shared" ref="B4:B67" ca="1" si="0">C4-C$2*G4/F$2</f>
        <v>#DIV/0!</v>
      </c>
      <c r="C4" t="e">
        <f t="shared" ref="C4:C67" ca="1" si="1">F4/F$2</f>
        <v>#DIV/0!</v>
      </c>
      <c r="D4" t="e">
        <f t="shared" ref="D4:D67" ca="1" si="2">C4+C$2*G4/F$2</f>
        <v>#DIV/0!</v>
      </c>
      <c r="F4" t="e">
        <f t="shared" ref="F4:F67" ca="1" si="3">AVERAGE(I4:AN4)</f>
        <v>#DIV/0!</v>
      </c>
      <c r="G4" t="e">
        <f t="shared" ref="G4:G67" ca="1" si="4">STDEV(I4:AN4)</f>
        <v>#DIV/0!</v>
      </c>
      <c r="I4">
        <f ca="1">data0!B3/Calculations!I$2/Cal!$G3</f>
        <v>2.5940336674171935E-2</v>
      </c>
      <c r="J4">
        <f ca="1">data0!C3/Calculations!J$2/Cal!$G3</f>
        <v>1.558846426711615E-2</v>
      </c>
      <c r="K4">
        <f ca="1">data0!D3/Calculations!K$2/Cal!$G3</f>
        <v>3.7678974627685328E-3</v>
      </c>
      <c r="L4">
        <f ca="1">data0!E3/Calculations!L$2/Cal!$G3</f>
        <v>7.5878291216665802E-4</v>
      </c>
      <c r="M4">
        <f ca="1">data0!F3/Calculations!M$2/Cal!$G3</f>
        <v>8.1719375779087738E-4</v>
      </c>
      <c r="N4">
        <f ca="1">data0!G3/Calculations!N$2/Cal!$G3</f>
        <v>5.004879777595918E-4</v>
      </c>
      <c r="O4">
        <f ca="1">data0!H3/Calculations!O$2/Cal!$G3</f>
        <v>4.7267914639407627E-4</v>
      </c>
      <c r="P4">
        <f ca="1">data0!I3/Calculations!P$2/Cal!$G3</f>
        <v>4.7299215019172618E-4</v>
      </c>
      <c r="Q4">
        <f ca="1">data0!J3/Calculations!Q$2/Cal!$G3</f>
        <v>4.7539814491292192E-4</v>
      </c>
      <c r="R4">
        <f ca="1">data0!K3/Calculations!R$2/Cal!$G3</f>
        <v>4.7711061914274667E-4</v>
      </c>
      <c r="S4">
        <f ca="1">data0!L3/Calculations!S$2/Cal!$G3</f>
        <v>4.7388873400306606E-4</v>
      </c>
      <c r="T4">
        <f ca="1">data0!M3/Calculations!T$2/Cal!$G3</f>
        <v>4.7638330014870448E-4</v>
      </c>
      <c r="U4">
        <f ca="1">data0!N3/Calculations!U$2/Cal!$G3</f>
        <v>4.7364182983445177E-4</v>
      </c>
      <c r="V4">
        <f ca="1">data0!O3/Calculations!V$2/Cal!$G3</f>
        <v>4.8007681127106098E-4</v>
      </c>
      <c r="W4">
        <f ca="1">data0!P3/Calculations!W$2/Cal!$G3</f>
        <v>4.8410911972757262E-4</v>
      </c>
      <c r="X4">
        <f ca="1">data0!Q3/Calculations!X$2/Cal!$G3</f>
        <v>4.9571208999578907E-4</v>
      </c>
      <c r="Y4">
        <f ca="1">data0!R3/Calculations!Y$2/Cal!$G3</f>
        <v>5.2164840514165936E-4</v>
      </c>
      <c r="Z4">
        <f ca="1">data0!S3/Calculations!Z$2/Cal!$G3</f>
        <v>5.196964957508161E-4</v>
      </c>
      <c r="AA4">
        <f ca="1">data0!T3/Calculations!AA$2/Cal!$G3</f>
        <v>5.2090115813251884E-4</v>
      </c>
      <c r="AB4">
        <f ca="1">data0!U3/Calculations!AB$2/Cal!$G3</f>
        <v>5.4146248778962449E-4</v>
      </c>
      <c r="AC4">
        <f ca="1">data0!V3/Calculations!AC$2/Cal!$G3</f>
        <v>5.7208238053970361E-4</v>
      </c>
      <c r="AD4">
        <f ca="1">data0!W3/Calculations!AD$2/Cal!$G3</f>
        <v>6.0395590725657205E-4</v>
      </c>
      <c r="AE4">
        <f ca="1">data0!X3/Calculations!AE$2/Cal!$G3</f>
        <v>4.5079565348914944E-4</v>
      </c>
      <c r="AF4">
        <f ca="1">data0!Y3/Calculations!AF$2/Cal!$G3</f>
        <v>4.0257648516188746E-3</v>
      </c>
      <c r="AG4">
        <f ca="1">data0!Z3/Calculations!AG$2/Cal!$G3</f>
        <v>1.0309278194219562E-2</v>
      </c>
      <c r="AH4" t="e">
        <f ca="1">data0!AA3/Calculations!AH$2/Cal!$G3</f>
        <v>#DIV/0!</v>
      </c>
      <c r="AI4" t="e">
        <f ca="1">data0!AB3/Calculations!AI$2/Cal!$G3</f>
        <v>#DIV/0!</v>
      </c>
      <c r="AJ4" t="e">
        <f ca="1">data0!AC3/Calculations!AJ$2/Cal!$G3</f>
        <v>#DIV/0!</v>
      </c>
      <c r="AK4" t="e">
        <f ca="1">data0!AD3/Calculations!AK$2/Cal!$G3</f>
        <v>#DIV/0!</v>
      </c>
      <c r="AL4" t="e">
        <f ca="1">data0!AE3/Calculations!AL$2/Cal!$G3</f>
        <v>#DIV/0!</v>
      </c>
      <c r="AM4" t="e">
        <f ca="1">data0!AF3/Calculations!AM$2/Cal!$G3</f>
        <v>#DIV/0!</v>
      </c>
      <c r="AN4" t="e">
        <f ca="1">data0!AG3/Calculations!AN$2/Cal!$G3</f>
        <v>#DIV/0!</v>
      </c>
    </row>
    <row r="5" spans="1:40">
      <c r="A5">
        <f>data0!A4</f>
        <v>310</v>
      </c>
      <c r="B5" t="e">
        <f t="shared" ca="1" si="0"/>
        <v>#DIV/0!</v>
      </c>
      <c r="C5" t="e">
        <f t="shared" ca="1" si="1"/>
        <v>#DIV/0!</v>
      </c>
      <c r="D5" t="e">
        <f t="shared" ca="1" si="2"/>
        <v>#DIV/0!</v>
      </c>
      <c r="F5" t="e">
        <f t="shared" ca="1" si="3"/>
        <v>#DIV/0!</v>
      </c>
      <c r="G5" t="e">
        <f t="shared" ca="1" si="4"/>
        <v>#DIV/0!</v>
      </c>
      <c r="I5">
        <f ca="1">data0!B4/Calculations!I$2/Cal!$G4</f>
        <v>2.5940336674171935E-2</v>
      </c>
      <c r="J5">
        <f ca="1">data0!C4/Calculations!J$2/Cal!$G4</f>
        <v>1.558846426711615E-2</v>
      </c>
      <c r="K5">
        <f ca="1">data0!D4/Calculations!K$2/Cal!$G4</f>
        <v>3.7678974627685328E-3</v>
      </c>
      <c r="L5">
        <f ca="1">data0!E4/Calculations!L$2/Cal!$G4</f>
        <v>7.5878291216665802E-4</v>
      </c>
      <c r="M5">
        <f ca="1">data0!F4/Calculations!M$2/Cal!$G4</f>
        <v>8.1719375779087738E-4</v>
      </c>
      <c r="N5">
        <f ca="1">data0!G4/Calculations!N$2/Cal!$G4</f>
        <v>5.004879777595918E-4</v>
      </c>
      <c r="O5">
        <f ca="1">data0!H4/Calculations!O$2/Cal!$G4</f>
        <v>4.7267914639407627E-4</v>
      </c>
      <c r="P5">
        <f ca="1">data0!I4/Calculations!P$2/Cal!$G4</f>
        <v>4.7299215019172618E-4</v>
      </c>
      <c r="Q5">
        <f ca="1">data0!J4/Calculations!Q$2/Cal!$G4</f>
        <v>4.7539814491292192E-4</v>
      </c>
      <c r="R5">
        <f ca="1">data0!K4/Calculations!R$2/Cal!$G4</f>
        <v>4.7711061914274667E-4</v>
      </c>
      <c r="S5">
        <f ca="1">data0!L4/Calculations!S$2/Cal!$G4</f>
        <v>4.7388873400306606E-4</v>
      </c>
      <c r="T5">
        <f ca="1">data0!M4/Calculations!T$2/Cal!$G4</f>
        <v>4.7638330014870448E-4</v>
      </c>
      <c r="U5">
        <f ca="1">data0!N4/Calculations!U$2/Cal!$G4</f>
        <v>4.7364182983445177E-4</v>
      </c>
      <c r="V5">
        <f ca="1">data0!O4/Calculations!V$2/Cal!$G4</f>
        <v>4.8007681127106098E-4</v>
      </c>
      <c r="W5">
        <f ca="1">data0!P4/Calculations!W$2/Cal!$G4</f>
        <v>4.8410911972757262E-4</v>
      </c>
      <c r="X5">
        <f ca="1">data0!Q4/Calculations!X$2/Cal!$G4</f>
        <v>4.9571208999578907E-4</v>
      </c>
      <c r="Y5">
        <f ca="1">data0!R4/Calculations!Y$2/Cal!$G4</f>
        <v>5.2164840514165936E-4</v>
      </c>
      <c r="Z5">
        <f ca="1">data0!S4/Calculations!Z$2/Cal!$G4</f>
        <v>5.196964957508161E-4</v>
      </c>
      <c r="AA5">
        <f ca="1">data0!T4/Calculations!AA$2/Cal!$G4</f>
        <v>5.2090115813251884E-4</v>
      </c>
      <c r="AB5">
        <f ca="1">data0!U4/Calculations!AB$2/Cal!$G4</f>
        <v>5.4146248778962449E-4</v>
      </c>
      <c r="AC5">
        <f ca="1">data0!V4/Calculations!AC$2/Cal!$G4</f>
        <v>5.7208238053970361E-4</v>
      </c>
      <c r="AD5">
        <f ca="1">data0!W4/Calculations!AD$2/Cal!$G4</f>
        <v>6.0395590725657205E-4</v>
      </c>
      <c r="AE5">
        <f ca="1">data0!X4/Calculations!AE$2/Cal!$G4</f>
        <v>4.5079565348914944E-4</v>
      </c>
      <c r="AF5">
        <f ca="1">data0!Y4/Calculations!AF$2/Cal!$G4</f>
        <v>4.0257648516188746E-3</v>
      </c>
      <c r="AG5">
        <f ca="1">data0!Z4/Calculations!AG$2/Cal!$G4</f>
        <v>1.0309278194219562E-2</v>
      </c>
      <c r="AH5" t="e">
        <f ca="1">data0!AA4/Calculations!AH$2/Cal!$G4</f>
        <v>#DIV/0!</v>
      </c>
      <c r="AI5" t="e">
        <f ca="1">data0!AB4/Calculations!AI$2/Cal!$G4</f>
        <v>#DIV/0!</v>
      </c>
      <c r="AJ5" t="e">
        <f ca="1">data0!AC4/Calculations!AJ$2/Cal!$G4</f>
        <v>#DIV/0!</v>
      </c>
      <c r="AK5" t="e">
        <f ca="1">data0!AD4/Calculations!AK$2/Cal!$G4</f>
        <v>#DIV/0!</v>
      </c>
      <c r="AL5" t="e">
        <f ca="1">data0!AE4/Calculations!AL$2/Cal!$G4</f>
        <v>#DIV/0!</v>
      </c>
      <c r="AM5" t="e">
        <f ca="1">data0!AF4/Calculations!AM$2/Cal!$G4</f>
        <v>#DIV/0!</v>
      </c>
      <c r="AN5" t="e">
        <f ca="1">data0!AG4/Calculations!AN$2/Cal!$G4</f>
        <v>#DIV/0!</v>
      </c>
    </row>
    <row r="6" spans="1:40">
      <c r="A6">
        <f>data0!A5</f>
        <v>315</v>
      </c>
      <c r="B6" t="e">
        <f t="shared" ca="1" si="0"/>
        <v>#DIV/0!</v>
      </c>
      <c r="C6" t="e">
        <f t="shared" ca="1" si="1"/>
        <v>#DIV/0!</v>
      </c>
      <c r="D6" t="e">
        <f t="shared" ca="1" si="2"/>
        <v>#DIV/0!</v>
      </c>
      <c r="F6" t="e">
        <f t="shared" ca="1" si="3"/>
        <v>#DIV/0!</v>
      </c>
      <c r="G6" t="e">
        <f t="shared" ca="1" si="4"/>
        <v>#DIV/0!</v>
      </c>
      <c r="I6">
        <f ca="1">data0!B5/Calculations!I$2/Cal!$G5</f>
        <v>2.5940336674171935E-2</v>
      </c>
      <c r="J6">
        <f ca="1">data0!C5/Calculations!J$2/Cal!$G5</f>
        <v>1.558846426711615E-2</v>
      </c>
      <c r="K6">
        <f ca="1">data0!D5/Calculations!K$2/Cal!$G5</f>
        <v>3.7678974627685328E-3</v>
      </c>
      <c r="L6">
        <f ca="1">data0!E5/Calculations!L$2/Cal!$G5</f>
        <v>7.5878291216665802E-4</v>
      </c>
      <c r="M6">
        <f ca="1">data0!F5/Calculations!M$2/Cal!$G5</f>
        <v>8.1719375779087738E-4</v>
      </c>
      <c r="N6">
        <f ca="1">data0!G5/Calculations!N$2/Cal!$G5</f>
        <v>5.004879777595918E-4</v>
      </c>
      <c r="O6">
        <f ca="1">data0!H5/Calculations!O$2/Cal!$G5</f>
        <v>4.7267914639407627E-4</v>
      </c>
      <c r="P6">
        <f ca="1">data0!I5/Calculations!P$2/Cal!$G5</f>
        <v>4.7299215019172618E-4</v>
      </c>
      <c r="Q6">
        <f ca="1">data0!J5/Calculations!Q$2/Cal!$G5</f>
        <v>4.7539814491292192E-4</v>
      </c>
      <c r="R6">
        <f ca="1">data0!K5/Calculations!R$2/Cal!$G5</f>
        <v>4.7711061914274667E-4</v>
      </c>
      <c r="S6">
        <f ca="1">data0!L5/Calculations!S$2/Cal!$G5</f>
        <v>4.7388873400306606E-4</v>
      </c>
      <c r="T6">
        <f ca="1">data0!M5/Calculations!T$2/Cal!$G5</f>
        <v>4.7638330014870448E-4</v>
      </c>
      <c r="U6">
        <f ca="1">data0!N5/Calculations!U$2/Cal!$G5</f>
        <v>4.7364182983445177E-4</v>
      </c>
      <c r="V6">
        <f ca="1">data0!O5/Calculations!V$2/Cal!$G5</f>
        <v>4.8007681127106098E-4</v>
      </c>
      <c r="W6">
        <f ca="1">data0!P5/Calculations!W$2/Cal!$G5</f>
        <v>4.8410911972757262E-4</v>
      </c>
      <c r="X6">
        <f ca="1">data0!Q5/Calculations!X$2/Cal!$G5</f>
        <v>4.9571208999578907E-4</v>
      </c>
      <c r="Y6">
        <f ca="1">data0!R5/Calculations!Y$2/Cal!$G5</f>
        <v>5.2164840514165936E-4</v>
      </c>
      <c r="Z6">
        <f ca="1">data0!S5/Calculations!Z$2/Cal!$G5</f>
        <v>5.196964957508161E-4</v>
      </c>
      <c r="AA6">
        <f ca="1">data0!T5/Calculations!AA$2/Cal!$G5</f>
        <v>5.2090115813251884E-4</v>
      </c>
      <c r="AB6">
        <f ca="1">data0!U5/Calculations!AB$2/Cal!$G5</f>
        <v>5.4146248778962449E-4</v>
      </c>
      <c r="AC6">
        <f ca="1">data0!V5/Calculations!AC$2/Cal!$G5</f>
        <v>5.7208238053970361E-4</v>
      </c>
      <c r="AD6">
        <f ca="1">data0!W5/Calculations!AD$2/Cal!$G5</f>
        <v>6.0395590725657205E-4</v>
      </c>
      <c r="AE6">
        <f ca="1">data0!X5/Calculations!AE$2/Cal!$G5</f>
        <v>4.5079565348914944E-4</v>
      </c>
      <c r="AF6">
        <f ca="1">data0!Y5/Calculations!AF$2/Cal!$G5</f>
        <v>4.0257648516188746E-3</v>
      </c>
      <c r="AG6">
        <f ca="1">data0!Z5/Calculations!AG$2/Cal!$G5</f>
        <v>1.0309278194219562E-2</v>
      </c>
      <c r="AH6" t="e">
        <f ca="1">data0!AA5/Calculations!AH$2/Cal!$G5</f>
        <v>#DIV/0!</v>
      </c>
      <c r="AI6" t="e">
        <f ca="1">data0!AB5/Calculations!AI$2/Cal!$G5</f>
        <v>#DIV/0!</v>
      </c>
      <c r="AJ6" t="e">
        <f ca="1">data0!AC5/Calculations!AJ$2/Cal!$G5</f>
        <v>#DIV/0!</v>
      </c>
      <c r="AK6" t="e">
        <f ca="1">data0!AD5/Calculations!AK$2/Cal!$G5</f>
        <v>#DIV/0!</v>
      </c>
      <c r="AL6" t="e">
        <f ca="1">data0!AE5/Calculations!AL$2/Cal!$G5</f>
        <v>#DIV/0!</v>
      </c>
      <c r="AM6" t="e">
        <f ca="1">data0!AF5/Calculations!AM$2/Cal!$G5</f>
        <v>#DIV/0!</v>
      </c>
      <c r="AN6" t="e">
        <f ca="1">data0!AG5/Calculations!AN$2/Cal!$G5</f>
        <v>#DIV/0!</v>
      </c>
    </row>
    <row r="7" spans="1:40">
      <c r="A7">
        <f>data0!A6</f>
        <v>320</v>
      </c>
      <c r="B7" t="e">
        <f t="shared" ca="1" si="0"/>
        <v>#DIV/0!</v>
      </c>
      <c r="C7" t="e">
        <f t="shared" ca="1" si="1"/>
        <v>#DIV/0!</v>
      </c>
      <c r="D7" t="e">
        <f t="shared" ca="1" si="2"/>
        <v>#DIV/0!</v>
      </c>
      <c r="F7" t="e">
        <f t="shared" ca="1" si="3"/>
        <v>#DIV/0!</v>
      </c>
      <c r="G7" t="e">
        <f t="shared" ca="1" si="4"/>
        <v>#DIV/0!</v>
      </c>
      <c r="I7">
        <f ca="1">data0!B6/Calculations!I$2/Cal!$G6</f>
        <v>2.5940336674171935E-2</v>
      </c>
      <c r="J7">
        <f ca="1">data0!C6/Calculations!J$2/Cal!$G6</f>
        <v>1.558846426711615E-2</v>
      </c>
      <c r="K7">
        <f ca="1">data0!D6/Calculations!K$2/Cal!$G6</f>
        <v>3.7678974627685328E-3</v>
      </c>
      <c r="L7">
        <f ca="1">data0!E6/Calculations!L$2/Cal!$G6</f>
        <v>7.5878291216665802E-4</v>
      </c>
      <c r="M7">
        <f ca="1">data0!F6/Calculations!M$2/Cal!$G6</f>
        <v>8.1719375779087738E-4</v>
      </c>
      <c r="N7">
        <f ca="1">data0!G6/Calculations!N$2/Cal!$G6</f>
        <v>7.5073198190933979E-4</v>
      </c>
      <c r="O7">
        <f ca="1">data0!H6/Calculations!O$2/Cal!$G6</f>
        <v>7.090187340126154E-4</v>
      </c>
      <c r="P7">
        <f ca="1">data0!I6/Calculations!P$2/Cal!$G6</f>
        <v>7.094882397186401E-4</v>
      </c>
      <c r="Q7">
        <f ca="1">data0!J6/Calculations!Q$2/Cal!$G6</f>
        <v>7.1309723187384087E-4</v>
      </c>
      <c r="R7">
        <f ca="1">data0!K6/Calculations!R$2/Cal!$G6</f>
        <v>7.156659432708258E-4</v>
      </c>
      <c r="S7">
        <f ca="1">data0!L6/Calculations!S$2/Cal!$G6</f>
        <v>7.1083311546300473E-4</v>
      </c>
      <c r="T7">
        <f ca="1">data0!M6/Calculations!T$2/Cal!$G6</f>
        <v>4.7638330014870448E-4</v>
      </c>
      <c r="U7">
        <f ca="1">data0!N6/Calculations!U$2/Cal!$G6</f>
        <v>4.7364182983445177E-4</v>
      </c>
      <c r="V7">
        <f ca="1">data0!O6/Calculations!V$2/Cal!$G6</f>
        <v>4.8007681127106098E-4</v>
      </c>
      <c r="W7">
        <f ca="1">data0!P6/Calculations!W$2/Cal!$G6</f>
        <v>4.8410911972757262E-4</v>
      </c>
      <c r="X7">
        <f ca="1">data0!Q6/Calculations!X$2/Cal!$G6</f>
        <v>4.9571208999578907E-4</v>
      </c>
      <c r="Y7">
        <f ca="1">data0!R6/Calculations!Y$2/Cal!$G6</f>
        <v>5.2164840514165936E-4</v>
      </c>
      <c r="Z7">
        <f ca="1">data0!S6/Calculations!Z$2/Cal!$G6</f>
        <v>5.196964957508161E-4</v>
      </c>
      <c r="AA7">
        <f ca="1">data0!T6/Calculations!AA$2/Cal!$G6</f>
        <v>5.2090115813251884E-4</v>
      </c>
      <c r="AB7">
        <f ca="1">data0!U6/Calculations!AB$2/Cal!$G6</f>
        <v>5.4146248778962449E-4</v>
      </c>
      <c r="AC7">
        <f ca="1">data0!V6/Calculations!AC$2/Cal!$G6</f>
        <v>5.7208238053970361E-4</v>
      </c>
      <c r="AD7">
        <f ca="1">data0!W6/Calculations!AD$2/Cal!$G6</f>
        <v>6.0395590725657205E-4</v>
      </c>
      <c r="AE7">
        <f ca="1">data0!X6/Calculations!AE$2/Cal!$G6</f>
        <v>9.0159130697829888E-4</v>
      </c>
      <c r="AF7">
        <f ca="1">data0!Y6/Calculations!AF$2/Cal!$G6</f>
        <v>4.0257648516188746E-3</v>
      </c>
      <c r="AG7">
        <f ca="1">data0!Z6/Calculations!AG$2/Cal!$G6</f>
        <v>1.0309278194219562E-2</v>
      </c>
      <c r="AH7" t="e">
        <f ca="1">data0!AA6/Calculations!AH$2/Cal!$G6</f>
        <v>#DIV/0!</v>
      </c>
      <c r="AI7" t="e">
        <f ca="1">data0!AB6/Calculations!AI$2/Cal!$G6</f>
        <v>#DIV/0!</v>
      </c>
      <c r="AJ7" t="e">
        <f ca="1">data0!AC6/Calculations!AJ$2/Cal!$G6</f>
        <v>#DIV/0!</v>
      </c>
      <c r="AK7" t="e">
        <f ca="1">data0!AD6/Calculations!AK$2/Cal!$G6</f>
        <v>#DIV/0!</v>
      </c>
      <c r="AL7" t="e">
        <f ca="1">data0!AE6/Calculations!AL$2/Cal!$G6</f>
        <v>#DIV/0!</v>
      </c>
      <c r="AM7" t="e">
        <f ca="1">data0!AF6/Calculations!AM$2/Cal!$G6</f>
        <v>#DIV/0!</v>
      </c>
      <c r="AN7" t="e">
        <f ca="1">data0!AG6/Calculations!AN$2/Cal!$G6</f>
        <v>#DIV/0!</v>
      </c>
    </row>
    <row r="8" spans="1:40">
      <c r="A8">
        <f>data0!A7</f>
        <v>325</v>
      </c>
      <c r="B8" t="e">
        <f t="shared" ca="1" si="0"/>
        <v>#DIV/0!</v>
      </c>
      <c r="C8" t="e">
        <f t="shared" ca="1" si="1"/>
        <v>#DIV/0!</v>
      </c>
      <c r="D8" t="e">
        <f t="shared" ca="1" si="2"/>
        <v>#DIV/0!</v>
      </c>
      <c r="F8" t="e">
        <f t="shared" ca="1" si="3"/>
        <v>#DIV/0!</v>
      </c>
      <c r="G8" t="e">
        <f t="shared" ca="1" si="4"/>
        <v>#DIV/0!</v>
      </c>
      <c r="I8">
        <f ca="1">data0!B7/Calculations!I$2/Cal!$G7</f>
        <v>2.5940336674171935E-2</v>
      </c>
      <c r="J8">
        <f ca="1">data0!C7/Calculations!J$2/Cal!$G7</f>
        <v>1.558846426711615E-2</v>
      </c>
      <c r="K8">
        <f ca="1">data0!D7/Calculations!K$2/Cal!$G7</f>
        <v>7.5357949255370656E-3</v>
      </c>
      <c r="L8">
        <f ca="1">data0!E7/Calculations!L$2/Cal!$G7</f>
        <v>7.5878291216665802E-4</v>
      </c>
      <c r="M8">
        <f ca="1">data0!F7/Calculations!M$2/Cal!$G7</f>
        <v>8.1719375779087738E-4</v>
      </c>
      <c r="N8">
        <f ca="1">data0!G7/Calculations!N$2/Cal!$G7</f>
        <v>7.5073198190933979E-4</v>
      </c>
      <c r="O8">
        <f ca="1">data0!H7/Calculations!O$2/Cal!$G7</f>
        <v>7.090187340126154E-4</v>
      </c>
      <c r="P8">
        <f ca="1">data0!I7/Calculations!P$2/Cal!$G7</f>
        <v>7.094882397186401E-4</v>
      </c>
      <c r="Q8">
        <f ca="1">data0!J7/Calculations!Q$2/Cal!$G7</f>
        <v>7.1309723187384087E-4</v>
      </c>
      <c r="R8">
        <f ca="1">data0!K7/Calculations!R$2/Cal!$G7</f>
        <v>7.156659432708258E-4</v>
      </c>
      <c r="S8">
        <f ca="1">data0!L7/Calculations!S$2/Cal!$G7</f>
        <v>7.1083311546300473E-4</v>
      </c>
      <c r="T8">
        <f ca="1">data0!M7/Calculations!T$2/Cal!$G7</f>
        <v>7.1457496475757205E-4</v>
      </c>
      <c r="U8">
        <f ca="1">data0!N7/Calculations!U$2/Cal!$G7</f>
        <v>7.1046275920255025E-4</v>
      </c>
      <c r="V8">
        <f ca="1">data0!O7/Calculations!V$2/Cal!$G7</f>
        <v>7.2011523155379622E-4</v>
      </c>
      <c r="W8">
        <f ca="1">data0!P7/Calculations!W$2/Cal!$G7</f>
        <v>7.2616369436158997E-4</v>
      </c>
      <c r="X8">
        <f ca="1">data0!Q7/Calculations!X$2/Cal!$G7</f>
        <v>7.4356815011792266E-4</v>
      </c>
      <c r="Y8">
        <f ca="1">data0!R7/Calculations!Y$2/Cal!$G7</f>
        <v>7.8247262362804828E-4</v>
      </c>
      <c r="Z8">
        <f ca="1">data0!S7/Calculations!Z$2/Cal!$G7</f>
        <v>7.7954475948223054E-4</v>
      </c>
      <c r="AA8">
        <f ca="1">data0!T7/Calculations!AA$2/Cal!$G7</f>
        <v>5.2090115813251884E-4</v>
      </c>
      <c r="AB8">
        <f ca="1">data0!U7/Calculations!AB$2/Cal!$G7</f>
        <v>5.4146248778962449E-4</v>
      </c>
      <c r="AC8">
        <f ca="1">data0!V7/Calculations!AC$2/Cal!$G7</f>
        <v>5.7208238053970361E-4</v>
      </c>
      <c r="AD8">
        <f ca="1">data0!W7/Calculations!AD$2/Cal!$G7</f>
        <v>6.0395590725657205E-4</v>
      </c>
      <c r="AE8">
        <f ca="1">data0!X7/Calculations!AE$2/Cal!$G7</f>
        <v>9.0159130697829888E-4</v>
      </c>
      <c r="AF8">
        <f ca="1">data0!Y7/Calculations!AF$2/Cal!$G7</f>
        <v>4.0257648516188746E-3</v>
      </c>
      <c r="AG8">
        <f ca="1">data0!Z7/Calculations!AG$2/Cal!$G7</f>
        <v>1.0309278194219562E-2</v>
      </c>
      <c r="AH8" t="e">
        <f ca="1">data0!AA7/Calculations!AH$2/Cal!$G7</f>
        <v>#DIV/0!</v>
      </c>
      <c r="AI8" t="e">
        <f ca="1">data0!AB7/Calculations!AI$2/Cal!$G7</f>
        <v>#DIV/0!</v>
      </c>
      <c r="AJ8" t="e">
        <f ca="1">data0!AC7/Calculations!AJ$2/Cal!$G7</f>
        <v>#DIV/0!</v>
      </c>
      <c r="AK8" t="e">
        <f ca="1">data0!AD7/Calculations!AK$2/Cal!$G7</f>
        <v>#DIV/0!</v>
      </c>
      <c r="AL8" t="e">
        <f ca="1">data0!AE7/Calculations!AL$2/Cal!$G7</f>
        <v>#DIV/0!</v>
      </c>
      <c r="AM8" t="e">
        <f ca="1">data0!AF7/Calculations!AM$2/Cal!$G7</f>
        <v>#DIV/0!</v>
      </c>
      <c r="AN8" t="e">
        <f ca="1">data0!AG7/Calculations!AN$2/Cal!$G7</f>
        <v>#DIV/0!</v>
      </c>
    </row>
    <row r="9" spans="1:40">
      <c r="A9">
        <f>data0!A8</f>
        <v>330</v>
      </c>
      <c r="B9" t="e">
        <f t="shared" ca="1" si="0"/>
        <v>#DIV/0!</v>
      </c>
      <c r="C9" t="e">
        <f t="shared" ca="1" si="1"/>
        <v>#DIV/0!</v>
      </c>
      <c r="D9" t="e">
        <f t="shared" ca="1" si="2"/>
        <v>#DIV/0!</v>
      </c>
      <c r="F9" t="e">
        <f t="shared" ca="1" si="3"/>
        <v>#DIV/0!</v>
      </c>
      <c r="G9" t="e">
        <f t="shared" ca="1" si="4"/>
        <v>#DIV/0!</v>
      </c>
      <c r="I9">
        <f ca="1">data0!B8/Calculations!I$2/Cal!$G8</f>
        <v>2.5940336674171935E-2</v>
      </c>
      <c r="J9">
        <f ca="1">data0!C8/Calculations!J$2/Cal!$G8</f>
        <v>1.558846426711615E-2</v>
      </c>
      <c r="K9">
        <f ca="1">data0!D8/Calculations!K$2/Cal!$G8</f>
        <v>7.5357949255370656E-3</v>
      </c>
      <c r="L9">
        <f ca="1">data0!E8/Calculations!L$2/Cal!$G8</f>
        <v>7.5878291216665802E-4</v>
      </c>
      <c r="M9">
        <f ca="1">data0!F8/Calculations!M$2/Cal!$G8</f>
        <v>8.1719375779087738E-4</v>
      </c>
      <c r="N9">
        <f ca="1">data0!G8/Calculations!N$2/Cal!$G8</f>
        <v>7.5073198190933979E-4</v>
      </c>
      <c r="O9">
        <f ca="1">data0!H8/Calculations!O$2/Cal!$G8</f>
        <v>7.090187340126154E-4</v>
      </c>
      <c r="P9">
        <f ca="1">data0!I8/Calculations!P$2/Cal!$G8</f>
        <v>7.094882397186401E-4</v>
      </c>
      <c r="Q9">
        <f ca="1">data0!J8/Calculations!Q$2/Cal!$G8</f>
        <v>7.1309723187384087E-4</v>
      </c>
      <c r="R9">
        <f ca="1">data0!K8/Calculations!R$2/Cal!$G8</f>
        <v>7.156659432708258E-4</v>
      </c>
      <c r="S9">
        <f ca="1">data0!L8/Calculations!S$2/Cal!$G8</f>
        <v>7.1083311546300473E-4</v>
      </c>
      <c r="T9">
        <f ca="1">data0!M8/Calculations!T$2/Cal!$G8</f>
        <v>7.1457496475757205E-4</v>
      </c>
      <c r="U9">
        <f ca="1">data0!N8/Calculations!U$2/Cal!$G8</f>
        <v>7.1046275920255025E-4</v>
      </c>
      <c r="V9">
        <f ca="1">data0!O8/Calculations!V$2/Cal!$G8</f>
        <v>7.2011523155379622E-4</v>
      </c>
      <c r="W9">
        <f ca="1">data0!P8/Calculations!W$2/Cal!$G8</f>
        <v>7.2616369436158997E-4</v>
      </c>
      <c r="X9">
        <f ca="1">data0!Q8/Calculations!X$2/Cal!$G8</f>
        <v>7.4356815011792266E-4</v>
      </c>
      <c r="Y9">
        <f ca="1">data0!R8/Calculations!Y$2/Cal!$G8</f>
        <v>7.8247262362804828E-4</v>
      </c>
      <c r="Z9">
        <f ca="1">data0!S8/Calculations!Z$2/Cal!$G8</f>
        <v>7.7954475948223054E-4</v>
      </c>
      <c r="AA9">
        <f ca="1">data0!T8/Calculations!AA$2/Cal!$G8</f>
        <v>7.813517530915389E-4</v>
      </c>
      <c r="AB9">
        <f ca="1">data0!U8/Calculations!AB$2/Cal!$G8</f>
        <v>8.1219374820452623E-4</v>
      </c>
      <c r="AC9">
        <f ca="1">data0!V8/Calculations!AC$2/Cal!$G8</f>
        <v>5.7208238053970361E-4</v>
      </c>
      <c r="AD9">
        <f ca="1">data0!W8/Calculations!AD$2/Cal!$G8</f>
        <v>6.0395590725657205E-4</v>
      </c>
      <c r="AE9">
        <f ca="1">data0!X8/Calculations!AE$2/Cal!$G8</f>
        <v>9.0159130697829888E-4</v>
      </c>
      <c r="AF9">
        <f ca="1">data0!Y8/Calculations!AF$2/Cal!$G8</f>
        <v>4.0257648516188746E-3</v>
      </c>
      <c r="AG9">
        <f ca="1">data0!Z8/Calculations!AG$2/Cal!$G8</f>
        <v>1.0309278194219562E-2</v>
      </c>
      <c r="AH9" t="e">
        <f ca="1">data0!AA8/Calculations!AH$2/Cal!$G8</f>
        <v>#DIV/0!</v>
      </c>
      <c r="AI9" t="e">
        <f ca="1">data0!AB8/Calculations!AI$2/Cal!$G8</f>
        <v>#DIV/0!</v>
      </c>
      <c r="AJ9" t="e">
        <f ca="1">data0!AC8/Calculations!AJ$2/Cal!$G8</f>
        <v>#DIV/0!</v>
      </c>
      <c r="AK9" t="e">
        <f ca="1">data0!AD8/Calculations!AK$2/Cal!$G8</f>
        <v>#DIV/0!</v>
      </c>
      <c r="AL9" t="e">
        <f ca="1">data0!AE8/Calculations!AL$2/Cal!$G8</f>
        <v>#DIV/0!</v>
      </c>
      <c r="AM9" t="e">
        <f ca="1">data0!AF8/Calculations!AM$2/Cal!$G8</f>
        <v>#DIV/0!</v>
      </c>
      <c r="AN9" t="e">
        <f ca="1">data0!AG8/Calculations!AN$2/Cal!$G8</f>
        <v>#DIV/0!</v>
      </c>
    </row>
    <row r="10" spans="1:40">
      <c r="A10">
        <f>data0!A9</f>
        <v>335</v>
      </c>
      <c r="B10" t="e">
        <f t="shared" ca="1" si="0"/>
        <v>#DIV/0!</v>
      </c>
      <c r="C10" t="e">
        <f t="shared" ca="1" si="1"/>
        <v>#DIV/0!</v>
      </c>
      <c r="D10" t="e">
        <f t="shared" ca="1" si="2"/>
        <v>#DIV/0!</v>
      </c>
      <c r="F10" t="e">
        <f t="shared" ca="1" si="3"/>
        <v>#DIV/0!</v>
      </c>
      <c r="G10" t="e">
        <f t="shared" ca="1" si="4"/>
        <v>#DIV/0!</v>
      </c>
      <c r="I10">
        <f ca="1">data0!B9/Calculations!I$2/Cal!$G9</f>
        <v>2.5940336674171935E-2</v>
      </c>
      <c r="J10">
        <f ca="1">data0!C9/Calculations!J$2/Cal!$G9</f>
        <v>1.558846426711615E-2</v>
      </c>
      <c r="K10">
        <f ca="1">data0!D9/Calculations!K$2/Cal!$G9</f>
        <v>7.5357949255370656E-3</v>
      </c>
      <c r="L10">
        <f ca="1">data0!E9/Calculations!L$2/Cal!$G9</f>
        <v>7.5878291216665802E-4</v>
      </c>
      <c r="M10">
        <f ca="1">data0!F9/Calculations!M$2/Cal!$G9</f>
        <v>1.2257906616190018E-3</v>
      </c>
      <c r="N10">
        <f ca="1">data0!G9/Calculations!N$2/Cal!$G9</f>
        <v>7.5073198190933979E-4</v>
      </c>
      <c r="O10">
        <f ca="1">data0!H9/Calculations!O$2/Cal!$G9</f>
        <v>9.4535829278815254E-4</v>
      </c>
      <c r="P10">
        <f ca="1">data0!I9/Calculations!P$2/Cal!$G9</f>
        <v>9.4598430038345235E-4</v>
      </c>
      <c r="Q10">
        <f ca="1">data0!J9/Calculations!Q$2/Cal!$G9</f>
        <v>9.5079628982584383E-4</v>
      </c>
      <c r="R10">
        <f ca="1">data0!K9/Calculations!R$2/Cal!$G9</f>
        <v>9.5422123828549333E-4</v>
      </c>
      <c r="S10">
        <f ca="1">data0!L9/Calculations!S$2/Cal!$G9</f>
        <v>9.4777746800613213E-4</v>
      </c>
      <c r="T10">
        <f ca="1">data0!M9/Calculations!T$2/Cal!$G9</f>
        <v>9.5276660029740897E-4</v>
      </c>
      <c r="U10">
        <f ca="1">data0!N9/Calculations!U$2/Cal!$G9</f>
        <v>9.4728365966890353E-4</v>
      </c>
      <c r="V10">
        <f ca="1">data0!O9/Calculations!V$2/Cal!$G9</f>
        <v>9.6015362254212196E-4</v>
      </c>
      <c r="W10">
        <f ca="1">data0!P9/Calculations!W$2/Cal!$G9</f>
        <v>9.6821823945514524E-4</v>
      </c>
      <c r="X10">
        <f ca="1">data0!Q9/Calculations!X$2/Cal!$G9</f>
        <v>9.9142417999157815E-4</v>
      </c>
      <c r="Y10">
        <f ca="1">data0!R9/Calculations!Y$2/Cal!$G9</f>
        <v>7.8247262362804828E-4</v>
      </c>
      <c r="Z10">
        <f ca="1">data0!S9/Calculations!Z$2/Cal!$G9</f>
        <v>7.7954475948223054E-4</v>
      </c>
      <c r="AA10">
        <f ca="1">data0!T9/Calculations!AA$2/Cal!$G9</f>
        <v>7.813517530915389E-4</v>
      </c>
      <c r="AB10">
        <f ca="1">data0!U9/Calculations!AB$2/Cal!$G9</f>
        <v>8.1219374820452623E-4</v>
      </c>
      <c r="AC10">
        <f ca="1">data0!V9/Calculations!AC$2/Cal!$G9</f>
        <v>8.5812358826386169E-4</v>
      </c>
      <c r="AD10">
        <f ca="1">data0!W9/Calculations!AD$2/Cal!$G9</f>
        <v>9.0593387931162984E-4</v>
      </c>
      <c r="AE10">
        <f ca="1">data0!X9/Calculations!AE$2/Cal!$G9</f>
        <v>9.0159130697829888E-4</v>
      </c>
      <c r="AF10">
        <f ca="1">data0!Y9/Calculations!AF$2/Cal!$G9</f>
        <v>4.0257648516188746E-3</v>
      </c>
      <c r="AG10">
        <f ca="1">data0!Z9/Calculations!AG$2/Cal!$G9</f>
        <v>1.0309278194219562E-2</v>
      </c>
      <c r="AH10" t="e">
        <f ca="1">data0!AA9/Calculations!AH$2/Cal!$G9</f>
        <v>#DIV/0!</v>
      </c>
      <c r="AI10" t="e">
        <f ca="1">data0!AB9/Calculations!AI$2/Cal!$G9</f>
        <v>#DIV/0!</v>
      </c>
      <c r="AJ10" t="e">
        <f ca="1">data0!AC9/Calculations!AJ$2/Cal!$G9</f>
        <v>#DIV/0!</v>
      </c>
      <c r="AK10" t="e">
        <f ca="1">data0!AD9/Calculations!AK$2/Cal!$G9</f>
        <v>#DIV/0!</v>
      </c>
      <c r="AL10" t="e">
        <f ca="1">data0!AE9/Calculations!AL$2/Cal!$G9</f>
        <v>#DIV/0!</v>
      </c>
      <c r="AM10" t="e">
        <f ca="1">data0!AF9/Calculations!AM$2/Cal!$G9</f>
        <v>#DIV/0!</v>
      </c>
      <c r="AN10" t="e">
        <f ca="1">data0!AG9/Calculations!AN$2/Cal!$G9</f>
        <v>#DIV/0!</v>
      </c>
    </row>
    <row r="11" spans="1:40">
      <c r="A11">
        <f>data0!A10</f>
        <v>340</v>
      </c>
      <c r="B11" t="e">
        <f t="shared" ca="1" si="0"/>
        <v>#DIV/0!</v>
      </c>
      <c r="C11" t="e">
        <f t="shared" ca="1" si="1"/>
        <v>#DIV/0!</v>
      </c>
      <c r="D11" t="e">
        <f t="shared" ca="1" si="2"/>
        <v>#DIV/0!</v>
      </c>
      <c r="F11" t="e">
        <f t="shared" ca="1" si="3"/>
        <v>#DIV/0!</v>
      </c>
      <c r="G11" t="e">
        <f t="shared" ca="1" si="4"/>
        <v>#DIV/0!</v>
      </c>
      <c r="I11">
        <f ca="1">data0!B10/Calculations!I$2/Cal!$G10</f>
        <v>2.5940336674171935E-2</v>
      </c>
      <c r="J11">
        <f ca="1">data0!C10/Calculations!J$2/Cal!$G10</f>
        <v>1.558846426711615E-2</v>
      </c>
      <c r="K11">
        <f ca="1">data0!D10/Calculations!K$2/Cal!$G10</f>
        <v>7.5357949255370656E-3</v>
      </c>
      <c r="L11">
        <f ca="1">data0!E10/Calculations!L$2/Cal!$G10</f>
        <v>1.1381743914005505E-3</v>
      </c>
      <c r="M11">
        <f ca="1">data0!F10/Calculations!M$2/Cal!$G10</f>
        <v>1.2257906616190018E-3</v>
      </c>
      <c r="N11">
        <f ca="1">data0!G10/Calculations!N$2/Cal!$G10</f>
        <v>1.0009759555191836E-3</v>
      </c>
      <c r="O11">
        <f ca="1">data0!H10/Calculations!O$2/Cal!$G10</f>
        <v>9.4535829278815254E-4</v>
      </c>
      <c r="P11">
        <f ca="1">data0!I10/Calculations!P$2/Cal!$G10</f>
        <v>9.4598430038345235E-4</v>
      </c>
      <c r="Q11">
        <f ca="1">data0!J10/Calculations!Q$2/Cal!$G10</f>
        <v>9.5079628982584383E-4</v>
      </c>
      <c r="R11">
        <f ca="1">data0!K10/Calculations!R$2/Cal!$G10</f>
        <v>9.5422123828549333E-4</v>
      </c>
      <c r="S11">
        <f ca="1">data0!L10/Calculations!S$2/Cal!$G10</f>
        <v>9.4777746800613213E-4</v>
      </c>
      <c r="T11">
        <f ca="1">data0!M10/Calculations!T$2/Cal!$G10</f>
        <v>9.5276660029740897E-4</v>
      </c>
      <c r="U11">
        <f ca="1">data0!N10/Calculations!U$2/Cal!$G10</f>
        <v>9.4728365966890353E-4</v>
      </c>
      <c r="V11">
        <f ca="1">data0!O10/Calculations!V$2/Cal!$G10</f>
        <v>9.6015362254212196E-4</v>
      </c>
      <c r="W11">
        <f ca="1">data0!P10/Calculations!W$2/Cal!$G10</f>
        <v>9.6821823945514524E-4</v>
      </c>
      <c r="X11">
        <f ca="1">data0!Q10/Calculations!X$2/Cal!$G10</f>
        <v>9.9142417999157815E-4</v>
      </c>
      <c r="Y11">
        <f ca="1">data0!R10/Calculations!Y$2/Cal!$G10</f>
        <v>1.0432968102833187E-3</v>
      </c>
      <c r="Z11">
        <f ca="1">data0!S10/Calculations!Z$2/Cal!$G10</f>
        <v>1.0393929915016322E-3</v>
      </c>
      <c r="AA11">
        <f ca="1">data0!T10/Calculations!AA$2/Cal!$G10</f>
        <v>7.813517530915389E-4</v>
      </c>
      <c r="AB11">
        <f ca="1">data0!U10/Calculations!AB$2/Cal!$G10</f>
        <v>8.1219374820452623E-4</v>
      </c>
      <c r="AC11">
        <f ca="1">data0!V10/Calculations!AC$2/Cal!$G10</f>
        <v>8.5812358826386169E-4</v>
      </c>
      <c r="AD11">
        <f ca="1">data0!W10/Calculations!AD$2/Cal!$G10</f>
        <v>9.0593387931162984E-4</v>
      </c>
      <c r="AE11">
        <f ca="1">data0!X10/Calculations!AE$2/Cal!$G10</f>
        <v>9.0159130697829888E-4</v>
      </c>
      <c r="AF11">
        <f ca="1">data0!Y10/Calculations!AF$2/Cal!$G10</f>
        <v>4.0257648516188746E-3</v>
      </c>
      <c r="AG11">
        <f ca="1">data0!Z10/Calculations!AG$2/Cal!$G10</f>
        <v>1.0309278194219562E-2</v>
      </c>
      <c r="AH11" t="e">
        <f ca="1">data0!AA10/Calculations!AH$2/Cal!$G10</f>
        <v>#DIV/0!</v>
      </c>
      <c r="AI11" t="e">
        <f ca="1">data0!AB10/Calculations!AI$2/Cal!$G10</f>
        <v>#DIV/0!</v>
      </c>
      <c r="AJ11" t="e">
        <f ca="1">data0!AC10/Calculations!AJ$2/Cal!$G10</f>
        <v>#DIV/0!</v>
      </c>
      <c r="AK11" t="e">
        <f ca="1">data0!AD10/Calculations!AK$2/Cal!$G10</f>
        <v>#DIV/0!</v>
      </c>
      <c r="AL11" t="e">
        <f ca="1">data0!AE10/Calculations!AL$2/Cal!$G10</f>
        <v>#DIV/0!</v>
      </c>
      <c r="AM11" t="e">
        <f ca="1">data0!AF10/Calculations!AM$2/Cal!$G10</f>
        <v>#DIV/0!</v>
      </c>
      <c r="AN11" t="e">
        <f ca="1">data0!AG10/Calculations!AN$2/Cal!$G10</f>
        <v>#DIV/0!</v>
      </c>
    </row>
    <row r="12" spans="1:40">
      <c r="A12">
        <f>data0!A11</f>
        <v>345</v>
      </c>
      <c r="B12" t="e">
        <f t="shared" ca="1" si="0"/>
        <v>#DIV/0!</v>
      </c>
      <c r="C12" t="e">
        <f t="shared" ca="1" si="1"/>
        <v>#DIV/0!</v>
      </c>
      <c r="D12" t="e">
        <f t="shared" ca="1" si="2"/>
        <v>#DIV/0!</v>
      </c>
      <c r="F12" t="e">
        <f t="shared" ca="1" si="3"/>
        <v>#DIV/0!</v>
      </c>
      <c r="G12" t="e">
        <f t="shared" ca="1" si="4"/>
        <v>#DIV/0!</v>
      </c>
      <c r="I12">
        <f ca="1">data0!B11/Calculations!I$2/Cal!$G11</f>
        <v>2.5940336674171935E-2</v>
      </c>
      <c r="J12">
        <f ca="1">data0!C11/Calculations!J$2/Cal!$G11</f>
        <v>1.558846426711615E-2</v>
      </c>
      <c r="K12">
        <f ca="1">data0!D11/Calculations!K$2/Cal!$G11</f>
        <v>7.5357949255370656E-3</v>
      </c>
      <c r="L12">
        <f ca="1">data0!E11/Calculations!L$2/Cal!$G11</f>
        <v>1.1381743914005505E-3</v>
      </c>
      <c r="M12">
        <f ca="1">data0!F11/Calculations!M$2/Cal!$G11</f>
        <v>1.6343875155817548E-3</v>
      </c>
      <c r="N12">
        <f ca="1">data0!G11/Calculations!N$2/Cal!$G11</f>
        <v>1.0009759555191836E-3</v>
      </c>
      <c r="O12">
        <f ca="1">data0!H11/Calculations!O$2/Cal!$G11</f>
        <v>9.4535829278815254E-4</v>
      </c>
      <c r="P12">
        <f ca="1">data0!I11/Calculations!P$2/Cal!$G11</f>
        <v>1.182480418772468E-3</v>
      </c>
      <c r="Q12">
        <f ca="1">data0!J11/Calculations!Q$2/Cal!$G11</f>
        <v>1.1884954057956789E-3</v>
      </c>
      <c r="R12">
        <f ca="1">data0!K11/Calculations!R$2/Cal!$G11</f>
        <v>1.1927765915269841E-3</v>
      </c>
      <c r="S12">
        <f ca="1">data0!L11/Calculations!S$2/Cal!$G11</f>
        <v>1.1847218783828822E-3</v>
      </c>
      <c r="T12">
        <f ca="1">data0!M11/Calculations!T$2/Cal!$G11</f>
        <v>1.190958293975307E-3</v>
      </c>
      <c r="U12">
        <f ca="1">data0!N11/Calculations!U$2/Cal!$G11</f>
        <v>1.1841046179387471E-3</v>
      </c>
      <c r="V12">
        <f ca="1">data0!O11/Calculations!V$2/Cal!$G11</f>
        <v>1.2001920721192666E-3</v>
      </c>
      <c r="W12">
        <f ca="1">data0!P11/Calculations!W$2/Cal!$G11</f>
        <v>1.2102728436296246E-3</v>
      </c>
      <c r="X12">
        <f ca="1">data0!Q11/Calculations!X$2/Cal!$G11</f>
        <v>1.23928027036219E-3</v>
      </c>
      <c r="Y12">
        <f ca="1">data0!R11/Calculations!Y$2/Cal!$G11</f>
        <v>1.3041210606008263E-3</v>
      </c>
      <c r="Z12">
        <f ca="1">data0!S11/Calculations!Z$2/Cal!$G11</f>
        <v>1.0393929915016322E-3</v>
      </c>
      <c r="AA12">
        <f ca="1">data0!T11/Calculations!AA$2/Cal!$G11</f>
        <v>1.0418023162650377E-3</v>
      </c>
      <c r="AB12">
        <f ca="1">data0!U11/Calculations!AB$2/Cal!$G11</f>
        <v>1.082924975579249E-3</v>
      </c>
      <c r="AC12">
        <f ca="1">data0!V11/Calculations!AC$2/Cal!$G11</f>
        <v>1.1441647610794072E-3</v>
      </c>
      <c r="AD12">
        <f ca="1">data0!W11/Calculations!AD$2/Cal!$G11</f>
        <v>9.0593387931162984E-4</v>
      </c>
      <c r="AE12">
        <f ca="1">data0!X11/Calculations!AE$2/Cal!$G11</f>
        <v>1.352386987975114E-3</v>
      </c>
      <c r="AF12">
        <f ca="1">data0!Y11/Calculations!AF$2/Cal!$G11</f>
        <v>4.0257648516188746E-3</v>
      </c>
      <c r="AG12">
        <f ca="1">data0!Z11/Calculations!AG$2/Cal!$G11</f>
        <v>1.0309278194219562E-2</v>
      </c>
      <c r="AH12" t="e">
        <f ca="1">data0!AA11/Calculations!AH$2/Cal!$G11</f>
        <v>#DIV/0!</v>
      </c>
      <c r="AI12" t="e">
        <f ca="1">data0!AB11/Calculations!AI$2/Cal!$G11</f>
        <v>#DIV/0!</v>
      </c>
      <c r="AJ12" t="e">
        <f ca="1">data0!AC11/Calculations!AJ$2/Cal!$G11</f>
        <v>#DIV/0!</v>
      </c>
      <c r="AK12" t="e">
        <f ca="1">data0!AD11/Calculations!AK$2/Cal!$G11</f>
        <v>#DIV/0!</v>
      </c>
      <c r="AL12" t="e">
        <f ca="1">data0!AE11/Calculations!AL$2/Cal!$G11</f>
        <v>#DIV/0!</v>
      </c>
      <c r="AM12" t="e">
        <f ca="1">data0!AF11/Calculations!AM$2/Cal!$G11</f>
        <v>#DIV/0!</v>
      </c>
      <c r="AN12" t="e">
        <f ca="1">data0!AG11/Calculations!AN$2/Cal!$G11</f>
        <v>#DIV/0!</v>
      </c>
    </row>
    <row r="13" spans="1:40">
      <c r="A13">
        <f>data0!A12</f>
        <v>350</v>
      </c>
      <c r="B13" t="e">
        <f t="shared" ca="1" si="0"/>
        <v>#DIV/0!</v>
      </c>
      <c r="C13" t="e">
        <f t="shared" ca="1" si="1"/>
        <v>#DIV/0!</v>
      </c>
      <c r="D13" t="e">
        <f t="shared" ca="1" si="2"/>
        <v>#DIV/0!</v>
      </c>
      <c r="F13" t="e">
        <f t="shared" ca="1" si="3"/>
        <v>#DIV/0!</v>
      </c>
      <c r="G13" t="e">
        <f t="shared" ca="1" si="4"/>
        <v>#DIV/0!</v>
      </c>
      <c r="I13">
        <f ca="1">data0!B12/Calculations!I$2/Cal!$G12</f>
        <v>2.5940336674171935E-2</v>
      </c>
      <c r="J13">
        <f ca="1">data0!C12/Calculations!J$2/Cal!$G12</f>
        <v>1.558846426711615E-2</v>
      </c>
      <c r="K13">
        <f ca="1">data0!D12/Calculations!K$2/Cal!$G12</f>
        <v>7.5357949255370656E-3</v>
      </c>
      <c r="L13">
        <f ca="1">data0!E12/Calculations!L$2/Cal!$G12</f>
        <v>1.1381743914005505E-3</v>
      </c>
      <c r="M13">
        <f ca="1">data0!F12/Calculations!M$2/Cal!$G12</f>
        <v>1.6343875155817548E-3</v>
      </c>
      <c r="N13">
        <f ca="1">data0!G12/Calculations!N$2/Cal!$G12</f>
        <v>1.2512199902088357E-3</v>
      </c>
      <c r="O13">
        <f ca="1">data0!H12/Calculations!O$2/Cal!$G12</f>
        <v>1.1816979092496935E-3</v>
      </c>
      <c r="P13">
        <f ca="1">data0!I12/Calculations!P$2/Cal!$G12</f>
        <v>1.182480418772468E-3</v>
      </c>
      <c r="Q13">
        <f ca="1">data0!J12/Calculations!Q$2/Cal!$G12</f>
        <v>1.1884954057956789E-3</v>
      </c>
      <c r="R13">
        <f ca="1">data0!K12/Calculations!R$2/Cal!$G12</f>
        <v>1.4313318865416516E-3</v>
      </c>
      <c r="S13">
        <f ca="1">data0!L12/Calculations!S$2/Cal!$G12</f>
        <v>1.4216662309260095E-3</v>
      </c>
      <c r="T13">
        <f ca="1">data0!M12/Calculations!T$2/Cal!$G12</f>
        <v>1.4291499295151441E-3</v>
      </c>
      <c r="U13">
        <f ca="1">data0!N12/Calculations!U$2/Cal!$G12</f>
        <v>1.4209255184051005E-3</v>
      </c>
      <c r="V13">
        <f ca="1">data0!O12/Calculations!V$2/Cal!$G12</f>
        <v>1.4402304631075924E-3</v>
      </c>
      <c r="W13">
        <f ca="1">data0!P12/Calculations!W$2/Cal!$G12</f>
        <v>1.4523273887231799E-3</v>
      </c>
      <c r="X13">
        <f ca="1">data0!Q12/Calculations!X$2/Cal!$G12</f>
        <v>1.4871363002358453E-3</v>
      </c>
      <c r="Y13">
        <f ca="1">data0!R12/Calculations!Y$2/Cal!$G12</f>
        <v>1.3041210606008263E-3</v>
      </c>
      <c r="Z13">
        <f ca="1">data0!S12/Calculations!Z$2/Cal!$G12</f>
        <v>1.0393929915016322E-3</v>
      </c>
      <c r="AA13">
        <f ca="1">data0!T12/Calculations!AA$2/Cal!$G12</f>
        <v>1.3022529430095793E-3</v>
      </c>
      <c r="AB13">
        <f ca="1">data0!U12/Calculations!AB$2/Cal!$G12</f>
        <v>1.3536562690343297E-3</v>
      </c>
      <c r="AC13">
        <f ca="1">data0!V12/Calculations!AC$2/Cal!$G12</f>
        <v>1.1441647610794072E-3</v>
      </c>
      <c r="AD13">
        <f ca="1">data0!W12/Calculations!AD$2/Cal!$G12</f>
        <v>1.2079118145131441E-3</v>
      </c>
      <c r="AE13">
        <f ca="1">data0!X12/Calculations!AE$2/Cal!$G12</f>
        <v>1.352386987975114E-3</v>
      </c>
      <c r="AF13">
        <f ca="1">data0!Y12/Calculations!AF$2/Cal!$G12</f>
        <v>4.0257648516188746E-3</v>
      </c>
      <c r="AG13">
        <f ca="1">data0!Z12/Calculations!AG$2/Cal!$G12</f>
        <v>1.0309278194219562E-2</v>
      </c>
      <c r="AH13" t="e">
        <f ca="1">data0!AA12/Calculations!AH$2/Cal!$G12</f>
        <v>#DIV/0!</v>
      </c>
      <c r="AI13" t="e">
        <f ca="1">data0!AB12/Calculations!AI$2/Cal!$G12</f>
        <v>#DIV/0!</v>
      </c>
      <c r="AJ13" t="e">
        <f ca="1">data0!AC12/Calculations!AJ$2/Cal!$G12</f>
        <v>#DIV/0!</v>
      </c>
      <c r="AK13" t="e">
        <f ca="1">data0!AD12/Calculations!AK$2/Cal!$G12</f>
        <v>#DIV/0!</v>
      </c>
      <c r="AL13" t="e">
        <f ca="1">data0!AE12/Calculations!AL$2/Cal!$G12</f>
        <v>#DIV/0!</v>
      </c>
      <c r="AM13" t="e">
        <f ca="1">data0!AF12/Calculations!AM$2/Cal!$G12</f>
        <v>#DIV/0!</v>
      </c>
      <c r="AN13" t="e">
        <f ca="1">data0!AG12/Calculations!AN$2/Cal!$G12</f>
        <v>#DIV/0!</v>
      </c>
    </row>
    <row r="14" spans="1:40">
      <c r="A14">
        <f>data0!A13</f>
        <v>355</v>
      </c>
      <c r="B14" t="e">
        <f t="shared" ca="1" si="0"/>
        <v>#DIV/0!</v>
      </c>
      <c r="C14" t="e">
        <f t="shared" ca="1" si="1"/>
        <v>#DIV/0!</v>
      </c>
      <c r="D14" t="e">
        <f t="shared" ca="1" si="2"/>
        <v>#DIV/0!</v>
      </c>
      <c r="F14" t="e">
        <f t="shared" ca="1" si="3"/>
        <v>#DIV/0!</v>
      </c>
      <c r="G14" t="e">
        <f t="shared" ca="1" si="4"/>
        <v>#DIV/0!</v>
      </c>
      <c r="I14">
        <f ca="1">data0!B13/Calculations!I$2/Cal!$G13</f>
        <v>2.5940336674171935E-2</v>
      </c>
      <c r="J14">
        <f ca="1">data0!C13/Calculations!J$2/Cal!$G13</f>
        <v>1.558846426711615E-2</v>
      </c>
      <c r="K14">
        <f ca="1">data0!D13/Calculations!K$2/Cal!$G13</f>
        <v>7.5357949255370656E-3</v>
      </c>
      <c r="L14">
        <f ca="1">data0!E13/Calculations!L$2/Cal!$G13</f>
        <v>1.517565824333316E-3</v>
      </c>
      <c r="M14">
        <f ca="1">data0!F13/Calculations!M$2/Cal!$G13</f>
        <v>1.6343875155817548E-3</v>
      </c>
      <c r="N14">
        <f ca="1">data0!G13/Calculations!N$2/Cal!$G13</f>
        <v>1.5014639638186796E-3</v>
      </c>
      <c r="O14">
        <f ca="1">data0!H13/Calculations!O$2/Cal!$G13</f>
        <v>1.6543770268007678E-3</v>
      </c>
      <c r="P14">
        <f ca="1">data0!I13/Calculations!P$2/Cal!$G13</f>
        <v>1.4189764794372802E-3</v>
      </c>
      <c r="Q14">
        <f ca="1">data0!J13/Calculations!Q$2/Cal!$G13</f>
        <v>1.4261944637476817E-3</v>
      </c>
      <c r="R14">
        <f ca="1">data0!K13/Calculations!R$2/Cal!$G13</f>
        <v>1.4313318865416516E-3</v>
      </c>
      <c r="S14">
        <f ca="1">data0!L13/Calculations!S$2/Cal!$G13</f>
        <v>1.658610583469137E-3</v>
      </c>
      <c r="T14">
        <f ca="1">data0!M13/Calculations!T$2/Cal!$G13</f>
        <v>1.6673415650549812E-3</v>
      </c>
      <c r="U14">
        <f ca="1">data0!N13/Calculations!U$2/Cal!$G13</f>
        <v>1.8945673193378071E-3</v>
      </c>
      <c r="V14">
        <f ca="1">data0!O13/Calculations!V$2/Cal!$G13</f>
        <v>1.6802688540959183E-3</v>
      </c>
      <c r="W14">
        <f ca="1">data0!P13/Calculations!W$2/Cal!$G13</f>
        <v>1.6943819338167351E-3</v>
      </c>
      <c r="X14">
        <f ca="1">data0!Q13/Calculations!X$2/Cal!$G13</f>
        <v>1.4871363002358453E-3</v>
      </c>
      <c r="Y14">
        <f ca="1">data0!R13/Calculations!Y$2/Cal!$G13</f>
        <v>1.3041210606008263E-3</v>
      </c>
      <c r="Z14">
        <f ca="1">data0!S13/Calculations!Z$2/Cal!$G13</f>
        <v>1.5590895189644611E-3</v>
      </c>
      <c r="AA14">
        <f ca="1">data0!T13/Calculations!AA$2/Cal!$G13</f>
        <v>1.8231540693565767E-3</v>
      </c>
      <c r="AB14">
        <f ca="1">data0!U13/Calculations!AB$2/Cal!$G13</f>
        <v>1.6243874964090525E-3</v>
      </c>
      <c r="AC14">
        <f ca="1">data0!V13/Calculations!AC$2/Cal!$G13</f>
        <v>1.4302060037121782E-3</v>
      </c>
      <c r="AD14">
        <f ca="1">data0!W13/Calculations!AD$2/Cal!$G13</f>
        <v>1.8118677586232597E-3</v>
      </c>
      <c r="AE14">
        <f ca="1">data0!X13/Calculations!AE$2/Cal!$G13</f>
        <v>1.8031826139565978E-3</v>
      </c>
      <c r="AF14">
        <f ca="1">data0!Y13/Calculations!AF$2/Cal!$G13</f>
        <v>4.0257648516188746E-3</v>
      </c>
      <c r="AG14">
        <f ca="1">data0!Z13/Calculations!AG$2/Cal!$G13</f>
        <v>1.0309278194219562E-2</v>
      </c>
      <c r="AH14" t="e">
        <f ca="1">data0!AA13/Calculations!AH$2/Cal!$G13</f>
        <v>#DIV/0!</v>
      </c>
      <c r="AI14" t="e">
        <f ca="1">data0!AB13/Calculations!AI$2/Cal!$G13</f>
        <v>#DIV/0!</v>
      </c>
      <c r="AJ14" t="e">
        <f ca="1">data0!AC13/Calculations!AJ$2/Cal!$G13</f>
        <v>#DIV/0!</v>
      </c>
      <c r="AK14" t="e">
        <f ca="1">data0!AD13/Calculations!AK$2/Cal!$G13</f>
        <v>#DIV/0!</v>
      </c>
      <c r="AL14" t="e">
        <f ca="1">data0!AE13/Calculations!AL$2/Cal!$G13</f>
        <v>#DIV/0!</v>
      </c>
      <c r="AM14" t="e">
        <f ca="1">data0!AF13/Calculations!AM$2/Cal!$G13</f>
        <v>#DIV/0!</v>
      </c>
      <c r="AN14" t="e">
        <f ca="1">data0!AG13/Calculations!AN$2/Cal!$G13</f>
        <v>#DIV/0!</v>
      </c>
    </row>
    <row r="15" spans="1:40">
      <c r="A15">
        <f>data0!A14</f>
        <v>360</v>
      </c>
      <c r="B15" t="e">
        <f t="shared" ca="1" si="0"/>
        <v>#DIV/0!</v>
      </c>
      <c r="C15" t="e">
        <f t="shared" ca="1" si="1"/>
        <v>#DIV/0!</v>
      </c>
      <c r="D15" t="e">
        <f t="shared" ca="1" si="2"/>
        <v>#DIV/0!</v>
      </c>
      <c r="F15" t="e">
        <f t="shared" ca="1" si="3"/>
        <v>#DIV/0!</v>
      </c>
      <c r="G15" t="e">
        <f t="shared" ca="1" si="4"/>
        <v>#DIV/0!</v>
      </c>
      <c r="I15">
        <f ca="1">data0!B14/Calculations!I$2/Cal!$G14</f>
        <v>2.5940336674171935E-2</v>
      </c>
      <c r="J15">
        <f ca="1">data0!C14/Calculations!J$2/Cal!$G14</f>
        <v>1.558846426711615E-2</v>
      </c>
      <c r="K15">
        <f ca="1">data0!D14/Calculations!K$2/Cal!$G14</f>
        <v>7.5357949255370656E-3</v>
      </c>
      <c r="L15">
        <f ca="1">data0!E14/Calculations!L$2/Cal!$G14</f>
        <v>1.8969573498683352E-3</v>
      </c>
      <c r="M15">
        <f ca="1">data0!F14/Calculations!M$2/Cal!$G14</f>
        <v>2.4515813232380036E-3</v>
      </c>
      <c r="N15">
        <f ca="1">data0!G14/Calculations!N$2/Cal!$G14</f>
        <v>1.7517079374285236E-3</v>
      </c>
      <c r="O15">
        <f ca="1">data0!H14/Calculations!O$2/Cal!$G14</f>
        <v>1.8907165855763051E-3</v>
      </c>
      <c r="P15">
        <f ca="1">data0!I14/Calculations!P$2/Cal!$G14</f>
        <v>1.8919686007669047E-3</v>
      </c>
      <c r="Q15">
        <f ca="1">data0!J14/Calculations!Q$2/Cal!$G14</f>
        <v>1.6638935216996846E-3</v>
      </c>
      <c r="R15">
        <f ca="1">data0!K14/Calculations!R$2/Cal!$G14</f>
        <v>1.6698871815563189E-3</v>
      </c>
      <c r="S15">
        <f ca="1">data0!L14/Calculations!S$2/Cal!$G14</f>
        <v>1.658610583469137E-3</v>
      </c>
      <c r="T15">
        <f ca="1">data0!M14/Calculations!T$2/Cal!$G14</f>
        <v>1.6673415650549812E-3</v>
      </c>
      <c r="U15">
        <f ca="1">data0!N14/Calculations!U$2/Cal!$G14</f>
        <v>1.6577464188714537E-3</v>
      </c>
      <c r="V15">
        <f ca="1">data0!O14/Calculations!V$2/Cal!$G14</f>
        <v>1.6802688540959183E-3</v>
      </c>
      <c r="W15">
        <f ca="1">data0!P14/Calculations!W$2/Cal!$G14</f>
        <v>1.6943819338167351E-3</v>
      </c>
      <c r="X15">
        <f ca="1">data0!Q14/Calculations!X$2/Cal!$G14</f>
        <v>1.7349923301095008E-3</v>
      </c>
      <c r="Y15">
        <f ca="1">data0!R14/Calculations!Y$2/Cal!$G14</f>
        <v>1.8257694339113668E-3</v>
      </c>
      <c r="Z15">
        <f ca="1">data0!S14/Calculations!Z$2/Cal!$G14</f>
        <v>2.0787859830032644E-3</v>
      </c>
      <c r="AA15">
        <f ca="1">data0!T14/Calculations!AA$2/Cal!$G14</f>
        <v>2.0836046325300754E-3</v>
      </c>
      <c r="AB15">
        <f ca="1">data0!U14/Calculations!AB$2/Cal!$G14</f>
        <v>1.6243874964090525E-3</v>
      </c>
      <c r="AC15">
        <f ca="1">data0!V14/Calculations!AC$2/Cal!$G14</f>
        <v>2.0022883493432688E-3</v>
      </c>
      <c r="AD15">
        <f ca="1">data0!W14/Calculations!AD$2/Cal!$G14</f>
        <v>2.1138456938247737E-3</v>
      </c>
      <c r="AE15">
        <f ca="1">data0!X14/Calculations!AE$2/Cal!$G14</f>
        <v>1.8031826139565978E-3</v>
      </c>
      <c r="AF15">
        <f ca="1">data0!Y14/Calculations!AF$2/Cal!$G14</f>
        <v>4.0257648516188746E-3</v>
      </c>
      <c r="AG15">
        <f ca="1">data0!Z14/Calculations!AG$2/Cal!$G14</f>
        <v>1.0309278194219562E-2</v>
      </c>
      <c r="AH15" t="e">
        <f ca="1">data0!AA14/Calculations!AH$2/Cal!$G14</f>
        <v>#DIV/0!</v>
      </c>
      <c r="AI15" t="e">
        <f ca="1">data0!AB14/Calculations!AI$2/Cal!$G14</f>
        <v>#DIV/0!</v>
      </c>
      <c r="AJ15" t="e">
        <f ca="1">data0!AC14/Calculations!AJ$2/Cal!$G14</f>
        <v>#DIV/0!</v>
      </c>
      <c r="AK15" t="e">
        <f ca="1">data0!AD14/Calculations!AK$2/Cal!$G14</f>
        <v>#DIV/0!</v>
      </c>
      <c r="AL15" t="e">
        <f ca="1">data0!AE14/Calculations!AL$2/Cal!$G14</f>
        <v>#DIV/0!</v>
      </c>
      <c r="AM15" t="e">
        <f ca="1">data0!AF14/Calculations!AM$2/Cal!$G14</f>
        <v>#DIV/0!</v>
      </c>
      <c r="AN15" t="e">
        <f ca="1">data0!AG14/Calculations!AN$2/Cal!$G14</f>
        <v>#DIV/0!</v>
      </c>
    </row>
    <row r="16" spans="1:40">
      <c r="A16">
        <f>data0!A15</f>
        <v>365</v>
      </c>
      <c r="B16" t="e">
        <f t="shared" ca="1" si="0"/>
        <v>#DIV/0!</v>
      </c>
      <c r="C16" t="e">
        <f t="shared" ca="1" si="1"/>
        <v>#DIV/0!</v>
      </c>
      <c r="D16" t="e">
        <f t="shared" ca="1" si="2"/>
        <v>#DIV/0!</v>
      </c>
      <c r="F16" t="e">
        <f t="shared" ca="1" si="3"/>
        <v>#DIV/0!</v>
      </c>
      <c r="G16" t="e">
        <f t="shared" ca="1" si="4"/>
        <v>#DIV/0!</v>
      </c>
      <c r="I16">
        <f ca="1">data0!B15/Calculations!I$2/Cal!$G15</f>
        <v>2.2852031423866676E-2</v>
      </c>
      <c r="J16">
        <f ca="1">data0!C15/Calculations!J$2/Cal!$G15</f>
        <v>1.3732592593397116E-2</v>
      </c>
      <c r="K16">
        <f ca="1">data0!D15/Calculations!K$2/Cal!$G15</f>
        <v>6.6386271159560922E-3</v>
      </c>
      <c r="L16">
        <f ca="1">data0!E15/Calculations!L$2/Cal!$G15</f>
        <v>2.0053399680061003E-3</v>
      </c>
      <c r="M16">
        <f ca="1">data0!F15/Calculations!M$2/Cal!$G15</f>
        <v>2.8796137331584502E-3</v>
      </c>
      <c r="N16">
        <f ca="1">data0!G15/Calculations!N$2/Cal!$G15</f>
        <v>1.9840626807100781E-3</v>
      </c>
      <c r="O16">
        <f ca="1">data0!H15/Calculations!O$2/Cal!$G15</f>
        <v>1.8738213423397441E-3</v>
      </c>
      <c r="P16">
        <f ca="1">data0!I15/Calculations!P$2/Cal!$G15</f>
        <v>2.0834023881271049E-3</v>
      </c>
      <c r="Q16">
        <f ca="1">data0!J15/Calculations!Q$2/Cal!$G15</f>
        <v>2.3034001375149115E-3</v>
      </c>
      <c r="R16">
        <f ca="1">data0!K15/Calculations!R$2/Cal!$G15</f>
        <v>2.1015431290347612E-3</v>
      </c>
      <c r="S16">
        <f ca="1">data0!L15/Calculations!S$2/Cal!$G15</f>
        <v>1.8786164577884487E-3</v>
      </c>
      <c r="T16">
        <f ca="1">data0!M15/Calculations!T$2/Cal!$G15</f>
        <v>1.8885055576551026E-3</v>
      </c>
      <c r="U16">
        <f ca="1">data0!N15/Calculations!U$2/Cal!$G15</f>
        <v>1.6690111797679848E-3</v>
      </c>
      <c r="V16">
        <f ca="1">data0!O15/Calculations!V$2/Cal!$G15</f>
        <v>1.6916866600207618E-3</v>
      </c>
      <c r="W16">
        <f ca="1">data0!P15/Calculations!W$2/Cal!$G15</f>
        <v>1.9191326875473104E-3</v>
      </c>
      <c r="X16">
        <f ca="1">data0!Q15/Calculations!X$2/Cal!$G15</f>
        <v>2.1834775729408524E-3</v>
      </c>
      <c r="Y16">
        <f ca="1">data0!R15/Calculations!Y$2/Cal!$G15</f>
        <v>2.2977200204999078E-3</v>
      </c>
      <c r="Z16">
        <f ca="1">data0!S15/Calculations!Z$2/Cal!$G15</f>
        <v>2.2891223879923871E-3</v>
      </c>
      <c r="AA16">
        <f ca="1">data0!T15/Calculations!AA$2/Cal!$G15</f>
        <v>1.8355428125533923E-3</v>
      </c>
      <c r="AB16">
        <f ca="1">data0!U15/Calculations!AB$2/Cal!$G15</f>
        <v>2.1464961452957528E-3</v>
      </c>
      <c r="AC16">
        <f ca="1">data0!V15/Calculations!AC$2/Cal!$G15</f>
        <v>2.5198680302384153E-3</v>
      </c>
      <c r="AD16">
        <f ca="1">data0!W15/Calculations!AD$2/Cal!$G15</f>
        <v>2.3942360848430923E-3</v>
      </c>
      <c r="AE16">
        <f ca="1">data0!X15/Calculations!AE$2/Cal!$G15</f>
        <v>1.9856328284854514E-3</v>
      </c>
      <c r="AF16">
        <f ca="1">data0!Y15/Calculations!AF$2/Cal!$G15</f>
        <v>7.0929615177964325E-3</v>
      </c>
      <c r="AG16">
        <f ca="1">data0!Z15/Calculations!AG$2/Cal!$G15</f>
        <v>9.081915636286143E-3</v>
      </c>
      <c r="AH16" t="e">
        <f ca="1">data0!AA15/Calculations!AH$2/Cal!$G15</f>
        <v>#DIV/0!</v>
      </c>
      <c r="AI16" t="e">
        <f ca="1">data0!AB15/Calculations!AI$2/Cal!$G15</f>
        <v>#DIV/0!</v>
      </c>
      <c r="AJ16" t="e">
        <f ca="1">data0!AC15/Calculations!AJ$2/Cal!$G15</f>
        <v>#DIV/0!</v>
      </c>
      <c r="AK16" t="e">
        <f ca="1">data0!AD15/Calculations!AK$2/Cal!$G15</f>
        <v>#DIV/0!</v>
      </c>
      <c r="AL16" t="e">
        <f ca="1">data0!AE15/Calculations!AL$2/Cal!$G15</f>
        <v>#DIV/0!</v>
      </c>
      <c r="AM16" t="e">
        <f ca="1">data0!AF15/Calculations!AM$2/Cal!$G15</f>
        <v>#DIV/0!</v>
      </c>
      <c r="AN16" t="e">
        <f ca="1">data0!AG15/Calculations!AN$2/Cal!$G15</f>
        <v>#DIV/0!</v>
      </c>
    </row>
    <row r="17" spans="1:40">
      <c r="A17">
        <f>data0!A16</f>
        <v>370</v>
      </c>
      <c r="B17" t="e">
        <f t="shared" ca="1" si="0"/>
        <v>#DIV/0!</v>
      </c>
      <c r="C17" t="e">
        <f t="shared" ca="1" si="1"/>
        <v>#DIV/0!</v>
      </c>
      <c r="D17" t="e">
        <f t="shared" ca="1" si="2"/>
        <v>#DIV/0!</v>
      </c>
      <c r="F17" t="e">
        <f t="shared" ca="1" si="3"/>
        <v>#DIV/0!</v>
      </c>
      <c r="G17" t="e">
        <f t="shared" ca="1" si="4"/>
        <v>#DIV/0!</v>
      </c>
      <c r="I17">
        <f ca="1">data0!B16/Calculations!I$2/Cal!$G16</f>
        <v>2.0434866077908113E-2</v>
      </c>
      <c r="J17">
        <f ca="1">data0!C16/Calculations!J$2/Cal!$G16</f>
        <v>1.2280032586313503E-2</v>
      </c>
      <c r="K17">
        <f ca="1">data0!D16/Calculations!K$2/Cal!$G16</f>
        <v>5.9364287375366235E-3</v>
      </c>
      <c r="L17">
        <f ca="1">data0!E16/Calculations!L$2/Cal!$G16</f>
        <v>1.793225859302944E-3</v>
      </c>
      <c r="M17">
        <f ca="1">data0!F16/Calculations!M$2/Cal!$G16</f>
        <v>3.2187796598995852E-3</v>
      </c>
      <c r="N17">
        <f ca="1">data0!G16/Calculations!N$2/Cal!$G16</f>
        <v>2.5627320479842007E-3</v>
      </c>
      <c r="O17">
        <f ca="1">data0!H16/Calculations!O$2/Cal!$G16</f>
        <v>2.2341580309097136E-3</v>
      </c>
      <c r="P17">
        <f ca="1">data0!I16/Calculations!P$2/Cal!$G16</f>
        <v>2.0493343625449852E-3</v>
      </c>
      <c r="Q17">
        <f ca="1">data0!J16/Calculations!Q$2/Cal!$G16</f>
        <v>2.4342603931753149E-3</v>
      </c>
      <c r="R17">
        <f ca="1">data0!K16/Calculations!R$2/Cal!$G16</f>
        <v>2.6309543587608899E-3</v>
      </c>
      <c r="S17">
        <f ca="1">data0!L16/Calculations!S$2/Cal!$G16</f>
        <v>2.613187760383977E-3</v>
      </c>
      <c r="T17">
        <f ca="1">data0!M16/Calculations!T$2/Cal!$G16</f>
        <v>2.4393048478019395E-3</v>
      </c>
      <c r="U17">
        <f ca="1">data0!N16/Calculations!U$2/Cal!$G16</f>
        <v>2.4252672402166726E-3</v>
      </c>
      <c r="V17">
        <f ca="1">data0!O16/Calculations!V$2/Cal!$G16</f>
        <v>2.4582173486880163E-3</v>
      </c>
      <c r="W17">
        <f ca="1">data0!P16/Calculations!W$2/Cal!$G16</f>
        <v>2.4788646500580082E-3</v>
      </c>
      <c r="X17">
        <f ca="1">data0!Q16/Calculations!X$2/Cal!$G16</f>
        <v>2.733529356794068E-3</v>
      </c>
      <c r="Y17">
        <f ca="1">data0!R16/Calculations!Y$2/Cal!$G16</f>
        <v>2.8765512444766969E-3</v>
      </c>
      <c r="Z17">
        <f ca="1">data0!S16/Calculations!Z$2/Cal!$G16</f>
        <v>2.2516904062882511E-3</v>
      </c>
      <c r="AA17">
        <f ca="1">data0!T16/Calculations!AA$2/Cal!$G16</f>
        <v>2.2569098502326968E-3</v>
      </c>
      <c r="AB17">
        <f ca="1">data0!U16/Calculations!AB$2/Cal!$G16</f>
        <v>2.772540664116144E-3</v>
      </c>
      <c r="AC17">
        <f ca="1">data0!V16/Calculations!AC$2/Cal!$G16</f>
        <v>2.9293288067759066E-3</v>
      </c>
      <c r="AD17">
        <f ca="1">data0!W16/Calculations!AD$2/Cal!$G16</f>
        <v>2.6167613853659592E-3</v>
      </c>
      <c r="AE17">
        <f ca="1">data0!X16/Calculations!AE$2/Cal!$G16</f>
        <v>2.4858444601143863E-3</v>
      </c>
      <c r="AF17">
        <f ca="1">data0!Y16/Calculations!AF$2/Cal!$G16</f>
        <v>6.3427060826000197E-3</v>
      </c>
      <c r="AG17">
        <f ca="1">data0!Z16/Calculations!AG$2/Cal!$G16</f>
        <v>8.1212792996835734E-3</v>
      </c>
      <c r="AH17" t="e">
        <f ca="1">data0!AA16/Calculations!AH$2/Cal!$G16</f>
        <v>#DIV/0!</v>
      </c>
      <c r="AI17" t="e">
        <f ca="1">data0!AB16/Calculations!AI$2/Cal!$G16</f>
        <v>#DIV/0!</v>
      </c>
      <c r="AJ17" t="e">
        <f ca="1">data0!AC16/Calculations!AJ$2/Cal!$G16</f>
        <v>#DIV/0!</v>
      </c>
      <c r="AK17" t="e">
        <f ca="1">data0!AD16/Calculations!AK$2/Cal!$G16</f>
        <v>#DIV/0!</v>
      </c>
      <c r="AL17" t="e">
        <f ca="1">data0!AE16/Calculations!AL$2/Cal!$G16</f>
        <v>#DIV/0!</v>
      </c>
      <c r="AM17" t="e">
        <f ca="1">data0!AF16/Calculations!AM$2/Cal!$G16</f>
        <v>#DIV/0!</v>
      </c>
      <c r="AN17" t="e">
        <f ca="1">data0!AG16/Calculations!AN$2/Cal!$G16</f>
        <v>#DIV/0!</v>
      </c>
    </row>
    <row r="18" spans="1:40">
      <c r="A18">
        <f>data0!A17</f>
        <v>375</v>
      </c>
      <c r="B18" t="e">
        <f t="shared" ca="1" si="0"/>
        <v>#DIV/0!</v>
      </c>
      <c r="C18" t="e">
        <f t="shared" ca="1" si="1"/>
        <v>#DIV/0!</v>
      </c>
      <c r="D18" t="e">
        <f t="shared" ca="1" si="2"/>
        <v>#DIV/0!</v>
      </c>
      <c r="F18" t="e">
        <f t="shared" ca="1" si="3"/>
        <v>#DIV/0!</v>
      </c>
      <c r="G18" t="e">
        <f t="shared" ca="1" si="4"/>
        <v>#DIV/0!</v>
      </c>
      <c r="I18">
        <f ca="1">data0!B17/Calculations!I$2/Cal!$G17</f>
        <v>1.8436399356753067E-2</v>
      </c>
      <c r="J18">
        <f ca="1">data0!C17/Calculations!J$2/Cal!$G17</f>
        <v>1.1079083367224747E-2</v>
      </c>
      <c r="K18">
        <f ca="1">data0!D17/Calculations!K$2/Cal!$G17</f>
        <v>5.3558643614724632E-3</v>
      </c>
      <c r="L18">
        <f ca="1">data0!E17/Calculations!L$2/Cal!$G17</f>
        <v>2.1571385089559415E-3</v>
      </c>
      <c r="M18">
        <f ca="1">data0!F17/Calculations!M$2/Cal!$G17</f>
        <v>3.7751907643751611E-3</v>
      </c>
      <c r="N18">
        <f ca="1">data0!G17/Calculations!N$2/Cal!$G17</f>
        <v>3.2013759522663662E-3</v>
      </c>
      <c r="O18">
        <f ca="1">data0!H17/Calculations!O$2/Cal!$G17</f>
        <v>2.8555244967760503E-3</v>
      </c>
      <c r="P18">
        <f ca="1">data0!I17/Calculations!P$2/Cal!$G17</f>
        <v>2.5212487559097695E-3</v>
      </c>
      <c r="Q18">
        <f ca="1">data0!J17/Calculations!Q$2/Cal!$G17</f>
        <v>2.534073728153138E-3</v>
      </c>
      <c r="R18">
        <f ca="1">data0!K17/Calculations!R$2/Cal!$G17</f>
        <v>2.8822956777920924E-3</v>
      </c>
      <c r="S18">
        <f ca="1">data0!L17/Calculations!S$2/Cal!$G17</f>
        <v>3.1996354958656274E-3</v>
      </c>
      <c r="T18">
        <f ca="1">data0!M17/Calculations!T$2/Cal!$G17</f>
        <v>3.2164784841319785E-3</v>
      </c>
      <c r="U18">
        <f ca="1">data0!N17/Calculations!U$2/Cal!$G17</f>
        <v>3.0296543201839021E-3</v>
      </c>
      <c r="V18">
        <f ca="1">data0!O17/Calculations!V$2/Cal!$G17</f>
        <v>3.2414165939529008E-3</v>
      </c>
      <c r="W18">
        <f ca="1">data0!P17/Calculations!W$2/Cal!$G17</f>
        <v>3.2686422195944893E-3</v>
      </c>
      <c r="X18">
        <f ca="1">data0!Q17/Calculations!X$2/Cal!$G17</f>
        <v>3.1708269422657592E-3</v>
      </c>
      <c r="Y18">
        <f ca="1">data0!R17/Calculations!Y$2/Cal!$G17</f>
        <v>2.5952334265929452E-3</v>
      </c>
      <c r="Z18">
        <f ca="1">data0!S17/Calculations!Z$2/Cal!$G17</f>
        <v>2.4008423857034482E-3</v>
      </c>
      <c r="AA18">
        <f ca="1">data0!T17/Calculations!AA$2/Cal!$G17</f>
        <v>3.3319490482430192E-3</v>
      </c>
      <c r="AB18">
        <f ca="1">data0!U17/Calculations!AB$2/Cal!$G17</f>
        <v>3.271054815436116E-3</v>
      </c>
      <c r="AC18">
        <f ca="1">data0!V17/Calculations!AC$2/Cal!$G17</f>
        <v>3.2527378083241137E-3</v>
      </c>
      <c r="AD18">
        <f ca="1">data0!W17/Calculations!AD$2/Cal!$G17</f>
        <v>2.7900956675544065E-3</v>
      </c>
      <c r="AE18">
        <f ca="1">data0!X17/Calculations!AE$2/Cal!$G17</f>
        <v>2.8835185430959261E-3</v>
      </c>
      <c r="AF18">
        <f ca="1">data0!Y17/Calculations!AF$2/Cal!$G17</f>
        <v>5.7224090383317747E-3</v>
      </c>
      <c r="AG18">
        <f ca="1">data0!Z17/Calculations!AG$2/Cal!$G17</f>
        <v>7.3270432938421087E-3</v>
      </c>
      <c r="AH18" t="e">
        <f ca="1">data0!AA17/Calculations!AH$2/Cal!$G17</f>
        <v>#DIV/0!</v>
      </c>
      <c r="AI18" t="e">
        <f ca="1">data0!AB17/Calculations!AI$2/Cal!$G17</f>
        <v>#DIV/0!</v>
      </c>
      <c r="AJ18" t="e">
        <f ca="1">data0!AC17/Calculations!AJ$2/Cal!$G17</f>
        <v>#DIV/0!</v>
      </c>
      <c r="AK18" t="e">
        <f ca="1">data0!AD17/Calculations!AK$2/Cal!$G17</f>
        <v>#DIV/0!</v>
      </c>
      <c r="AL18" t="e">
        <f ca="1">data0!AE17/Calculations!AL$2/Cal!$G17</f>
        <v>#DIV/0!</v>
      </c>
      <c r="AM18" t="e">
        <f ca="1">data0!AF17/Calculations!AM$2/Cal!$G17</f>
        <v>#DIV/0!</v>
      </c>
      <c r="AN18" t="e">
        <f ca="1">data0!AG17/Calculations!AN$2/Cal!$G17</f>
        <v>#DIV/0!</v>
      </c>
    </row>
    <row r="19" spans="1:40">
      <c r="A19">
        <f>data0!A18</f>
        <v>380</v>
      </c>
      <c r="B19" t="e">
        <f t="shared" ca="1" si="0"/>
        <v>#DIV/0!</v>
      </c>
      <c r="C19" t="e">
        <f t="shared" ca="1" si="1"/>
        <v>#DIV/0!</v>
      </c>
      <c r="D19" t="e">
        <f t="shared" ca="1" si="2"/>
        <v>#DIV/0!</v>
      </c>
      <c r="F19" t="e">
        <f t="shared" ca="1" si="3"/>
        <v>#DIV/0!</v>
      </c>
      <c r="G19" t="e">
        <f t="shared" ca="1" si="4"/>
        <v>#DIV/0!</v>
      </c>
      <c r="I19">
        <f ca="1">data0!B18/Calculations!I$2/Cal!$G18</f>
        <v>1.6793755201972446E-2</v>
      </c>
      <c r="J19">
        <f ca="1">data0!C18/Calculations!J$2/Cal!$G18</f>
        <v>1.0091960492451868E-2</v>
      </c>
      <c r="K19">
        <f ca="1">data0!D18/Calculations!K$2/Cal!$G18</f>
        <v>4.8786681846632405E-3</v>
      </c>
      <c r="L19">
        <f ca="1">data0!E18/Calculations!L$2/Cal!$G18</f>
        <v>2.210559893435713E-3</v>
      </c>
      <c r="M19">
        <f ca="1">data0!F18/Calculations!M$2/Cal!$G18</f>
        <v>3.9678798744387841E-3</v>
      </c>
      <c r="N19">
        <f ca="1">data0!G18/Calculations!N$2/Cal!$G18</f>
        <v>3.5641712020155463E-3</v>
      </c>
      <c r="O19">
        <f ca="1">data0!H18/Calculations!O$2/Cal!$G18</f>
        <v>3.5191396654938659E-3</v>
      </c>
      <c r="P19">
        <f ca="1">data0!I18/Calculations!P$2/Cal!$G18</f>
        <v>3.3683626288872506E-3</v>
      </c>
      <c r="Q19">
        <f ca="1">data0!J18/Calculations!Q$2/Cal!$G18</f>
        <v>2.7699518682029228E-3</v>
      </c>
      <c r="R19">
        <f ca="1">data0!K18/Calculations!R$2/Cal!$G18</f>
        <v>2.9343702853389516E-3</v>
      </c>
      <c r="S19">
        <f ca="1">data0!L18/Calculations!S$2/Cal!$G18</f>
        <v>3.2213499514149621E-3</v>
      </c>
      <c r="T19">
        <f ca="1">data0!M18/Calculations!T$2/Cal!$G18</f>
        <v>3.5467174304628594E-3</v>
      </c>
      <c r="U19">
        <f ca="1">data0!N18/Calculations!U$2/Cal!$G18</f>
        <v>3.5263069321401397E-3</v>
      </c>
      <c r="V19">
        <f ca="1">data0!O18/Calculations!V$2/Cal!$G18</f>
        <v>3.574215960056951E-3</v>
      </c>
      <c r="W19">
        <f ca="1">data0!P18/Calculations!W$2/Cal!$G18</f>
        <v>3.2908249920620956E-3</v>
      </c>
      <c r="X19">
        <f ca="1">data0!Q18/Calculations!X$2/Cal!$G18</f>
        <v>2.8883129740149074E-3</v>
      </c>
      <c r="Y19">
        <f ca="1">data0!R18/Calculations!Y$2/Cal!$G18</f>
        <v>2.8705759563900607E-3</v>
      </c>
      <c r="Z19">
        <f ca="1">data0!S18/Calculations!Z$2/Cal!$G18</f>
        <v>3.7009625930179589E-3</v>
      </c>
      <c r="AA19">
        <f ca="1">data0!T18/Calculations!AA$2/Cal!$G18</f>
        <v>3.8781569725894996E-3</v>
      </c>
      <c r="AB19">
        <f ca="1">data0!U18/Calculations!AB$2/Cal!$G18</f>
        <v>3.8559667598618715E-3</v>
      </c>
      <c r="AC19">
        <f ca="1">data0!V18/Calculations!AC$2/Cal!$G18</f>
        <v>3.3332916329157831E-3</v>
      </c>
      <c r="AD19">
        <f ca="1">data0!W18/Calculations!AD$2/Cal!$G18</f>
        <v>3.1280049404604176E-3</v>
      </c>
      <c r="AE19">
        <f ca="1">data0!X18/Calculations!AE$2/Cal!$G18</f>
        <v>3.5021374317011512E-3</v>
      </c>
      <c r="AF19">
        <f ca="1">data0!Y18/Calculations!AF$2/Cal!$G18</f>
        <v>5.2125545067506713E-3</v>
      </c>
      <c r="AG19">
        <f ca="1">data0!Z18/Calculations!AG$2/Cal!$G18</f>
        <v>6.6742192469359148E-3</v>
      </c>
      <c r="AH19" t="e">
        <f ca="1">data0!AA18/Calculations!AH$2/Cal!$G18</f>
        <v>#DIV/0!</v>
      </c>
      <c r="AI19" t="e">
        <f ca="1">data0!AB18/Calculations!AI$2/Cal!$G18</f>
        <v>#DIV/0!</v>
      </c>
      <c r="AJ19" t="e">
        <f ca="1">data0!AC18/Calculations!AJ$2/Cal!$G18</f>
        <v>#DIV/0!</v>
      </c>
      <c r="AK19" t="e">
        <f ca="1">data0!AD18/Calculations!AK$2/Cal!$G18</f>
        <v>#DIV/0!</v>
      </c>
      <c r="AL19" t="e">
        <f ca="1">data0!AE18/Calculations!AL$2/Cal!$G18</f>
        <v>#DIV/0!</v>
      </c>
      <c r="AM19" t="e">
        <f ca="1">data0!AF18/Calculations!AM$2/Cal!$G18</f>
        <v>#DIV/0!</v>
      </c>
      <c r="AN19" t="e">
        <f ca="1">data0!AG18/Calculations!AN$2/Cal!$G18</f>
        <v>#DIV/0!</v>
      </c>
    </row>
    <row r="20" spans="1:40">
      <c r="A20">
        <f>data0!A19</f>
        <v>385</v>
      </c>
      <c r="B20" t="e">
        <f t="shared" ca="1" si="0"/>
        <v>#DIV/0!</v>
      </c>
      <c r="C20" t="e">
        <f t="shared" ca="1" si="1"/>
        <v>#DIV/0!</v>
      </c>
      <c r="D20" t="e">
        <f t="shared" ca="1" si="2"/>
        <v>#DIV/0!</v>
      </c>
      <c r="F20" t="e">
        <f t="shared" ca="1" si="3"/>
        <v>#DIV/0!</v>
      </c>
      <c r="G20" t="e">
        <f t="shared" ca="1" si="4"/>
        <v>#DIV/0!</v>
      </c>
      <c r="I20">
        <f ca="1">data0!B19/Calculations!I$2/Cal!$G19</f>
        <v>1.5012227490335074E-2</v>
      </c>
      <c r="J20">
        <f ca="1">data0!C19/Calculations!J$2/Cal!$G19</f>
        <v>9.0213775843515469E-3</v>
      </c>
      <c r="K20">
        <f ca="1">data0!D19/Calculations!K$2/Cal!$G19</f>
        <v>6.541688614032295E-3</v>
      </c>
      <c r="L20">
        <f ca="1">data0!E19/Calculations!L$2/Cal!$G19</f>
        <v>2.6347434271184796E-3</v>
      </c>
      <c r="M20">
        <f ca="1">data0!F19/Calculations!M$2/Cal!$G19</f>
        <v>4.0198839740264343E-3</v>
      </c>
      <c r="N20">
        <f ca="1">data0!G19/Calculations!N$2/Cal!$G19</f>
        <v>3.7653602773255342E-3</v>
      </c>
      <c r="O20">
        <f ca="1">data0!H19/Calculations!O$2/Cal!$G19</f>
        <v>3.9664681934610023E-3</v>
      </c>
      <c r="P20">
        <f ca="1">data0!I19/Calculations!P$2/Cal!$G19</f>
        <v>3.9690947523377427E-3</v>
      </c>
      <c r="Q20">
        <f ca="1">data0!J19/Calculations!Q$2/Cal!$G19</f>
        <v>3.7141615063738774E-3</v>
      </c>
      <c r="R20">
        <f ca="1">data0!K19/Calculations!R$2/Cal!$G19</f>
        <v>3.175312420056713E-3</v>
      </c>
      <c r="S20">
        <f ca="1">data0!L19/Calculations!S$2/Cal!$G19</f>
        <v>3.0167450574384983E-3</v>
      </c>
      <c r="T20">
        <f ca="1">data0!M19/Calculations!T$2/Cal!$G19</f>
        <v>3.1704718968269545E-3</v>
      </c>
      <c r="U20">
        <f ca="1">data0!N19/Calculations!U$2/Cal!$G19</f>
        <v>3.2892799190780897E-3</v>
      </c>
      <c r="V20">
        <f ca="1">data0!O19/Calculations!V$2/Cal!$G19</f>
        <v>3.1950533068184329E-3</v>
      </c>
      <c r="W20">
        <f ca="1">data0!P19/Calculations!W$2/Cal!$G19</f>
        <v>2.9417252316452664E-3</v>
      </c>
      <c r="X20">
        <f ca="1">data0!Q19/Calculations!X$2/Cal!$G19</f>
        <v>3.1556711314382705E-3</v>
      </c>
      <c r="Y20">
        <f ca="1">data0!R19/Calculations!Y$2/Cal!$G19</f>
        <v>4.0755027064595783E-3</v>
      </c>
      <c r="Z20">
        <f ca="1">data0!S19/Calculations!Z$2/Cal!$G19</f>
        <v>4.2106326762853972E-3</v>
      </c>
      <c r="AA20">
        <f ca="1">data0!T19/Calculations!AA$2/Cal!$G19</f>
        <v>4.2203929706682956E-3</v>
      </c>
      <c r="AB20">
        <f ca="1">data0!U19/Calculations!AB$2/Cal!$G19</f>
        <v>4.0736270076086566E-3</v>
      </c>
      <c r="AC20">
        <f ca="1">data0!V19/Calculations!AC$2/Cal!$G19</f>
        <v>3.4763013230578567E-3</v>
      </c>
      <c r="AD20">
        <f ca="1">data0!W19/Calculations!AD$2/Cal!$G19</f>
        <v>3.6699831892811072E-3</v>
      </c>
      <c r="AE20">
        <f ca="1">data0!X19/Calculations!AE$2/Cal!$G19</f>
        <v>3.9132762699076416E-3</v>
      </c>
      <c r="AF20">
        <f ca="1">data0!Y19/Calculations!AF$2/Cal!$G19</f>
        <v>6.9893887381044214E-3</v>
      </c>
      <c r="AG20">
        <f ca="1">data0!Z19/Calculations!AG$2/Cal!$G19</f>
        <v>5.9661997242645756E-3</v>
      </c>
      <c r="AH20" t="e">
        <f ca="1">data0!AA19/Calculations!AH$2/Cal!$G19</f>
        <v>#DIV/0!</v>
      </c>
      <c r="AI20" t="e">
        <f ca="1">data0!AB19/Calculations!AI$2/Cal!$G19</f>
        <v>#DIV/0!</v>
      </c>
      <c r="AJ20" t="e">
        <f ca="1">data0!AC19/Calculations!AJ$2/Cal!$G19</f>
        <v>#DIV/0!</v>
      </c>
      <c r="AK20" t="e">
        <f ca="1">data0!AD19/Calculations!AK$2/Cal!$G19</f>
        <v>#DIV/0!</v>
      </c>
      <c r="AL20" t="e">
        <f ca="1">data0!AE19/Calculations!AL$2/Cal!$G19</f>
        <v>#DIV/0!</v>
      </c>
      <c r="AM20" t="e">
        <f ca="1">data0!AF19/Calculations!AM$2/Cal!$G19</f>
        <v>#DIV/0!</v>
      </c>
      <c r="AN20" t="e">
        <f ca="1">data0!AG19/Calculations!AN$2/Cal!$G19</f>
        <v>#DIV/0!</v>
      </c>
    </row>
    <row r="21" spans="1:40">
      <c r="A21">
        <f>data0!A20</f>
        <v>390</v>
      </c>
      <c r="B21" t="e">
        <f t="shared" ca="1" si="0"/>
        <v>#REF!</v>
      </c>
      <c r="C21" t="e">
        <f t="shared" ca="1" si="1"/>
        <v>#REF!</v>
      </c>
      <c r="D21" t="e">
        <f t="shared" ca="1" si="2"/>
        <v>#REF!</v>
      </c>
      <c r="F21" t="e">
        <f t="shared" ca="1" si="3"/>
        <v>#REF!</v>
      </c>
      <c r="G21" t="e">
        <f t="shared" ca="1" si="4"/>
        <v>#REF!</v>
      </c>
      <c r="I21">
        <f ca="1">data0!B20/Calculations!I$2/Cal!$G20</f>
        <v>1.3762320997718581E-2</v>
      </c>
      <c r="J21">
        <f ca="1">data0!C20/Calculations!J$2/Cal!$G20</f>
        <v>8.2702646384356041E-3</v>
      </c>
      <c r="K21">
        <f ca="1">data0!D20/Calculations!K$2/Cal!$G20</f>
        <v>5.9970326609688068E-3</v>
      </c>
      <c r="L21">
        <f ca="1">data0!E20/Calculations!L$2/Cal!$G20</f>
        <v>3.0192208504658887E-3</v>
      </c>
      <c r="M21">
        <f ca="1">data0!F20/Calculations!M$2/Cal!$G20</f>
        <v>4.5522953223097254E-3</v>
      </c>
      <c r="N21">
        <f ca="1">data0!G20/Calculations!N$2/Cal!$G20</f>
        <v>3.8501507078964304E-3</v>
      </c>
      <c r="O21">
        <f ca="1">data0!H20/Calculations!O$2/Cal!$G20</f>
        <v>4.3885450799094E-3</v>
      </c>
      <c r="P21">
        <f ca="1">data0!I20/Calculations!P$2/Cal!$G20</f>
        <v>4.5169214046365961E-3</v>
      </c>
      <c r="Q21">
        <f ca="1">data0!J20/Calculations!Q$2/Cal!$G20</f>
        <v>4.5398978727475498E-3</v>
      </c>
      <c r="R21">
        <f ca="1">data0!K20/Calculations!R$2/Cal!$G20</f>
        <v>4.3031263925818542E-3</v>
      </c>
      <c r="S21">
        <f ca="1">data0!L20/Calculations!S$2/Cal!$G20</f>
        <v>3.8969439380946106E-3</v>
      </c>
      <c r="T21">
        <f ca="1">data0!M20/Calculations!T$2/Cal!$G20</f>
        <v>3.6647183984479252E-3</v>
      </c>
      <c r="U21" t="e">
        <f ca="1">data0!#REF!/Calculations!U$2/Cal!$G20</f>
        <v>#REF!</v>
      </c>
      <c r="V21">
        <f ca="1">data0!O20/Calculations!V$2/Cal!$G20</f>
        <v>3.5657824527098158E-3</v>
      </c>
      <c r="W21">
        <f ca="1">data0!P20/Calculations!W$2/Cal!$G20</f>
        <v>3.9809895533124799E-3</v>
      </c>
      <c r="X21">
        <f ca="1">data0!Q20/Calculations!X$2/Cal!$G20</f>
        <v>4.6023922785646491E-3</v>
      </c>
      <c r="Y21">
        <f ca="1">data0!R20/Calculations!Y$2/Cal!$G20</f>
        <v>4.8431955572637558E-3</v>
      </c>
      <c r="Z21">
        <f ca="1">data0!S20/Calculations!Z$2/Cal!$G20</f>
        <v>4.8250732380987127E-3</v>
      </c>
      <c r="AA21">
        <f ca="1">data0!T20/Calculations!AA$2/Cal!$G20</f>
        <v>4.8362578126848856E-3</v>
      </c>
      <c r="AB21">
        <f ca="1">data0!U20/Calculations!AB$2/Cal!$G20</f>
        <v>4.0217260913914723E-3</v>
      </c>
      <c r="AC21">
        <f ca="1">data0!V20/Calculations!AC$2/Cal!$G20</f>
        <v>3.9456449768758058E-3</v>
      </c>
      <c r="AD21">
        <f ca="1">data0!W20/Calculations!AD$2/Cal!$G20</f>
        <v>4.3256869038827625E-3</v>
      </c>
      <c r="AE21">
        <f ca="1">data0!X20/Calculations!AE$2/Cal!$G20</f>
        <v>4.0657880926560676E-3</v>
      </c>
      <c r="AF21">
        <f ca="1">data0!Y20/Calculations!AF$2/Cal!$G20</f>
        <v>6.407457617702627E-3</v>
      </c>
      <c r="AG21">
        <f ca="1">data0!Z20/Calculations!AG$2/Cal!$G20</f>
        <v>1.0938917065397669E-2</v>
      </c>
      <c r="AH21" t="e">
        <f ca="1">data0!AA20/Calculations!AH$2/Cal!$G20</f>
        <v>#DIV/0!</v>
      </c>
      <c r="AI21" t="e">
        <f ca="1">data0!AB20/Calculations!AI$2/Cal!$G20</f>
        <v>#DIV/0!</v>
      </c>
      <c r="AJ21" t="e">
        <f ca="1">data0!AC20/Calculations!AJ$2/Cal!$G20</f>
        <v>#DIV/0!</v>
      </c>
      <c r="AK21" t="e">
        <f ca="1">data0!AD20/Calculations!AK$2/Cal!$G20</f>
        <v>#DIV/0!</v>
      </c>
      <c r="AL21" t="e">
        <f ca="1">data0!AE20/Calculations!AL$2/Cal!$G20</f>
        <v>#DIV/0!</v>
      </c>
      <c r="AM21" t="e">
        <f ca="1">data0!AF20/Calculations!AM$2/Cal!$G20</f>
        <v>#DIV/0!</v>
      </c>
      <c r="AN21" t="e">
        <f ca="1">data0!AG20/Calculations!AN$2/Cal!$G20</f>
        <v>#DIV/0!</v>
      </c>
    </row>
    <row r="22" spans="1:40">
      <c r="A22">
        <f>data0!A21</f>
        <v>395</v>
      </c>
      <c r="B22" t="e">
        <f t="shared" ca="1" si="0"/>
        <v>#DIV/0!</v>
      </c>
      <c r="C22" t="e">
        <f t="shared" ca="1" si="1"/>
        <v>#DIV/0!</v>
      </c>
      <c r="D22" t="e">
        <f t="shared" ca="1" si="2"/>
        <v>#DIV/0!</v>
      </c>
      <c r="F22" t="e">
        <f t="shared" ca="1" si="3"/>
        <v>#DIV/0!</v>
      </c>
      <c r="G22" t="e">
        <f t="shared" ca="1" si="4"/>
        <v>#DIV/0!</v>
      </c>
      <c r="I22">
        <f ca="1">data0!B21/Calculations!I$2/Cal!$G21</f>
        <v>1.2569174298915797E-2</v>
      </c>
      <c r="J22">
        <f ca="1">data0!C21/Calculations!J$2/Cal!$G21</f>
        <v>7.553260656824462E-3</v>
      </c>
      <c r="K22">
        <f ca="1">data0!D21/Calculations!K$2/Cal!$G21</f>
        <v>5.4771102057932898E-3</v>
      </c>
      <c r="L22">
        <f ca="1">data0!E21/Calculations!L$2/Cal!$G21</f>
        <v>3.3089576767824785E-3</v>
      </c>
      <c r="M22">
        <f ca="1">data0!F21/Calculations!M$2/Cal!$G21</f>
        <v>5.1475377388923525E-3</v>
      </c>
      <c r="N22">
        <f ca="1">data0!G21/Calculations!N$2/Cal!$G21</f>
        <v>4.0013702002741659E-3</v>
      </c>
      <c r="O22">
        <f ca="1">data0!H21/Calculations!O$2/Cal!$G21</f>
        <v>4.3516223833990203E-3</v>
      </c>
      <c r="P22">
        <f ca="1">data0!I21/Calculations!P$2/Cal!$G21</f>
        <v>5.0420571784285011E-3</v>
      </c>
      <c r="Q22">
        <f ca="1">data0!J21/Calculations!Q$2/Cal!$G21</f>
        <v>5.1828797589069161E-3</v>
      </c>
      <c r="R22">
        <f ca="1">data0!K21/Calculations!R$2/Cal!$G21</f>
        <v>5.2015494742147757E-3</v>
      </c>
      <c r="S22">
        <f ca="1">data0!L21/Calculations!S$2/Cal!$G21</f>
        <v>5.1664238780073438E-3</v>
      </c>
      <c r="T22">
        <f ca="1">data0!M21/Calculations!T$2/Cal!$G21</f>
        <v>5.0782065563342001E-3</v>
      </c>
      <c r="U22">
        <f ca="1">data0!N21/Calculations!U$2/Cal!$G21</f>
        <v>4.9342328887370815E-3</v>
      </c>
      <c r="V22">
        <f ca="1">data0!O21/Calculations!V$2/Cal!$G21</f>
        <v>5.1175790792408358E-3</v>
      </c>
      <c r="W22">
        <f ca="1">data0!P21/Calculations!W$2/Cal!$G21</f>
        <v>5.2778484404853252E-3</v>
      </c>
      <c r="X22">
        <f ca="1">data0!Q21/Calculations!X$2/Cal!$G21</f>
        <v>5.4043461990269642E-3</v>
      </c>
      <c r="Y22">
        <f ca="1">data0!R21/Calculations!Y$2/Cal!$G21</f>
        <v>5.43434839339859E-3</v>
      </c>
      <c r="Z22">
        <f ca="1">data0!S21/Calculations!Z$2/Cal!$G21</f>
        <v>5.5399216370554802E-3</v>
      </c>
      <c r="AA22">
        <f ca="1">data0!T21/Calculations!AA$2/Cal!$G21</f>
        <v>4.7955683185103362E-3</v>
      </c>
      <c r="AB22">
        <f ca="1">data0!U21/Calculations!AB$2/Cal!$G21</f>
        <v>4.3289588551284541E-3</v>
      </c>
      <c r="AC22">
        <f ca="1">data0!V21/Calculations!AC$2/Cal!$G21</f>
        <v>4.8509607305182332E-3</v>
      </c>
      <c r="AD22">
        <f ca="1">data0!W21/Calculations!AD$2/Cal!$G21</f>
        <v>4.974911031845706E-3</v>
      </c>
      <c r="AE22">
        <f ca="1">data0!X21/Calculations!AE$2/Cal!$G21</f>
        <v>3.4948685288516703E-3</v>
      </c>
      <c r="AF22">
        <f ca="1">data0!Y21/Calculations!AF$2/Cal!$G21</f>
        <v>5.8519527064636008E-3</v>
      </c>
      <c r="AG22">
        <f ca="1">data0!Z21/Calculations!AG$2/Cal!$G21</f>
        <v>9.9905499413333269E-3</v>
      </c>
      <c r="AH22" t="e">
        <f ca="1">data0!AA21/Calculations!AH$2/Cal!$G21</f>
        <v>#DIV/0!</v>
      </c>
      <c r="AI22" t="e">
        <f ca="1">data0!AB21/Calculations!AI$2/Cal!$G21</f>
        <v>#DIV/0!</v>
      </c>
      <c r="AJ22" t="e">
        <f ca="1">data0!AC21/Calculations!AJ$2/Cal!$G21</f>
        <v>#DIV/0!</v>
      </c>
      <c r="AK22" t="e">
        <f ca="1">data0!AD21/Calculations!AK$2/Cal!$G21</f>
        <v>#DIV/0!</v>
      </c>
      <c r="AL22" t="e">
        <f ca="1">data0!AE21/Calculations!AL$2/Cal!$G21</f>
        <v>#DIV/0!</v>
      </c>
      <c r="AM22" t="e">
        <f ca="1">data0!AF21/Calculations!AM$2/Cal!$G21</f>
        <v>#DIV/0!</v>
      </c>
      <c r="AN22" t="e">
        <f ca="1">data0!AG21/Calculations!AN$2/Cal!$G21</f>
        <v>#DIV/0!</v>
      </c>
    </row>
    <row r="23" spans="1:40">
      <c r="A23">
        <f>data0!A22</f>
        <v>400</v>
      </c>
      <c r="B23" t="e">
        <f t="shared" ca="1" si="0"/>
        <v>#DIV/0!</v>
      </c>
      <c r="C23" t="e">
        <f t="shared" ca="1" si="1"/>
        <v>#DIV/0!</v>
      </c>
      <c r="D23" t="e">
        <f t="shared" ca="1" si="2"/>
        <v>#DIV/0!</v>
      </c>
      <c r="F23" t="e">
        <f t="shared" ca="1" si="3"/>
        <v>#DIV/0!</v>
      </c>
      <c r="G23" t="e">
        <f t="shared" ca="1" si="4"/>
        <v>#DIV/0!</v>
      </c>
      <c r="I23">
        <f ca="1">data0!B22/Calculations!I$2/Cal!$G22</f>
        <v>1.1475041032460115E-2</v>
      </c>
      <c r="J23">
        <f ca="1">data0!C22/Calculations!J$2/Cal!$G22</f>
        <v>6.8957573428991073E-3</v>
      </c>
      <c r="K23">
        <f ca="1">data0!D22/Calculations!K$2/Cal!$G22</f>
        <v>5.0003335824697287E-3</v>
      </c>
      <c r="L23">
        <f ca="1">data0!E22/Calculations!L$2/Cal!$G22</f>
        <v>3.5244024437647184E-3</v>
      </c>
      <c r="M23">
        <f ca="1">data0!F22/Calculations!M$2/Cal!$G22</f>
        <v>6.1454349232823377E-3</v>
      </c>
      <c r="N23">
        <f ca="1">data0!G22/Calculations!N$2/Cal!$G22</f>
        <v>4.7600415278317718E-3</v>
      </c>
      <c r="O23">
        <f ca="1">data0!H22/Calculations!O$2/Cal!$G22</f>
        <v>4.4955572684238282E-3</v>
      </c>
      <c r="P23">
        <f ca="1">data0!I22/Calculations!P$2/Cal!$G22</f>
        <v>5.2308538747879605E-3</v>
      </c>
      <c r="Q23">
        <f ca="1">data0!J22/Calculations!Q$2/Cal!$G22</f>
        <v>5.7832078895538883E-3</v>
      </c>
      <c r="R23">
        <f ca="1">data0!K22/Calculations!R$2/Cal!$G22</f>
        <v>5.804040100580699E-3</v>
      </c>
      <c r="S23">
        <f ca="1">data0!L22/Calculations!S$2/Cal!$G22</f>
        <v>5.8696615209720727E-3</v>
      </c>
      <c r="T23">
        <f ca="1">data0!M22/Calculations!T$2/Cal!$G22</f>
        <v>5.9005596155371973E-3</v>
      </c>
      <c r="U23">
        <f ca="1">data0!N22/Calculations!U$2/Cal!$G22</f>
        <v>5.9713638883397719E-3</v>
      </c>
      <c r="V23">
        <f ca="1">data0!O22/Calculations!V$2/Cal!$G22</f>
        <v>5.9463080340088582E-3</v>
      </c>
      <c r="W23">
        <f ca="1">data0!P22/Calculations!W$2/Cal!$G22</f>
        <v>5.8891767049833654E-3</v>
      </c>
      <c r="X23">
        <f ca="1">data0!Q22/Calculations!X$2/Cal!$G22</f>
        <v>6.03032658096721E-3</v>
      </c>
      <c r="Y23">
        <f ca="1">data0!R22/Calculations!Y$2/Cal!$G22</f>
        <v>6.3458412795048477E-3</v>
      </c>
      <c r="Z23">
        <f ca="1">data0!S22/Calculations!Z$2/Cal!$G22</f>
        <v>5.7473605585419583E-3</v>
      </c>
      <c r="AA23">
        <f ca="1">data0!T22/Calculations!AA$2/Cal!$G22</f>
        <v>4.7237599206228168E-3</v>
      </c>
      <c r="AB23">
        <f ca="1">data0!U22/Calculations!AB$2/Cal!$G22</f>
        <v>5.0299807351316126E-3</v>
      </c>
      <c r="AC23">
        <f ca="1">data0!V22/Calculations!AC$2/Cal!$G22</f>
        <v>5.5674958738553158E-3</v>
      </c>
      <c r="AD23">
        <f ca="1">data0!W22/Calculations!AD$2/Cal!$G22</f>
        <v>5.3433532173110298E-3</v>
      </c>
      <c r="AE23">
        <f ca="1">data0!X22/Calculations!AE$2/Cal!$G22</f>
        <v>3.390059365731279E-3</v>
      </c>
      <c r="AF23">
        <f ca="1">data0!Y22/Calculations!AF$2/Cal!$G22</f>
        <v>7.1233951108056635E-3</v>
      </c>
      <c r="AG23">
        <f ca="1">data0!Z22/Calculations!AG$2/Cal!$G22</f>
        <v>9.1208831851055504E-3</v>
      </c>
      <c r="AH23" t="e">
        <f ca="1">data0!AA22/Calculations!AH$2/Cal!$G22</f>
        <v>#DIV/0!</v>
      </c>
      <c r="AI23" t="e">
        <f ca="1">data0!AB22/Calculations!AI$2/Cal!$G22</f>
        <v>#DIV/0!</v>
      </c>
      <c r="AJ23" t="e">
        <f ca="1">data0!AC22/Calculations!AJ$2/Cal!$G22</f>
        <v>#DIV/0!</v>
      </c>
      <c r="AK23" t="e">
        <f ca="1">data0!AD22/Calculations!AK$2/Cal!$G22</f>
        <v>#DIV/0!</v>
      </c>
      <c r="AL23" t="e">
        <f ca="1">data0!AE22/Calculations!AL$2/Cal!$G22</f>
        <v>#DIV/0!</v>
      </c>
      <c r="AM23" t="e">
        <f ca="1">data0!AF22/Calculations!AM$2/Cal!$G22</f>
        <v>#DIV/0!</v>
      </c>
      <c r="AN23" t="e">
        <f ca="1">data0!AG22/Calculations!AN$2/Cal!$G22</f>
        <v>#DIV/0!</v>
      </c>
    </row>
    <row r="24" spans="1:40">
      <c r="A24">
        <f>data0!A23</f>
        <v>405</v>
      </c>
      <c r="B24" t="e">
        <f t="shared" ca="1" si="0"/>
        <v>#DIV/0!</v>
      </c>
      <c r="C24" t="e">
        <f t="shared" ca="1" si="1"/>
        <v>#DIV/0!</v>
      </c>
      <c r="D24" t="e">
        <f t="shared" ca="1" si="2"/>
        <v>#DIV/0!</v>
      </c>
      <c r="F24" t="e">
        <f t="shared" ca="1" si="3"/>
        <v>#DIV/0!</v>
      </c>
      <c r="G24" t="e">
        <f t="shared" ca="1" si="4"/>
        <v>#DIV/0!</v>
      </c>
      <c r="I24">
        <f ca="1">data0!B23/Calculations!I$2/Cal!$G23</f>
        <v>1.0513685620564468E-2</v>
      </c>
      <c r="J24">
        <f ca="1">data0!C23/Calculations!J$2/Cal!$G23</f>
        <v>9.4770675880602485E-3</v>
      </c>
      <c r="K24">
        <f ca="1">data0!D23/Calculations!K$2/Cal!$G23</f>
        <v>4.5814158864725899E-3</v>
      </c>
      <c r="L24">
        <f ca="1">data0!E23/Calculations!L$2/Cal!$G23</f>
        <v>3.2291352326561003E-3</v>
      </c>
      <c r="M24">
        <f ca="1">data0!F23/Calculations!M$2/Cal!$G23</f>
        <v>6.7898202013865327E-3</v>
      </c>
      <c r="N24">
        <f ca="1">data0!G23/Calculations!N$2/Cal!$G23</f>
        <v>5.5783493729701407E-3</v>
      </c>
      <c r="O24">
        <f ca="1">data0!H23/Calculations!O$2/Cal!$G23</f>
        <v>4.9810302002484871E-3</v>
      </c>
      <c r="P24">
        <f ca="1">data0!I23/Calculations!P$2/Cal!$G23</f>
        <v>5.1760335242645103E-3</v>
      </c>
      <c r="Q24">
        <f ca="1">data0!J23/Calculations!Q$2/Cal!$G23</f>
        <v>6.1657631701479837E-3</v>
      </c>
      <c r="R24">
        <f ca="1">data0!K23/Calculations!R$2/Cal!$G23</f>
        <v>6.5747221104142444E-3</v>
      </c>
      <c r="S24">
        <f ca="1">data0!L23/Calculations!S$2/Cal!$G23</f>
        <v>6.7223915469379137E-3</v>
      </c>
      <c r="T24">
        <f ca="1">data0!M23/Calculations!T$2/Cal!$G23</f>
        <v>6.661238942761845E-3</v>
      </c>
      <c r="U24">
        <f ca="1">data0!N23/Calculations!U$2/Cal!$G23</f>
        <v>6.5269211920389782E-3</v>
      </c>
      <c r="V24">
        <f ca="1">data0!O23/Calculations!V$2/Cal!$G23</f>
        <v>6.6155970945108158E-3</v>
      </c>
      <c r="W24">
        <f ca="1">data0!P23/Calculations!W$2/Cal!$G23</f>
        <v>6.6711634694799418E-3</v>
      </c>
      <c r="X24">
        <f ca="1">data0!Q23/Calculations!X$2/Cal!$G23</f>
        <v>7.0319687394827541E-3</v>
      </c>
      <c r="Y24">
        <f ca="1">data0!R23/Calculations!Y$2/Cal!$G23</f>
        <v>6.6599014527357883E-3</v>
      </c>
      <c r="Z24">
        <f ca="1">data0!S23/Calculations!Z$2/Cal!$G23</f>
        <v>5.4764927965321505E-3</v>
      </c>
      <c r="AA24">
        <f ca="1">data0!T23/Calculations!AA$2/Cal!$G23</f>
        <v>5.3836258753009163E-3</v>
      </c>
      <c r="AB24">
        <f ca="1">data0!U23/Calculations!AB$2/Cal!$G23</f>
        <v>6.0350439240699971E-3</v>
      </c>
      <c r="AC24">
        <f ca="1">data0!V23/Calculations!AC$2/Cal!$G23</f>
        <v>6.2603947636641986E-3</v>
      </c>
      <c r="AD24">
        <f ca="1">data0!W23/Calculations!AD$2/Cal!$G23</f>
        <v>4.6509131614771567E-3</v>
      </c>
      <c r="AE24">
        <f ca="1">data0!X23/Calculations!AE$2/Cal!$G23</f>
        <v>4.2022989489238953E-3</v>
      </c>
      <c r="AF24">
        <f ca="1">data0!Y23/Calculations!AF$2/Cal!$G23</f>
        <v>6.526611672605106E-3</v>
      </c>
      <c r="AG24">
        <f ca="1">data0!Z23/Calculations!AG$2/Cal!$G23</f>
        <v>8.3567542912335781E-3</v>
      </c>
      <c r="AH24" t="e">
        <f ca="1">data0!AA23/Calculations!AH$2/Cal!$G23</f>
        <v>#DIV/0!</v>
      </c>
      <c r="AI24" t="e">
        <f ca="1">data0!AB23/Calculations!AI$2/Cal!$G23</f>
        <v>#DIV/0!</v>
      </c>
      <c r="AJ24" t="e">
        <f ca="1">data0!AC23/Calculations!AJ$2/Cal!$G23</f>
        <v>#DIV/0!</v>
      </c>
      <c r="AK24" t="e">
        <f ca="1">data0!AD23/Calculations!AK$2/Cal!$G23</f>
        <v>#DIV/0!</v>
      </c>
      <c r="AL24" t="e">
        <f ca="1">data0!AE23/Calculations!AL$2/Cal!$G23</f>
        <v>#DIV/0!</v>
      </c>
      <c r="AM24" t="e">
        <f ca="1">data0!AF23/Calculations!AM$2/Cal!$G23</f>
        <v>#DIV/0!</v>
      </c>
      <c r="AN24" t="e">
        <f ca="1">data0!AG23/Calculations!AN$2/Cal!$G23</f>
        <v>#DIV/0!</v>
      </c>
    </row>
    <row r="25" spans="1:40">
      <c r="A25">
        <f>data0!A24</f>
        <v>410</v>
      </c>
      <c r="B25" t="e">
        <f t="shared" ca="1" si="0"/>
        <v>#DIV/0!</v>
      </c>
      <c r="C25" t="e">
        <f t="shared" ca="1" si="1"/>
        <v>#DIV/0!</v>
      </c>
      <c r="D25" t="e">
        <f t="shared" ca="1" si="2"/>
        <v>#DIV/0!</v>
      </c>
      <c r="F25" t="e">
        <f t="shared" ca="1" si="3"/>
        <v>#DIV/0!</v>
      </c>
      <c r="G25" t="e">
        <f t="shared" ca="1" si="4"/>
        <v>#DIV/0!</v>
      </c>
      <c r="I25">
        <f ca="1">data0!B24/Calculations!I$2/Cal!$G24</f>
        <v>9.6062203573409333E-3</v>
      </c>
      <c r="J25">
        <f ca="1">data0!C24/Calculations!J$2/Cal!$G24</f>
        <v>8.6590756921864787E-3</v>
      </c>
      <c r="K25">
        <f ca="1">data0!D24/Calculations!K$2/Cal!$G24</f>
        <v>5.5813081789734716E-3</v>
      </c>
      <c r="L25">
        <f ca="1">data0!E24/Calculations!L$2/Cal!$G24</f>
        <v>3.0909158067313051E-3</v>
      </c>
      <c r="M25">
        <f ca="1">data0!F24/Calculations!M$2/Cal!$G24</f>
        <v>6.960329881397909E-3</v>
      </c>
      <c r="N25">
        <f ca="1">data0!G24/Calculations!N$2/Cal!$G24</f>
        <v>6.3942511681029405E-3</v>
      </c>
      <c r="O25">
        <f ca="1">data0!H24/Calculations!O$2/Cal!$G24</f>
        <v>5.9514435592366785E-3</v>
      </c>
      <c r="P25">
        <f ca="1">data0!I24/Calculations!P$2/Cal!$G24</f>
        <v>5.5174881650291189E-3</v>
      </c>
      <c r="Q25">
        <f ca="1">data0!J24/Calculations!Q$2/Cal!$G24</f>
        <v>5.9856781269048429E-3</v>
      </c>
      <c r="R25">
        <f ca="1">data0!K24/Calculations!R$2/Cal!$G24</f>
        <v>6.890656826766416E-3</v>
      </c>
      <c r="S25">
        <f ca="1">data0!L24/Calculations!S$2/Cal!$G24</f>
        <v>7.4583413127964314E-3</v>
      </c>
      <c r="T25">
        <f ca="1">data0!M24/Calculations!T$2/Cal!$G24</f>
        <v>7.585809178145133E-3</v>
      </c>
      <c r="U25">
        <f ca="1">data0!N24/Calculations!U$2/Cal!$G24</f>
        <v>7.542154686761871E-3</v>
      </c>
      <c r="V25">
        <f ca="1">data0!O24/Calculations!V$2/Cal!$G24</f>
        <v>7.6446237305503222E-3</v>
      </c>
      <c r="W25">
        <f ca="1">data0!P24/Calculations!W$2/Cal!$G24</f>
        <v>7.6191957910995787E-3</v>
      </c>
      <c r="X25">
        <f ca="1">data0!Q24/Calculations!X$2/Cal!$G24</f>
        <v>7.2510938682441009E-3</v>
      </c>
      <c r="Y25">
        <f ca="1">data0!R24/Calculations!Y$2/Cal!$G24</f>
        <v>6.3748322245485243E-3</v>
      </c>
      <c r="Z25">
        <f ca="1">data0!S24/Calculations!Z$2/Cal!$G24</f>
        <v>5.8698438936068808E-3</v>
      </c>
      <c r="AA25">
        <f ca="1">data0!T24/Calculations!AA$2/Cal!$G24</f>
        <v>6.4621502653387708E-3</v>
      </c>
      <c r="AB25">
        <f ca="1">data0!U24/Calculations!AB$2/Cal!$G24</f>
        <v>6.9177428807207265E-3</v>
      </c>
      <c r="AC25">
        <f ca="1">data0!V24/Calculations!AC$2/Cal!$G24</f>
        <v>6.6733829784913707E-3</v>
      </c>
      <c r="AD25">
        <f ca="1">data0!W24/Calculations!AD$2/Cal!$G24</f>
        <v>4.1376513647743323E-3</v>
      </c>
      <c r="AE25">
        <f ca="1">data0!X24/Calculations!AE$2/Cal!$G24</f>
        <v>5.5089723848933134E-3</v>
      </c>
      <c r="AF25">
        <f ca="1">data0!Y24/Calculations!AF$2/Cal!$G24</f>
        <v>7.4541024993467235E-3</v>
      </c>
      <c r="AG25">
        <f ca="1">data0!Z24/Calculations!AG$2/Cal!$G24</f>
        <v>7.6354597322869384E-3</v>
      </c>
      <c r="AH25" t="e">
        <f ca="1">data0!AA24/Calculations!AH$2/Cal!$G24</f>
        <v>#DIV/0!</v>
      </c>
      <c r="AI25" t="e">
        <f ca="1">data0!AB24/Calculations!AI$2/Cal!$G24</f>
        <v>#DIV/0!</v>
      </c>
      <c r="AJ25" t="e">
        <f ca="1">data0!AC24/Calculations!AJ$2/Cal!$G24</f>
        <v>#DIV/0!</v>
      </c>
      <c r="AK25" t="e">
        <f ca="1">data0!AD24/Calculations!AK$2/Cal!$G24</f>
        <v>#DIV/0!</v>
      </c>
      <c r="AL25" t="e">
        <f ca="1">data0!AE24/Calculations!AL$2/Cal!$G24</f>
        <v>#DIV/0!</v>
      </c>
      <c r="AM25" t="e">
        <f ca="1">data0!AF24/Calculations!AM$2/Cal!$G24</f>
        <v>#DIV/0!</v>
      </c>
      <c r="AN25" t="e">
        <f ca="1">data0!AG24/Calculations!AN$2/Cal!$G24</f>
        <v>#DIV/0!</v>
      </c>
    </row>
    <row r="26" spans="1:40">
      <c r="A26">
        <f>data0!A25</f>
        <v>415</v>
      </c>
      <c r="B26" t="e">
        <f t="shared" ca="1" si="0"/>
        <v>#DIV/0!</v>
      </c>
      <c r="C26" t="e">
        <f t="shared" ca="1" si="1"/>
        <v>#DIV/0!</v>
      </c>
      <c r="D26" t="e">
        <f t="shared" ca="1" si="2"/>
        <v>#DIV/0!</v>
      </c>
      <c r="F26" t="e">
        <f t="shared" ca="1" si="3"/>
        <v>#DIV/0!</v>
      </c>
      <c r="G26" t="e">
        <f t="shared" ca="1" si="4"/>
        <v>#DIV/0!</v>
      </c>
      <c r="I26">
        <f ca="1">data0!B25/Calculations!I$2/Cal!$G25</f>
        <v>1.3286608480917873E-2</v>
      </c>
      <c r="J26">
        <f ca="1">data0!C25/Calculations!J$2/Cal!$G25</f>
        <v>7.984392189565221E-3</v>
      </c>
      <c r="K26">
        <f ca="1">data0!D25/Calculations!K$2/Cal!$G25</f>
        <v>6.4330415634783556E-3</v>
      </c>
      <c r="L26">
        <f ca="1">data0!E25/Calculations!L$2/Cal!$G25</f>
        <v>3.6273782358321308E-3</v>
      </c>
      <c r="M26">
        <f ca="1">data0!F25/Calculations!M$2/Cal!$G25</f>
        <v>6.5575280330700744E-3</v>
      </c>
      <c r="N26">
        <f ca="1">data0!G25/Calculations!N$2/Cal!$G25</f>
        <v>7.092330928898721E-3</v>
      </c>
      <c r="O26">
        <f ca="1">data0!H25/Calculations!O$2/Cal!$G25</f>
        <v>7.0210642004799378E-3</v>
      </c>
      <c r="P26">
        <f ca="1">data0!I25/Calculations!P$2/Cal!$G25</f>
        <v>6.6219370145207332E-3</v>
      </c>
      <c r="Q26">
        <f ca="1">data0!J25/Calculations!Q$2/Cal!$G25</f>
        <v>6.3309567469406556E-3</v>
      </c>
      <c r="R26">
        <f ca="1">data0!K25/Calculations!R$2/Cal!$G25</f>
        <v>6.6795959883089078E-3</v>
      </c>
      <c r="S26">
        <f ca="1">data0!L25/Calculations!S$2/Cal!$G25</f>
        <v>7.5244818563642872E-3</v>
      </c>
      <c r="T26">
        <f ca="1">data0!M25/Calculations!T$2/Cal!$G25</f>
        <v>8.0520971371295016E-3</v>
      </c>
      <c r="U26">
        <f ca="1">data0!N25/Calculations!U$2/Cal!$G25</f>
        <v>8.2483575398445488E-3</v>
      </c>
      <c r="V26">
        <f ca="1">data0!O25/Calculations!V$2/Cal!$G25</f>
        <v>8.1145269291163294E-3</v>
      </c>
      <c r="W26">
        <f ca="1">data0!P25/Calculations!W$2/Cal!$G25</f>
        <v>7.6867627915945327E-3</v>
      </c>
      <c r="X26">
        <f ca="1">data0!Q25/Calculations!X$2/Cal!$G25</f>
        <v>6.9400184251640663E-3</v>
      </c>
      <c r="Y26">
        <f ca="1">data0!R25/Calculations!Y$2/Cal!$G25</f>
        <v>6.6796913889508539E-3</v>
      </c>
      <c r="Z26">
        <f ca="1">data0!S25/Calculations!Z$2/Cal!$G25</f>
        <v>7.0983442423139679E-3</v>
      </c>
      <c r="AA26">
        <f ca="1">data0!T25/Calculations!AA$2/Cal!$G25</f>
        <v>7.6484077568694069E-3</v>
      </c>
      <c r="AB26">
        <f ca="1">data0!U25/Calculations!AB$2/Cal!$G25</f>
        <v>7.7654198238707667E-3</v>
      </c>
      <c r="AC26">
        <f ca="1">data0!V25/Calculations!AC$2/Cal!$G25</f>
        <v>5.8603977125293817E-3</v>
      </c>
      <c r="AD26">
        <f ca="1">data0!W25/Calculations!AD$2/Cal!$G25</f>
        <v>5.5682184367430044E-3</v>
      </c>
      <c r="AE26">
        <f ca="1">data0!X25/Calculations!AE$2/Cal!$G25</f>
        <v>5.5415276282460421E-3</v>
      </c>
      <c r="AF26">
        <f ca="1">data0!Y25/Calculations!AF$2/Cal!$G25</f>
        <v>8.2479671858627316E-3</v>
      </c>
      <c r="AG26">
        <f ca="1">data0!Z25/Calculations!AG$2/Cal!$G25</f>
        <v>1.0560799176044761E-2</v>
      </c>
      <c r="AH26" t="e">
        <f ca="1">data0!AA25/Calculations!AH$2/Cal!$G25</f>
        <v>#DIV/0!</v>
      </c>
      <c r="AI26" t="e">
        <f ca="1">data0!AB25/Calculations!AI$2/Cal!$G25</f>
        <v>#DIV/0!</v>
      </c>
      <c r="AJ26" t="e">
        <f ca="1">data0!AC25/Calculations!AJ$2/Cal!$G25</f>
        <v>#DIV/0!</v>
      </c>
      <c r="AK26" t="e">
        <f ca="1">data0!AD25/Calculations!AK$2/Cal!$G25</f>
        <v>#DIV/0!</v>
      </c>
      <c r="AL26" t="e">
        <f ca="1">data0!AE25/Calculations!AL$2/Cal!$G25</f>
        <v>#DIV/0!</v>
      </c>
      <c r="AM26" t="e">
        <f ca="1">data0!AF25/Calculations!AM$2/Cal!$G25</f>
        <v>#DIV/0!</v>
      </c>
      <c r="AN26" t="e">
        <f ca="1">data0!AG25/Calculations!AN$2/Cal!$G25</f>
        <v>#DIV/0!</v>
      </c>
    </row>
    <row r="27" spans="1:40">
      <c r="A27">
        <f>data0!A26</f>
        <v>420</v>
      </c>
      <c r="B27" t="e">
        <f t="shared" ca="1" si="0"/>
        <v>#REF!</v>
      </c>
      <c r="C27" t="e">
        <f t="shared" ca="1" si="1"/>
        <v>#REF!</v>
      </c>
      <c r="D27" t="e">
        <f t="shared" ca="1" si="2"/>
        <v>#REF!</v>
      </c>
      <c r="F27" t="e">
        <f t="shared" ca="1" si="3"/>
        <v>#REF!</v>
      </c>
      <c r="G27" t="e">
        <f t="shared" ca="1" si="4"/>
        <v>#REF!</v>
      </c>
      <c r="I27">
        <f ca="1">data0!B26/Calculations!I$2/Cal!$G26</f>
        <v>1.2206164060342303E-2</v>
      </c>
      <c r="J27">
        <f ca="1">data0!C26/Calculations!J$2/Cal!$G26</f>
        <v>7.3351149864857067E-3</v>
      </c>
      <c r="K27">
        <f ca="1">data0!D26/Calculations!K$2/Cal!$G26</f>
        <v>5.9099175567332747E-3</v>
      </c>
      <c r="L27">
        <f ca="1">data0!E26/Calculations!L$2/Cal!$G26</f>
        <v>4.4035364286856308E-3</v>
      </c>
      <c r="M27">
        <f ca="1">data0!F26/Calculations!M$2/Cal!$G26</f>
        <v>6.4088098068471235E-3</v>
      </c>
      <c r="N27">
        <f ca="1">data0!G26/Calculations!N$2/Cal!$G26</f>
        <v>6.98660176776153E-3</v>
      </c>
      <c r="O27">
        <f ca="1">data0!H26/Calculations!O$2/Cal!$G26</f>
        <v>7.932910678802356E-3</v>
      </c>
      <c r="P27">
        <f ca="1">data0!I26/Calculations!P$2/Cal!$G26</f>
        <v>7.7897866102676124E-3</v>
      </c>
      <c r="Q27">
        <f ca="1">data0!J26/Calculations!Q$2/Cal!$G26</f>
        <v>7.3820167211451201E-3</v>
      </c>
      <c r="R27">
        <f ca="1">data0!K26/Calculations!R$2/Cal!$G26</f>
        <v>7.1092698868433883E-3</v>
      </c>
      <c r="S27">
        <f ca="1">data0!L26/Calculations!S$2/Cal!$G26</f>
        <v>7.3585784795472788E-3</v>
      </c>
      <c r="T27">
        <f ca="1">data0!M26/Calculations!T$2/Cal!$G26</f>
        <v>7.7709158314881515E-3</v>
      </c>
      <c r="U27">
        <f ca="1">data0!N26/Calculations!U$2/Cal!$G26</f>
        <v>7.8747764890983625E-3</v>
      </c>
      <c r="V27">
        <f ca="1">data0!O26/Calculations!V$2/Cal!$G26</f>
        <v>7.8311655590615949E-3</v>
      </c>
      <c r="W27">
        <f ca="1">data0!P26/Calculations!W$2/Cal!$G26</f>
        <v>7.3654168154554632E-3</v>
      </c>
      <c r="X27">
        <f ca="1">data0!Q26/Calculations!X$2/Cal!$G26</f>
        <v>7.3086924511176349E-3</v>
      </c>
      <c r="Y27">
        <f ca="1">data0!R26/Calculations!Y$2/Cal!$G26</f>
        <v>7.9365535132823687E-3</v>
      </c>
      <c r="Z27">
        <f ca="1">data0!S26/Calculations!Z$2/Cal!$G26</f>
        <v>8.5589682669400067E-3</v>
      </c>
      <c r="AA27">
        <f ca="1">data0!T26/Calculations!AA$2/Cal!$G26</f>
        <v>8.7422142302526588E-3</v>
      </c>
      <c r="AB27">
        <f ca="1">data0!U26/Calculations!AB$2/Cal!$G26</f>
        <v>8.153084569714867E-3</v>
      </c>
      <c r="AC27">
        <f ca="1">data0!V26/Calculations!AC$2/Cal!$G26</f>
        <v>5.2043788045106707E-3</v>
      </c>
      <c r="AD27">
        <f ca="1">data0!W26/Calculations!AD$2/Cal!$G26</f>
        <v>7.3889403799381592E-3</v>
      </c>
      <c r="AE27" t="e">
        <f ca="1">data0!#REF!/Calculations!AE$2/Cal!$G26</f>
        <v>#REF!</v>
      </c>
      <c r="AF27">
        <f ca="1">data0!Y26/Calculations!AF$2/Cal!$G26</f>
        <v>7.57725651203996E-3</v>
      </c>
      <c r="AG27">
        <f ca="1">data0!Z26/Calculations!AG$2/Cal!$G26</f>
        <v>9.7020129355256616E-3</v>
      </c>
      <c r="AH27" t="e">
        <f ca="1">data0!AA26/Calculations!AH$2/Cal!$G26</f>
        <v>#DIV/0!</v>
      </c>
      <c r="AI27" t="e">
        <f ca="1">data0!AB26/Calculations!AI$2/Cal!$G26</f>
        <v>#DIV/0!</v>
      </c>
      <c r="AJ27" t="e">
        <f ca="1">data0!AC26/Calculations!AJ$2/Cal!$G26</f>
        <v>#DIV/0!</v>
      </c>
      <c r="AK27" t="e">
        <f ca="1">data0!AD26/Calculations!AK$2/Cal!$G26</f>
        <v>#DIV/0!</v>
      </c>
      <c r="AL27" t="e">
        <f ca="1">data0!AE26/Calculations!AL$2/Cal!$G26</f>
        <v>#DIV/0!</v>
      </c>
      <c r="AM27" t="e">
        <f ca="1">data0!AF26/Calculations!AM$2/Cal!$G26</f>
        <v>#DIV/0!</v>
      </c>
      <c r="AN27" t="e">
        <f ca="1">data0!AG26/Calculations!AN$2/Cal!$G26</f>
        <v>#DIV/0!</v>
      </c>
    </row>
    <row r="28" spans="1:40">
      <c r="A28">
        <f>data0!A27</f>
        <v>425</v>
      </c>
      <c r="B28" t="e">
        <f t="shared" ca="1" si="0"/>
        <v>#DIV/0!</v>
      </c>
      <c r="C28" t="e">
        <f t="shared" ca="1" si="1"/>
        <v>#DIV/0!</v>
      </c>
      <c r="D28" t="e">
        <f t="shared" ca="1" si="2"/>
        <v>#DIV/0!</v>
      </c>
      <c r="F28" t="e">
        <f t="shared" ca="1" si="3"/>
        <v>#DIV/0!</v>
      </c>
      <c r="G28" t="e">
        <f t="shared" ca="1" si="4"/>
        <v>#DIV/0!</v>
      </c>
      <c r="I28">
        <f ca="1">data0!B27/Calculations!I$2/Cal!$G27</f>
        <v>1.1311032120525227E-2</v>
      </c>
      <c r="J28">
        <f ca="1">data0!C27/Calculations!J$2/Cal!$G27</f>
        <v>6.7971985965228042E-3</v>
      </c>
      <c r="K28">
        <f ca="1">data0!D27/Calculations!K$2/Cal!$G27</f>
        <v>6.5718205223843111E-3</v>
      </c>
      <c r="L28">
        <f ca="1">data0!E27/Calculations!L$2/Cal!$G27</f>
        <v>4.962898712896441E-3</v>
      </c>
      <c r="M28">
        <f ca="1">data0!F27/Calculations!M$2/Cal!$G27</f>
        <v>7.839246829732912E-3</v>
      </c>
      <c r="N28">
        <f ca="1">data0!G27/Calculations!N$2/Cal!$G27</f>
        <v>6.401499230986281E-3</v>
      </c>
      <c r="O28">
        <f ca="1">data0!H27/Calculations!O$2/Cal!$G27</f>
        <v>8.5190956088409767E-3</v>
      </c>
      <c r="P28">
        <f ca="1">data0!I27/Calculations!P$2/Cal!$G27</f>
        <v>9.0059721260036842E-3</v>
      </c>
      <c r="Q28">
        <f ca="1">data0!J27/Calculations!Q$2/Cal!$G27</f>
        <v>8.913587866621598E-3</v>
      </c>
      <c r="R28">
        <f ca="1">data0!K27/Calculations!R$2/Cal!$G27</f>
        <v>8.3909244613359323E-3</v>
      </c>
      <c r="S28">
        <f ca="1">data0!L27/Calculations!S$2/Cal!$G27</f>
        <v>8.1276266001886546E-3</v>
      </c>
      <c r="T28">
        <f ca="1">data0!M27/Calculations!T$2/Cal!$G27</f>
        <v>8.0319294361784407E-3</v>
      </c>
      <c r="U28">
        <f ca="1">data0!N27/Calculations!U$2/Cal!$G27</f>
        <v>7.9857076309460089E-3</v>
      </c>
      <c r="V28">
        <f ca="1">data0!O27/Calculations!V$2/Cal!$G27</f>
        <v>8.0244253933230616E-3</v>
      </c>
      <c r="W28">
        <f ca="1">data0!P27/Calculations!W$2/Cal!$G27</f>
        <v>8.1621884894969438E-3</v>
      </c>
      <c r="X28">
        <f ca="1">data0!Q27/Calculations!X$2/Cal!$G27</f>
        <v>8.7901177520836541E-3</v>
      </c>
      <c r="Y28">
        <f ca="1">data0!R27/Calculations!Y$2/Cal!$G27</f>
        <v>9.7049481019386864E-3</v>
      </c>
      <c r="Z28">
        <f ca="1">data0!S27/Calculations!Z$2/Cal!$G27</f>
        <v>9.8952427705543619E-3</v>
      </c>
      <c r="AA28">
        <f ca="1">data0!T27/Calculations!AA$2/Cal!$G27</f>
        <v>9.6153348857511926E-3</v>
      </c>
      <c r="AB28">
        <f ca="1">data0!U27/Calculations!AB$2/Cal!$G27</f>
        <v>6.8468840600944669E-3</v>
      </c>
      <c r="AC28">
        <f ca="1">data0!V27/Calculations!AC$2/Cal!$G27</f>
        <v>7.0677774351142449E-3</v>
      </c>
      <c r="AD28">
        <f ca="1">data0!W27/Calculations!AD$2/Cal!$G27</f>
        <v>7.7249073857068714E-3</v>
      </c>
      <c r="AE28">
        <f ca="1">data0!X27/Calculations!AE$2/Cal!$G27</f>
        <v>6.4211253814468097E-3</v>
      </c>
      <c r="AF28">
        <f ca="1">data0!Y27/Calculations!AF$2/Cal!$G27</f>
        <v>8.1918465213285403E-3</v>
      </c>
      <c r="AG28">
        <f ca="1">data0!Z27/Calculations!AG$2/Cal!$G27</f>
        <v>8.9905214615315053E-3</v>
      </c>
      <c r="AH28" t="e">
        <f ca="1">data0!AA27/Calculations!AH$2/Cal!$G27</f>
        <v>#DIV/0!</v>
      </c>
      <c r="AI28" t="e">
        <f ca="1">data0!AB27/Calculations!AI$2/Cal!$G27</f>
        <v>#DIV/0!</v>
      </c>
      <c r="AJ28" t="e">
        <f ca="1">data0!AC27/Calculations!AJ$2/Cal!$G27</f>
        <v>#DIV/0!</v>
      </c>
      <c r="AK28" t="e">
        <f ca="1">data0!AD27/Calculations!AK$2/Cal!$G27</f>
        <v>#DIV/0!</v>
      </c>
      <c r="AL28" t="e">
        <f ca="1">data0!AE27/Calculations!AL$2/Cal!$G27</f>
        <v>#DIV/0!</v>
      </c>
      <c r="AM28" t="e">
        <f ca="1">data0!AF27/Calculations!AM$2/Cal!$G27</f>
        <v>#DIV/0!</v>
      </c>
      <c r="AN28" t="e">
        <f ca="1">data0!AG27/Calculations!AN$2/Cal!$G27</f>
        <v>#DIV/0!</v>
      </c>
    </row>
    <row r="29" spans="1:40">
      <c r="A29">
        <f>data0!A28</f>
        <v>430</v>
      </c>
      <c r="B29" t="e">
        <f t="shared" ca="1" si="0"/>
        <v>#DIV/0!</v>
      </c>
      <c r="C29" t="e">
        <f t="shared" ca="1" si="1"/>
        <v>#DIV/0!</v>
      </c>
      <c r="D29" t="e">
        <f t="shared" ca="1" si="2"/>
        <v>#DIV/0!</v>
      </c>
      <c r="F29" t="e">
        <f t="shared" ca="1" si="3"/>
        <v>#DIV/0!</v>
      </c>
      <c r="G29" t="e">
        <f t="shared" ca="1" si="4"/>
        <v>#DIV/0!</v>
      </c>
      <c r="I29">
        <f ca="1">data0!B28/Calculations!I$2/Cal!$G28</f>
        <v>1.0553420883862732E-2</v>
      </c>
      <c r="J29">
        <f ca="1">data0!C28/Calculations!J$2/Cal!$G28</f>
        <v>8.4558974986396786E-3</v>
      </c>
      <c r="K29">
        <f ca="1">data0!D28/Calculations!K$2/Cal!$G28</f>
        <v>6.1316409684731565E-3</v>
      </c>
      <c r="L29">
        <f ca="1">data0!E28/Calculations!L$2/Cal!$G28</f>
        <v>5.247882407352941E-3</v>
      </c>
      <c r="M29">
        <f ca="1">data0!F28/Calculations!M$2/Cal!$G28</f>
        <v>9.8630545715980792E-3</v>
      </c>
      <c r="N29">
        <f ca="1">data0!G28/Calculations!N$2/Cal!$G28</f>
        <v>6.5157029754289077E-3</v>
      </c>
      <c r="O29">
        <f ca="1">data0!H28/Calculations!O$2/Cal!$G28</f>
        <v>8.2689912588501859E-3</v>
      </c>
      <c r="P29">
        <f ca="1">data0!I28/Calculations!P$2/Cal!$G28</f>
        <v>1.0070475649843957E-2</v>
      </c>
      <c r="Q29">
        <f ca="1">data0!J28/Calculations!Q$2/Cal!$G28</f>
        <v>1.0315110103783566E-2</v>
      </c>
      <c r="R29">
        <f ca="1">data0!K28/Calculations!R$2/Cal!$G28</f>
        <v>1.0093459928378658E-2</v>
      </c>
      <c r="S29">
        <f ca="1">data0!L28/Calculations!S$2/Cal!$G28</f>
        <v>9.8325053596010313E-3</v>
      </c>
      <c r="T29">
        <f ca="1">data0!M28/Calculations!T$2/Cal!$G28</f>
        <v>9.4966455632741215E-3</v>
      </c>
      <c r="U29">
        <f ca="1">data0!N28/Calculations!U$2/Cal!$G28</f>
        <v>9.3777640437792027E-3</v>
      </c>
      <c r="V29">
        <f ca="1">data0!O28/Calculations!V$2/Cal!$G28</f>
        <v>9.5702752769985123E-3</v>
      </c>
      <c r="W29">
        <f ca="1">data0!P28/Calculations!W$2/Cal!$G28</f>
        <v>9.9132623479882137E-3</v>
      </c>
      <c r="X29">
        <f ca="1">data0!Q28/Calculations!X$2/Cal!$G28</f>
        <v>1.0688654085932121E-2</v>
      </c>
      <c r="Y29">
        <f ca="1">data0!R28/Calculations!Y$2/Cal!$G28</f>
        <v>1.1247898668529013E-2</v>
      </c>
      <c r="Z29">
        <f ca="1">data0!S28/Calculations!Z$2/Cal!$G28</f>
        <v>1.0994380641128133E-2</v>
      </c>
      <c r="AA29">
        <f ca="1">data0!T28/Calculations!AA$2/Cal!$G28</f>
        <v>9.5364224875261992E-3</v>
      </c>
      <c r="AB29">
        <f ca="1">data0!U28/Calculations!AB$2/Cal!$G28</f>
        <v>6.388280791641188E-3</v>
      </c>
      <c r="AC29">
        <f ca="1">data0!V28/Calculations!AC$2/Cal!$G28</f>
        <v>9.5424540723266053E-3</v>
      </c>
      <c r="AD29">
        <f ca="1">data0!W28/Calculations!AD$2/Cal!$G28</f>
        <v>7.7808171217582578E-3</v>
      </c>
      <c r="AE29">
        <f ca="1">data0!X28/Calculations!AE$2/Cal!$G28</f>
        <v>6.8469023366325814E-3</v>
      </c>
      <c r="AF29">
        <f ca="1">data0!Y28/Calculations!AF$2/Cal!$G28</f>
        <v>8.7350374881317843E-3</v>
      </c>
      <c r="AG29">
        <f ca="1">data0!Z28/Calculations!AG$2/Cal!$G28</f>
        <v>8.3883376811184317E-3</v>
      </c>
      <c r="AH29" t="e">
        <f ca="1">data0!AA28/Calculations!AH$2/Cal!$G28</f>
        <v>#DIV/0!</v>
      </c>
      <c r="AI29" t="e">
        <f ca="1">data0!AB28/Calculations!AI$2/Cal!$G28</f>
        <v>#DIV/0!</v>
      </c>
      <c r="AJ29" t="e">
        <f ca="1">data0!AC28/Calculations!AJ$2/Cal!$G28</f>
        <v>#DIV/0!</v>
      </c>
      <c r="AK29" t="e">
        <f ca="1">data0!AD28/Calculations!AK$2/Cal!$G28</f>
        <v>#DIV/0!</v>
      </c>
      <c r="AL29" t="e">
        <f ca="1">data0!AE28/Calculations!AL$2/Cal!$G28</f>
        <v>#DIV/0!</v>
      </c>
      <c r="AM29" t="e">
        <f ca="1">data0!AF28/Calculations!AM$2/Cal!$G28</f>
        <v>#DIV/0!</v>
      </c>
      <c r="AN29" t="e">
        <f ca="1">data0!AG28/Calculations!AN$2/Cal!$G28</f>
        <v>#DIV/0!</v>
      </c>
    </row>
    <row r="30" spans="1:40">
      <c r="A30">
        <f>data0!A29</f>
        <v>435</v>
      </c>
      <c r="B30" t="e">
        <f t="shared" ca="1" si="0"/>
        <v>#DIV/0!</v>
      </c>
      <c r="C30" t="e">
        <f t="shared" ca="1" si="1"/>
        <v>#DIV/0!</v>
      </c>
      <c r="D30" t="e">
        <f t="shared" ca="1" si="2"/>
        <v>#DIV/0!</v>
      </c>
      <c r="F30" t="e">
        <f t="shared" ca="1" si="3"/>
        <v>#DIV/0!</v>
      </c>
      <c r="G30" t="e">
        <f t="shared" ca="1" si="4"/>
        <v>#DIV/0!</v>
      </c>
      <c r="I30">
        <f ca="1">data0!B29/Calculations!I$2/Cal!$G29</f>
        <v>1.3227580976052103E-2</v>
      </c>
      <c r="J30">
        <f ca="1">data0!C29/Calculations!J$2/Cal!$G29</f>
        <v>7.9489204776158062E-3</v>
      </c>
      <c r="K30">
        <f ca="1">data0!D29/Calculations!K$2/Cal!$G29</f>
        <v>6.7246849763568269E-3</v>
      </c>
      <c r="L30">
        <f ca="1">data0!E29/Calculations!L$2/Cal!$G29</f>
        <v>5.6103553222404566E-3</v>
      </c>
      <c r="M30">
        <f ca="1">data0!F29/Calculations!M$2/Cal!$G29</f>
        <v>1.1042711460775434E-2</v>
      </c>
      <c r="N30">
        <f ca="1">data0!G29/Calculations!N$2/Cal!$G29</f>
        <v>8.294339690771757E-3</v>
      </c>
      <c r="O30">
        <f ca="1">data0!H29/Calculations!O$2/Cal!$G29</f>
        <v>7.5321902075711124E-3</v>
      </c>
      <c r="P30">
        <f ca="1">data0!I29/Calculations!P$2/Cal!$G29</f>
        <v>1.0431454624874107E-2</v>
      </c>
      <c r="Q30">
        <f ca="1">data0!J29/Calculations!Q$2/Cal!$G29</f>
        <v>1.1635995627213656E-2</v>
      </c>
      <c r="R30">
        <f ca="1">data0!K29/Calculations!R$2/Cal!$G29</f>
        <v>1.1738732541801838E-2</v>
      </c>
      <c r="S30">
        <f ca="1">data0!L29/Calculations!S$2/Cal!$G29</f>
        <v>1.1719874007675235E-2</v>
      </c>
      <c r="T30">
        <f ca="1">data0!M29/Calculations!T$2/Cal!$G29</f>
        <v>1.1538648432723285E-2</v>
      </c>
      <c r="U30">
        <f ca="1">data0!N29/Calculations!U$2/Cal!$G29</f>
        <v>1.1411866657459812E-2</v>
      </c>
      <c r="V30">
        <f ca="1">data0!O29/Calculations!V$2/Cal!$G29</f>
        <v>1.1628110272191461E-2</v>
      </c>
      <c r="W30">
        <f ca="1">data0!P29/Calculations!W$2/Cal!$G29</f>
        <v>1.1910922225415517E-2</v>
      </c>
      <c r="X30">
        <f ca="1">data0!Q29/Calculations!X$2/Cal!$G29</f>
        <v>1.2385980798318E-2</v>
      </c>
      <c r="Y30">
        <f ca="1">data0!R29/Calculations!Y$2/Cal!$G29</f>
        <v>1.2568531043032852E-2</v>
      </c>
      <c r="Z30">
        <f ca="1">data0!S29/Calculations!Z$2/Cal!$G29</f>
        <v>1.1858988957917458E-2</v>
      </c>
      <c r="AA30">
        <f ca="1">data0!T29/Calculations!AA$2/Cal!$G29</f>
        <v>7.9021837231107433E-3</v>
      </c>
      <c r="AB30">
        <f ca="1">data0!U29/Calculations!AB$2/Cal!$G29</f>
        <v>8.9733899776005717E-3</v>
      </c>
      <c r="AC30">
        <f ca="1">data0!V29/Calculations!AC$2/Cal!$G29</f>
        <v>1.0064275070166231E-2</v>
      </c>
      <c r="AD30">
        <f ca="1">data0!W29/Calculations!AD$2/Cal!$G29</f>
        <v>8.7771779271236215E-3</v>
      </c>
      <c r="AE30">
        <f ca="1">data0!X29/Calculations!AE$2/Cal!$G29</f>
        <v>7.0110710326904005E-3</v>
      </c>
      <c r="AF30">
        <f ca="1">data0!Y29/Calculations!AF$2/Cal!$G29</f>
        <v>1.0264156009970422E-2</v>
      </c>
      <c r="AG30">
        <f ca="1">data0!Z29/Calculations!AG$2/Cal!$G29</f>
        <v>1.0513881437357294E-2</v>
      </c>
      <c r="AH30" t="e">
        <f ca="1">data0!AA29/Calculations!AH$2/Cal!$G29</f>
        <v>#DIV/0!</v>
      </c>
      <c r="AI30" t="e">
        <f ca="1">data0!AB29/Calculations!AI$2/Cal!$G29</f>
        <v>#DIV/0!</v>
      </c>
      <c r="AJ30" t="e">
        <f ca="1">data0!AC29/Calculations!AJ$2/Cal!$G29</f>
        <v>#DIV/0!</v>
      </c>
      <c r="AK30" t="e">
        <f ca="1">data0!AD29/Calculations!AK$2/Cal!$G29</f>
        <v>#DIV/0!</v>
      </c>
      <c r="AL30" t="e">
        <f ca="1">data0!AE29/Calculations!AL$2/Cal!$G29</f>
        <v>#DIV/0!</v>
      </c>
      <c r="AM30" t="e">
        <f ca="1">data0!AF29/Calculations!AM$2/Cal!$G29</f>
        <v>#DIV/0!</v>
      </c>
      <c r="AN30" t="e">
        <f ca="1">data0!AG29/Calculations!AN$2/Cal!$G29</f>
        <v>#DIV/0!</v>
      </c>
    </row>
    <row r="31" spans="1:40">
      <c r="A31">
        <f>data0!A30</f>
        <v>440</v>
      </c>
      <c r="B31" t="e">
        <f t="shared" ca="1" si="0"/>
        <v>#DIV/0!</v>
      </c>
      <c r="C31" t="e">
        <f t="shared" ca="1" si="1"/>
        <v>#DIV/0!</v>
      </c>
      <c r="D31" t="e">
        <f t="shared" ca="1" si="2"/>
        <v>#DIV/0!</v>
      </c>
      <c r="F31" t="e">
        <f t="shared" ca="1" si="3"/>
        <v>#DIV/0!</v>
      </c>
      <c r="G31" t="e">
        <f t="shared" ca="1" si="4"/>
        <v>#DIV/0!</v>
      </c>
      <c r="I31">
        <f ca="1">data0!B30/Calculations!I$2/Cal!$G30</f>
        <v>1.2479106243101905E-2</v>
      </c>
      <c r="J31">
        <f ca="1">data0!C30/Calculations!J$2/Cal!$G30</f>
        <v>9.3739198204005059E-3</v>
      </c>
      <c r="K31">
        <f ca="1">data0!D30/Calculations!K$2/Cal!$G30</f>
        <v>7.2504830359922225E-3</v>
      </c>
      <c r="L31">
        <f ca="1">data0!E30/Calculations!L$2/Cal!$G30</f>
        <v>6.0229514051334436E-3</v>
      </c>
      <c r="M31">
        <f ca="1">data0!F30/Calculations!M$2/Cal!$G30</f>
        <v>1.1498965739203693E-2</v>
      </c>
      <c r="N31">
        <f ca="1">data0!G30/Calculations!N$2/Cal!$G30</f>
        <v>1.0232705071030539E-2</v>
      </c>
      <c r="O31">
        <f ca="1">data0!H30/Calculations!O$2/Cal!$G30</f>
        <v>8.0723996488990552E-3</v>
      </c>
      <c r="P31">
        <f ca="1">data0!I30/Calculations!P$2/Cal!$G30</f>
        <v>9.4429977763897405E-3</v>
      </c>
      <c r="Q31">
        <f ca="1">data0!J30/Calculations!Q$2/Cal!$G30</f>
        <v>1.2349777159164141E-2</v>
      </c>
      <c r="R31">
        <f ca="1">data0!K30/Calculations!R$2/Cal!$G30</f>
        <v>1.3082833088163225E-2</v>
      </c>
      <c r="S31">
        <f ca="1">data0!L30/Calculations!S$2/Cal!$G30</f>
        <v>1.3336446257804981E-2</v>
      </c>
      <c r="T31">
        <f ca="1">data0!M30/Calculations!T$2/Cal!$G30</f>
        <v>1.3406649756961457E-2</v>
      </c>
      <c r="U31">
        <f ca="1">data0!N30/Calculations!U$2/Cal!$G30</f>
        <v>1.3329497740274849E-2</v>
      </c>
      <c r="V31">
        <f ca="1">data0!O30/Calculations!V$2/Cal!$G30</f>
        <v>1.3510594647505305E-2</v>
      </c>
      <c r="W31">
        <f ca="1">data0!P30/Calculations!W$2/Cal!$G30</f>
        <v>1.3565852197492335E-2</v>
      </c>
      <c r="X31">
        <f ca="1">data0!Q30/Calculations!X$2/Cal!$G30</f>
        <v>1.3771757451592006E-2</v>
      </c>
      <c r="Y31">
        <f ca="1">data0!R30/Calculations!Y$2/Cal!$G30</f>
        <v>1.3739467134655901E-2</v>
      </c>
      <c r="Z31">
        <f ca="1">data0!S30/Calculations!Z$2/Cal!$G30</f>
        <v>1.0500427156460327E-2</v>
      </c>
      <c r="AA31">
        <f ca="1">data0!T30/Calculations!AA$2/Cal!$G30</f>
        <v>8.2068124189875642E-3</v>
      </c>
      <c r="AB31">
        <f ca="1">data0!U30/Calculations!AB$2/Cal!$G30</f>
        <v>1.1982131738213529E-2</v>
      </c>
      <c r="AC31">
        <f ca="1">data0!V30/Calculations!AC$2/Cal!$G30</f>
        <v>1.0045216903783396E-2</v>
      </c>
      <c r="AD31">
        <f ca="1">data0!W30/Calculations!AD$2/Cal!$G30</f>
        <v>9.5879783846546541E-3</v>
      </c>
      <c r="AE31">
        <f ca="1">data0!X30/Calculations!AE$2/Cal!$G30</f>
        <v>7.6986740428721286E-3</v>
      </c>
      <c r="AF31">
        <f ca="1">data0!Y30/Calculations!AF$2/Cal!$G30</f>
        <v>1.1620037691714762E-2</v>
      </c>
      <c r="AG31">
        <f ca="1">data0!Z30/Calculations!AG$2/Cal!$G30</f>
        <v>9.9189597645780343E-3</v>
      </c>
      <c r="AH31" t="e">
        <f ca="1">data0!AA30/Calculations!AH$2/Cal!$G30</f>
        <v>#DIV/0!</v>
      </c>
      <c r="AI31" t="e">
        <f ca="1">data0!AB30/Calculations!AI$2/Cal!$G30</f>
        <v>#DIV/0!</v>
      </c>
      <c r="AJ31" t="e">
        <f ca="1">data0!AC30/Calculations!AJ$2/Cal!$G30</f>
        <v>#DIV/0!</v>
      </c>
      <c r="AK31" t="e">
        <f ca="1">data0!AD30/Calculations!AK$2/Cal!$G30</f>
        <v>#DIV/0!</v>
      </c>
      <c r="AL31" t="e">
        <f ca="1">data0!AE30/Calculations!AL$2/Cal!$G30</f>
        <v>#DIV/0!</v>
      </c>
      <c r="AM31" t="e">
        <f ca="1">data0!AF30/Calculations!AM$2/Cal!$G30</f>
        <v>#DIV/0!</v>
      </c>
      <c r="AN31" t="e">
        <f ca="1">data0!AG30/Calculations!AN$2/Cal!$G30</f>
        <v>#DIV/0!</v>
      </c>
    </row>
    <row r="32" spans="1:40">
      <c r="A32">
        <f>data0!A31</f>
        <v>445</v>
      </c>
      <c r="B32" t="e">
        <f t="shared" ca="1" si="0"/>
        <v>#DIV/0!</v>
      </c>
      <c r="C32" t="e">
        <f t="shared" ca="1" si="1"/>
        <v>#DIV/0!</v>
      </c>
      <c r="D32" t="e">
        <f t="shared" ca="1" si="2"/>
        <v>#DIV/0!</v>
      </c>
      <c r="F32" t="e">
        <f t="shared" ca="1" si="3"/>
        <v>#DIV/0!</v>
      </c>
      <c r="G32" t="e">
        <f t="shared" ca="1" si="4"/>
        <v>#DIV/0!</v>
      </c>
      <c r="I32">
        <f ca="1">data0!B31/Calculations!I$2/Cal!$G31</f>
        <v>1.1749703986451008E-2</v>
      </c>
      <c r="J32">
        <f ca="1">data0!C31/Calculations!J$2/Cal!$G31</f>
        <v>8.8260153360994621E-3</v>
      </c>
      <c r="K32">
        <f ca="1">data0!D31/Calculations!K$2/Cal!$G31</f>
        <v>7.680030187435378E-3</v>
      </c>
      <c r="L32">
        <f ca="1">data0!E31/Calculations!L$2/Cal!$G31</f>
        <v>6.1005248688302668E-3</v>
      </c>
      <c r="M32">
        <f ca="1">data0!F31/Calculations!M$2/Cal!$G31</f>
        <v>1.2122373694628945E-2</v>
      </c>
      <c r="N32">
        <f ca="1">data0!G31/Calculations!N$2/Cal!$G31</f>
        <v>1.0881436023154332E-2</v>
      </c>
      <c r="O32">
        <f ca="1">data0!H31/Calculations!O$2/Cal!$G31</f>
        <v>1.0330350665601855E-2</v>
      </c>
      <c r="P32">
        <f ca="1">data0!I31/Calculations!P$2/Cal!$G31</f>
        <v>8.6768138113858095E-3</v>
      </c>
      <c r="Q32">
        <f ca="1">data0!J31/Calculations!Q$2/Cal!$G31</f>
        <v>1.1358769153605404E-2</v>
      </c>
      <c r="R32">
        <f ca="1">data0!K31/Calculations!R$2/Cal!$G31</f>
        <v>1.3614789664688043E-2</v>
      </c>
      <c r="S32">
        <f ca="1">data0!L31/Calculations!S$2/Cal!$G31</f>
        <v>1.4488768684607887E-2</v>
      </c>
      <c r="T32">
        <f ca="1">data0!M31/Calculations!T$2/Cal!$G31</f>
        <v>1.4672927842488881E-2</v>
      </c>
      <c r="U32">
        <f ca="1">data0!N31/Calculations!U$2/Cal!$G31</f>
        <v>1.4588488702639102E-2</v>
      </c>
      <c r="V32">
        <f ca="1">data0!O31/Calculations!V$2/Cal!$G31</f>
        <v>1.4732327338264377E-2</v>
      </c>
      <c r="W32">
        <f ca="1">data0!P31/Calculations!W$2/Cal!$G31</f>
        <v>1.4636789525053538E-2</v>
      </c>
      <c r="X32">
        <f ca="1">data0!Q31/Calculations!X$2/Cal!$G31</f>
        <v>1.4706933680255217E-2</v>
      </c>
      <c r="Y32">
        <f ca="1">data0!R31/Calculations!Y$2/Cal!$G31</f>
        <v>1.2700115270735576E-2</v>
      </c>
      <c r="Z32">
        <f ca="1">data0!S31/Calculations!Z$2/Cal!$G31</f>
        <v>8.6508429578378808E-3</v>
      </c>
      <c r="AA32">
        <f ca="1">data0!T31/Calculations!AA$2/Cal!$G31</f>
        <v>1.1679166646985021E-2</v>
      </c>
      <c r="AB32">
        <f ca="1">data0!U31/Calculations!AB$2/Cal!$G31</f>
        <v>1.2078859505848539E-2</v>
      </c>
      <c r="AC32">
        <f ca="1">data0!V31/Calculations!AC$2/Cal!$G31</f>
        <v>1.1012827146403083E-2</v>
      </c>
      <c r="AD32">
        <f ca="1">data0!W31/Calculations!AD$2/Cal!$G31</f>
        <v>9.4379061823666958E-3</v>
      </c>
      <c r="AE32">
        <f ca="1">data0!X31/Calculations!AE$2/Cal!$G31</f>
        <v>9.9031367317477179E-3</v>
      </c>
      <c r="AF32">
        <f ca="1">data0!Y31/Calculations!AF$2/Cal!$G31</f>
        <v>1.1852585138261991E-2</v>
      </c>
      <c r="AG32">
        <f ca="1">data0!Z31/Calculations!AG$2/Cal!$G31</f>
        <v>1.1673997628905707E-2</v>
      </c>
      <c r="AH32" t="e">
        <f ca="1">data0!AA31/Calculations!AH$2/Cal!$G31</f>
        <v>#DIV/0!</v>
      </c>
      <c r="AI32" t="e">
        <f ca="1">data0!AB31/Calculations!AI$2/Cal!$G31</f>
        <v>#DIV/0!</v>
      </c>
      <c r="AJ32" t="e">
        <f ca="1">data0!AC31/Calculations!AJ$2/Cal!$G31</f>
        <v>#DIV/0!</v>
      </c>
      <c r="AK32" t="e">
        <f ca="1">data0!AD31/Calculations!AK$2/Cal!$G31</f>
        <v>#DIV/0!</v>
      </c>
      <c r="AL32" t="e">
        <f ca="1">data0!AE31/Calculations!AL$2/Cal!$G31</f>
        <v>#DIV/0!</v>
      </c>
      <c r="AM32" t="e">
        <f ca="1">data0!AF31/Calculations!AM$2/Cal!$G31</f>
        <v>#DIV/0!</v>
      </c>
      <c r="AN32" t="e">
        <f ca="1">data0!AG31/Calculations!AN$2/Cal!$G31</f>
        <v>#DIV/0!</v>
      </c>
    </row>
    <row r="33" spans="1:40">
      <c r="A33">
        <f>data0!A32</f>
        <v>450</v>
      </c>
      <c r="B33" t="e">
        <f t="shared" ca="1" si="0"/>
        <v>#DIV/0!</v>
      </c>
      <c r="C33" t="e">
        <f t="shared" ca="1" si="1"/>
        <v>#DIV/0!</v>
      </c>
      <c r="D33" t="e">
        <f t="shared" ca="1" si="2"/>
        <v>#DIV/0!</v>
      </c>
      <c r="F33" t="e">
        <f t="shared" ca="1" si="3"/>
        <v>#DIV/0!</v>
      </c>
      <c r="G33" t="e">
        <f t="shared" ca="1" si="4"/>
        <v>#DIV/0!</v>
      </c>
      <c r="I33">
        <f ca="1">data0!B32/Calculations!I$2/Cal!$G32</f>
        <v>1.3819244106962515E-2</v>
      </c>
      <c r="J33">
        <f ca="1">data0!C32/Calculations!J$2/Cal!$G32</f>
        <v>9.9653659315418527E-3</v>
      </c>
      <c r="K33">
        <f ca="1">data0!D32/Calculations!K$2/Cal!$G32</f>
        <v>8.0291162696970227E-3</v>
      </c>
      <c r="L33">
        <f ca="1">data0!E32/Calculations!L$2/Cal!$G32</f>
        <v>6.4676454552655771E-3</v>
      </c>
      <c r="M33">
        <f ca="1">data0!F32/Calculations!M$2/Cal!$G32</f>
        <v>1.2625008919366063E-2</v>
      </c>
      <c r="N33">
        <f ca="1">data0!G32/Calculations!N$2/Cal!$G32</f>
        <v>1.0931661443376652E-2</v>
      </c>
      <c r="O33">
        <f ca="1">data0!H32/Calculations!O$2/Cal!$G32</f>
        <v>1.2137301970123087E-2</v>
      </c>
      <c r="P33">
        <f ca="1">data0!I32/Calculations!P$2/Cal!$G32</f>
        <v>1.0280701522022638E-2</v>
      </c>
      <c r="Q33">
        <f ca="1">data0!J32/Calculations!Q$2/Cal!$G32</f>
        <v>9.775825441593727E-3</v>
      </c>
      <c r="R33">
        <f ca="1">data0!K32/Calculations!R$2/Cal!$G32</f>
        <v>1.245442910112524E-2</v>
      </c>
      <c r="S33">
        <f ca="1">data0!L32/Calculations!S$2/Cal!$G32</f>
        <v>1.4591934412664738E-2</v>
      </c>
      <c r="T33">
        <f ca="1">data0!M32/Calculations!T$2/Cal!$G32</f>
        <v>1.5379344553061371E-2</v>
      </c>
      <c r="U33">
        <f ca="1">data0!N32/Calculations!U$2/Cal!$G32</f>
        <v>1.5442233910960832E-2</v>
      </c>
      <c r="V33">
        <f ca="1">data0!O32/Calculations!V$2/Cal!$G32</f>
        <v>1.5549734945930253E-2</v>
      </c>
      <c r="W33">
        <f ca="1">data0!P32/Calculations!W$2/Cal!$G32</f>
        <v>1.5112960980194212E-2</v>
      </c>
      <c r="X33">
        <f ca="1">data0!Q32/Calculations!X$2/Cal!$G32</f>
        <v>1.3520978934835812E-2</v>
      </c>
      <c r="Y33">
        <f ca="1">data0!R32/Calculations!Y$2/Cal!$G32</f>
        <v>1.0004353780571372E-2</v>
      </c>
      <c r="Z33">
        <f ca="1">data0!S32/Calculations!Z$2/Cal!$G32</f>
        <v>1.0963611930359251E-2</v>
      </c>
      <c r="AA33">
        <f ca="1">data0!T32/Calculations!AA$2/Cal!$G32</f>
        <v>1.4097032671643426E-2</v>
      </c>
      <c r="AB33">
        <f ca="1">data0!U32/Calculations!AB$2/Cal!$G32</f>
        <v>1.1653554249301324E-2</v>
      </c>
      <c r="AC33">
        <f ca="1">data0!V32/Calculations!AC$2/Cal!$G32</f>
        <v>1.1763986776582655E-2</v>
      </c>
      <c r="AD33">
        <f ca="1">data0!W32/Calculations!AD$2/Cal!$G32</f>
        <v>9.5880474568036111E-3</v>
      </c>
      <c r="AE33">
        <f ca="1">data0!X32/Calculations!AE$2/Cal!$G32</f>
        <v>1.1719475986443254E-2</v>
      </c>
      <c r="AF33">
        <f ca="1">data0!Y32/Calculations!AF$2/Cal!$G32</f>
        <v>1.2010057832035155E-2</v>
      </c>
      <c r="AG33">
        <f ca="1">data0!Z32/Calculations!AG$2/Cal!$G32</f>
        <v>1.3180994347491159E-2</v>
      </c>
      <c r="AH33" t="e">
        <f ca="1">data0!AA32/Calculations!AH$2/Cal!$G32</f>
        <v>#DIV/0!</v>
      </c>
      <c r="AI33" t="e">
        <f ca="1">data0!AB32/Calculations!AI$2/Cal!$G32</f>
        <v>#DIV/0!</v>
      </c>
      <c r="AJ33" t="e">
        <f ca="1">data0!AC32/Calculations!AJ$2/Cal!$G32</f>
        <v>#DIV/0!</v>
      </c>
      <c r="AK33" t="e">
        <f ca="1">data0!AD32/Calculations!AK$2/Cal!$G32</f>
        <v>#DIV/0!</v>
      </c>
      <c r="AL33" t="e">
        <f ca="1">data0!AE32/Calculations!AL$2/Cal!$G32</f>
        <v>#DIV/0!</v>
      </c>
      <c r="AM33" t="e">
        <f ca="1">data0!AF32/Calculations!AM$2/Cal!$G32</f>
        <v>#DIV/0!</v>
      </c>
      <c r="AN33" t="e">
        <f ca="1">data0!AG32/Calculations!AN$2/Cal!$G32</f>
        <v>#DIV/0!</v>
      </c>
    </row>
    <row r="34" spans="1:40">
      <c r="A34">
        <f>data0!A33</f>
        <v>455</v>
      </c>
      <c r="B34" t="e">
        <f t="shared" ca="1" si="0"/>
        <v>#DIV/0!</v>
      </c>
      <c r="C34" t="e">
        <f t="shared" ca="1" si="1"/>
        <v>#DIV/0!</v>
      </c>
      <c r="D34" t="e">
        <f t="shared" ca="1" si="2"/>
        <v>#DIV/0!</v>
      </c>
      <c r="F34" t="e">
        <f t="shared" ca="1" si="3"/>
        <v>#DIV/0!</v>
      </c>
      <c r="G34" t="e">
        <f t="shared" ca="1" si="4"/>
        <v>#DIV/0!</v>
      </c>
      <c r="I34">
        <f ca="1">data0!B33/Calculations!I$2/Cal!$G33</f>
        <v>1.3185821762033326E-2</v>
      </c>
      <c r="J34">
        <f ca="1">data0!C33/Calculations!J$2/Cal!$G33</f>
        <v>9.5085909149362491E-3</v>
      </c>
      <c r="K34">
        <f ca="1">data0!D33/Calculations!K$2/Cal!$G33</f>
        <v>9.1933098652880307E-3</v>
      </c>
      <c r="L34">
        <f ca="1">data0!E33/Calculations!L$2/Cal!$G33</f>
        <v>7.6368511386188959E-3</v>
      </c>
      <c r="M34">
        <f ca="1">data0!F33/Calculations!M$2/Cal!$G33</f>
        <v>1.3043263757932856E-2</v>
      </c>
      <c r="N34">
        <f ca="1">data0!G33/Calculations!N$2/Cal!$G33</f>
        <v>1.1702619064316395E-2</v>
      </c>
      <c r="O34">
        <f ca="1">data0!H33/Calculations!O$2/Cal!$G33</f>
        <v>1.2686211306953576E-2</v>
      </c>
      <c r="P34">
        <f ca="1">data0!I33/Calculations!P$2/Cal!$G33</f>
        <v>1.3367810517786016E-2</v>
      </c>
      <c r="Q34">
        <f ca="1">data0!J33/Calculations!Q$2/Cal!$G33</f>
        <v>1.0874306203649386E-2</v>
      </c>
      <c r="R34">
        <f ca="1">data0!K33/Calculations!R$2/Cal!$G33</f>
        <v>1.0719460521662567E-2</v>
      </c>
      <c r="S34">
        <f ca="1">data0!L33/Calculations!S$2/Cal!$G33</f>
        <v>1.3152266076261219E-2</v>
      </c>
      <c r="T34">
        <f ca="1">data0!M33/Calculations!T$2/Cal!$G33</f>
        <v>1.4819703596307288E-2</v>
      </c>
      <c r="U34">
        <f ca="1">data0!N33/Calculations!U$2/Cal!$G33</f>
        <v>1.5360392514705721E-2</v>
      </c>
      <c r="V34">
        <f ca="1">data0!O33/Calculations!V$2/Cal!$G33</f>
        <v>1.5178633599827967E-2</v>
      </c>
      <c r="W34">
        <f ca="1">data0!P33/Calculations!W$2/Cal!$G33</f>
        <v>1.3435921759136903E-2</v>
      </c>
      <c r="X34">
        <f ca="1">data0!Q33/Calculations!X$2/Cal!$G33</f>
        <v>1.0885411203518457E-2</v>
      </c>
      <c r="Y34">
        <f ca="1">data0!R33/Calculations!Y$2/Cal!$G33</f>
        <v>1.1295853754815004E-2</v>
      </c>
      <c r="Z34">
        <f ca="1">data0!S33/Calculations!Z$2/Cal!$G33</f>
        <v>1.526895045092133E-2</v>
      </c>
      <c r="AA34">
        <f ca="1">data0!T33/Calculations!AA$2/Cal!$G33</f>
        <v>1.3980439400634388E-2</v>
      </c>
      <c r="AB34">
        <f ca="1">data0!U33/Calculations!AB$2/Cal!$G33</f>
        <v>1.3046027545684482E-2</v>
      </c>
      <c r="AC34">
        <f ca="1">data0!V33/Calculations!AC$2/Cal!$G33</f>
        <v>1.1806364672929816E-2</v>
      </c>
      <c r="AD34">
        <f ca="1">data0!W33/Calculations!AD$2/Cal!$G33</f>
        <v>1.227995594619914E-2</v>
      </c>
      <c r="AE34">
        <f ca="1">data0!X33/Calculations!AE$2/Cal!$G33</f>
        <v>1.1915564634593602E-2</v>
      </c>
      <c r="AF34">
        <f ca="1">data0!Y33/Calculations!AF$2/Cal!$G33</f>
        <v>1.3915182818186919E-2</v>
      </c>
      <c r="AG34">
        <f ca="1">data0!Z33/Calculations!AG$2/Cal!$G33</f>
        <v>1.2576826978895382E-2</v>
      </c>
      <c r="AH34" t="e">
        <f ca="1">data0!AA33/Calculations!AH$2/Cal!$G33</f>
        <v>#DIV/0!</v>
      </c>
      <c r="AI34" t="e">
        <f ca="1">data0!AB33/Calculations!AI$2/Cal!$G33</f>
        <v>#DIV/0!</v>
      </c>
      <c r="AJ34" t="e">
        <f ca="1">data0!AC33/Calculations!AJ$2/Cal!$G33</f>
        <v>#DIV/0!</v>
      </c>
      <c r="AK34" t="e">
        <f ca="1">data0!AD33/Calculations!AK$2/Cal!$G33</f>
        <v>#DIV/0!</v>
      </c>
      <c r="AL34" t="e">
        <f ca="1">data0!AE33/Calculations!AL$2/Cal!$G33</f>
        <v>#DIV/0!</v>
      </c>
      <c r="AM34" t="e">
        <f ca="1">data0!AF33/Calculations!AM$2/Cal!$G33</f>
        <v>#DIV/0!</v>
      </c>
      <c r="AN34" t="e">
        <f ca="1">data0!AG33/Calculations!AN$2/Cal!$G33</f>
        <v>#DIV/0!</v>
      </c>
    </row>
    <row r="35" spans="1:40">
      <c r="A35">
        <f>data0!A34</f>
        <v>460</v>
      </c>
      <c r="B35" t="e">
        <f t="shared" ca="1" si="0"/>
        <v>#DIV/0!</v>
      </c>
      <c r="C35" t="e">
        <f t="shared" ca="1" si="1"/>
        <v>#DIV/0!</v>
      </c>
      <c r="D35" t="e">
        <f t="shared" ca="1" si="2"/>
        <v>#DIV/0!</v>
      </c>
      <c r="F35" t="e">
        <f t="shared" ca="1" si="3"/>
        <v>#DIV/0!</v>
      </c>
      <c r="G35" t="e">
        <f t="shared" ca="1" si="4"/>
        <v>#DIV/0!</v>
      </c>
      <c r="I35">
        <f ca="1">data0!B34/Calculations!I$2/Cal!$G34</f>
        <v>1.5079645583400501E-2</v>
      </c>
      <c r="J35">
        <f ca="1">data0!C34/Calculations!J$2/Cal!$G34</f>
        <v>1.0572206623648064E-2</v>
      </c>
      <c r="K35">
        <f ca="1">data0!D34/Calculations!K$2/Cal!$G34</f>
        <v>1.0221658742135386E-2</v>
      </c>
      <c r="L35">
        <f ca="1">data0!E34/Calculations!L$2/Cal!$G34</f>
        <v>9.4835625356633237E-3</v>
      </c>
      <c r="M35">
        <f ca="1">data0!F34/Calculations!M$2/Cal!$G34</f>
        <v>1.433071597145129E-2</v>
      </c>
      <c r="N35">
        <f ca="1">data0!G34/Calculations!N$2/Cal!$G34</f>
        <v>1.2850019869310891E-2</v>
      </c>
      <c r="O35">
        <f ca="1">data0!H34/Calculations!O$2/Cal!$G34</f>
        <v>1.3326733041444428E-2</v>
      </c>
      <c r="P35">
        <f ca="1">data0!I34/Calculations!P$2/Cal!$G34</f>
        <v>1.5214450355918301E-2</v>
      </c>
      <c r="Q35">
        <f ca="1">data0!J34/Calculations!Q$2/Cal!$G34</f>
        <v>1.5015483749243008E-2</v>
      </c>
      <c r="R35">
        <f ca="1">data0!K34/Calculations!R$2/Cal!$G34</f>
        <v>1.2249806605321635E-2</v>
      </c>
      <c r="S35">
        <f ca="1">data0!L34/Calculations!S$2/Cal!$G34</f>
        <v>1.1753862779936928E-2</v>
      </c>
      <c r="T35">
        <f ca="1">data0!M34/Calculations!T$2/Cal!$G34</f>
        <v>1.2600373694224995E-2</v>
      </c>
      <c r="U35">
        <f ca="1">data0!N34/Calculations!U$2/Cal!$G34</f>
        <v>1.3078537182466972E-2</v>
      </c>
      <c r="V35">
        <f ca="1">data0!O34/Calculations!V$2/Cal!$G34</f>
        <v>1.2605042113805826E-2</v>
      </c>
      <c r="W35">
        <f ca="1">data0!P34/Calculations!W$2/Cal!$G34</f>
        <v>1.1444513732097771E-2</v>
      </c>
      <c r="X35">
        <f ca="1">data0!Q34/Calculations!X$2/Cal!$G34</f>
        <v>1.2439231346912119E-2</v>
      </c>
      <c r="Y35">
        <f ca="1">data0!R34/Calculations!Y$2/Cal!$G34</f>
        <v>1.6729006949798793E-2</v>
      </c>
      <c r="Z35">
        <f ca="1">data0!S34/Calculations!Z$2/Cal!$G34</f>
        <v>1.716992685548396E-2</v>
      </c>
      <c r="AA35">
        <f ca="1">data0!T34/Calculations!AA$2/Cal!$G34</f>
        <v>1.4333026879340512E-2</v>
      </c>
      <c r="AB35">
        <f ca="1">data0!U34/Calculations!AB$2/Cal!$G34</f>
        <v>1.4584025555868366E-2</v>
      </c>
      <c r="AC35">
        <f ca="1">data0!V34/Calculations!AC$2/Cal!$G34</f>
        <v>1.2304835870390964E-2</v>
      </c>
      <c r="AD35">
        <f ca="1">data0!W34/Calculations!AD$2/Cal!$G34</f>
        <v>1.6091709929301787E-2</v>
      </c>
      <c r="AE35">
        <f ca="1">data0!X34/Calculations!AE$2/Cal!$G34</f>
        <v>1.1617846700029664E-2</v>
      </c>
      <c r="AF35">
        <f ca="1">data0!Y34/Calculations!AF$2/Cal!$G34</f>
        <v>1.6381813406220212E-2</v>
      </c>
      <c r="AG35">
        <f ca="1">data0!Z34/Calculations!AG$2/Cal!$G34</f>
        <v>1.3983650646058414E-2</v>
      </c>
      <c r="AH35" t="e">
        <f ca="1">data0!AA34/Calculations!AH$2/Cal!$G34</f>
        <v>#DIV/0!</v>
      </c>
      <c r="AI35" t="e">
        <f ca="1">data0!AB34/Calculations!AI$2/Cal!$G34</f>
        <v>#DIV/0!</v>
      </c>
      <c r="AJ35" t="e">
        <f ca="1">data0!AC34/Calculations!AJ$2/Cal!$G34</f>
        <v>#DIV/0!</v>
      </c>
      <c r="AK35" t="e">
        <f ca="1">data0!AD34/Calculations!AK$2/Cal!$G34</f>
        <v>#DIV/0!</v>
      </c>
      <c r="AL35" t="e">
        <f ca="1">data0!AE34/Calculations!AL$2/Cal!$G34</f>
        <v>#DIV/0!</v>
      </c>
      <c r="AM35" t="e">
        <f ca="1">data0!AF34/Calculations!AM$2/Cal!$G34</f>
        <v>#DIV/0!</v>
      </c>
      <c r="AN35" t="e">
        <f ca="1">data0!AG34/Calculations!AN$2/Cal!$G34</f>
        <v>#DIV/0!</v>
      </c>
    </row>
    <row r="36" spans="1:40">
      <c r="A36">
        <f>data0!A35</f>
        <v>465</v>
      </c>
      <c r="B36" t="e">
        <f t="shared" ca="1" si="0"/>
        <v>#DIV/0!</v>
      </c>
      <c r="C36" t="e">
        <f t="shared" ca="1" si="1"/>
        <v>#DIV/0!</v>
      </c>
      <c r="D36" t="e">
        <f t="shared" ca="1" si="2"/>
        <v>#DIV/0!</v>
      </c>
      <c r="F36" t="e">
        <f t="shared" ca="1" si="3"/>
        <v>#DIV/0!</v>
      </c>
      <c r="G36" t="e">
        <f t="shared" ca="1" si="4"/>
        <v>#DIV/0!</v>
      </c>
      <c r="I36">
        <f ca="1">data0!B35/Calculations!I$2/Cal!$G35</f>
        <v>1.6492777174223348E-2</v>
      </c>
      <c r="J36">
        <f ca="1">data0!C35/Calculations!J$2/Cal!$G35</f>
        <v>1.1326962378940797E-2</v>
      </c>
      <c r="K36">
        <f ca="1">data0!D35/Calculations!K$2/Cal!$G35</f>
        <v>1.0951388687727657E-2</v>
      </c>
      <c r="L36">
        <f ca="1">data0!E35/Calculations!L$2/Cal!$G35</f>
        <v>1.0682412849885801E-2</v>
      </c>
      <c r="M36">
        <f ca="1">data0!F35/Calculations!M$2/Cal!$G35</f>
        <v>1.7220000807520387E-2</v>
      </c>
      <c r="N36">
        <f ca="1">data0!G35/Calculations!N$2/Cal!$G35</f>
        <v>1.3410216608946137E-2</v>
      </c>
      <c r="O36">
        <f ca="1">data0!H35/Calculations!O$2/Cal!$G35</f>
        <v>1.463999645772482E-2</v>
      </c>
      <c r="P36">
        <f ca="1">data0!I35/Calculations!P$2/Cal!$G35</f>
        <v>1.5594832366035901E-2</v>
      </c>
      <c r="Q36">
        <f ca="1">data0!J35/Calculations!Q$2/Cal!$G35</f>
        <v>1.7876313283061537E-2</v>
      </c>
      <c r="R36">
        <f ca="1">data0!K35/Calculations!R$2/Cal!$G35</f>
        <v>1.6944000822999735E-2</v>
      </c>
      <c r="S36">
        <f ca="1">data0!L35/Calculations!S$2/Cal!$G35</f>
        <v>1.4505289644892606E-2</v>
      </c>
      <c r="T36">
        <f ca="1">data0!M35/Calculations!T$2/Cal!$G35</f>
        <v>1.3197038665888099E-2</v>
      </c>
      <c r="U36">
        <f ca="1">data0!N35/Calculations!U$2/Cal!$G35</f>
        <v>1.2776933774771385E-2</v>
      </c>
      <c r="V36">
        <f ca="1">data0!O35/Calculations!V$2/Cal!$G35</f>
        <v>1.3037732867193126E-2</v>
      </c>
      <c r="W36">
        <f ca="1">data0!P35/Calculations!W$2/Cal!$G35</f>
        <v>1.4466361154364202E-2</v>
      </c>
      <c r="X36">
        <f ca="1">data0!Q35/Calculations!X$2/Cal!$G35</f>
        <v>1.8009831481435971E-2</v>
      </c>
      <c r="Y36">
        <f ca="1">data0!R35/Calculations!Y$2/Cal!$G35</f>
        <v>2.0231398545768251E-2</v>
      </c>
      <c r="Z36">
        <f ca="1">data0!S35/Calculations!Z$2/Cal!$G35</f>
        <v>1.6709874095580432E-2</v>
      </c>
      <c r="AA36">
        <f ca="1">data0!T35/Calculations!AA$2/Cal!$G35</f>
        <v>1.6512045617108621E-2</v>
      </c>
      <c r="AB36">
        <f ca="1">data0!U35/Calculations!AB$2/Cal!$G35</f>
        <v>1.4950720252567334E-2</v>
      </c>
      <c r="AC36">
        <f ca="1">data0!V35/Calculations!AC$2/Cal!$G35</f>
        <v>1.548442165009448E-2</v>
      </c>
      <c r="AD36">
        <f ca="1">data0!W35/Calculations!AD$2/Cal!$G35</f>
        <v>1.7553970611277014E-2</v>
      </c>
      <c r="AE36">
        <f ca="1">data0!X35/Calculations!AE$2/Cal!$G35</f>
        <v>1.351181867903066E-2</v>
      </c>
      <c r="AF36">
        <f ca="1">data0!Y35/Calculations!AF$2/Cal!$G35</f>
        <v>1.8282625142892903E-2</v>
      </c>
      <c r="AG36">
        <f ca="1">data0!Z35/Calculations!AG$2/Cal!$G35</f>
        <v>1.6854696014461979E-2</v>
      </c>
      <c r="AH36" t="e">
        <f ca="1">data0!AA35/Calculations!AH$2/Cal!$G35</f>
        <v>#DIV/0!</v>
      </c>
      <c r="AI36" t="e">
        <f ca="1">data0!AB35/Calculations!AI$2/Cal!$G35</f>
        <v>#DIV/0!</v>
      </c>
      <c r="AJ36" t="e">
        <f ca="1">data0!AC35/Calculations!AJ$2/Cal!$G35</f>
        <v>#DIV/0!</v>
      </c>
      <c r="AK36" t="e">
        <f ca="1">data0!AD35/Calculations!AK$2/Cal!$G35</f>
        <v>#DIV/0!</v>
      </c>
      <c r="AL36" t="e">
        <f ca="1">data0!AE35/Calculations!AL$2/Cal!$G35</f>
        <v>#DIV/0!</v>
      </c>
      <c r="AM36" t="e">
        <f ca="1">data0!AF35/Calculations!AM$2/Cal!$G35</f>
        <v>#DIV/0!</v>
      </c>
      <c r="AN36" t="e">
        <f ca="1">data0!AG35/Calculations!AN$2/Cal!$G35</f>
        <v>#DIV/0!</v>
      </c>
    </row>
    <row r="37" spans="1:40">
      <c r="A37">
        <f>data0!A36</f>
        <v>470</v>
      </c>
      <c r="B37" t="e">
        <f t="shared" ca="1" si="0"/>
        <v>#DIV/0!</v>
      </c>
      <c r="C37" t="e">
        <f t="shared" ca="1" si="1"/>
        <v>#DIV/0!</v>
      </c>
      <c r="D37" t="e">
        <f t="shared" ca="1" si="2"/>
        <v>#DIV/0!</v>
      </c>
      <c r="F37" t="e">
        <f t="shared" ca="1" si="3"/>
        <v>#DIV/0!</v>
      </c>
      <c r="G37" t="e">
        <f t="shared" ca="1" si="4"/>
        <v>#DIV/0!</v>
      </c>
      <c r="I37">
        <f ca="1">data0!B36/Calculations!I$2/Cal!$G36</f>
        <v>1.7922414898373786E-2</v>
      </c>
      <c r="J37">
        <f ca="1">data0!C36/Calculations!J$2/Cal!$G36</f>
        <v>1.3462765439486084E-2</v>
      </c>
      <c r="K37">
        <f ca="1">data0!D36/Calculations!K$2/Cal!$G36</f>
        <v>1.2365555240359765E-2</v>
      </c>
      <c r="L37">
        <f ca="1">data0!E36/Calculations!L$2/Cal!$G36</f>
        <v>1.1271375377886972E-2</v>
      </c>
      <c r="M37">
        <f ca="1">data0!F36/Calculations!M$2/Cal!$G36</f>
        <v>2.159620238228889E-2</v>
      </c>
      <c r="N37">
        <f ca="1">data0!G36/Calculations!N$2/Cal!$G36</f>
        <v>1.4739371697298175E-2</v>
      </c>
      <c r="O37">
        <f ca="1">data0!H36/Calculations!O$2/Cal!$G36</f>
        <v>1.6083982782201699E-2</v>
      </c>
      <c r="P37">
        <f ca="1">data0!I36/Calculations!P$2/Cal!$G36</f>
        <v>1.6870769981932311E-2</v>
      </c>
      <c r="Q37">
        <f ca="1">data0!J36/Calculations!Q$2/Cal!$G36</f>
        <v>1.8598872523677885E-2</v>
      </c>
      <c r="R37">
        <f ca="1">data0!K36/Calculations!R$2/Cal!$G36</f>
        <v>2.0520095047272164E-2</v>
      </c>
      <c r="S37">
        <f ca="1">data0!L36/Calculations!S$2/Cal!$G36</f>
        <v>2.0135964012203855E-2</v>
      </c>
      <c r="T37">
        <f ca="1">data0!M36/Calculations!T$2/Cal!$G36</f>
        <v>1.8637414484437346E-2</v>
      </c>
      <c r="U37">
        <f ca="1">data0!N36/Calculations!U$2/Cal!$G36</f>
        <v>1.7834768147532935E-2</v>
      </c>
      <c r="V37">
        <f ca="1">data0!O36/Calculations!V$2/Cal!$G36</f>
        <v>1.8823376137649912E-2</v>
      </c>
      <c r="W37">
        <f ca="1">data0!P36/Calculations!W$2/Cal!$G36</f>
        <v>2.0737474875752629E-2</v>
      </c>
      <c r="X37">
        <f ca="1">data0!Q36/Calculations!X$2/Cal!$G36</f>
        <v>2.2390414451113037E-2</v>
      </c>
      <c r="Y37">
        <f ca="1">data0!R36/Calculations!Y$2/Cal!$G36</f>
        <v>2.0228103440299121E-2</v>
      </c>
      <c r="Z37">
        <f ca="1">data0!S36/Calculations!Z$2/Cal!$G36</f>
        <v>1.8222449888849135E-2</v>
      </c>
      <c r="AA37">
        <f ca="1">data0!T36/Calculations!AA$2/Cal!$G36</f>
        <v>1.8129728194230924E-2</v>
      </c>
      <c r="AB37">
        <f ca="1">data0!U36/Calculations!AB$2/Cal!$G36</f>
        <v>1.5525206064918586E-2</v>
      </c>
      <c r="AC37">
        <f ca="1">data0!V36/Calculations!AC$2/Cal!$G36</f>
        <v>2.050395313294192E-2</v>
      </c>
      <c r="AD37">
        <f ca="1">data0!W36/Calculations!AD$2/Cal!$G36</f>
        <v>1.7264904314845887E-2</v>
      </c>
      <c r="AE37">
        <f ca="1">data0!X36/Calculations!AE$2/Cal!$G36</f>
        <v>1.7052370902825468E-2</v>
      </c>
      <c r="AF37">
        <f ca="1">data0!Y36/Calculations!AF$2/Cal!$G36</f>
        <v>2.0860782134534531E-2</v>
      </c>
      <c r="AG37">
        <f ca="1">data0!Z36/Calculations!AG$2/Cal!$G36</f>
        <v>1.7806936180617482E-2</v>
      </c>
      <c r="AH37" t="e">
        <f ca="1">data0!AA36/Calculations!AH$2/Cal!$G36</f>
        <v>#DIV/0!</v>
      </c>
      <c r="AI37" t="e">
        <f ca="1">data0!AB36/Calculations!AI$2/Cal!$G36</f>
        <v>#DIV/0!</v>
      </c>
      <c r="AJ37" t="e">
        <f ca="1">data0!AC36/Calculations!AJ$2/Cal!$G36</f>
        <v>#DIV/0!</v>
      </c>
      <c r="AK37" t="e">
        <f ca="1">data0!AD36/Calculations!AK$2/Cal!$G36</f>
        <v>#DIV/0!</v>
      </c>
      <c r="AL37" t="e">
        <f ca="1">data0!AE36/Calculations!AL$2/Cal!$G36</f>
        <v>#DIV/0!</v>
      </c>
      <c r="AM37" t="e">
        <f ca="1">data0!AF36/Calculations!AM$2/Cal!$G36</f>
        <v>#DIV/0!</v>
      </c>
      <c r="AN37" t="e">
        <f ca="1">data0!AG36/Calculations!AN$2/Cal!$G36</f>
        <v>#DIV/0!</v>
      </c>
    </row>
    <row r="38" spans="1:40">
      <c r="A38">
        <f>data0!A37</f>
        <v>475</v>
      </c>
      <c r="B38" t="e">
        <f t="shared" ca="1" si="0"/>
        <v>#DIV/0!</v>
      </c>
      <c r="C38" t="e">
        <f t="shared" ca="1" si="1"/>
        <v>#DIV/0!</v>
      </c>
      <c r="D38" t="e">
        <f t="shared" ca="1" si="2"/>
        <v>#DIV/0!</v>
      </c>
      <c r="F38" t="e">
        <f t="shared" ca="1" si="3"/>
        <v>#DIV/0!</v>
      </c>
      <c r="G38" t="e">
        <f t="shared" ca="1" si="4"/>
        <v>#DIV/0!</v>
      </c>
      <c r="I38">
        <f ca="1">data0!B37/Calculations!I$2/Cal!$G37</f>
        <v>1.7515379157730937E-2</v>
      </c>
      <c r="J38">
        <f ca="1">data0!C37/Calculations!J$2/Cal!$G37</f>
        <v>1.4472713887676207E-2</v>
      </c>
      <c r="K38">
        <f ca="1">data0!D37/Calculations!K$2/Cal!$G37</f>
        <v>1.3992834958549355E-2</v>
      </c>
      <c r="L38">
        <f ca="1">data0!E37/Calculations!L$2/Cal!$G37</f>
        <v>1.2296251209630333E-2</v>
      </c>
      <c r="M38">
        <f ca="1">data0!F37/Calculations!M$2/Cal!$G37</f>
        <v>2.4968219003457442E-2</v>
      </c>
      <c r="N38">
        <f ca="1">data0!G37/Calculations!N$2/Cal!$G37</f>
        <v>1.7910736448907408E-2</v>
      </c>
      <c r="O38">
        <f ca="1">data0!H37/Calculations!O$2/Cal!$G37</f>
        <v>1.6875658995524522E-2</v>
      </c>
      <c r="P38">
        <f ca="1">data0!I37/Calculations!P$2/Cal!$G37</f>
        <v>1.8922835807414436E-2</v>
      </c>
      <c r="Q38">
        <f ca="1">data0!J37/Calculations!Q$2/Cal!$G37</f>
        <v>1.9500587894489062E-2</v>
      </c>
      <c r="R38">
        <f ca="1">data0!K37/Calculations!R$2/Cal!$G37</f>
        <v>2.1382947267464376E-2</v>
      </c>
      <c r="S38">
        <f ca="1">data0!L37/Calculations!S$2/Cal!$G37</f>
        <v>2.367838266301675E-2</v>
      </c>
      <c r="T38">
        <f ca="1">data0!M37/Calculations!T$2/Cal!$G37</f>
        <v>2.4044274751600082E-2</v>
      </c>
      <c r="U38">
        <f ca="1">data0!N37/Calculations!U$2/Cal!$G37</f>
        <v>2.3905905783924951E-2</v>
      </c>
      <c r="V38">
        <f ca="1">data0!O37/Calculations!V$2/Cal!$G37</f>
        <v>2.4514331639829832E-2</v>
      </c>
      <c r="W38">
        <f ca="1">data0!P37/Calculations!W$2/Cal!$G37</f>
        <v>2.4475074057990376E-2</v>
      </c>
      <c r="X38">
        <f ca="1">data0!Q37/Calculations!X$2/Cal!$G37</f>
        <v>2.2635012223297318E-2</v>
      </c>
      <c r="Y38">
        <f ca="1">data0!R37/Calculations!Y$2/Cal!$G37</f>
        <v>2.0605240118505126E-2</v>
      </c>
      <c r="Z38">
        <f ca="1">data0!S37/Calculations!Z$2/Cal!$G37</f>
        <v>2.1273819708544799E-2</v>
      </c>
      <c r="AA38">
        <f ca="1">data0!T37/Calculations!AA$2/Cal!$G37</f>
        <v>1.8817115591583035E-2</v>
      </c>
      <c r="AB38">
        <f ca="1">data0!U37/Calculations!AB$2/Cal!$G37</f>
        <v>1.9057169162281163E-2</v>
      </c>
      <c r="AC38">
        <f ca="1">data0!V37/Calculations!AC$2/Cal!$G37</f>
        <v>2.3563094728763594E-2</v>
      </c>
      <c r="AD38">
        <f ca="1">data0!W37/Calculations!AD$2/Cal!$G37</f>
        <v>1.8198156949331291E-2</v>
      </c>
      <c r="AE38">
        <f ca="1">data0!X37/Calculations!AE$2/Cal!$G37</f>
        <v>1.9785042967084637E-2</v>
      </c>
      <c r="AF38">
        <f ca="1">data0!Y37/Calculations!AF$2/Cal!$G37</f>
        <v>2.24257143568725E-2</v>
      </c>
      <c r="AG38">
        <f ca="1">data0!Z37/Calculations!AG$2/Cal!$G37</f>
        <v>2.088302735101745E-2</v>
      </c>
      <c r="AH38" t="e">
        <f ca="1">data0!AA37/Calculations!AH$2/Cal!$G37</f>
        <v>#DIV/0!</v>
      </c>
      <c r="AI38" t="e">
        <f ca="1">data0!AB37/Calculations!AI$2/Cal!$G37</f>
        <v>#DIV/0!</v>
      </c>
      <c r="AJ38" t="e">
        <f ca="1">data0!AC37/Calculations!AJ$2/Cal!$G37</f>
        <v>#DIV/0!</v>
      </c>
      <c r="AK38" t="e">
        <f ca="1">data0!AD37/Calculations!AK$2/Cal!$G37</f>
        <v>#DIV/0!</v>
      </c>
      <c r="AL38" t="e">
        <f ca="1">data0!AE37/Calculations!AL$2/Cal!$G37</f>
        <v>#DIV/0!</v>
      </c>
      <c r="AM38" t="e">
        <f ca="1">data0!AF37/Calculations!AM$2/Cal!$G37</f>
        <v>#DIV/0!</v>
      </c>
      <c r="AN38" t="e">
        <f ca="1">data0!AG37/Calculations!AN$2/Cal!$G37</f>
        <v>#DIV/0!</v>
      </c>
    </row>
    <row r="39" spans="1:40">
      <c r="A39">
        <f>data0!A38</f>
        <v>480</v>
      </c>
      <c r="B39" t="e">
        <f t="shared" ca="1" si="0"/>
        <v>#DIV/0!</v>
      </c>
      <c r="C39" t="e">
        <f t="shared" ca="1" si="1"/>
        <v>#DIV/0!</v>
      </c>
      <c r="D39" t="e">
        <f t="shared" ca="1" si="2"/>
        <v>#DIV/0!</v>
      </c>
      <c r="F39" t="e">
        <f t="shared" ca="1" si="3"/>
        <v>#DIV/0!</v>
      </c>
      <c r="G39" t="e">
        <f t="shared" ca="1" si="4"/>
        <v>#DIV/0!</v>
      </c>
      <c r="I39">
        <f ca="1">data0!B38/Calculations!I$2/Cal!$G38</f>
        <v>1.8962251014401948E-2</v>
      </c>
      <c r="J39">
        <f ca="1">data0!C38/Calculations!J$2/Cal!$G38</f>
        <v>1.5193447849626739E-2</v>
      </c>
      <c r="K39">
        <f ca="1">data0!D38/Calculations!K$2/Cal!$G38</f>
        <v>1.5301740771264666E-2</v>
      </c>
      <c r="L39">
        <f ca="1">data0!E38/Calculations!L$2/Cal!$G38</f>
        <v>1.3435251026320823E-2</v>
      </c>
      <c r="M39">
        <f ca="1">data0!F38/Calculations!M$2/Cal!$G38</f>
        <v>2.489018049334216E-2</v>
      </c>
      <c r="N39">
        <f ca="1">data0!G38/Calculations!N$2/Cal!$G38</f>
        <v>2.1341487713762819E-2</v>
      </c>
      <c r="O39">
        <f ca="1">data0!H38/Calculations!O$2/Cal!$G38</f>
        <v>1.7506649081153357E-2</v>
      </c>
      <c r="P39">
        <f ca="1">data0!I38/Calculations!P$2/Cal!$G38</f>
        <v>1.94006846363559E-2</v>
      </c>
      <c r="Q39">
        <f ca="1">data0!J38/Calculations!Q$2/Cal!$G38</f>
        <v>2.0850813332639957E-2</v>
      </c>
      <c r="R39">
        <f ca="1">data0!K38/Calculations!R$2/Cal!$G38</f>
        <v>2.0964673845993455E-2</v>
      </c>
      <c r="S39">
        <f ca="1">data0!L38/Calculations!S$2/Cal!$G38</f>
        <v>2.2709111176032252E-2</v>
      </c>
      <c r="T39">
        <f ca="1">data0!M38/Calculations!T$2/Cal!$G38</f>
        <v>2.4337666869362996E-2</v>
      </c>
      <c r="U39">
        <f ca="1">data0!N38/Calculations!U$2/Cal!$G38</f>
        <v>2.489006809679925E-2</v>
      </c>
      <c r="V39">
        <f ca="1">data0!O38/Calculations!V$2/Cal!$G38</f>
        <v>2.4721324314402007E-2</v>
      </c>
      <c r="W39">
        <f ca="1">data0!P38/Calculations!W$2/Cal!$G38</f>
        <v>2.2962960159979187E-2</v>
      </c>
      <c r="X39">
        <f ca="1">data0!Q38/Calculations!X$2/Cal!$G38</f>
        <v>2.1580725455493933E-2</v>
      </c>
      <c r="Y39">
        <f ca="1">data0!R38/Calculations!Y$2/Cal!$G38</f>
        <v>2.2964073989804813E-2</v>
      </c>
      <c r="Z39">
        <f ca="1">data0!S38/Calculations!Z$2/Cal!$G38</f>
        <v>2.1442985921285115E-2</v>
      </c>
      <c r="AA39">
        <f ca="1">data0!T38/Calculations!AA$2/Cal!$G38</f>
        <v>1.8531099788331635E-2</v>
      </c>
      <c r="AB39">
        <f ca="1">data0!U38/Calculations!AB$2/Cal!$G38</f>
        <v>2.4276116627597558E-2</v>
      </c>
      <c r="AC39">
        <f ca="1">data0!V38/Calculations!AC$2/Cal!$G38</f>
        <v>2.2535752450021474E-2</v>
      </c>
      <c r="AD39">
        <f ca="1">data0!W38/Calculations!AD$2/Cal!$G38</f>
        <v>2.1927267135679336E-2</v>
      </c>
      <c r="AE39">
        <f ca="1">data0!X38/Calculations!AE$2/Cal!$G38</f>
        <v>2.1456017056598262E-2</v>
      </c>
      <c r="AF39">
        <f ca="1">data0!Y38/Calculations!AF$2/Cal!$G38</f>
        <v>2.2888545444604964E-2</v>
      </c>
      <c r="AG39">
        <f ca="1">data0!Z38/Calculations!AG$2/Cal!$G38</f>
        <v>2.177074876555652E-2</v>
      </c>
      <c r="AH39" t="e">
        <f ca="1">data0!AA38/Calculations!AH$2/Cal!$G38</f>
        <v>#DIV/0!</v>
      </c>
      <c r="AI39" t="e">
        <f ca="1">data0!AB38/Calculations!AI$2/Cal!$G38</f>
        <v>#DIV/0!</v>
      </c>
      <c r="AJ39" t="e">
        <f ca="1">data0!AC38/Calculations!AJ$2/Cal!$G38</f>
        <v>#DIV/0!</v>
      </c>
      <c r="AK39" t="e">
        <f ca="1">data0!AD38/Calculations!AK$2/Cal!$G38</f>
        <v>#DIV/0!</v>
      </c>
      <c r="AL39" t="e">
        <f ca="1">data0!AE38/Calculations!AL$2/Cal!$G38</f>
        <v>#DIV/0!</v>
      </c>
      <c r="AM39" t="e">
        <f ca="1">data0!AF38/Calculations!AM$2/Cal!$G38</f>
        <v>#DIV/0!</v>
      </c>
      <c r="AN39" t="e">
        <f ca="1">data0!AG38/Calculations!AN$2/Cal!$G38</f>
        <v>#DIV/0!</v>
      </c>
    </row>
    <row r="40" spans="1:40">
      <c r="A40">
        <f>data0!A39</f>
        <v>485</v>
      </c>
      <c r="B40" t="e">
        <f t="shared" ca="1" si="0"/>
        <v>#DIV/0!</v>
      </c>
      <c r="C40" t="e">
        <f t="shared" ca="1" si="1"/>
        <v>#DIV/0!</v>
      </c>
      <c r="D40" t="e">
        <f t="shared" ca="1" si="2"/>
        <v>#DIV/0!</v>
      </c>
      <c r="F40" t="e">
        <f t="shared" ca="1" si="3"/>
        <v>#DIV/0!</v>
      </c>
      <c r="G40" t="e">
        <f t="shared" ca="1" si="4"/>
        <v>#DIV/0!</v>
      </c>
      <c r="I40">
        <f ca="1">data0!B39/Calculations!I$2/Cal!$G39</f>
        <v>2.0249484122518653E-2</v>
      </c>
      <c r="J40">
        <f ca="1">data0!C39/Calculations!J$2/Cal!$G39</f>
        <v>1.5819218674053583E-2</v>
      </c>
      <c r="K40">
        <f ca="1">data0!D39/Calculations!K$2/Cal!$G39</f>
        <v>1.5882950399734058E-2</v>
      </c>
      <c r="L40">
        <f ca="1">data0!E39/Calculations!L$2/Cal!$G39</f>
        <v>1.4630286309096246E-2</v>
      </c>
      <c r="M40">
        <f ca="1">data0!F39/Calculations!M$2/Cal!$G39</f>
        <v>2.4177010624953477E-2</v>
      </c>
      <c r="N40">
        <f ca="1">data0!G39/Calculations!N$2/Cal!$G39</f>
        <v>2.2816280348182578E-2</v>
      </c>
      <c r="O40">
        <f ca="1">data0!H39/Calculations!O$2/Cal!$G39</f>
        <v>1.9703619652731534E-2</v>
      </c>
      <c r="P40">
        <f ca="1">data0!I39/Calculations!P$2/Cal!$G39</f>
        <v>1.8645912530420649E-2</v>
      </c>
      <c r="Q40">
        <f ca="1">data0!J39/Calculations!Q$2/Cal!$G39</f>
        <v>2.1227158069059018E-2</v>
      </c>
      <c r="R40">
        <f ca="1">data0!K39/Calculations!R$2/Cal!$G39</f>
        <v>2.1787796026508433E-2</v>
      </c>
      <c r="S40">
        <f ca="1">data0!L39/Calculations!S$2/Cal!$G39</f>
        <v>2.1973597914196813E-2</v>
      </c>
      <c r="T40">
        <f ca="1">data0!M39/Calculations!T$2/Cal!$G39</f>
        <v>2.2386765620587147E-2</v>
      </c>
      <c r="U40">
        <f ca="1">data0!N39/Calculations!U$2/Cal!$G39</f>
        <v>2.2590694668540977E-2</v>
      </c>
      <c r="V40">
        <f ca="1">data0!O39/Calculations!V$2/Cal!$G39</f>
        <v>2.2410434358526955E-2</v>
      </c>
      <c r="W40">
        <f ca="1">data0!P39/Calculations!W$2/Cal!$G39</f>
        <v>2.1880646696711935E-2</v>
      </c>
      <c r="X40">
        <f ca="1">data0!Q39/Calculations!X$2/Cal!$G39</f>
        <v>2.3256390516082848E-2</v>
      </c>
      <c r="Y40">
        <f ca="1">data0!R39/Calculations!Y$2/Cal!$G39</f>
        <v>2.3292293566780305E-2</v>
      </c>
      <c r="Z40">
        <f ca="1">data0!S39/Calculations!Z$2/Cal!$G39</f>
        <v>2.0446484664228916E-2</v>
      </c>
      <c r="AA40">
        <f ca="1">data0!T39/Calculations!AA$2/Cal!$G39</f>
        <v>2.1185141885026633E-2</v>
      </c>
      <c r="AB40">
        <f ca="1">data0!U39/Calculations!AB$2/Cal!$G39</f>
        <v>2.6163592800426325E-2</v>
      </c>
      <c r="AC40">
        <f ca="1">data0!V39/Calculations!AC$2/Cal!$G39</f>
        <v>2.049791094314413E-2</v>
      </c>
      <c r="AD40">
        <f ca="1">data0!W39/Calculations!AD$2/Cal!$G39</f>
        <v>2.3950097837455657E-2</v>
      </c>
      <c r="AE40">
        <f ca="1">data0!X39/Calculations!AE$2/Cal!$G39</f>
        <v>2.2310397565163544E-2</v>
      </c>
      <c r="AF40">
        <f ca="1">data0!Y39/Calculations!AF$2/Cal!$G39</f>
        <v>2.2626597955734712E-2</v>
      </c>
      <c r="AG40">
        <f ca="1">data0!Z39/Calculations!AG$2/Cal!$G39</f>
        <v>2.0923770723205701E-2</v>
      </c>
      <c r="AH40" t="e">
        <f ca="1">data0!AA39/Calculations!AH$2/Cal!$G39</f>
        <v>#DIV/0!</v>
      </c>
      <c r="AI40" t="e">
        <f ca="1">data0!AB39/Calculations!AI$2/Cal!$G39</f>
        <v>#DIV/0!</v>
      </c>
      <c r="AJ40" t="e">
        <f ca="1">data0!AC39/Calculations!AJ$2/Cal!$G39</f>
        <v>#DIV/0!</v>
      </c>
      <c r="AK40" t="e">
        <f ca="1">data0!AD39/Calculations!AK$2/Cal!$G39</f>
        <v>#DIV/0!</v>
      </c>
      <c r="AL40" t="e">
        <f ca="1">data0!AE39/Calculations!AL$2/Cal!$G39</f>
        <v>#DIV/0!</v>
      </c>
      <c r="AM40" t="e">
        <f ca="1">data0!AF39/Calculations!AM$2/Cal!$G39</f>
        <v>#DIV/0!</v>
      </c>
      <c r="AN40" t="e">
        <f ca="1">data0!AG39/Calculations!AN$2/Cal!$G39</f>
        <v>#DIV/0!</v>
      </c>
    </row>
    <row r="41" spans="1:40">
      <c r="A41">
        <f>data0!A40</f>
        <v>490</v>
      </c>
      <c r="B41" t="e">
        <f t="shared" ca="1" si="0"/>
        <v>#DIV/0!</v>
      </c>
      <c r="C41" t="e">
        <f t="shared" ca="1" si="1"/>
        <v>#DIV/0!</v>
      </c>
      <c r="D41" t="e">
        <f t="shared" ca="1" si="2"/>
        <v>#DIV/0!</v>
      </c>
      <c r="F41" t="e">
        <f t="shared" ca="1" si="3"/>
        <v>#DIV/0!</v>
      </c>
      <c r="G41" t="e">
        <f t="shared" ca="1" si="4"/>
        <v>#DIV/0!</v>
      </c>
      <c r="I41">
        <f ca="1">data0!B40/Calculations!I$2/Cal!$G40</f>
        <v>1.9334695426303953E-2</v>
      </c>
      <c r="J41">
        <f ca="1">data0!C40/Calculations!J$2/Cal!$G40</f>
        <v>1.6266461218506736E-2</v>
      </c>
      <c r="K41">
        <f ca="1">data0!D40/Calculations!K$2/Cal!$G40</f>
        <v>1.6288788444714836E-2</v>
      </c>
      <c r="L41">
        <f ca="1">data0!E40/Calculations!L$2/Cal!$G40</f>
        <v>1.5496363949707168E-2</v>
      </c>
      <c r="M41">
        <f ca="1">data0!F40/Calculations!M$2/Cal!$G40</f>
        <v>2.5460270817318234E-2</v>
      </c>
      <c r="N41">
        <f ca="1">data0!G40/Calculations!N$2/Cal!$G40</f>
        <v>2.1785534319004877E-2</v>
      </c>
      <c r="O41">
        <f ca="1">data0!H40/Calculations!O$2/Cal!$G40</f>
        <v>2.290031850562942E-2</v>
      </c>
      <c r="P41">
        <f ca="1">data0!I40/Calculations!P$2/Cal!$G40</f>
        <v>1.9354768680227535E-2</v>
      </c>
      <c r="Q41">
        <f ca="1">data0!J40/Calculations!Q$2/Cal!$G40</f>
        <v>2.0339070320836979E-2</v>
      </c>
      <c r="R41">
        <f ca="1">data0!K40/Calculations!R$2/Cal!$G40</f>
        <v>2.226153619220169E-2</v>
      </c>
      <c r="S41">
        <f ca="1">data0!L40/Calculations!S$2/Cal!$G40</f>
        <v>2.3064883154359579E-2</v>
      </c>
      <c r="T41">
        <f ca="1">data0!M40/Calculations!T$2/Cal!$G40</f>
        <v>2.2831224148661219E-2</v>
      </c>
      <c r="U41">
        <f ca="1">data0!N40/Calculations!U$2/Cal!$G40</f>
        <v>2.2699835992900787E-2</v>
      </c>
      <c r="V41">
        <f ca="1">data0!O40/Calculations!V$2/Cal!$G40</f>
        <v>2.307980567316803E-2</v>
      </c>
      <c r="W41">
        <f ca="1">data0!P40/Calculations!W$2/Cal!$G40</f>
        <v>2.363449162946939E-2</v>
      </c>
      <c r="X41">
        <f ca="1">data0!Q40/Calculations!X$2/Cal!$G40</f>
        <v>2.3757578899936928E-2</v>
      </c>
      <c r="Y41">
        <f ca="1">data0!R40/Calculations!Y$2/Cal!$G40</f>
        <v>2.2240043211418918E-2</v>
      </c>
      <c r="Z41">
        <f ca="1">data0!S40/Calculations!Z$2/Cal!$G40</f>
        <v>2.0103832860157916E-2</v>
      </c>
      <c r="AA41">
        <f ca="1">data0!T40/Calculations!AA$2/Cal!$G40</f>
        <v>2.6051909700492877E-2</v>
      </c>
      <c r="AB41">
        <f ca="1">data0!U40/Calculations!AB$2/Cal!$G40</f>
        <v>2.4456973852003631E-2</v>
      </c>
      <c r="AC41">
        <f ca="1">data0!V40/Calculations!AC$2/Cal!$G40</f>
        <v>2.3111045031611384E-2</v>
      </c>
      <c r="AD41">
        <f ca="1">data0!W40/Calculations!AD$2/Cal!$G40</f>
        <v>2.4713786208226982E-2</v>
      </c>
      <c r="AE41">
        <f ca="1">data0!X40/Calculations!AE$2/Cal!$G40</f>
        <v>2.2041708998101633E-2</v>
      </c>
      <c r="AF41">
        <f ca="1">data0!Y40/Calculations!AF$2/Cal!$G40</f>
        <v>2.2804666480483286E-2</v>
      </c>
      <c r="AG41">
        <f ca="1">data0!Z40/Calculations!AG$2/Cal!$G40</f>
        <v>2.1515329677577428E-2</v>
      </c>
      <c r="AH41" t="e">
        <f ca="1">data0!AA40/Calculations!AH$2/Cal!$G40</f>
        <v>#DIV/0!</v>
      </c>
      <c r="AI41" t="e">
        <f ca="1">data0!AB40/Calculations!AI$2/Cal!$G40</f>
        <v>#DIV/0!</v>
      </c>
      <c r="AJ41" t="e">
        <f ca="1">data0!AC40/Calculations!AJ$2/Cal!$G40</f>
        <v>#DIV/0!</v>
      </c>
      <c r="AK41" t="e">
        <f ca="1">data0!AD40/Calculations!AK$2/Cal!$G40</f>
        <v>#DIV/0!</v>
      </c>
      <c r="AL41" t="e">
        <f ca="1">data0!AE40/Calculations!AL$2/Cal!$G40</f>
        <v>#DIV/0!</v>
      </c>
      <c r="AM41" t="e">
        <f ca="1">data0!AF40/Calculations!AM$2/Cal!$G40</f>
        <v>#DIV/0!</v>
      </c>
      <c r="AN41" t="e">
        <f ca="1">data0!AG40/Calculations!AN$2/Cal!$G40</f>
        <v>#DIV/0!</v>
      </c>
    </row>
    <row r="42" spans="1:40">
      <c r="A42">
        <f>data0!A41</f>
        <v>495</v>
      </c>
      <c r="B42" t="e">
        <f t="shared" ca="1" si="0"/>
        <v>#DIV/0!</v>
      </c>
      <c r="C42" t="e">
        <f t="shared" ca="1" si="1"/>
        <v>#DIV/0!</v>
      </c>
      <c r="D42" t="e">
        <f t="shared" ca="1" si="2"/>
        <v>#DIV/0!</v>
      </c>
      <c r="F42" t="e">
        <f t="shared" ca="1" si="3"/>
        <v>#DIV/0!</v>
      </c>
      <c r="G42" t="e">
        <f t="shared" ca="1" si="4"/>
        <v>#DIV/0!</v>
      </c>
      <c r="I42">
        <f ca="1">data0!B41/Calculations!I$2/Cal!$G41</f>
        <v>2.0407430206486186E-2</v>
      </c>
      <c r="J42">
        <f ca="1">data0!C41/Calculations!J$2/Cal!$G41</f>
        <v>1.6723016062022054E-2</v>
      </c>
      <c r="K42">
        <f ca="1">data0!D41/Calculations!K$2/Cal!$G41</f>
        <v>1.724642419782799E-2</v>
      </c>
      <c r="L42">
        <f ca="1">data0!E41/Calculations!L$2/Cal!$G41</f>
        <v>1.6768570857019972E-2</v>
      </c>
      <c r="M42">
        <f ca="1">data0!F41/Calculations!M$2/Cal!$G41</f>
        <v>2.8696342678133119E-2</v>
      </c>
      <c r="N42">
        <f ca="1">data0!G41/Calculations!N$2/Cal!$G41</f>
        <v>2.1583952350411748E-2</v>
      </c>
      <c r="O42">
        <f ca="1">data0!H41/Calculations!O$2/Cal!$G41</f>
        <v>2.4982211401417178E-2</v>
      </c>
      <c r="P42">
        <f ca="1">data0!I41/Calculations!P$2/Cal!$G41</f>
        <v>2.3138226461893039E-2</v>
      </c>
      <c r="Q42">
        <f ca="1">data0!J41/Calculations!Q$2/Cal!$G41</f>
        <v>2.0603933097804294E-2</v>
      </c>
      <c r="R42">
        <f ca="1">data0!K41/Calculations!R$2/Cal!$G41</f>
        <v>2.207716882949548E-2</v>
      </c>
      <c r="S42">
        <f ca="1">data0!L41/Calculations!S$2/Cal!$G41</f>
        <v>2.3995491165247518E-2</v>
      </c>
      <c r="T42">
        <f ca="1">data0!M41/Calculations!T$2/Cal!$G41</f>
        <v>2.4632860255679689E-2</v>
      </c>
      <c r="U42">
        <f ca="1">data0!N41/Calculations!U$2/Cal!$G41</f>
        <v>2.4795972285953448E-2</v>
      </c>
      <c r="V42">
        <f ca="1">data0!O41/Calculations!V$2/Cal!$G41</f>
        <v>2.5029850637789151E-2</v>
      </c>
      <c r="W42">
        <f ca="1">data0!P41/Calculations!W$2/Cal!$G41</f>
        <v>2.4478380222822348E-2</v>
      </c>
      <c r="X42">
        <f ca="1">data0!Q41/Calculations!X$2/Cal!$G41</f>
        <v>2.3469699653478924E-2</v>
      </c>
      <c r="Y42">
        <f ca="1">data0!R41/Calculations!Y$2/Cal!$G41</f>
        <v>2.1787668240411204E-2</v>
      </c>
      <c r="Z42">
        <f ca="1">data0!S41/Calculations!Z$2/Cal!$G41</f>
        <v>2.5274275714465867E-2</v>
      </c>
      <c r="AA42">
        <f ca="1">data0!T41/Calculations!AA$2/Cal!$G41</f>
        <v>2.8462214779185136E-2</v>
      </c>
      <c r="AB42">
        <f ca="1">data0!U41/Calculations!AB$2/Cal!$G41</f>
        <v>2.2537792336996824E-2</v>
      </c>
      <c r="AC42">
        <f ca="1">data0!V41/Calculations!AC$2/Cal!$G41</f>
        <v>2.7003653801690113E-2</v>
      </c>
      <c r="AD42">
        <f ca="1">data0!W41/Calculations!AD$2/Cal!$G41</f>
        <v>2.7298721646199776E-2</v>
      </c>
      <c r="AE42">
        <f ca="1">data0!X41/Calculations!AE$2/Cal!$G41</f>
        <v>2.1729994272374528E-2</v>
      </c>
      <c r="AF42">
        <f ca="1">data0!Y41/Calculations!AF$2/Cal!$G41</f>
        <v>2.4760924876053959E-2</v>
      </c>
      <c r="AG42">
        <f ca="1">data0!Z41/Calculations!AG$2/Cal!$G41</f>
        <v>2.2119205827538742E-2</v>
      </c>
      <c r="AH42" t="e">
        <f ca="1">data0!AA41/Calculations!AH$2/Cal!$G41</f>
        <v>#DIV/0!</v>
      </c>
      <c r="AI42" t="e">
        <f ca="1">data0!AB41/Calculations!AI$2/Cal!$G41</f>
        <v>#DIV/0!</v>
      </c>
      <c r="AJ42" t="e">
        <f ca="1">data0!AC41/Calculations!AJ$2/Cal!$G41</f>
        <v>#DIV/0!</v>
      </c>
      <c r="AK42" t="e">
        <f ca="1">data0!AD41/Calculations!AK$2/Cal!$G41</f>
        <v>#DIV/0!</v>
      </c>
      <c r="AL42" t="e">
        <f ca="1">data0!AE41/Calculations!AL$2/Cal!$G41</f>
        <v>#DIV/0!</v>
      </c>
      <c r="AM42" t="e">
        <f ca="1">data0!AF41/Calculations!AM$2/Cal!$G41</f>
        <v>#DIV/0!</v>
      </c>
      <c r="AN42" t="e">
        <f ca="1">data0!AG41/Calculations!AN$2/Cal!$G41</f>
        <v>#DIV/0!</v>
      </c>
    </row>
    <row r="43" spans="1:40">
      <c r="A43">
        <f>data0!A42</f>
        <v>500</v>
      </c>
      <c r="B43" t="e">
        <f t="shared" ca="1" si="0"/>
        <v>#DIV/0!</v>
      </c>
      <c r="C43" t="e">
        <f t="shared" ca="1" si="1"/>
        <v>#DIV/0!</v>
      </c>
      <c r="D43" t="e">
        <f t="shared" ca="1" si="2"/>
        <v>#DIV/0!</v>
      </c>
      <c r="F43" t="e">
        <f t="shared" ca="1" si="3"/>
        <v>#DIV/0!</v>
      </c>
      <c r="G43" t="e">
        <f t="shared" ca="1" si="4"/>
        <v>#DIV/0!</v>
      </c>
      <c r="I43">
        <f ca="1">data0!B42/Calculations!I$2/Cal!$G42</f>
        <v>2.1459348997263941E-2</v>
      </c>
      <c r="J43">
        <f ca="1">data0!C42/Calculations!J$2/Cal!$G42</f>
        <v>1.8268881387367306E-2</v>
      </c>
      <c r="K43">
        <f ca="1">data0!D42/Calculations!K$2/Cal!$G42</f>
        <v>1.8182633836276305E-2</v>
      </c>
      <c r="L43">
        <f ca="1">data0!E42/Calculations!L$2/Cal!$G42</f>
        <v>1.8308183794115758E-2</v>
      </c>
      <c r="M43">
        <f ca="1">data0!F42/Calculations!M$2/Cal!$G42</f>
        <v>3.2562110132310758E-2</v>
      </c>
      <c r="N43">
        <f ca="1">data0!G42/Calculations!N$2/Cal!$G42</f>
        <v>2.4186406544905014E-2</v>
      </c>
      <c r="O43">
        <f ca="1">data0!H42/Calculations!O$2/Cal!$G42</f>
        <v>2.5156105599920372E-2</v>
      </c>
      <c r="P43">
        <f ca="1">data0!I42/Calculations!P$2/Cal!$G42</f>
        <v>2.8009590976751462E-2</v>
      </c>
      <c r="Q43">
        <f ca="1">data0!J42/Calculations!Q$2/Cal!$G42</f>
        <v>2.4415939448811468E-2</v>
      </c>
      <c r="R43">
        <f ca="1">data0!K42/Calculations!R$2/Cal!$G42</f>
        <v>2.2727769381014607E-2</v>
      </c>
      <c r="S43">
        <f ca="1">data0!L42/Calculations!S$2/Cal!$G42</f>
        <v>2.4338417721449308E-2</v>
      </c>
      <c r="T43">
        <f ca="1">data0!M42/Calculations!T$2/Cal!$G42</f>
        <v>2.5550288681905248E-2</v>
      </c>
      <c r="U43">
        <f ca="1">data0!N42/Calculations!U$2/Cal!$G42</f>
        <v>2.5795077148229234E-2</v>
      </c>
      <c r="V43">
        <f ca="1">data0!O42/Calculations!V$2/Cal!$G42</f>
        <v>2.578148184793589E-2</v>
      </c>
      <c r="W43">
        <f ca="1">data0!P42/Calculations!W$2/Cal!$G42</f>
        <v>2.4863325783593217E-2</v>
      </c>
      <c r="X43">
        <f ca="1">data0!Q42/Calculations!X$2/Cal!$G42</f>
        <v>2.3613874034177078E-2</v>
      </c>
      <c r="Y43">
        <f ca="1">data0!R42/Calculations!Y$2/Cal!$G42</f>
        <v>2.5856303847978022E-2</v>
      </c>
      <c r="Z43">
        <f ca="1">data0!S42/Calculations!Z$2/Cal!$G42</f>
        <v>3.1599342616069268E-2</v>
      </c>
      <c r="AA43">
        <f ca="1">data0!T42/Calculations!AA$2/Cal!$G42</f>
        <v>2.8332964181775295E-2</v>
      </c>
      <c r="AB43">
        <f ca="1">data0!U42/Calculations!AB$2/Cal!$G42</f>
        <v>2.6091871064570674E-2</v>
      </c>
      <c r="AC43">
        <f ca="1">data0!V42/Calculations!AC$2/Cal!$G42</f>
        <v>2.9539289890851576E-2</v>
      </c>
      <c r="AD43">
        <f ca="1">data0!W42/Calculations!AD$2/Cal!$G42</f>
        <v>2.9727824873041677E-2</v>
      </c>
      <c r="AE43">
        <f ca="1">data0!X42/Calculations!AE$2/Cal!$G42</f>
        <v>2.3183459047353364E-2</v>
      </c>
      <c r="AF43">
        <f ca="1">data0!Y42/Calculations!AF$2/Cal!$G42</f>
        <v>2.7752882102681217E-2</v>
      </c>
      <c r="AG43">
        <f ca="1">data0!Z42/Calculations!AG$2/Cal!$G42</f>
        <v>2.4163891617838239E-2</v>
      </c>
      <c r="AH43" t="e">
        <f ca="1">data0!AA42/Calculations!AH$2/Cal!$G42</f>
        <v>#DIV/0!</v>
      </c>
      <c r="AI43" t="e">
        <f ca="1">data0!AB42/Calculations!AI$2/Cal!$G42</f>
        <v>#DIV/0!</v>
      </c>
      <c r="AJ43" t="e">
        <f ca="1">data0!AC42/Calculations!AJ$2/Cal!$G42</f>
        <v>#DIV/0!</v>
      </c>
      <c r="AK43" t="e">
        <f ca="1">data0!AD42/Calculations!AK$2/Cal!$G42</f>
        <v>#DIV/0!</v>
      </c>
      <c r="AL43" t="e">
        <f ca="1">data0!AE42/Calculations!AL$2/Cal!$G42</f>
        <v>#DIV/0!</v>
      </c>
      <c r="AM43" t="e">
        <f ca="1">data0!AF42/Calculations!AM$2/Cal!$G42</f>
        <v>#DIV/0!</v>
      </c>
      <c r="AN43" t="e">
        <f ca="1">data0!AG42/Calculations!AN$2/Cal!$G42</f>
        <v>#DIV/0!</v>
      </c>
    </row>
    <row r="44" spans="1:40">
      <c r="A44">
        <f>data0!A43</f>
        <v>505</v>
      </c>
      <c r="B44" t="e">
        <f t="shared" ca="1" si="0"/>
        <v>#DIV/0!</v>
      </c>
      <c r="C44" t="e">
        <f t="shared" ca="1" si="1"/>
        <v>#DIV/0!</v>
      </c>
      <c r="D44" t="e">
        <f t="shared" ca="1" si="2"/>
        <v>#DIV/0!</v>
      </c>
      <c r="F44" t="e">
        <f t="shared" ca="1" si="3"/>
        <v>#DIV/0!</v>
      </c>
      <c r="G44" t="e">
        <f t="shared" ca="1" si="4"/>
        <v>#DIV/0!</v>
      </c>
      <c r="I44">
        <f ca="1">data0!B43/Calculations!I$2/Cal!$G43</f>
        <v>2.4106642597721051E-2</v>
      </c>
      <c r="J44">
        <f ca="1">data0!C43/Calculations!J$2/Cal!$G43</f>
        <v>1.9660295093695501E-2</v>
      </c>
      <c r="K44">
        <f ca="1">data0!D43/Calculations!K$2/Cal!$G43</f>
        <v>1.9008408969980021E-2</v>
      </c>
      <c r="L44">
        <f ca="1">data0!E43/Calculations!L$2/Cal!$G43</f>
        <v>1.9341130553998147E-2</v>
      </c>
      <c r="M44">
        <f ca="1">data0!F43/Calculations!M$2/Cal!$G43</f>
        <v>3.6615239523637454E-2</v>
      </c>
      <c r="N44">
        <f ca="1">data0!G43/Calculations!N$2/Cal!$G43</f>
        <v>2.8504537987730307E-2</v>
      </c>
      <c r="O44">
        <f ca="1">data0!H43/Calculations!O$2/Cal!$G43</f>
        <v>2.5634306551909142E-2</v>
      </c>
      <c r="P44">
        <f ca="1">data0!I43/Calculations!P$2/Cal!$G43</f>
        <v>3.0486407242687131E-2</v>
      </c>
      <c r="Q44">
        <f ca="1">data0!J43/Calculations!Q$2/Cal!$G43</f>
        <v>3.0736154524334761E-2</v>
      </c>
      <c r="R44">
        <f ca="1">data0!K43/Calculations!R$2/Cal!$G43</f>
        <v>2.6539710088321285E-2</v>
      </c>
      <c r="S44">
        <f ca="1">data0!L43/Calculations!S$2/Cal!$G43</f>
        <v>2.5448253881025465E-2</v>
      </c>
      <c r="T44">
        <f ca="1">data0!M43/Calculations!T$2/Cal!$G43</f>
        <v>2.5961678805246087E-2</v>
      </c>
      <c r="U44">
        <f ca="1">data0!N43/Calculations!U$2/Cal!$G43</f>
        <v>2.6252436831683362E-2</v>
      </c>
      <c r="V44">
        <f ca="1">data0!O43/Calculations!V$2/Cal!$G43</f>
        <v>2.6194833149553554E-2</v>
      </c>
      <c r="W44">
        <f ca="1">data0!P43/Calculations!W$2/Cal!$G43</f>
        <v>2.5386536074320631E-2</v>
      </c>
      <c r="X44">
        <f ca="1">data0!Q43/Calculations!X$2/Cal!$G43</f>
        <v>2.7146667632856541E-2</v>
      </c>
      <c r="Y44">
        <f ca="1">data0!R43/Calculations!Y$2/Cal!$G43</f>
        <v>3.3968781842547445E-2</v>
      </c>
      <c r="Z44">
        <f ca="1">data0!S43/Calculations!Z$2/Cal!$G43</f>
        <v>3.4255642816819462E-2</v>
      </c>
      <c r="AA44">
        <f ca="1">data0!T43/Calculations!AA$2/Cal!$G43</f>
        <v>2.6935551457158216E-2</v>
      </c>
      <c r="AB44">
        <f ca="1">data0!U43/Calculations!AB$2/Cal!$G43</f>
        <v>3.2311800556774808E-2</v>
      </c>
      <c r="AC44">
        <f ca="1">data0!V43/Calculations!AC$2/Cal!$G43</f>
        <v>3.3645375638846634E-2</v>
      </c>
      <c r="AD44">
        <f ca="1">data0!W43/Calculations!AD$2/Cal!$G43</f>
        <v>3.0749190297541244E-2</v>
      </c>
      <c r="AE44">
        <f ca="1">data0!X43/Calculations!AE$2/Cal!$G43</f>
        <v>2.6751634256909615E-2</v>
      </c>
      <c r="AF44">
        <f ca="1">data0!Y43/Calculations!AF$2/Cal!$G43</f>
        <v>3.0463957776094109E-2</v>
      </c>
      <c r="AG44">
        <f ca="1">data0!Z43/Calculations!AG$2/Cal!$G43</f>
        <v>2.737293383468507E-2</v>
      </c>
      <c r="AH44" t="e">
        <f ca="1">data0!AA43/Calculations!AH$2/Cal!$G43</f>
        <v>#DIV/0!</v>
      </c>
      <c r="AI44" t="e">
        <f ca="1">data0!AB43/Calculations!AI$2/Cal!$G43</f>
        <v>#DIV/0!</v>
      </c>
      <c r="AJ44" t="e">
        <f ca="1">data0!AC43/Calculations!AJ$2/Cal!$G43</f>
        <v>#DIV/0!</v>
      </c>
      <c r="AK44" t="e">
        <f ca="1">data0!AD43/Calculations!AK$2/Cal!$G43</f>
        <v>#DIV/0!</v>
      </c>
      <c r="AL44" t="e">
        <f ca="1">data0!AE43/Calculations!AL$2/Cal!$G43</f>
        <v>#DIV/0!</v>
      </c>
      <c r="AM44" t="e">
        <f ca="1">data0!AF43/Calculations!AM$2/Cal!$G43</f>
        <v>#DIV/0!</v>
      </c>
      <c r="AN44" t="e">
        <f ca="1">data0!AG43/Calculations!AN$2/Cal!$G43</f>
        <v>#DIV/0!</v>
      </c>
    </row>
    <row r="45" spans="1:40">
      <c r="A45">
        <f>data0!A44</f>
        <v>510</v>
      </c>
      <c r="B45" t="e">
        <f t="shared" ca="1" si="0"/>
        <v>#DIV/0!</v>
      </c>
      <c r="C45" t="e">
        <f t="shared" ca="1" si="1"/>
        <v>#DIV/0!</v>
      </c>
      <c r="D45" t="e">
        <f t="shared" ca="1" si="2"/>
        <v>#DIV/0!</v>
      </c>
      <c r="F45" t="e">
        <f t="shared" ca="1" si="3"/>
        <v>#DIV/0!</v>
      </c>
      <c r="G45" t="e">
        <f t="shared" ca="1" si="4"/>
        <v>#DIV/0!</v>
      </c>
      <c r="I45">
        <f ca="1">data0!B44/Calculations!I$2/Cal!$G44</f>
        <v>2.6556851599827142E-2</v>
      </c>
      <c r="J45">
        <f ca="1">data0!C44/Calculations!J$2/Cal!$G44</f>
        <v>2.0946122354496045E-2</v>
      </c>
      <c r="K45">
        <f ca="1">data0!D44/Calculations!K$2/Cal!$G44</f>
        <v>2.121596330337213E-2</v>
      </c>
      <c r="L45">
        <f ca="1">data0!E44/Calculations!L$2/Cal!$G44</f>
        <v>2.0100130300663141E-2</v>
      </c>
      <c r="M45">
        <f ca="1">data0!F44/Calculations!M$2/Cal!$G44</f>
        <v>4.0366707085091845E-2</v>
      </c>
      <c r="N45">
        <f ca="1">data0!G44/Calculations!N$2/Cal!$G44</f>
        <v>3.2376194132027518E-2</v>
      </c>
      <c r="O45">
        <f ca="1">data0!H44/Calculations!O$2/Cal!$G44</f>
        <v>2.8762588083930028E-2</v>
      </c>
      <c r="P45">
        <f ca="1">data0!I44/Calculations!P$2/Cal!$G44</f>
        <v>3.0083012157551974E-2</v>
      </c>
      <c r="Q45">
        <f ca="1">data0!J44/Calculations!Q$2/Cal!$G44</f>
        <v>3.5011750138084781E-2</v>
      </c>
      <c r="R45">
        <f ca="1">data0!K44/Calculations!R$2/Cal!$G44</f>
        <v>3.330617883309768E-2</v>
      </c>
      <c r="S45">
        <f ca="1">data0!L44/Calculations!S$2/Cal!$G44</f>
        <v>2.998842551943472E-2</v>
      </c>
      <c r="T45">
        <f ca="1">data0!M44/Calculations!T$2/Cal!$G44</f>
        <v>2.8225946130665511E-2</v>
      </c>
      <c r="U45">
        <f ca="1">data0!N44/Calculations!U$2/Cal!$G44</f>
        <v>2.7669532066789827E-2</v>
      </c>
      <c r="V45">
        <f ca="1">data0!O44/Calculations!V$2/Cal!$G44</f>
        <v>2.8168327579129002E-2</v>
      </c>
      <c r="W45">
        <f ca="1">data0!P44/Calculations!W$2/Cal!$G44</f>
        <v>3.0046645543776777E-2</v>
      </c>
      <c r="X45">
        <f ca="1">data0!Q44/Calculations!X$2/Cal!$G44</f>
        <v>3.5524545246777277E-2</v>
      </c>
      <c r="Y45">
        <f ca="1">data0!R44/Calculations!Y$2/Cal!$G44</f>
        <v>3.8684973566864435E-2</v>
      </c>
      <c r="Z45">
        <f ca="1">data0!S44/Calculations!Z$2/Cal!$G44</f>
        <v>3.3219742648492825E-2</v>
      </c>
      <c r="AA45">
        <f ca="1">data0!T44/Calculations!AA$2/Cal!$G44</f>
        <v>3.0863651232652757E-2</v>
      </c>
      <c r="AB45">
        <f ca="1">data0!U44/Calculations!AB$2/Cal!$G44</f>
        <v>3.5234680055641385E-2</v>
      </c>
      <c r="AC45">
        <f ca="1">data0!V44/Calculations!AC$2/Cal!$G44</f>
        <v>3.7446842075344551E-2</v>
      </c>
      <c r="AD45">
        <f ca="1">data0!W44/Calculations!AD$2/Cal!$G44</f>
        <v>3.0644984194440741E-2</v>
      </c>
      <c r="AE45">
        <f ca="1">data0!X44/Calculations!AE$2/Cal!$G44</f>
        <v>2.9651989668016226E-2</v>
      </c>
      <c r="AF45">
        <f ca="1">data0!Y44/Calculations!AF$2/Cal!$G44</f>
        <v>3.2456368945784179E-2</v>
      </c>
      <c r="AG45">
        <f ca="1">data0!Z44/Calculations!AG$2/Cal!$G44</f>
        <v>2.9024312632449832E-2</v>
      </c>
      <c r="AH45" t="e">
        <f ca="1">data0!AA44/Calculations!AH$2/Cal!$G44</f>
        <v>#DIV/0!</v>
      </c>
      <c r="AI45" t="e">
        <f ca="1">data0!AB44/Calculations!AI$2/Cal!$G44</f>
        <v>#DIV/0!</v>
      </c>
      <c r="AJ45" t="e">
        <f ca="1">data0!AC44/Calculations!AJ$2/Cal!$G44</f>
        <v>#DIV/0!</v>
      </c>
      <c r="AK45" t="e">
        <f ca="1">data0!AD44/Calculations!AK$2/Cal!$G44</f>
        <v>#DIV/0!</v>
      </c>
      <c r="AL45" t="e">
        <f ca="1">data0!AE44/Calculations!AL$2/Cal!$G44</f>
        <v>#DIV/0!</v>
      </c>
      <c r="AM45" t="e">
        <f ca="1">data0!AF44/Calculations!AM$2/Cal!$G44</f>
        <v>#DIV/0!</v>
      </c>
      <c r="AN45" t="e">
        <f ca="1">data0!AG44/Calculations!AN$2/Cal!$G44</f>
        <v>#DIV/0!</v>
      </c>
    </row>
    <row r="46" spans="1:40">
      <c r="A46">
        <f>data0!A45</f>
        <v>515</v>
      </c>
      <c r="B46" t="e">
        <f t="shared" ca="1" si="0"/>
        <v>#DIV/0!</v>
      </c>
      <c r="C46" t="e">
        <f t="shared" ca="1" si="1"/>
        <v>#DIV/0!</v>
      </c>
      <c r="D46" t="e">
        <f t="shared" ca="1" si="2"/>
        <v>#DIV/0!</v>
      </c>
      <c r="F46" t="e">
        <f t="shared" ca="1" si="3"/>
        <v>#DIV/0!</v>
      </c>
      <c r="G46" t="e">
        <f t="shared" ca="1" si="4"/>
        <v>#DIV/0!</v>
      </c>
      <c r="I46">
        <f ca="1">data0!B45/Calculations!I$2/Cal!$G45</f>
        <v>2.724423201037281E-2</v>
      </c>
      <c r="J46">
        <f ca="1">data0!C45/Calculations!J$2/Cal!$G45</f>
        <v>2.3113440659318026E-2</v>
      </c>
      <c r="K46">
        <f ca="1">data0!D45/Calculations!K$2/Cal!$G45</f>
        <v>2.3278184175264862E-2</v>
      </c>
      <c r="L46">
        <f ca="1">data0!E45/Calculations!L$2/Cal!$G45</f>
        <v>2.1423170926575856E-2</v>
      </c>
      <c r="M46">
        <f ca="1">data0!F45/Calculations!M$2/Cal!$G45</f>
        <v>4.1903775071321675E-2</v>
      </c>
      <c r="N46">
        <f ca="1">data0!G45/Calculations!N$2/Cal!$G45</f>
        <v>3.5341900347092538E-2</v>
      </c>
      <c r="O46">
        <f ca="1">data0!H45/Calculations!O$2/Cal!$G45</f>
        <v>3.3144563521967867E-2</v>
      </c>
      <c r="P46">
        <f ca="1">data0!I45/Calculations!P$2/Cal!$G45</f>
        <v>3.0273574913478443E-2</v>
      </c>
      <c r="Q46">
        <f ca="1">data0!J45/Calculations!Q$2/Cal!$G45</f>
        <v>3.5097438725733905E-2</v>
      </c>
      <c r="R46">
        <f ca="1">data0!K45/Calculations!R$2/Cal!$G45</f>
        <v>3.8112516350795614E-2</v>
      </c>
      <c r="S46">
        <f ca="1">data0!L45/Calculations!S$2/Cal!$G45</f>
        <v>3.7123220657732728E-2</v>
      </c>
      <c r="T46">
        <f ca="1">data0!M45/Calculations!T$2/Cal!$G45</f>
        <v>3.4699269851689286E-2</v>
      </c>
      <c r="U46">
        <f ca="1">data0!N45/Calculations!U$2/Cal!$G45</f>
        <v>3.3621734158765446E-2</v>
      </c>
      <c r="V46">
        <f ca="1">data0!O45/Calculations!V$2/Cal!$G45</f>
        <v>3.5116598712995509E-2</v>
      </c>
      <c r="W46">
        <f ca="1">data0!P45/Calculations!W$2/Cal!$G45</f>
        <v>3.7983676464573887E-2</v>
      </c>
      <c r="X46">
        <f ca="1">data0!Q45/Calculations!X$2/Cal!$G45</f>
        <v>4.0823446838458642E-2</v>
      </c>
      <c r="Y46">
        <f ca="1">data0!R45/Calculations!Y$2/Cal!$G45</f>
        <v>3.8769796308523952E-2</v>
      </c>
      <c r="Z46">
        <f ca="1">data0!S45/Calculations!Z$2/Cal!$G45</f>
        <v>3.1368543859496896E-2</v>
      </c>
      <c r="AA46">
        <f ca="1">data0!T45/Calculations!AA$2/Cal!$G45</f>
        <v>3.749136625032095E-2</v>
      </c>
      <c r="AB46">
        <f ca="1">data0!U45/Calculations!AB$2/Cal!$G45</f>
        <v>3.8436022062851904E-2</v>
      </c>
      <c r="AC46">
        <f ca="1">data0!V45/Calculations!AC$2/Cal!$G45</f>
        <v>3.8559671039442092E-2</v>
      </c>
      <c r="AD46">
        <f ca="1">data0!W45/Calculations!AD$2/Cal!$G45</f>
        <v>3.3133569697171801E-2</v>
      </c>
      <c r="AE46">
        <f ca="1">data0!X45/Calculations!AE$2/Cal!$G45</f>
        <v>3.1860733099935853E-2</v>
      </c>
      <c r="AF46">
        <f ca="1">data0!Y45/Calculations!AF$2/Cal!$G45</f>
        <v>3.4322389653693081E-2</v>
      </c>
      <c r="AG46">
        <f ca="1">data0!Z45/Calculations!AG$2/Cal!$G45</f>
        <v>3.184551582021479E-2</v>
      </c>
      <c r="AH46" t="e">
        <f ca="1">data0!AA45/Calculations!AH$2/Cal!$G45</f>
        <v>#DIV/0!</v>
      </c>
      <c r="AI46" t="e">
        <f ca="1">data0!AB45/Calculations!AI$2/Cal!$G45</f>
        <v>#DIV/0!</v>
      </c>
      <c r="AJ46" t="e">
        <f ca="1">data0!AC45/Calculations!AJ$2/Cal!$G45</f>
        <v>#DIV/0!</v>
      </c>
      <c r="AK46" t="e">
        <f ca="1">data0!AD45/Calculations!AK$2/Cal!$G45</f>
        <v>#DIV/0!</v>
      </c>
      <c r="AL46" t="e">
        <f ca="1">data0!AE45/Calculations!AL$2/Cal!$G45</f>
        <v>#DIV/0!</v>
      </c>
      <c r="AM46" t="e">
        <f ca="1">data0!AF45/Calculations!AM$2/Cal!$G45</f>
        <v>#DIV/0!</v>
      </c>
      <c r="AN46" t="e">
        <f ca="1">data0!AG45/Calculations!AN$2/Cal!$G45</f>
        <v>#DIV/0!</v>
      </c>
    </row>
    <row r="47" spans="1:40">
      <c r="A47">
        <f>data0!A46</f>
        <v>520</v>
      </c>
      <c r="B47" t="e">
        <f t="shared" ca="1" si="0"/>
        <v>#DIV/0!</v>
      </c>
      <c r="C47" t="e">
        <f t="shared" ca="1" si="1"/>
        <v>#DIV/0!</v>
      </c>
      <c r="D47" t="e">
        <f t="shared" ca="1" si="2"/>
        <v>#DIV/0!</v>
      </c>
      <c r="F47" t="e">
        <f t="shared" ca="1" si="3"/>
        <v>#DIV/0!</v>
      </c>
      <c r="G47" t="e">
        <f t="shared" ca="1" si="4"/>
        <v>#DIV/0!</v>
      </c>
      <c r="I47">
        <f ca="1">data0!B46/Calculations!I$2/Cal!$G46</f>
        <v>2.7937270026818728E-2</v>
      </c>
      <c r="J47">
        <f ca="1">data0!C46/Calculations!J$2/Cal!$G46</f>
        <v>2.4250043235236475E-2</v>
      </c>
      <c r="K47">
        <f ca="1">data0!D46/Calculations!K$2/Cal!$G46</f>
        <v>2.4798623844665187E-2</v>
      </c>
      <c r="L47">
        <f ca="1">data0!E46/Calculations!L$2/Cal!$G46</f>
        <v>2.329006729353569E-2</v>
      </c>
      <c r="M47">
        <f ca="1">data0!F46/Calculations!M$2/Cal!$G46</f>
        <v>4.151151223034355E-2</v>
      </c>
      <c r="N47">
        <f ca="1">data0!G46/Calculations!N$2/Cal!$G46</f>
        <v>3.7791037604283616E-2</v>
      </c>
      <c r="O47">
        <f ca="1">data0!H46/Calculations!O$2/Cal!$G46</f>
        <v>3.6313430566483527E-2</v>
      </c>
      <c r="P47">
        <f ca="1">data0!I46/Calculations!P$2/Cal!$G46</f>
        <v>3.33942550480004E-2</v>
      </c>
      <c r="Q47">
        <f ca="1">data0!J46/Calculations!Q$2/Cal!$G46</f>
        <v>3.3279683583112792E-2</v>
      </c>
      <c r="R47">
        <f ca="1">data0!K46/Calculations!R$2/Cal!$G46</f>
        <v>3.8309584365167675E-2</v>
      </c>
      <c r="S47">
        <f ca="1">data0!L46/Calculations!S$2/Cal!$G46</f>
        <v>4.1056392221975858E-2</v>
      </c>
      <c r="T47">
        <f ca="1">data0!M46/Calculations!T$2/Cal!$G46</f>
        <v>4.0816465485405878E-2</v>
      </c>
      <c r="U47">
        <f ca="1">data0!N46/Calculations!U$2/Cal!$G46</f>
        <v>4.0439880363998544E-2</v>
      </c>
      <c r="V47">
        <f ca="1">data0!O46/Calculations!V$2/Cal!$G46</f>
        <v>4.1506337073940379E-2</v>
      </c>
      <c r="W47">
        <f ca="1">data0!P46/Calculations!W$2/Cal!$G46</f>
        <v>4.197082334563957E-2</v>
      </c>
      <c r="X47">
        <f ca="1">data0!Q46/Calculations!X$2/Cal!$G46</f>
        <v>4.1019232352344726E-2</v>
      </c>
      <c r="Y47">
        <f ca="1">data0!R46/Calculations!Y$2/Cal!$G46</f>
        <v>3.5237709834445102E-2</v>
      </c>
      <c r="Z47">
        <f ca="1">data0!S46/Calculations!Z$2/Cal!$G46</f>
        <v>3.6100883682755762E-2</v>
      </c>
      <c r="AA47">
        <f ca="1">data0!T46/Calculations!AA$2/Cal!$G46</f>
        <v>3.9706406689053148E-2</v>
      </c>
      <c r="AB47">
        <f ca="1">data0!U46/Calculations!AB$2/Cal!$G46</f>
        <v>4.2051249703005944E-2</v>
      </c>
      <c r="AC47">
        <f ca="1">data0!V46/Calculations!AC$2/Cal!$G46</f>
        <v>3.7138482842718382E-2</v>
      </c>
      <c r="AD47">
        <f ca="1">data0!W46/Calculations!AD$2/Cal!$G46</f>
        <v>3.700334811614224E-2</v>
      </c>
      <c r="AE47">
        <f ca="1">data0!X46/Calculations!AE$2/Cal!$G46</f>
        <v>3.3337577381831421E-2</v>
      </c>
      <c r="AF47">
        <f ca="1">data0!Y46/Calculations!AF$2/Cal!$G46</f>
        <v>3.6612369880403804E-2</v>
      </c>
      <c r="AG47">
        <f ca="1">data0!Z46/Calculations!AG$2/Cal!$G46</f>
        <v>3.3308713209456102E-2</v>
      </c>
      <c r="AH47" t="e">
        <f ca="1">data0!AA46/Calculations!AH$2/Cal!$G46</f>
        <v>#DIV/0!</v>
      </c>
      <c r="AI47" t="e">
        <f ca="1">data0!AB46/Calculations!AI$2/Cal!$G46</f>
        <v>#DIV/0!</v>
      </c>
      <c r="AJ47" t="e">
        <f ca="1">data0!AC46/Calculations!AJ$2/Cal!$G46</f>
        <v>#DIV/0!</v>
      </c>
      <c r="AK47" t="e">
        <f ca="1">data0!AD46/Calculations!AK$2/Cal!$G46</f>
        <v>#DIV/0!</v>
      </c>
      <c r="AL47" t="e">
        <f ca="1">data0!AE46/Calculations!AL$2/Cal!$G46</f>
        <v>#DIV/0!</v>
      </c>
      <c r="AM47" t="e">
        <f ca="1">data0!AF46/Calculations!AM$2/Cal!$G46</f>
        <v>#DIV/0!</v>
      </c>
      <c r="AN47" t="e">
        <f ca="1">data0!AG46/Calculations!AN$2/Cal!$G46</f>
        <v>#DIV/0!</v>
      </c>
    </row>
    <row r="48" spans="1:40">
      <c r="A48">
        <f>data0!A47</f>
        <v>525</v>
      </c>
      <c r="B48" t="e">
        <f t="shared" ca="1" si="0"/>
        <v>#DIV/0!</v>
      </c>
      <c r="C48" t="e">
        <f t="shared" ca="1" si="1"/>
        <v>#DIV/0!</v>
      </c>
      <c r="D48" t="e">
        <f t="shared" ca="1" si="2"/>
        <v>#DIV/0!</v>
      </c>
      <c r="F48" t="e">
        <f t="shared" ca="1" si="3"/>
        <v>#DIV/0!</v>
      </c>
      <c r="G48" t="e">
        <f t="shared" ca="1" si="4"/>
        <v>#DIV/0!</v>
      </c>
      <c r="I48">
        <f ca="1">data0!B47/Calculations!I$2/Cal!$G47</f>
        <v>2.8615389684563702E-2</v>
      </c>
      <c r="J48">
        <f ca="1">data0!C47/Calculations!J$2/Cal!$G47</f>
        <v>2.4436417577027535E-2</v>
      </c>
      <c r="K48">
        <f ca="1">data0!D47/Calculations!K$2/Cal!$G47</f>
        <v>2.6251296697928649E-2</v>
      </c>
      <c r="L48">
        <f ca="1">data0!E47/Calculations!L$2/Cal!$G47</f>
        <v>2.5066877305887324E-2</v>
      </c>
      <c r="M48">
        <f ca="1">data0!F47/Calculations!M$2/Cal!$G47</f>
        <v>4.1467410199821961E-2</v>
      </c>
      <c r="N48">
        <f ca="1">data0!G47/Calculations!N$2/Cal!$G47</f>
        <v>3.841453275941651E-2</v>
      </c>
      <c r="O48">
        <f ca="1">data0!H47/Calculations!O$2/Cal!$G47</f>
        <v>3.8393224644267074E-2</v>
      </c>
      <c r="P48">
        <f ca="1">data0!I47/Calculations!P$2/Cal!$G47</f>
        <v>3.7457496823813323E-2</v>
      </c>
      <c r="Q48">
        <f ca="1">data0!J47/Calculations!Q$2/Cal!$G47</f>
        <v>3.3921871371978413E-2</v>
      </c>
      <c r="R48">
        <f ca="1">data0!K47/Calculations!R$2/Cal!$G47</f>
        <v>3.5290592671917947E-2</v>
      </c>
      <c r="S48">
        <f ca="1">data0!L47/Calculations!S$2/Cal!$G47</f>
        <v>4.0059744858866764E-2</v>
      </c>
      <c r="T48">
        <f ca="1">data0!M47/Calculations!T$2/Cal!$G47</f>
        <v>4.2123733495396658E-2</v>
      </c>
      <c r="U48">
        <f ca="1">data0!N47/Calculations!U$2/Cal!$G47</f>
        <v>4.2513804081730742E-2</v>
      </c>
      <c r="V48">
        <f ca="1">data0!O47/Calculations!V$2/Cal!$G47</f>
        <v>4.2701185633346288E-2</v>
      </c>
      <c r="W48">
        <f ca="1">data0!P47/Calculations!W$2/Cal!$G47</f>
        <v>4.1008037027234823E-2</v>
      </c>
      <c r="X48">
        <f ca="1">data0!Q47/Calculations!X$2/Cal!$G47</f>
        <v>3.7069420809408629E-2</v>
      </c>
      <c r="Y48">
        <f ca="1">data0!R47/Calculations!Y$2/Cal!$G47</f>
        <v>3.5253423726561907E-2</v>
      </c>
      <c r="Z48">
        <f ca="1">data0!S47/Calculations!Z$2/Cal!$G47</f>
        <v>4.1940639130391595E-2</v>
      </c>
      <c r="AA48">
        <f ca="1">data0!T47/Calculations!AA$2/Cal!$G47</f>
        <v>4.1705182397735442E-2</v>
      </c>
      <c r="AB48">
        <f ca="1">data0!U47/Calculations!AB$2/Cal!$G47</f>
        <v>4.2816969549961746E-2</v>
      </c>
      <c r="AC48">
        <f ca="1">data0!V47/Calculations!AC$2/Cal!$G47</f>
        <v>3.636998468498219E-2</v>
      </c>
      <c r="AD48">
        <f ca="1">data0!W47/Calculations!AD$2/Cal!$G47</f>
        <v>3.8746989148691548E-2</v>
      </c>
      <c r="AE48">
        <f ca="1">data0!X47/Calculations!AE$2/Cal!$G47</f>
        <v>3.3030069851813483E-2</v>
      </c>
      <c r="AF48">
        <f ca="1">data0!Y47/Calculations!AF$2/Cal!$G47</f>
        <v>3.7864642454331444E-2</v>
      </c>
      <c r="AG48">
        <f ca="1">data0!Z47/Calculations!AG$2/Cal!$G47</f>
        <v>3.351866607928914E-2</v>
      </c>
      <c r="AH48" t="e">
        <f ca="1">data0!AA47/Calculations!AH$2/Cal!$G47</f>
        <v>#DIV/0!</v>
      </c>
      <c r="AI48" t="e">
        <f ca="1">data0!AB47/Calculations!AI$2/Cal!$G47</f>
        <v>#DIV/0!</v>
      </c>
      <c r="AJ48" t="e">
        <f ca="1">data0!AC47/Calculations!AJ$2/Cal!$G47</f>
        <v>#DIV/0!</v>
      </c>
      <c r="AK48" t="e">
        <f ca="1">data0!AD47/Calculations!AK$2/Cal!$G47</f>
        <v>#DIV/0!</v>
      </c>
      <c r="AL48" t="e">
        <f ca="1">data0!AE47/Calculations!AL$2/Cal!$G47</f>
        <v>#DIV/0!</v>
      </c>
      <c r="AM48" t="e">
        <f ca="1">data0!AF47/Calculations!AM$2/Cal!$G47</f>
        <v>#DIV/0!</v>
      </c>
      <c r="AN48" t="e">
        <f ca="1">data0!AG47/Calculations!AN$2/Cal!$G47</f>
        <v>#DIV/0!</v>
      </c>
    </row>
    <row r="49" spans="1:40">
      <c r="A49">
        <f>data0!A48</f>
        <v>530</v>
      </c>
      <c r="B49" t="e">
        <f t="shared" ca="1" si="0"/>
        <v>#DIV/0!</v>
      </c>
      <c r="C49" t="e">
        <f t="shared" ca="1" si="1"/>
        <v>#DIV/0!</v>
      </c>
      <c r="D49" t="e">
        <f t="shared" ca="1" si="2"/>
        <v>#DIV/0!</v>
      </c>
      <c r="F49" t="e">
        <f t="shared" ca="1" si="3"/>
        <v>#DIV/0!</v>
      </c>
      <c r="G49" t="e">
        <f t="shared" ca="1" si="4"/>
        <v>#DIV/0!</v>
      </c>
      <c r="I49">
        <f ca="1">data0!B48/Calculations!I$2/Cal!$G48</f>
        <v>2.9323205377548487E-2</v>
      </c>
      <c r="J49">
        <f ca="1">data0!C48/Calculations!J$2/Cal!$G48</f>
        <v>2.5550956031108223E-2</v>
      </c>
      <c r="K49">
        <f ca="1">data0!D48/Calculations!K$2/Cal!$G48</f>
        <v>2.6407457156588831E-2</v>
      </c>
      <c r="L49">
        <f ca="1">data0!E48/Calculations!L$2/Cal!$G48</f>
        <v>2.5774949627185816E-2</v>
      </c>
      <c r="M49">
        <f ca="1">data0!F48/Calculations!M$2/Cal!$G48</f>
        <v>4.2908821055247265E-2</v>
      </c>
      <c r="N49">
        <f ca="1">data0!G48/Calculations!N$2/Cal!$G48</f>
        <v>3.6887314797293479E-2</v>
      </c>
      <c r="O49">
        <f ca="1">data0!H48/Calculations!O$2/Cal!$G48</f>
        <v>3.999392990290971E-2</v>
      </c>
      <c r="P49">
        <f ca="1">data0!I48/Calculations!P$2/Cal!$G48</f>
        <v>3.9405537223033249E-2</v>
      </c>
      <c r="Q49">
        <f ca="1">data0!J48/Calculations!Q$2/Cal!$G48</f>
        <v>3.7859450987278845E-2</v>
      </c>
      <c r="R49">
        <f ca="1">data0!K48/Calculations!R$2/Cal!$G48</f>
        <v>3.4436246849786016E-2</v>
      </c>
      <c r="S49">
        <f ca="1">data0!L48/Calculations!S$2/Cal!$G48</f>
        <v>3.6266100685203313E-2</v>
      </c>
      <c r="T49">
        <f ca="1">data0!M48/Calculations!T$2/Cal!$G48</f>
        <v>3.8987996554631719E-2</v>
      </c>
      <c r="U49">
        <f ca="1">data0!N48/Calculations!U$2/Cal!$G48</f>
        <v>3.9861218722953611E-2</v>
      </c>
      <c r="V49">
        <f ca="1">data0!O48/Calculations!V$2/Cal!$G48</f>
        <v>3.9453085576188852E-2</v>
      </c>
      <c r="W49">
        <f ca="1">data0!P48/Calculations!W$2/Cal!$G48</f>
        <v>3.6446287975966087E-2</v>
      </c>
      <c r="X49">
        <f ca="1">data0!Q48/Calculations!X$2/Cal!$G48</f>
        <v>3.48262286498515E-2</v>
      </c>
      <c r="Y49">
        <f ca="1">data0!R48/Calculations!Y$2/Cal!$G48</f>
        <v>4.1601667370705614E-2</v>
      </c>
      <c r="Z49">
        <f ca="1">data0!S48/Calculations!Z$2/Cal!$G48</f>
        <v>4.2503446397674748E-2</v>
      </c>
      <c r="AA49">
        <f ca="1">data0!T48/Calculations!AA$2/Cal!$G48</f>
        <v>4.4368464002780897E-2</v>
      </c>
      <c r="AB49">
        <f ca="1">data0!U48/Calculations!AB$2/Cal!$G48</f>
        <v>4.0519324693550171E-2</v>
      </c>
      <c r="AC49">
        <f ca="1">data0!V48/Calculations!AC$2/Cal!$G48</f>
        <v>3.9156921944146127E-2</v>
      </c>
      <c r="AD49">
        <f ca="1">data0!W48/Calculations!AD$2/Cal!$G48</f>
        <v>3.9973112465214768E-2</v>
      </c>
      <c r="AE49">
        <f ca="1">data0!X48/Calculations!AE$2/Cal!$G48</f>
        <v>3.4193067857905018E-2</v>
      </c>
      <c r="AF49">
        <f ca="1">data0!Y48/Calculations!AF$2/Cal!$G48</f>
        <v>3.7316256378137409E-2</v>
      </c>
      <c r="AG49">
        <f ca="1">data0!Z48/Calculations!AG$2/Cal!$G48</f>
        <v>3.379574913080232E-2</v>
      </c>
      <c r="AH49" t="e">
        <f ca="1">data0!AA48/Calculations!AH$2/Cal!$G48</f>
        <v>#DIV/0!</v>
      </c>
      <c r="AI49" t="e">
        <f ca="1">data0!AB48/Calculations!AI$2/Cal!$G48</f>
        <v>#DIV/0!</v>
      </c>
      <c r="AJ49" t="e">
        <f ca="1">data0!AC48/Calculations!AJ$2/Cal!$G48</f>
        <v>#DIV/0!</v>
      </c>
      <c r="AK49" t="e">
        <f ca="1">data0!AD48/Calculations!AK$2/Cal!$G48</f>
        <v>#DIV/0!</v>
      </c>
      <c r="AL49" t="e">
        <f ca="1">data0!AE48/Calculations!AL$2/Cal!$G48</f>
        <v>#DIV/0!</v>
      </c>
      <c r="AM49" t="e">
        <f ca="1">data0!AF48/Calculations!AM$2/Cal!$G48</f>
        <v>#DIV/0!</v>
      </c>
      <c r="AN49" t="e">
        <f ca="1">data0!AG48/Calculations!AN$2/Cal!$G48</f>
        <v>#DIV/0!</v>
      </c>
    </row>
    <row r="50" spans="1:40">
      <c r="A50">
        <f>data0!A49</f>
        <v>535</v>
      </c>
      <c r="B50" t="e">
        <f t="shared" ca="1" si="0"/>
        <v>#DIV/0!</v>
      </c>
      <c r="C50" t="e">
        <f t="shared" ca="1" si="1"/>
        <v>#DIV/0!</v>
      </c>
      <c r="D50" t="e">
        <f t="shared" ca="1" si="2"/>
        <v>#DIV/0!</v>
      </c>
      <c r="F50" t="e">
        <f t="shared" ca="1" si="3"/>
        <v>#DIV/0!</v>
      </c>
      <c r="G50" t="e">
        <f t="shared" ca="1" si="4"/>
        <v>#DIV/0!</v>
      </c>
      <c r="I50">
        <f ca="1">data0!B49/Calculations!I$2/Cal!$G49</f>
        <v>2.8593610488899711E-2</v>
      </c>
      <c r="J50">
        <f ca="1">data0!C49/Calculations!J$2/Cal!$G49</f>
        <v>2.4915219020765572E-2</v>
      </c>
      <c r="K50">
        <f ca="1">data0!D49/Calculations!K$2/Cal!$G49</f>
        <v>2.6165737765626543E-2</v>
      </c>
      <c r="L50">
        <f ca="1">data0!E49/Calculations!L$2/Cal!$G49</f>
        <v>2.5719115988655131E-2</v>
      </c>
      <c r="M50">
        <f ca="1">data0!F49/Calculations!M$2/Cal!$G49</f>
        <v>4.503896597688848E-2</v>
      </c>
      <c r="N50">
        <f ca="1">data0!G49/Calculations!N$2/Cal!$G49</f>
        <v>3.5500589178476108E-2</v>
      </c>
      <c r="O50">
        <f ca="1">data0!H49/Calculations!O$2/Cal!$G49</f>
        <v>4.0145093623349032E-2</v>
      </c>
      <c r="P50">
        <f ca="1">data0!I49/Calculations!P$2/Cal!$G49</f>
        <v>4.0745182819511901E-2</v>
      </c>
      <c r="Q50">
        <f ca="1">data0!J49/Calculations!Q$2/Cal!$G49</f>
        <v>4.0611829494909137E-2</v>
      </c>
      <c r="R50">
        <f ca="1">data0!K49/Calculations!R$2/Cal!$G49</f>
        <v>3.8023383116723611E-2</v>
      </c>
      <c r="S50">
        <f ca="1">data0!L49/Calculations!S$2/Cal!$G49</f>
        <v>3.5389876762245705E-2</v>
      </c>
      <c r="T50">
        <f ca="1">data0!M49/Calculations!T$2/Cal!$G49</f>
        <v>3.5287361621967411E-2</v>
      </c>
      <c r="U50">
        <f ca="1">data0!N49/Calculations!U$2/Cal!$G49</f>
        <v>3.5554169766593556E-2</v>
      </c>
      <c r="V50">
        <f ca="1">data0!O49/Calculations!V$2/Cal!$G49</f>
        <v>3.5190524061094776E-2</v>
      </c>
      <c r="W50">
        <f ca="1">data0!P49/Calculations!W$2/Cal!$G49</f>
        <v>3.4952474443265352E-2</v>
      </c>
      <c r="X50">
        <f ca="1">data0!Q49/Calculations!X$2/Cal!$G49</f>
        <v>4.0024923544741679E-2</v>
      </c>
      <c r="Y50">
        <f ca="1">data0!R49/Calculations!Y$2/Cal!$G49</f>
        <v>4.4304099773894878E-2</v>
      </c>
      <c r="Z50">
        <f ca="1">data0!S49/Calculations!Z$2/Cal!$G49</f>
        <v>4.3966465351699527E-2</v>
      </c>
      <c r="AA50">
        <f ca="1">data0!T49/Calculations!AA$2/Cal!$G49</f>
        <v>4.4613851489193612E-2</v>
      </c>
      <c r="AB50">
        <f ca="1">data0!U49/Calculations!AB$2/Cal!$G49</f>
        <v>3.7332670922930682E-2</v>
      </c>
      <c r="AC50">
        <f ca="1">data0!V49/Calculations!AC$2/Cal!$G49</f>
        <v>4.1241046730428353E-2</v>
      </c>
      <c r="AD50">
        <f ca="1">data0!W49/Calculations!AD$2/Cal!$G49</f>
        <v>3.9810699786897011E-2</v>
      </c>
      <c r="AE50">
        <f ca="1">data0!X49/Calculations!AE$2/Cal!$G49</f>
        <v>3.6572185774819611E-2</v>
      </c>
      <c r="AF50">
        <f ca="1">data0!Y49/Calculations!AF$2/Cal!$G49</f>
        <v>3.6831537829311069E-2</v>
      </c>
      <c r="AG50">
        <f ca="1">data0!Z49/Calculations!AG$2/Cal!$G49</f>
        <v>3.409124706627828E-2</v>
      </c>
      <c r="AH50" t="e">
        <f ca="1">data0!AA49/Calculations!AH$2/Cal!$G49</f>
        <v>#DIV/0!</v>
      </c>
      <c r="AI50" t="e">
        <f ca="1">data0!AB49/Calculations!AI$2/Cal!$G49</f>
        <v>#DIV/0!</v>
      </c>
      <c r="AJ50" t="e">
        <f ca="1">data0!AC49/Calculations!AJ$2/Cal!$G49</f>
        <v>#DIV/0!</v>
      </c>
      <c r="AK50" t="e">
        <f ca="1">data0!AD49/Calculations!AK$2/Cal!$G49</f>
        <v>#DIV/0!</v>
      </c>
      <c r="AL50" t="e">
        <f ca="1">data0!AE49/Calculations!AL$2/Cal!$G49</f>
        <v>#DIV/0!</v>
      </c>
      <c r="AM50" t="e">
        <f ca="1">data0!AF49/Calculations!AM$2/Cal!$G49</f>
        <v>#DIV/0!</v>
      </c>
      <c r="AN50" t="e">
        <f ca="1">data0!AG49/Calculations!AN$2/Cal!$G49</f>
        <v>#DIV/0!</v>
      </c>
    </row>
    <row r="51" spans="1:40">
      <c r="A51">
        <f>data0!A50</f>
        <v>540</v>
      </c>
      <c r="B51" t="e">
        <f t="shared" ca="1" si="0"/>
        <v>#DIV/0!</v>
      </c>
      <c r="C51" t="e">
        <f t="shared" ca="1" si="1"/>
        <v>#DIV/0!</v>
      </c>
      <c r="D51" t="e">
        <f t="shared" ca="1" si="2"/>
        <v>#DIV/0!</v>
      </c>
      <c r="F51" t="e">
        <f t="shared" ca="1" si="3"/>
        <v>#DIV/0!</v>
      </c>
      <c r="G51" t="e">
        <f t="shared" ca="1" si="4"/>
        <v>#DIV/0!</v>
      </c>
      <c r="I51">
        <f ca="1">data0!B50/Calculations!I$2/Cal!$G50</f>
        <v>2.9281040107973597E-2</v>
      </c>
      <c r="J51">
        <f ca="1">data0!C50/Calculations!J$2/Cal!$G50</f>
        <v>2.51371577581418E-2</v>
      </c>
      <c r="K51">
        <f ca="1">data0!D50/Calculations!K$2/Cal!$G50</f>
        <v>2.6734039692473694E-2</v>
      </c>
      <c r="L51">
        <f ca="1">data0!E50/Calculations!L$2/Cal!$G50</f>
        <v>2.5572705225867142E-2</v>
      </c>
      <c r="M51">
        <f ca="1">data0!F50/Calculations!M$2/Cal!$G50</f>
        <v>4.6165689499851809E-2</v>
      </c>
      <c r="N51">
        <f ca="1">data0!G50/Calculations!N$2/Cal!$G50</f>
        <v>3.5887322451591347E-2</v>
      </c>
      <c r="O51">
        <f ca="1">data0!H50/Calculations!O$2/Cal!$G50</f>
        <v>3.8212535291050662E-2</v>
      </c>
      <c r="P51">
        <f ca="1">data0!I50/Calculations!P$2/Cal!$G50</f>
        <v>4.2178574728246009E-2</v>
      </c>
      <c r="Q51">
        <f ca="1">data0!J50/Calculations!Q$2/Cal!$G50</f>
        <v>4.1652076425754116E-2</v>
      </c>
      <c r="R51">
        <f ca="1">data0!K50/Calculations!R$2/Cal!$G50</f>
        <v>4.1520016498109692E-2</v>
      </c>
      <c r="S51">
        <f ca="1">data0!L50/Calculations!S$2/Cal!$G50</f>
        <v>3.9736771368078232E-2</v>
      </c>
      <c r="T51">
        <f ca="1">data0!M50/Calculations!T$2/Cal!$G50</f>
        <v>3.7308487888171114E-2</v>
      </c>
      <c r="U51">
        <f ca="1">data0!N50/Calculations!U$2/Cal!$G50</f>
        <v>3.6253640520716168E-2</v>
      </c>
      <c r="V51">
        <f ca="1">data0!O50/Calculations!V$2/Cal!$G50</f>
        <v>3.7365507027272274E-2</v>
      </c>
      <c r="W51">
        <f ca="1">data0!P50/Calculations!W$2/Cal!$G50</f>
        <v>4.0463667604769153E-2</v>
      </c>
      <c r="X51">
        <f ca="1">data0!Q50/Calculations!X$2/Cal!$G50</f>
        <v>4.4284537781880504E-2</v>
      </c>
      <c r="Y51">
        <f ca="1">data0!R50/Calculations!Y$2/Cal!$G50</f>
        <v>4.430232955050957E-2</v>
      </c>
      <c r="Z51">
        <f ca="1">data0!S50/Calculations!Z$2/Cal!$G50</f>
        <v>4.6315450654063894E-2</v>
      </c>
      <c r="AA51">
        <f ca="1">data0!T50/Calculations!AA$2/Cal!$G50</f>
        <v>4.2334915917211904E-2</v>
      </c>
      <c r="AB51">
        <f ca="1">data0!U50/Calculations!AB$2/Cal!$G50</f>
        <v>3.8214191795614166E-2</v>
      </c>
      <c r="AC51">
        <f ca="1">data0!V50/Calculations!AC$2/Cal!$G50</f>
        <v>4.1820485131682544E-2</v>
      </c>
      <c r="AD51">
        <f ca="1">data0!W50/Calculations!AD$2/Cal!$G50</f>
        <v>3.8112280309190547E-2</v>
      </c>
      <c r="AE51">
        <f ca="1">data0!X50/Calculations!AE$2/Cal!$G50</f>
        <v>3.634649578601637E-2</v>
      </c>
      <c r="AF51">
        <f ca="1">data0!Y50/Calculations!AF$2/Cal!$G50</f>
        <v>3.5488188269785052E-2</v>
      </c>
      <c r="AG51">
        <f ca="1">data0!Z50/Calculations!AG$2/Cal!$G50</f>
        <v>3.4356707062499929E-2</v>
      </c>
      <c r="AH51" t="e">
        <f ca="1">data0!AA50/Calculations!AH$2/Cal!$G50</f>
        <v>#DIV/0!</v>
      </c>
      <c r="AI51" t="e">
        <f ca="1">data0!AB50/Calculations!AI$2/Cal!$G50</f>
        <v>#DIV/0!</v>
      </c>
      <c r="AJ51" t="e">
        <f ca="1">data0!AC50/Calculations!AJ$2/Cal!$G50</f>
        <v>#DIV/0!</v>
      </c>
      <c r="AK51" t="e">
        <f ca="1">data0!AD50/Calculations!AK$2/Cal!$G50</f>
        <v>#DIV/0!</v>
      </c>
      <c r="AL51" t="e">
        <f ca="1">data0!AE50/Calculations!AL$2/Cal!$G50</f>
        <v>#DIV/0!</v>
      </c>
      <c r="AM51" t="e">
        <f ca="1">data0!AF50/Calculations!AM$2/Cal!$G50</f>
        <v>#DIV/0!</v>
      </c>
      <c r="AN51" t="e">
        <f ca="1">data0!AG50/Calculations!AN$2/Cal!$G50</f>
        <v>#DIV/0!</v>
      </c>
    </row>
    <row r="52" spans="1:40">
      <c r="A52">
        <f>data0!A51</f>
        <v>545</v>
      </c>
      <c r="B52" t="e">
        <f t="shared" ca="1" si="0"/>
        <v>#DIV/0!</v>
      </c>
      <c r="C52" t="e">
        <f t="shared" ca="1" si="1"/>
        <v>#DIV/0!</v>
      </c>
      <c r="D52" t="e">
        <f t="shared" ca="1" si="2"/>
        <v>#DIV/0!</v>
      </c>
      <c r="F52" t="e">
        <f t="shared" ca="1" si="3"/>
        <v>#DIV/0!</v>
      </c>
      <c r="G52" t="e">
        <f t="shared" ca="1" si="4"/>
        <v>#DIV/0!</v>
      </c>
      <c r="I52">
        <f ca="1">data0!B51/Calculations!I$2/Cal!$G51</f>
        <v>2.8653205630017636E-2</v>
      </c>
      <c r="J52">
        <f ca="1">data0!C51/Calculations!J$2/Cal!$G51</f>
        <v>2.5418114164125875E-2</v>
      </c>
      <c r="K52">
        <f ca="1">data0!D51/Calculations!K$2/Cal!$G51</f>
        <v>2.6953570700086076E-2</v>
      </c>
      <c r="L52">
        <f ca="1">data0!E51/Calculations!L$2/Cal!$G51</f>
        <v>2.5862520758940834E-2</v>
      </c>
      <c r="M52">
        <f ca="1">data0!F51/Calculations!M$2/Cal!$G51</f>
        <v>4.6422347740617542E-2</v>
      </c>
      <c r="N52">
        <f ca="1">data0!G51/Calculations!N$2/Cal!$G51</f>
        <v>3.7645060491274869E-2</v>
      </c>
      <c r="O52">
        <f ca="1">data0!H51/Calculations!O$2/Cal!$G51</f>
        <v>3.6150071886379927E-2</v>
      </c>
      <c r="P52">
        <f ca="1">data0!I51/Calculations!P$2/Cal!$G51</f>
        <v>4.221959530032772E-2</v>
      </c>
      <c r="Q52">
        <f ca="1">data0!J51/Calculations!Q$2/Cal!$G51</f>
        <v>4.3334556585795138E-2</v>
      </c>
      <c r="R52">
        <f ca="1">data0!K51/Calculations!R$2/Cal!$G51</f>
        <v>4.263740405787373E-2</v>
      </c>
      <c r="S52">
        <f ca="1">data0!L51/Calculations!S$2/Cal!$G51</f>
        <v>4.3371448118811939E-2</v>
      </c>
      <c r="T52">
        <f ca="1">data0!M51/Calculations!T$2/Cal!$G51</f>
        <v>4.2672636474734446E-2</v>
      </c>
      <c r="U52">
        <f ca="1">data0!N51/Calculations!U$2/Cal!$G51</f>
        <v>4.2078283031782751E-2</v>
      </c>
      <c r="V52">
        <f ca="1">data0!O51/Calculations!V$2/Cal!$G51</f>
        <v>4.3407512308730224E-2</v>
      </c>
      <c r="W52">
        <f ca="1">data0!P51/Calculations!W$2/Cal!$G51</f>
        <v>4.4408698051175775E-2</v>
      </c>
      <c r="X52">
        <f ca="1">data0!Q51/Calculations!X$2/Cal!$G51</f>
        <v>4.4404037265617979E-2</v>
      </c>
      <c r="Y52">
        <f ca="1">data0!R51/Calculations!Y$2/Cal!$G51</f>
        <v>4.6974261043409647E-2</v>
      </c>
      <c r="Z52">
        <f ca="1">data0!S51/Calculations!Z$2/Cal!$G51</f>
        <v>4.6443127836060603E-2</v>
      </c>
      <c r="AA52">
        <f ca="1">data0!T51/Calculations!AA$2/Cal!$G51</f>
        <v>3.8632494439646517E-2</v>
      </c>
      <c r="AB52">
        <f ca="1">data0!U51/Calculations!AB$2/Cal!$G51</f>
        <v>4.1382078771885829E-2</v>
      </c>
      <c r="AC52">
        <f ca="1">data0!V51/Calculations!AC$2/Cal!$G51</f>
        <v>4.2819517781658899E-2</v>
      </c>
      <c r="AD52">
        <f ca="1">data0!W51/Calculations!AD$2/Cal!$G51</f>
        <v>3.9455278370832909E-2</v>
      </c>
      <c r="AE52">
        <f ca="1">data0!X51/Calculations!AE$2/Cal!$G51</f>
        <v>3.490324774027085E-2</v>
      </c>
      <c r="AF52">
        <f ca="1">data0!Y51/Calculations!AF$2/Cal!$G51</f>
        <v>3.3880257452896689E-2</v>
      </c>
      <c r="AG52">
        <f ca="1">data0!Z51/Calculations!AG$2/Cal!$G51</f>
        <v>3.4704559203979121E-2</v>
      </c>
      <c r="AH52" t="e">
        <f ca="1">data0!AA51/Calculations!AH$2/Cal!$G51</f>
        <v>#DIV/0!</v>
      </c>
      <c r="AI52" t="e">
        <f ca="1">data0!AB51/Calculations!AI$2/Cal!$G51</f>
        <v>#DIV/0!</v>
      </c>
      <c r="AJ52" t="e">
        <f ca="1">data0!AC51/Calculations!AJ$2/Cal!$G51</f>
        <v>#DIV/0!</v>
      </c>
      <c r="AK52" t="e">
        <f ca="1">data0!AD51/Calculations!AK$2/Cal!$G51</f>
        <v>#DIV/0!</v>
      </c>
      <c r="AL52" t="e">
        <f ca="1">data0!AE51/Calculations!AL$2/Cal!$G51</f>
        <v>#DIV/0!</v>
      </c>
      <c r="AM52" t="e">
        <f ca="1">data0!AF51/Calculations!AM$2/Cal!$G51</f>
        <v>#DIV/0!</v>
      </c>
      <c r="AN52" t="e">
        <f ca="1">data0!AG51/Calculations!AN$2/Cal!$G51</f>
        <v>#DIV/0!</v>
      </c>
    </row>
    <row r="53" spans="1:40">
      <c r="A53">
        <f>data0!A52</f>
        <v>550</v>
      </c>
      <c r="B53" t="e">
        <f t="shared" ca="1" si="0"/>
        <v>#DIV/0!</v>
      </c>
      <c r="C53" t="e">
        <f t="shared" ca="1" si="1"/>
        <v>#DIV/0!</v>
      </c>
      <c r="D53" t="e">
        <f t="shared" ca="1" si="2"/>
        <v>#DIV/0!</v>
      </c>
      <c r="F53" t="e">
        <f t="shared" ca="1" si="3"/>
        <v>#DIV/0!</v>
      </c>
      <c r="G53" t="e">
        <f t="shared" ca="1" si="4"/>
        <v>#DIV/0!</v>
      </c>
      <c r="I53">
        <f ca="1">data0!B52/Calculations!I$2/Cal!$G52</f>
        <v>2.9377383546025669E-2</v>
      </c>
      <c r="J53">
        <f ca="1">data0!C52/Calculations!J$2/Cal!$G52</f>
        <v>2.4875959357022963E-2</v>
      </c>
      <c r="K53">
        <f ca="1">data0!D52/Calculations!K$2/Cal!$G52</f>
        <v>2.6378665424687475E-2</v>
      </c>
      <c r="L53">
        <f ca="1">data0!E52/Calculations!L$2/Cal!$G52</f>
        <v>2.6092086850751317E-2</v>
      </c>
      <c r="M53">
        <f ca="1">data0!F52/Calculations!M$2/Cal!$G52</f>
        <v>4.5432183843246272E-2</v>
      </c>
      <c r="N53">
        <f ca="1">data0!G52/Calculations!N$2/Cal!$G52</f>
        <v>3.8722860558531844E-2</v>
      </c>
      <c r="O53">
        <f ca="1">data0!H52/Calculations!O$2/Cal!$G52</f>
        <v>3.5670995118957265E-2</v>
      </c>
      <c r="P53">
        <f ca="1">data0!I52/Calculations!P$2/Cal!$G52</f>
        <v>3.9541649422583085E-2</v>
      </c>
      <c r="Q53">
        <f ca="1">data0!J52/Calculations!Q$2/Cal!$G52</f>
        <v>4.4221191694363338E-2</v>
      </c>
      <c r="R53">
        <f ca="1">data0!K52/Calculations!R$2/Cal!$G52</f>
        <v>4.3741916041882038E-2</v>
      </c>
      <c r="S53">
        <f ca="1">data0!L52/Calculations!S$2/Cal!$G52</f>
        <v>4.3714871421021234E-2</v>
      </c>
      <c r="T53">
        <f ca="1">data0!M52/Calculations!T$2/Cal!$G52</f>
        <v>4.3944987966284182E-2</v>
      </c>
      <c r="U53">
        <f ca="1">data0!N52/Calculations!U$2/Cal!$G52</f>
        <v>4.4009056754314956E-2</v>
      </c>
      <c r="V53">
        <f ca="1">data0!O52/Calculations!V$2/Cal!$G52</f>
        <v>4.4310416881334899E-2</v>
      </c>
      <c r="W53">
        <f ca="1">data0!P52/Calculations!W$2/Cal!$G52</f>
        <v>4.3885133360353212E-2</v>
      </c>
      <c r="X53">
        <f ca="1">data0!Q52/Calculations!X$2/Cal!$G52</f>
        <v>4.5932154092180398E-2</v>
      </c>
      <c r="Y53">
        <f ca="1">data0!R52/Calculations!Y$2/Cal!$G52</f>
        <v>4.8308535626507339E-2</v>
      </c>
      <c r="Z53">
        <f ca="1">data0!S52/Calculations!Z$2/Cal!$G52</f>
        <v>4.3365825892342363E-2</v>
      </c>
      <c r="AA53">
        <f ca="1">data0!T52/Calculations!AA$2/Cal!$G52</f>
        <v>3.7996183378760241E-2</v>
      </c>
      <c r="AB53">
        <f ca="1">data0!U52/Calculations!AB$2/Cal!$G52</f>
        <v>4.1920940182366272E-2</v>
      </c>
      <c r="AC53">
        <f ca="1">data0!V52/Calculations!AC$2/Cal!$G52</f>
        <v>4.1081621846856736E-2</v>
      </c>
      <c r="AD53">
        <f ca="1">data0!W52/Calculations!AD$2/Cal!$G52</f>
        <v>4.16294455872252E-2</v>
      </c>
      <c r="AE53">
        <f ca="1">data0!X52/Calculations!AE$2/Cal!$G52</f>
        <v>3.4112368443152519E-2</v>
      </c>
      <c r="AF53">
        <f ca="1">data0!Y52/Calculations!AF$2/Cal!$G52</f>
        <v>3.3157609646479305E-2</v>
      </c>
      <c r="AG53">
        <f ca="1">data0!Z52/Calculations!AG$2/Cal!$G52</f>
        <v>3.2902944249695809E-2</v>
      </c>
      <c r="AH53" t="e">
        <f ca="1">data0!AA52/Calculations!AH$2/Cal!$G52</f>
        <v>#DIV/0!</v>
      </c>
      <c r="AI53" t="e">
        <f ca="1">data0!AB52/Calculations!AI$2/Cal!$G52</f>
        <v>#DIV/0!</v>
      </c>
      <c r="AJ53" t="e">
        <f ca="1">data0!AC52/Calculations!AJ$2/Cal!$G52</f>
        <v>#DIV/0!</v>
      </c>
      <c r="AK53" t="e">
        <f ca="1">data0!AD52/Calculations!AK$2/Cal!$G52</f>
        <v>#DIV/0!</v>
      </c>
      <c r="AL53" t="e">
        <f ca="1">data0!AE52/Calculations!AL$2/Cal!$G52</f>
        <v>#DIV/0!</v>
      </c>
      <c r="AM53" t="e">
        <f ca="1">data0!AF52/Calculations!AM$2/Cal!$G52</f>
        <v>#DIV/0!</v>
      </c>
      <c r="AN53" t="e">
        <f ca="1">data0!AG52/Calculations!AN$2/Cal!$G52</f>
        <v>#DIV/0!</v>
      </c>
    </row>
    <row r="54" spans="1:40">
      <c r="A54">
        <f>data0!A53</f>
        <v>555</v>
      </c>
      <c r="B54" t="e">
        <f t="shared" ca="1" si="0"/>
        <v>#DIV/0!</v>
      </c>
      <c r="C54" t="e">
        <f t="shared" ca="1" si="1"/>
        <v>#DIV/0!</v>
      </c>
      <c r="D54" t="e">
        <f t="shared" ca="1" si="2"/>
        <v>#DIV/0!</v>
      </c>
      <c r="F54" t="e">
        <f t="shared" ca="1" si="3"/>
        <v>#DIV/0!</v>
      </c>
      <c r="G54" t="e">
        <f t="shared" ca="1" si="4"/>
        <v>#DIV/0!</v>
      </c>
      <c r="I54">
        <f ca="1">data0!B53/Calculations!I$2/Cal!$G53</f>
        <v>2.8771643738525188E-2</v>
      </c>
      <c r="J54">
        <f ca="1">data0!C53/Calculations!J$2/Cal!$G53</f>
        <v>2.4363035569623544E-2</v>
      </c>
      <c r="K54">
        <f ca="1">data0!D53/Calculations!K$2/Cal!$G53</f>
        <v>2.5454831877059127E-2</v>
      </c>
      <c r="L54">
        <f ca="1">data0!E53/Calculations!L$2/Cal!$G53</f>
        <v>2.5324560746469701E-2</v>
      </c>
      <c r="M54">
        <f ca="1">data0!F53/Calculations!M$2/Cal!$G53</f>
        <v>4.3671417371458313E-2</v>
      </c>
      <c r="N54">
        <f ca="1">data0!G53/Calculations!N$2/Cal!$G53</f>
        <v>3.7974889225519941E-2</v>
      </c>
      <c r="O54">
        <f ca="1">data0!H53/Calculations!O$2/Cal!$G53</f>
        <v>3.617467197928196E-2</v>
      </c>
      <c r="P54">
        <f ca="1">data0!I53/Calculations!P$2/Cal!$G53</f>
        <v>3.6079394515715991E-2</v>
      </c>
      <c r="Q54">
        <f ca="1">data0!J53/Calculations!Q$2/Cal!$G53</f>
        <v>4.1847362840644525E-2</v>
      </c>
      <c r="R54">
        <f ca="1">data0!K53/Calculations!R$2/Cal!$G53</f>
        <v>4.3946469940176806E-2</v>
      </c>
      <c r="S54">
        <f ca="1">data0!L53/Calculations!S$2/Cal!$G53</f>
        <v>4.376916138838146E-2</v>
      </c>
      <c r="T54">
        <f ca="1">data0!M53/Calculations!T$2/Cal!$G53</f>
        <v>4.3038874986222386E-2</v>
      </c>
      <c r="U54">
        <f ca="1">data0!N53/Calculations!U$2/Cal!$G53</f>
        <v>4.2719559239885359E-2</v>
      </c>
      <c r="V54">
        <f ca="1">data0!O53/Calculations!V$2/Cal!$G53</f>
        <v>4.3324158286826106E-2</v>
      </c>
      <c r="W54">
        <f ca="1">data0!P53/Calculations!W$2/Cal!$G53</f>
        <v>4.4298219619211876E-2</v>
      </c>
      <c r="X54">
        <f ca="1">data0!Q53/Calculations!X$2/Cal!$G53</f>
        <v>4.6559547512650519E-2</v>
      </c>
      <c r="Y54">
        <f ca="1">data0!R53/Calculations!Y$2/Cal!$G53</f>
        <v>4.570818926176641E-2</v>
      </c>
      <c r="Z54">
        <f ca="1">data0!S53/Calculations!Z$2/Cal!$G53</f>
        <v>3.8227107791030307E-2</v>
      </c>
      <c r="AA54">
        <f ca="1">data0!T53/Calculations!AA$2/Cal!$G53</f>
        <v>3.9917677596628912E-2</v>
      </c>
      <c r="AB54">
        <f ca="1">data0!U53/Calculations!AB$2/Cal!$G53</f>
        <v>4.1329545607763252E-2</v>
      </c>
      <c r="AC54">
        <f ca="1">data0!V53/Calculations!AC$2/Cal!$G53</f>
        <v>3.8186771909751845E-2</v>
      </c>
      <c r="AD54">
        <f ca="1">data0!W53/Calculations!AD$2/Cal!$G53</f>
        <v>3.8974593277817687E-2</v>
      </c>
      <c r="AE54">
        <f ca="1">data0!X53/Calculations!AE$2/Cal!$G53</f>
        <v>3.0863548880698758E-2</v>
      </c>
      <c r="AF54">
        <f ca="1">data0!Y53/Calculations!AF$2/Cal!$G53</f>
        <v>3.3691694055022391E-2</v>
      </c>
      <c r="AG54">
        <f ca="1">data0!Z53/Calculations!AG$2/Cal!$G53</f>
        <v>3.2224510001636092E-2</v>
      </c>
      <c r="AH54" t="e">
        <f ca="1">data0!AA53/Calculations!AH$2/Cal!$G53</f>
        <v>#DIV/0!</v>
      </c>
      <c r="AI54" t="e">
        <f ca="1">data0!AB53/Calculations!AI$2/Cal!$G53</f>
        <v>#DIV/0!</v>
      </c>
      <c r="AJ54" t="e">
        <f ca="1">data0!AC53/Calculations!AJ$2/Cal!$G53</f>
        <v>#DIV/0!</v>
      </c>
      <c r="AK54" t="e">
        <f ca="1">data0!AD53/Calculations!AK$2/Cal!$G53</f>
        <v>#DIV/0!</v>
      </c>
      <c r="AL54" t="e">
        <f ca="1">data0!AE53/Calculations!AL$2/Cal!$G53</f>
        <v>#DIV/0!</v>
      </c>
      <c r="AM54" t="e">
        <f ca="1">data0!AF53/Calculations!AM$2/Cal!$G53</f>
        <v>#DIV/0!</v>
      </c>
      <c r="AN54" t="e">
        <f ca="1">data0!AG53/Calculations!AN$2/Cal!$G53</f>
        <v>#DIV/0!</v>
      </c>
    </row>
    <row r="55" spans="1:40">
      <c r="A55">
        <f>data0!A54</f>
        <v>560</v>
      </c>
      <c r="B55" t="e">
        <f t="shared" ca="1" si="0"/>
        <v>#DIV/0!</v>
      </c>
      <c r="C55" t="e">
        <f t="shared" ca="1" si="1"/>
        <v>#DIV/0!</v>
      </c>
      <c r="D55" t="e">
        <f t="shared" ca="1" si="2"/>
        <v>#DIV/0!</v>
      </c>
      <c r="F55" t="e">
        <f t="shared" ca="1" si="3"/>
        <v>#DIV/0!</v>
      </c>
      <c r="G55" t="e">
        <f t="shared" ca="1" si="4"/>
        <v>#DIV/0!</v>
      </c>
      <c r="I55">
        <f ca="1">data0!B54/Calculations!I$2/Cal!$G54</f>
        <v>2.692385994863469E-2</v>
      </c>
      <c r="J55">
        <f ca="1">data0!C54/Calculations!J$2/Cal!$G54</f>
        <v>2.3113568114086477E-2</v>
      </c>
      <c r="K55">
        <f ca="1">data0!D54/Calculations!K$2/Cal!$G54</f>
        <v>2.3836992020010463E-2</v>
      </c>
      <c r="L55">
        <f ca="1">data0!E54/Calculations!L$2/Cal!$G54</f>
        <v>2.3326539701695664E-2</v>
      </c>
      <c r="M55">
        <f ca="1">data0!F54/Calculations!M$2/Cal!$G54</f>
        <v>4.1762643720653164E-2</v>
      </c>
      <c r="N55">
        <f ca="1">data0!G54/Calculations!N$2/Cal!$G54</f>
        <v>3.539775374764853E-2</v>
      </c>
      <c r="O55">
        <f ca="1">data0!H54/Calculations!O$2/Cal!$G54</f>
        <v>3.5580229013128663E-2</v>
      </c>
      <c r="P55">
        <f ca="1">data0!I54/Calculations!P$2/Cal!$G54</f>
        <v>3.3733598194635936E-2</v>
      </c>
      <c r="Q55">
        <f ca="1">data0!J54/Calculations!Q$2/Cal!$G54</f>
        <v>3.6724750098686282E-2</v>
      </c>
      <c r="R55">
        <f ca="1">data0!K54/Calculations!R$2/Cal!$G54</f>
        <v>4.1054451314470858E-2</v>
      </c>
      <c r="S55">
        <f ca="1">data0!L54/Calculations!S$2/Cal!$G54</f>
        <v>4.267437292568764E-2</v>
      </c>
      <c r="T55">
        <f ca="1">data0!M54/Calculations!T$2/Cal!$G54</f>
        <v>4.2381021905867677E-2</v>
      </c>
      <c r="U55">
        <f ca="1">data0!N54/Calculations!U$2/Cal!$G54</f>
        <v>4.2043493721141245E-2</v>
      </c>
      <c r="V55">
        <f ca="1">data0!O54/Calculations!V$2/Cal!$G54</f>
        <v>4.2923161183765997E-2</v>
      </c>
      <c r="W55">
        <f ca="1">data0!P54/Calculations!W$2/Cal!$G54</f>
        <v>4.3475101601095335E-2</v>
      </c>
      <c r="X55">
        <f ca="1">data0!Q54/Calculations!X$2/Cal!$G54</f>
        <v>4.3439084123715603E-2</v>
      </c>
      <c r="Y55">
        <f ca="1">data0!R54/Calculations!Y$2/Cal!$G54</f>
        <v>3.947257704125369E-2</v>
      </c>
      <c r="Z55">
        <f ca="1">data0!S54/Calculations!Z$2/Cal!$G54</f>
        <v>3.5626131658557755E-2</v>
      </c>
      <c r="AA55">
        <f ca="1">data0!T54/Calculations!AA$2/Cal!$G54</f>
        <v>3.8926873597698863E-2</v>
      </c>
      <c r="AB55">
        <f ca="1">data0!U54/Calculations!AB$2/Cal!$G54</f>
        <v>3.9098580248494302E-2</v>
      </c>
      <c r="AC55">
        <f ca="1">data0!V54/Calculations!AC$2/Cal!$G54</f>
        <v>3.8086283268848421E-2</v>
      </c>
      <c r="AD55">
        <f ca="1">data0!W54/Calculations!AD$2/Cal!$G54</f>
        <v>3.4954617093677177E-2</v>
      </c>
      <c r="AE55">
        <f ca="1">data0!X54/Calculations!AE$2/Cal!$G54</f>
        <v>2.6513624195203141E-2</v>
      </c>
      <c r="AF55">
        <f ca="1">data0!Y54/Calculations!AF$2/Cal!$G54</f>
        <v>3.302926286058297E-2</v>
      </c>
      <c r="AG55">
        <f ca="1">data0!Z54/Calculations!AG$2/Cal!$G54</f>
        <v>3.0571863868825187E-2</v>
      </c>
      <c r="AH55" t="e">
        <f ca="1">data0!AA54/Calculations!AH$2/Cal!$G54</f>
        <v>#DIV/0!</v>
      </c>
      <c r="AI55" t="e">
        <f ca="1">data0!AB54/Calculations!AI$2/Cal!$G54</f>
        <v>#DIV/0!</v>
      </c>
      <c r="AJ55" t="e">
        <f ca="1">data0!AC54/Calculations!AJ$2/Cal!$G54</f>
        <v>#DIV/0!</v>
      </c>
      <c r="AK55" t="e">
        <f ca="1">data0!AD54/Calculations!AK$2/Cal!$G54</f>
        <v>#DIV/0!</v>
      </c>
      <c r="AL55" t="e">
        <f ca="1">data0!AE54/Calculations!AL$2/Cal!$G54</f>
        <v>#DIV/0!</v>
      </c>
      <c r="AM55" t="e">
        <f ca="1">data0!AF54/Calculations!AM$2/Cal!$G54</f>
        <v>#DIV/0!</v>
      </c>
      <c r="AN55" t="e">
        <f ca="1">data0!AG54/Calculations!AN$2/Cal!$G54</f>
        <v>#DIV/0!</v>
      </c>
    </row>
    <row r="56" spans="1:40">
      <c r="A56">
        <f>data0!A55</f>
        <v>565</v>
      </c>
      <c r="B56" t="e">
        <f t="shared" ca="1" si="0"/>
        <v>#DIV/0!</v>
      </c>
      <c r="C56" t="e">
        <f t="shared" ca="1" si="1"/>
        <v>#DIV/0!</v>
      </c>
      <c r="D56" t="e">
        <f t="shared" ca="1" si="2"/>
        <v>#DIV/0!</v>
      </c>
      <c r="F56" t="e">
        <f t="shared" ca="1" si="3"/>
        <v>#DIV/0!</v>
      </c>
      <c r="G56" t="e">
        <f t="shared" ca="1" si="4"/>
        <v>#DIV/0!</v>
      </c>
      <c r="I56">
        <f ca="1">data0!B55/Calculations!I$2/Cal!$G55</f>
        <v>2.392521733157113E-2</v>
      </c>
      <c r="J56">
        <f ca="1">data0!C55/Calculations!J$2/Cal!$G55</f>
        <v>2.1187905678730475E-2</v>
      </c>
      <c r="K56">
        <f ca="1">data0!D55/Calculations!K$2/Cal!$G55</f>
        <v>2.1582797443520402E-2</v>
      </c>
      <c r="L56">
        <f ca="1">data0!E55/Calculations!L$2/Cal!$G55</f>
        <v>2.0737319171335606E-2</v>
      </c>
      <c r="M56">
        <f ca="1">data0!F55/Calculations!M$2/Cal!$G55</f>
        <v>3.8637647102956196E-2</v>
      </c>
      <c r="N56">
        <f ca="1">data0!G55/Calculations!N$2/Cal!$G55</f>
        <v>3.1510862939006914E-2</v>
      </c>
      <c r="O56">
        <f ca="1">data0!H55/Calculations!O$2/Cal!$G55</f>
        <v>3.3041183206004202E-2</v>
      </c>
      <c r="P56">
        <f ca="1">data0!I55/Calculations!P$2/Cal!$G55</f>
        <v>3.2190565950277E-2</v>
      </c>
      <c r="Q56">
        <f ca="1">data0!J55/Calculations!Q$2/Cal!$G55</f>
        <v>3.1431221662617428E-2</v>
      </c>
      <c r="R56">
        <f ca="1">data0!K55/Calculations!R$2/Cal!$G55</f>
        <v>3.5087981841690694E-2</v>
      </c>
      <c r="S56">
        <f ca="1">data0!L55/Calculations!S$2/Cal!$G55</f>
        <v>3.8347641496953785E-2</v>
      </c>
      <c r="T56">
        <f ca="1">data0!M55/Calculations!T$2/Cal!$G55</f>
        <v>3.9243255324456744E-2</v>
      </c>
      <c r="U56">
        <f ca="1">data0!N55/Calculations!U$2/Cal!$G55</f>
        <v>3.9362301881353409E-2</v>
      </c>
      <c r="V56">
        <f ca="1">data0!O55/Calculations!V$2/Cal!$G55</f>
        <v>3.9710649005048428E-2</v>
      </c>
      <c r="W56">
        <f ca="1">data0!P55/Calculations!W$2/Cal!$G55</f>
        <v>3.9033685810162609E-2</v>
      </c>
      <c r="X56">
        <f ca="1">data0!Q55/Calculations!X$2/Cal!$G55</f>
        <v>3.6913186787219394E-2</v>
      </c>
      <c r="Y56">
        <f ca="1">data0!R55/Calculations!Y$2/Cal!$G55</f>
        <v>3.2817806831853945E-2</v>
      </c>
      <c r="Z56">
        <f ca="1">data0!S55/Calculations!Z$2/Cal!$G55</f>
        <v>3.506640717742561E-2</v>
      </c>
      <c r="AA56">
        <f ca="1">data0!T55/Calculations!AA$2/Cal!$G55</f>
        <v>3.5754555295552042E-2</v>
      </c>
      <c r="AB56">
        <f ca="1">data0!U55/Calculations!AB$2/Cal!$G55</f>
        <v>3.3407239230752998E-2</v>
      </c>
      <c r="AC56">
        <f ca="1">data0!V55/Calculations!AC$2/Cal!$G55</f>
        <v>3.6296170667022468E-2</v>
      </c>
      <c r="AD56">
        <f ca="1">data0!W55/Calculations!AD$2/Cal!$G55</f>
        <v>3.1604626230594242E-2</v>
      </c>
      <c r="AE56">
        <f ca="1">data0!X55/Calculations!AE$2/Cal!$G55</f>
        <v>2.481529369470253E-2</v>
      </c>
      <c r="AF56">
        <f ca="1">data0!Y55/Calculations!AF$2/Cal!$G55</f>
        <v>3.0485944973130331E-2</v>
      </c>
      <c r="AG56">
        <f ca="1">data0!Z55/Calculations!AG$2/Cal!$G55</f>
        <v>2.8024827879382454E-2</v>
      </c>
      <c r="AH56" t="e">
        <f ca="1">data0!AA55/Calculations!AH$2/Cal!$G55</f>
        <v>#DIV/0!</v>
      </c>
      <c r="AI56" t="e">
        <f ca="1">data0!AB55/Calculations!AI$2/Cal!$G55</f>
        <v>#DIV/0!</v>
      </c>
      <c r="AJ56" t="e">
        <f ca="1">data0!AC55/Calculations!AJ$2/Cal!$G55</f>
        <v>#DIV/0!</v>
      </c>
      <c r="AK56" t="e">
        <f ca="1">data0!AD55/Calculations!AK$2/Cal!$G55</f>
        <v>#DIV/0!</v>
      </c>
      <c r="AL56" t="e">
        <f ca="1">data0!AE55/Calculations!AL$2/Cal!$G55</f>
        <v>#DIV/0!</v>
      </c>
      <c r="AM56" t="e">
        <f ca="1">data0!AF55/Calculations!AM$2/Cal!$G55</f>
        <v>#DIV/0!</v>
      </c>
      <c r="AN56" t="e">
        <f ca="1">data0!AG55/Calculations!AN$2/Cal!$G55</f>
        <v>#DIV/0!</v>
      </c>
    </row>
    <row r="57" spans="1:40">
      <c r="A57">
        <f>data0!A56</f>
        <v>570</v>
      </c>
      <c r="B57" t="e">
        <f t="shared" ca="1" si="0"/>
        <v>#DIV/0!</v>
      </c>
      <c r="C57" t="e">
        <f t="shared" ca="1" si="1"/>
        <v>#DIV/0!</v>
      </c>
      <c r="D57" t="e">
        <f t="shared" ca="1" si="2"/>
        <v>#DIV/0!</v>
      </c>
      <c r="F57" t="e">
        <f t="shared" ca="1" si="3"/>
        <v>#DIV/0!</v>
      </c>
      <c r="G57" t="e">
        <f t="shared" ca="1" si="4"/>
        <v>#DIV/0!</v>
      </c>
      <c r="I57">
        <f ca="1">data0!B56/Calculations!I$2/Cal!$G56</f>
        <v>2.1037045999395911E-2</v>
      </c>
      <c r="J57">
        <f ca="1">data0!C56/Calculations!J$2/Cal!$G56</f>
        <v>1.8591034264107121E-2</v>
      </c>
      <c r="K57">
        <f ca="1">data0!D56/Calculations!K$2/Cal!$G56</f>
        <v>1.9053077493142077E-2</v>
      </c>
      <c r="L57">
        <f ca="1">data0!E56/Calculations!L$2/Cal!$G56</f>
        <v>1.7845333874843741E-2</v>
      </c>
      <c r="M57">
        <f ca="1">data0!F56/Calculations!M$2/Cal!$G56</f>
        <v>3.3253263940859916E-2</v>
      </c>
      <c r="N57">
        <f ca="1">data0!G56/Calculations!N$2/Cal!$G56</f>
        <v>2.7791170150841725E-2</v>
      </c>
      <c r="O57">
        <f ca="1">data0!H56/Calculations!O$2/Cal!$G56</f>
        <v>2.8930322955811886E-2</v>
      </c>
      <c r="P57">
        <f ca="1">data0!I56/Calculations!P$2/Cal!$G56</f>
        <v>2.9468450203608363E-2</v>
      </c>
      <c r="Q57">
        <f ca="1">data0!J56/Calculations!Q$2/Cal!$G56</f>
        <v>2.7894770971414105E-2</v>
      </c>
      <c r="R57">
        <f ca="1">data0!K56/Calculations!R$2/Cal!$G56</f>
        <v>2.8404939384713605E-2</v>
      </c>
      <c r="S57">
        <f ca="1">data0!L56/Calculations!S$2/Cal!$G56</f>
        <v>3.1491089702971799E-2</v>
      </c>
      <c r="T57">
        <f ca="1">data0!M56/Calculations!T$2/Cal!$G56</f>
        <v>3.320220597906972E-2</v>
      </c>
      <c r="U57">
        <f ca="1">data0!N56/Calculations!U$2/Cal!$G56</f>
        <v>3.3666388157470584E-2</v>
      </c>
      <c r="V57">
        <f ca="1">data0!O56/Calculations!V$2/Cal!$G56</f>
        <v>3.3597042458532372E-2</v>
      </c>
      <c r="W57">
        <f ca="1">data0!P56/Calculations!W$2/Cal!$G56</f>
        <v>3.1893130387152344E-2</v>
      </c>
      <c r="X57">
        <f ca="1">data0!Q56/Calculations!X$2/Cal!$G56</f>
        <v>2.9204964639971891E-2</v>
      </c>
      <c r="Y57">
        <f ca="1">data0!R56/Calculations!Y$2/Cal!$G56</f>
        <v>2.9488754931135404E-2</v>
      </c>
      <c r="Z57">
        <f ca="1">data0!S56/Calculations!Z$2/Cal!$G56</f>
        <v>3.1758438395698425E-2</v>
      </c>
      <c r="AA57">
        <f ca="1">data0!T56/Calculations!AA$2/Cal!$G56</f>
        <v>3.1782355772171485E-2</v>
      </c>
      <c r="AB57">
        <f ca="1">data0!U56/Calculations!AB$2/Cal!$G56</f>
        <v>2.8904047332314154E-2</v>
      </c>
      <c r="AC57">
        <f ca="1">data0!V56/Calculations!AC$2/Cal!$G56</f>
        <v>3.0074635742433787E-2</v>
      </c>
      <c r="AD57">
        <f ca="1">data0!W56/Calculations!AD$2/Cal!$G56</f>
        <v>2.6045569822824879E-2</v>
      </c>
      <c r="AE57">
        <f ca="1">data0!X56/Calculations!AE$2/Cal!$G56</f>
        <v>2.4730778060937184E-2</v>
      </c>
      <c r="AF57">
        <f ca="1">data0!Y56/Calculations!AF$2/Cal!$G56</f>
        <v>2.611845834694387E-2</v>
      </c>
      <c r="AG57">
        <f ca="1">data0!Z56/Calculations!AG$2/Cal!$G56</f>
        <v>2.4589996918587438E-2</v>
      </c>
      <c r="AH57" t="e">
        <f ca="1">data0!AA56/Calculations!AH$2/Cal!$G56</f>
        <v>#DIV/0!</v>
      </c>
      <c r="AI57" t="e">
        <f ca="1">data0!AB56/Calculations!AI$2/Cal!$G56</f>
        <v>#DIV/0!</v>
      </c>
      <c r="AJ57" t="e">
        <f ca="1">data0!AC56/Calculations!AJ$2/Cal!$G56</f>
        <v>#DIV/0!</v>
      </c>
      <c r="AK57" t="e">
        <f ca="1">data0!AD56/Calculations!AK$2/Cal!$G56</f>
        <v>#DIV/0!</v>
      </c>
      <c r="AL57" t="e">
        <f ca="1">data0!AE56/Calculations!AL$2/Cal!$G56</f>
        <v>#DIV/0!</v>
      </c>
      <c r="AM57" t="e">
        <f ca="1">data0!AF56/Calculations!AM$2/Cal!$G56</f>
        <v>#DIV/0!</v>
      </c>
      <c r="AN57" t="e">
        <f ca="1">data0!AG56/Calculations!AN$2/Cal!$G56</f>
        <v>#DIV/0!</v>
      </c>
    </row>
    <row r="58" spans="1:40">
      <c r="A58">
        <f>data0!A57</f>
        <v>575</v>
      </c>
      <c r="B58" t="e">
        <f t="shared" ca="1" si="0"/>
        <v>#DIV/0!</v>
      </c>
      <c r="C58" t="e">
        <f t="shared" ca="1" si="1"/>
        <v>#DIV/0!</v>
      </c>
      <c r="D58" t="e">
        <f t="shared" ca="1" si="2"/>
        <v>#DIV/0!</v>
      </c>
      <c r="F58" t="e">
        <f t="shared" ca="1" si="3"/>
        <v>#DIV/0!</v>
      </c>
      <c r="G58" t="e">
        <f t="shared" ca="1" si="4"/>
        <v>#DIV/0!</v>
      </c>
      <c r="I58">
        <f ca="1">data0!B57/Calculations!I$2/Cal!$G57</f>
        <v>1.8311043067400619E-2</v>
      </c>
      <c r="J58">
        <f ca="1">data0!C57/Calculations!J$2/Cal!$G57</f>
        <v>1.6138837156982687E-2</v>
      </c>
      <c r="K58">
        <f ca="1">data0!D57/Calculations!K$2/Cal!$G57</f>
        <v>1.7022233061313036E-2</v>
      </c>
      <c r="L58">
        <f ca="1">data0!E57/Calculations!L$2/Cal!$G57</f>
        <v>1.4747343509779616E-2</v>
      </c>
      <c r="M58">
        <f ca="1">data0!F57/Calculations!M$2/Cal!$G57</f>
        <v>2.6535076664218369E-2</v>
      </c>
      <c r="N58">
        <f ca="1">data0!G57/Calculations!N$2/Cal!$G57</f>
        <v>2.4188576762383264E-2</v>
      </c>
      <c r="O58">
        <f ca="1">data0!H57/Calculations!O$2/Cal!$G57</f>
        <v>2.3667604510078113E-2</v>
      </c>
      <c r="P58">
        <f ca="1">data0!I57/Calculations!P$2/Cal!$G57</f>
        <v>2.5263643996130038E-2</v>
      </c>
      <c r="Q58">
        <f ca="1">data0!J57/Calculations!Q$2/Cal!$G57</f>
        <v>2.4720997359909878E-2</v>
      </c>
      <c r="R58">
        <f ca="1">data0!K57/Calculations!R$2/Cal!$G57</f>
        <v>2.3373083802110273E-2</v>
      </c>
      <c r="S58">
        <f ca="1">data0!L57/Calculations!S$2/Cal!$G57</f>
        <v>2.4129585926764282E-2</v>
      </c>
      <c r="T58">
        <f ca="1">data0!M57/Calculations!T$2/Cal!$G57</f>
        <v>2.5489610307106721E-2</v>
      </c>
      <c r="U58">
        <f ca="1">data0!N57/Calculations!U$2/Cal!$G57</f>
        <v>2.5944735359255539E-2</v>
      </c>
      <c r="V58">
        <f ca="1">data0!O57/Calculations!V$2/Cal!$G57</f>
        <v>2.5574275972391355E-2</v>
      </c>
      <c r="W58">
        <f ca="1">data0!P57/Calculations!W$2/Cal!$G57</f>
        <v>2.4103224761049796E-2</v>
      </c>
      <c r="X58">
        <f ca="1">data0!Q57/Calculations!X$2/Cal!$G57</f>
        <v>2.3817789937996239E-2</v>
      </c>
      <c r="Y58">
        <f ca="1">data0!R57/Calculations!Y$2/Cal!$G57</f>
        <v>2.6487779111259706E-2</v>
      </c>
      <c r="Z58">
        <f ca="1">data0!S57/Calculations!Z$2/Cal!$G57</f>
        <v>2.6657687921122761E-2</v>
      </c>
      <c r="AA58">
        <f ca="1">data0!T57/Calculations!AA$2/Cal!$G57</f>
        <v>2.532222451485026E-2</v>
      </c>
      <c r="AB58">
        <f ca="1">data0!U57/Calculations!AB$2/Cal!$G57</f>
        <v>2.6194355279939116E-2</v>
      </c>
      <c r="AC58">
        <f ca="1">data0!V57/Calculations!AC$2/Cal!$G57</f>
        <v>2.4014283532647122E-2</v>
      </c>
      <c r="AD58">
        <f ca="1">data0!W57/Calculations!AD$2/Cal!$G57</f>
        <v>1.9525770251132248E-2</v>
      </c>
      <c r="AE58">
        <f ca="1">data0!X57/Calculations!AE$2/Cal!$G57</f>
        <v>2.282644091054295E-2</v>
      </c>
      <c r="AF58">
        <f ca="1">data0!Y57/Calculations!AF$2/Cal!$G57</f>
        <v>2.0460600656848193E-2</v>
      </c>
      <c r="AG58">
        <f ca="1">data0!Z57/Calculations!AG$2/Cal!$G57</f>
        <v>2.0376227379249479E-2</v>
      </c>
      <c r="AH58" t="e">
        <f ca="1">data0!AA57/Calculations!AH$2/Cal!$G57</f>
        <v>#DIV/0!</v>
      </c>
      <c r="AI58" t="e">
        <f ca="1">data0!AB57/Calculations!AI$2/Cal!$G57</f>
        <v>#DIV/0!</v>
      </c>
      <c r="AJ58" t="e">
        <f ca="1">data0!AC57/Calculations!AJ$2/Cal!$G57</f>
        <v>#DIV/0!</v>
      </c>
      <c r="AK58" t="e">
        <f ca="1">data0!AD57/Calculations!AK$2/Cal!$G57</f>
        <v>#DIV/0!</v>
      </c>
      <c r="AL58" t="e">
        <f ca="1">data0!AE57/Calculations!AL$2/Cal!$G57</f>
        <v>#DIV/0!</v>
      </c>
      <c r="AM58" t="e">
        <f ca="1">data0!AF57/Calculations!AM$2/Cal!$G57</f>
        <v>#DIV/0!</v>
      </c>
      <c r="AN58" t="e">
        <f ca="1">data0!AG57/Calculations!AN$2/Cal!$G57</f>
        <v>#DIV/0!</v>
      </c>
    </row>
    <row r="59" spans="1:40">
      <c r="A59">
        <f>data0!A58</f>
        <v>580</v>
      </c>
      <c r="B59" t="e">
        <f t="shared" ca="1" si="0"/>
        <v>#DIV/0!</v>
      </c>
      <c r="C59" t="e">
        <f t="shared" ca="1" si="1"/>
        <v>#DIV/0!</v>
      </c>
      <c r="D59" t="e">
        <f t="shared" ca="1" si="2"/>
        <v>#DIV/0!</v>
      </c>
      <c r="F59" t="e">
        <f t="shared" ca="1" si="3"/>
        <v>#DIV/0!</v>
      </c>
      <c r="G59" t="e">
        <f t="shared" ca="1" si="4"/>
        <v>#DIV/0!</v>
      </c>
      <c r="I59">
        <f ca="1">data0!B58/Calculations!I$2/Cal!$G58</f>
        <v>1.4450351697542335E-2</v>
      </c>
      <c r="J59">
        <f ca="1">data0!C58/Calculations!J$2/Cal!$G58</f>
        <v>1.3749234046824099E-2</v>
      </c>
      <c r="K59">
        <f ca="1">data0!D58/Calculations!K$2/Cal!$G58</f>
        <v>1.5392292717010161E-2</v>
      </c>
      <c r="L59">
        <f ca="1">data0!E58/Calculations!L$2/Cal!$G58</f>
        <v>1.2504532049251556E-2</v>
      </c>
      <c r="M59">
        <f ca="1">data0!F58/Calculations!M$2/Cal!$G58</f>
        <v>2.0409335539462042E-2</v>
      </c>
      <c r="N59">
        <f ca="1">data0!G58/Calculations!N$2/Cal!$G58</f>
        <v>1.9864668803093559E-2</v>
      </c>
      <c r="O59">
        <f ca="1">data0!H58/Calculations!O$2/Cal!$G58</f>
        <v>1.8914517251079576E-2</v>
      </c>
      <c r="P59">
        <f ca="1">data0!I58/Calculations!P$2/Cal!$G58</f>
        <v>2.0442084491604652E-2</v>
      </c>
      <c r="Q59">
        <f ca="1">data0!J58/Calculations!Q$2/Cal!$G58</f>
        <v>2.0678480632572532E-2</v>
      </c>
      <c r="R59">
        <f ca="1">data0!K58/Calculations!R$2/Cal!$G58</f>
        <v>1.9955628729645507E-2</v>
      </c>
      <c r="S59">
        <f ca="1">data0!L58/Calculations!S$2/Cal!$G58</f>
        <v>1.9138909186460051E-2</v>
      </c>
      <c r="T59">
        <f ca="1">data0!M58/Calculations!T$2/Cal!$G58</f>
        <v>1.9084855687509911E-2</v>
      </c>
      <c r="U59">
        <f ca="1">data0!N58/Calculations!U$2/Cal!$G58</f>
        <v>1.915092489847587E-2</v>
      </c>
      <c r="V59">
        <f ca="1">data0!O58/Calculations!V$2/Cal!$G58</f>
        <v>1.9032251193774757E-2</v>
      </c>
      <c r="W59">
        <f ca="1">data0!P58/Calculations!W$2/Cal!$G58</f>
        <v>1.9057268802334555E-2</v>
      </c>
      <c r="X59">
        <f ca="1">data0!Q58/Calculations!X$2/Cal!$G58</f>
        <v>2.0595583535244523E-2</v>
      </c>
      <c r="Y59">
        <f ca="1">data0!R58/Calculations!Y$2/Cal!$G58</f>
        <v>2.1648955854091621E-2</v>
      </c>
      <c r="Z59">
        <f ca="1">data0!S58/Calculations!Z$2/Cal!$G58</f>
        <v>2.1809201691830649E-2</v>
      </c>
      <c r="AA59">
        <f ca="1">data0!T58/Calculations!AA$2/Cal!$G58</f>
        <v>1.927237317131953E-2</v>
      </c>
      <c r="AB59">
        <f ca="1">data0!U58/Calculations!AB$2/Cal!$G58</f>
        <v>2.1340157038462652E-2</v>
      </c>
      <c r="AC59">
        <f ca="1">data0!V58/Calculations!AC$2/Cal!$G58</f>
        <v>1.9333544763980508E-2</v>
      </c>
      <c r="AD59">
        <f ca="1">data0!W58/Calculations!AD$2/Cal!$G58</f>
        <v>1.5924841134651493E-2</v>
      </c>
      <c r="AE59">
        <f ca="1">data0!X58/Calculations!AE$2/Cal!$G58</f>
        <v>1.8875905824319139E-2</v>
      </c>
      <c r="AF59">
        <f ca="1">data0!Y58/Calculations!AF$2/Cal!$G58</f>
        <v>1.5698178306257936E-2</v>
      </c>
      <c r="AG59">
        <f ca="1">data0!Z58/Calculations!AG$2/Cal!$G58</f>
        <v>1.6271543573086848E-2</v>
      </c>
      <c r="AH59" t="e">
        <f ca="1">data0!AA58/Calculations!AH$2/Cal!$G58</f>
        <v>#DIV/0!</v>
      </c>
      <c r="AI59" t="e">
        <f ca="1">data0!AB58/Calculations!AI$2/Cal!$G58</f>
        <v>#DIV/0!</v>
      </c>
      <c r="AJ59" t="e">
        <f ca="1">data0!AC58/Calculations!AJ$2/Cal!$G58</f>
        <v>#DIV/0!</v>
      </c>
      <c r="AK59" t="e">
        <f ca="1">data0!AD58/Calculations!AK$2/Cal!$G58</f>
        <v>#DIV/0!</v>
      </c>
      <c r="AL59" t="e">
        <f ca="1">data0!AE58/Calculations!AL$2/Cal!$G58</f>
        <v>#DIV/0!</v>
      </c>
      <c r="AM59" t="e">
        <f ca="1">data0!AF58/Calculations!AM$2/Cal!$G58</f>
        <v>#DIV/0!</v>
      </c>
      <c r="AN59" t="e">
        <f ca="1">data0!AG58/Calculations!AN$2/Cal!$G58</f>
        <v>#DIV/0!</v>
      </c>
    </row>
    <row r="60" spans="1:40">
      <c r="A60">
        <f>data0!A59</f>
        <v>585</v>
      </c>
      <c r="B60" t="e">
        <f t="shared" ca="1" si="0"/>
        <v>#DIV/0!</v>
      </c>
      <c r="C60" t="e">
        <f t="shared" ca="1" si="1"/>
        <v>#DIV/0!</v>
      </c>
      <c r="D60" t="e">
        <f t="shared" ca="1" si="2"/>
        <v>#DIV/0!</v>
      </c>
      <c r="F60" t="e">
        <f t="shared" ca="1" si="3"/>
        <v>#DIV/0!</v>
      </c>
      <c r="G60" t="e">
        <f t="shared" ca="1" si="4"/>
        <v>#DIV/0!</v>
      </c>
      <c r="I60">
        <f ca="1">data0!B59/Calculations!I$2/Cal!$G59</f>
        <v>1.1878548002711046E-2</v>
      </c>
      <c r="J60">
        <f ca="1">data0!C59/Calculations!J$2/Cal!$G59</f>
        <v>1.0707358045416721E-2</v>
      </c>
      <c r="K60">
        <f ca="1">data0!D59/Calculations!K$2/Cal!$G59</f>
        <v>1.3112950410569616E-2</v>
      </c>
      <c r="L60">
        <f ca="1">data0!E59/Calculations!L$2/Cal!$G59</f>
        <v>1.1153477322094214E-2</v>
      </c>
      <c r="M60">
        <f ca="1">data0!F59/Calculations!M$2/Cal!$G59</f>
        <v>1.4930889114546613E-2</v>
      </c>
      <c r="N60">
        <f ca="1">data0!G59/Calculations!N$2/Cal!$G59</f>
        <v>1.5240633354082088E-2</v>
      </c>
      <c r="O60">
        <f ca="1">data0!H59/Calculations!O$2/Cal!$G59</f>
        <v>1.5411118897281275E-2</v>
      </c>
      <c r="P60">
        <f ca="1">data0!I59/Calculations!P$2/Cal!$G59</f>
        <v>1.5637915529297112E-2</v>
      </c>
      <c r="Q60">
        <f ca="1">data0!J59/Calculations!Q$2/Cal!$G59</f>
        <v>1.6479388912780453E-2</v>
      </c>
      <c r="R60">
        <f ca="1">data0!K59/Calculations!R$2/Cal!$G59</f>
        <v>1.6363967742678565E-2</v>
      </c>
      <c r="S60">
        <f ca="1">data0!L59/Calculations!S$2/Cal!$G59</f>
        <v>1.5862859844406923E-2</v>
      </c>
      <c r="T60">
        <f ca="1">data0!M59/Calculations!T$2/Cal!$G59</f>
        <v>1.5313743850348413E-2</v>
      </c>
      <c r="U60">
        <f ca="1">data0!N59/Calculations!U$2/Cal!$G59</f>
        <v>1.5073795055247079E-2</v>
      </c>
      <c r="V60">
        <f ca="1">data0!O59/Calculations!V$2/Cal!$G59</f>
        <v>1.5278590293441455E-2</v>
      </c>
      <c r="W60">
        <f ca="1">data0!P59/Calculations!W$2/Cal!$G59</f>
        <v>1.6005461228465415E-2</v>
      </c>
      <c r="X60">
        <f ca="1">data0!Q59/Calculations!X$2/Cal!$G59</f>
        <v>1.6752268412538976E-2</v>
      </c>
      <c r="Y60">
        <f ca="1">data0!R59/Calculations!Y$2/Cal!$G59</f>
        <v>1.6983813648339809E-2</v>
      </c>
      <c r="Z60">
        <f ca="1">data0!S59/Calculations!Z$2/Cal!$G59</f>
        <v>1.6182530615870532E-2</v>
      </c>
      <c r="AA60">
        <f ca="1">data0!T59/Calculations!AA$2/Cal!$G59</f>
        <v>1.6005365128151632E-2</v>
      </c>
      <c r="AB60">
        <f ca="1">data0!U59/Calculations!AB$2/Cal!$G59</f>
        <v>1.5446999943086568E-2</v>
      </c>
      <c r="AC60">
        <f ca="1">data0!V59/Calculations!AC$2/Cal!$G59</f>
        <v>1.4041421645128038E-2</v>
      </c>
      <c r="AD60">
        <f ca="1">data0!W59/Calculations!AD$2/Cal!$G59</f>
        <v>1.4464207921853172E-2</v>
      </c>
      <c r="AE60">
        <f ca="1">data0!X59/Calculations!AE$2/Cal!$G59</f>
        <v>1.4615063219852795E-2</v>
      </c>
      <c r="AF60">
        <f ca="1">data0!Y59/Calculations!AF$2/Cal!$G59</f>
        <v>1.2166903717305782E-2</v>
      </c>
      <c r="AG60">
        <f ca="1">data0!Z59/Calculations!AG$2/Cal!$G59</f>
        <v>1.3218251993851671E-2</v>
      </c>
      <c r="AH60" t="e">
        <f ca="1">data0!AA59/Calculations!AH$2/Cal!$G59</f>
        <v>#DIV/0!</v>
      </c>
      <c r="AI60" t="e">
        <f ca="1">data0!AB59/Calculations!AI$2/Cal!$G59</f>
        <v>#DIV/0!</v>
      </c>
      <c r="AJ60" t="e">
        <f ca="1">data0!AC59/Calculations!AJ$2/Cal!$G59</f>
        <v>#DIV/0!</v>
      </c>
      <c r="AK60" t="e">
        <f ca="1">data0!AD59/Calculations!AK$2/Cal!$G59</f>
        <v>#DIV/0!</v>
      </c>
      <c r="AL60" t="e">
        <f ca="1">data0!AE59/Calculations!AL$2/Cal!$G59</f>
        <v>#DIV/0!</v>
      </c>
      <c r="AM60" t="e">
        <f ca="1">data0!AF59/Calculations!AM$2/Cal!$G59</f>
        <v>#DIV/0!</v>
      </c>
      <c r="AN60" t="e">
        <f ca="1">data0!AG59/Calculations!AN$2/Cal!$G59</f>
        <v>#DIV/0!</v>
      </c>
    </row>
    <row r="61" spans="1:40">
      <c r="A61">
        <f>data0!A60</f>
        <v>590</v>
      </c>
      <c r="B61" t="e">
        <f t="shared" ca="1" si="0"/>
        <v>#DIV/0!</v>
      </c>
      <c r="C61" t="e">
        <f t="shared" ca="1" si="1"/>
        <v>#DIV/0!</v>
      </c>
      <c r="D61" t="e">
        <f t="shared" ca="1" si="2"/>
        <v>#DIV/0!</v>
      </c>
      <c r="F61" t="e">
        <f t="shared" ca="1" si="3"/>
        <v>#DIV/0!</v>
      </c>
      <c r="G61" t="e">
        <f t="shared" ca="1" si="4"/>
        <v>#DIV/0!</v>
      </c>
      <c r="I61">
        <f ca="1">data0!B60/Calculations!I$2/Cal!$G60</f>
        <v>9.3934398161351629E-3</v>
      </c>
      <c r="J61">
        <f ca="1">data0!C60/Calculations!J$2/Cal!$G60</f>
        <v>9.172880843184468E-3</v>
      </c>
      <c r="K61">
        <f ca="1">data0!D60/Calculations!K$2/Cal!$G60</f>
        <v>1.0574256181480042E-2</v>
      </c>
      <c r="L61">
        <f ca="1">data0!E60/Calculations!L$2/Cal!$G60</f>
        <v>9.9946960782635492E-3</v>
      </c>
      <c r="M61">
        <f ca="1">data0!F60/Calculations!M$2/Cal!$G60</f>
        <v>1.0653114889601011E-2</v>
      </c>
      <c r="N61">
        <f ca="1">data0!G60/Calculations!N$2/Cal!$G60</f>
        <v>1.150843928097329E-2</v>
      </c>
      <c r="O61">
        <f ca="1">data0!H60/Calculations!O$2/Cal!$G60</f>
        <v>1.2516456175490236E-2</v>
      </c>
      <c r="P61">
        <f ca="1">data0!I60/Calculations!P$2/Cal!$G60</f>
        <v>1.1903858784446364E-2</v>
      </c>
      <c r="Q61">
        <f ca="1">data0!J60/Calculations!Q$2/Cal!$G60</f>
        <v>1.2825160759726081E-2</v>
      </c>
      <c r="R61">
        <f ca="1">data0!K60/Calculations!R$2/Cal!$G60</f>
        <v>1.3000936261353966E-2</v>
      </c>
      <c r="S61">
        <f ca="1">data0!L60/Calculations!S$2/Cal!$G60</f>
        <v>1.2913142106996947E-2</v>
      </c>
      <c r="T61">
        <f ca="1">data0!M60/Calculations!T$2/Cal!$G60</f>
        <v>1.2722357348607001E-2</v>
      </c>
      <c r="U61">
        <f ca="1">data0!N60/Calculations!U$2/Cal!$G60</f>
        <v>1.2584826556056592E-2</v>
      </c>
      <c r="V61">
        <f ca="1">data0!O60/Calculations!V$2/Cal!$G60</f>
        <v>1.2755806229240179E-2</v>
      </c>
      <c r="W61">
        <f ca="1">data0!P60/Calculations!W$2/Cal!$G60</f>
        <v>1.2950597290976047E-2</v>
      </c>
      <c r="X61">
        <f ca="1">data0!Q60/Calculations!X$2/Cal!$G60</f>
        <v>1.3103925893511848E-2</v>
      </c>
      <c r="Y61">
        <f ca="1">data0!R60/Calculations!Y$2/Cal!$G60</f>
        <v>1.3152009837954668E-2</v>
      </c>
      <c r="Z61">
        <f ca="1">data0!S60/Calculations!Z$2/Cal!$G60</f>
        <v>1.1738412976931694E-2</v>
      </c>
      <c r="AA61">
        <f ca="1">data0!T60/Calculations!AA$2/Cal!$G60</f>
        <v>1.3274641182776586E-2</v>
      </c>
      <c r="AB61">
        <f ca="1">data0!U60/Calculations!AB$2/Cal!$G60</f>
        <v>1.1690842268719736E-2</v>
      </c>
      <c r="AC61">
        <f ca="1">data0!V60/Calculations!AC$2/Cal!$G60</f>
        <v>9.658873392538873E-3</v>
      </c>
      <c r="AD61">
        <f ca="1">data0!W60/Calculations!AD$2/Cal!$G60</f>
        <v>1.2657422693044915E-2</v>
      </c>
      <c r="AE61">
        <f ca="1">data0!X60/Calculations!AE$2/Cal!$G60</f>
        <v>1.0651463439669148E-2</v>
      </c>
      <c r="AF61">
        <f ca="1">data0!Y60/Calculations!AF$2/Cal!$G60</f>
        <v>9.8401389335020985E-3</v>
      </c>
      <c r="AG61">
        <f ca="1">data0!Z60/Calculations!AG$2/Cal!$G60</f>
        <v>1.0266206929415671E-2</v>
      </c>
      <c r="AH61" t="e">
        <f ca="1">data0!AA60/Calculations!AH$2/Cal!$G60</f>
        <v>#DIV/0!</v>
      </c>
      <c r="AI61" t="e">
        <f ca="1">data0!AB60/Calculations!AI$2/Cal!$G60</f>
        <v>#DIV/0!</v>
      </c>
      <c r="AJ61" t="e">
        <f ca="1">data0!AC60/Calculations!AJ$2/Cal!$G60</f>
        <v>#DIV/0!</v>
      </c>
      <c r="AK61" t="e">
        <f ca="1">data0!AD60/Calculations!AK$2/Cal!$G60</f>
        <v>#DIV/0!</v>
      </c>
      <c r="AL61" t="e">
        <f ca="1">data0!AE60/Calculations!AL$2/Cal!$G60</f>
        <v>#DIV/0!</v>
      </c>
      <c r="AM61" t="e">
        <f ca="1">data0!AF60/Calculations!AM$2/Cal!$G60</f>
        <v>#DIV/0!</v>
      </c>
      <c r="AN61" t="e">
        <f ca="1">data0!AG60/Calculations!AN$2/Cal!$G60</f>
        <v>#DIV/0!</v>
      </c>
    </row>
    <row r="62" spans="1:40">
      <c r="A62">
        <f>data0!A61</f>
        <v>595</v>
      </c>
      <c r="B62" t="e">
        <f t="shared" ca="1" si="0"/>
        <v>#DIV/0!</v>
      </c>
      <c r="C62" t="e">
        <f t="shared" ca="1" si="1"/>
        <v>#DIV/0!</v>
      </c>
      <c r="D62" t="e">
        <f t="shared" ca="1" si="2"/>
        <v>#DIV/0!</v>
      </c>
      <c r="F62" t="e">
        <f t="shared" ca="1" si="3"/>
        <v>#DIV/0!</v>
      </c>
      <c r="G62" t="e">
        <f t="shared" ca="1" si="4"/>
        <v>#DIV/0!</v>
      </c>
      <c r="I62">
        <f ca="1">data0!B61/Calculations!I$2/Cal!$G61</f>
        <v>8.149023886931046E-3</v>
      </c>
      <c r="J62">
        <f ca="1">data0!C61/Calculations!J$2/Cal!$G61</f>
        <v>7.6953427427067182E-3</v>
      </c>
      <c r="K62">
        <f ca="1">data0!D61/Calculations!K$2/Cal!$G61</f>
        <v>8.7929451497850645E-3</v>
      </c>
      <c r="L62">
        <f ca="1">data0!E61/Calculations!L$2/Cal!$G61</f>
        <v>8.5471870043396948E-3</v>
      </c>
      <c r="M62">
        <f ca="1">data0!F61/Calculations!M$2/Cal!$G61</f>
        <v>8.2516249838410632E-3</v>
      </c>
      <c r="N62">
        <f ca="1">data0!G61/Calculations!N$2/Cal!$G61</f>
        <v>8.8495627653663624E-3</v>
      </c>
      <c r="O62">
        <f ca="1">data0!H61/Calculations!O$2/Cal!$G61</f>
        <v>9.8427479620288322E-3</v>
      </c>
      <c r="P62">
        <f ca="1">data0!I61/Calculations!P$2/Cal!$G61</f>
        <v>9.8492657394999347E-3</v>
      </c>
      <c r="Q62">
        <f ca="1">data0!J61/Calculations!Q$2/Cal!$G61</f>
        <v>9.8566966011804057E-3</v>
      </c>
      <c r="R62">
        <f ca="1">data0!K61/Calculations!R$2/Cal!$G61</f>
        <v>1.0427495059704361E-2</v>
      </c>
      <c r="S62">
        <f ca="1">data0!L61/Calculations!S$2/Cal!$G61</f>
        <v>1.0463414586666693E-2</v>
      </c>
      <c r="T62">
        <f ca="1">data0!M61/Calculations!T$2/Cal!$G61</f>
        <v>1.0411599133449712E-2</v>
      </c>
      <c r="U62">
        <f ca="1">data0!N61/Calculations!U$2/Cal!$G61</f>
        <v>1.041545067773242E-2</v>
      </c>
      <c r="V62">
        <f ca="1">data0!O61/Calculations!V$2/Cal!$G61</f>
        <v>1.0406142956719773E-2</v>
      </c>
      <c r="W62">
        <f ca="1">data0!P61/Calculations!W$2/Cal!$G61</f>
        <v>1.0450096142355538E-2</v>
      </c>
      <c r="X62">
        <f ca="1">data0!Q61/Calculations!X$2/Cal!$G61</f>
        <v>1.0567081651531829E-2</v>
      </c>
      <c r="Y62">
        <f ca="1">data0!R61/Calculations!Y$2/Cal!$G61</f>
        <v>9.7153381093730493E-3</v>
      </c>
      <c r="Z62">
        <f ca="1">data0!S61/Calculations!Z$2/Cal!$G61</f>
        <v>9.8888906185299816E-3</v>
      </c>
      <c r="AA62">
        <f ca="1">data0!T61/Calculations!AA$2/Cal!$G61</f>
        <v>9.9819443412024218E-3</v>
      </c>
      <c r="AB62">
        <f ca="1">data0!U61/Calculations!AB$2/Cal!$G61</f>
        <v>9.2581726991946469E-3</v>
      </c>
      <c r="AC62">
        <f ca="1">data0!V61/Calculations!AC$2/Cal!$G61</f>
        <v>7.8818630519013298E-3</v>
      </c>
      <c r="AD62">
        <f ca="1">data0!W61/Calculations!AD$2/Cal!$G61</f>
        <v>1.0164088189906875E-2</v>
      </c>
      <c r="AE62">
        <f ca="1">data0!X61/Calculations!AE$2/Cal!$G61</f>
        <v>7.525833387537254E-3</v>
      </c>
      <c r="AF62">
        <f ca="1">data0!Y61/Calculations!AF$2/Cal!$G61</f>
        <v>7.9493758471386108E-3</v>
      </c>
      <c r="AG62">
        <f ca="1">data0!Z61/Calculations!AG$2/Cal!$G61</f>
        <v>8.3278467281711777E-3</v>
      </c>
      <c r="AH62" t="e">
        <f ca="1">data0!AA61/Calculations!AH$2/Cal!$G61</f>
        <v>#DIV/0!</v>
      </c>
      <c r="AI62" t="e">
        <f ca="1">data0!AB61/Calculations!AI$2/Cal!$G61</f>
        <v>#DIV/0!</v>
      </c>
      <c r="AJ62" t="e">
        <f ca="1">data0!AC61/Calculations!AJ$2/Cal!$G61</f>
        <v>#DIV/0!</v>
      </c>
      <c r="AK62" t="e">
        <f ca="1">data0!AD61/Calculations!AK$2/Cal!$G61</f>
        <v>#DIV/0!</v>
      </c>
      <c r="AL62" t="e">
        <f ca="1">data0!AE61/Calculations!AL$2/Cal!$G61</f>
        <v>#DIV/0!</v>
      </c>
      <c r="AM62" t="e">
        <f ca="1">data0!AF61/Calculations!AM$2/Cal!$G61</f>
        <v>#DIV/0!</v>
      </c>
      <c r="AN62" t="e">
        <f ca="1">data0!AG61/Calculations!AN$2/Cal!$G61</f>
        <v>#DIV/0!</v>
      </c>
    </row>
    <row r="63" spans="1:40">
      <c r="A63">
        <f>data0!A62</f>
        <v>600</v>
      </c>
      <c r="B63" t="e">
        <f t="shared" ca="1" si="0"/>
        <v>#DIV/0!</v>
      </c>
      <c r="C63" t="e">
        <f t="shared" ca="1" si="1"/>
        <v>#DIV/0!</v>
      </c>
      <c r="D63" t="e">
        <f t="shared" ca="1" si="2"/>
        <v>#DIV/0!</v>
      </c>
      <c r="F63" t="e">
        <f t="shared" ca="1" si="3"/>
        <v>#DIV/0!</v>
      </c>
      <c r="G63" t="e">
        <f t="shared" ca="1" si="4"/>
        <v>#DIV/0!</v>
      </c>
      <c r="I63">
        <f ca="1">data0!B62/Calculations!I$2/Cal!$G62</f>
        <v>6.9168909339404564E-3</v>
      </c>
      <c r="J63">
        <f ca="1">data0!C62/Calculations!J$2/Cal!$G62</f>
        <v>6.2349061680540135E-3</v>
      </c>
      <c r="K63">
        <f ca="1">data0!D62/Calculations!K$2/Cal!$G62</f>
        <v>7.0328675766092082E-3</v>
      </c>
      <c r="L63">
        <f ca="1">data0!E62/Calculations!L$2/Cal!$G62</f>
        <v>6.9128234542194357E-3</v>
      </c>
      <c r="M63">
        <f ca="1">data0!F62/Calculations!M$2/Cal!$G62</f>
        <v>7.2997022227546081E-3</v>
      </c>
      <c r="N63">
        <f ca="1">data0!G62/Calculations!N$2/Cal!$G62</f>
        <v>6.783870221049107E-3</v>
      </c>
      <c r="O63">
        <f ca="1">data0!H62/Calculations!O$2/Cal!$G62</f>
        <v>7.7723475794294348E-3</v>
      </c>
      <c r="P63">
        <f ca="1">data0!I62/Calculations!P$2/Cal!$G62</f>
        <v>8.4711628735192404E-3</v>
      </c>
      <c r="Q63">
        <f ca="1">data0!J62/Calculations!Q$2/Cal!$G62</f>
        <v>7.94381971523145E-3</v>
      </c>
      <c r="R63">
        <f ca="1">data0!K62/Calculations!R$2/Cal!$G62</f>
        <v>8.2904839851935825E-3</v>
      </c>
      <c r="S63">
        <f ca="1">data0!L62/Calculations!S$2/Cal!$G62</f>
        <v>8.6557015743321686E-3</v>
      </c>
      <c r="T63">
        <f ca="1">data0!M62/Calculations!T$2/Cal!$G62</f>
        <v>8.7012654769210388E-3</v>
      </c>
      <c r="U63">
        <f ca="1">data0!N62/Calculations!U$2/Cal!$G62</f>
        <v>8.6932896477095196E-3</v>
      </c>
      <c r="V63">
        <f ca="1">data0!O62/Calculations!V$2/Cal!$G62</f>
        <v>8.6833875072126251E-3</v>
      </c>
      <c r="W63">
        <f ca="1">data0!P62/Calculations!W$2/Cal!$G62</f>
        <v>8.7348081134538055E-3</v>
      </c>
      <c r="X63">
        <f ca="1">data0!Q62/Calculations!X$2/Cal!$G62</f>
        <v>8.2832621787121748E-3</v>
      </c>
      <c r="Y63">
        <f ca="1">data0!R62/Calculations!Y$2/Cal!$G62</f>
        <v>7.6734374070611695E-3</v>
      </c>
      <c r="Z63">
        <f ca="1">data0!S62/Calculations!Z$2/Cal!$G62</f>
        <v>8.7302293539380706E-3</v>
      </c>
      <c r="AA63">
        <f ca="1">data0!T62/Calculations!AA$2/Cal!$G62</f>
        <v>7.6855942107621183E-3</v>
      </c>
      <c r="AB63">
        <f ca="1">data0!U62/Calculations!AB$2/Cal!$G62</f>
        <v>6.785807858929997E-3</v>
      </c>
      <c r="AC63">
        <f ca="1">data0!V62/Calculations!AC$2/Cal!$G62</f>
        <v>7.6017545438240514E-3</v>
      </c>
      <c r="AD63">
        <f ca="1">data0!W62/Calculations!AD$2/Cal!$G62</f>
        <v>8.0789660362416311E-3</v>
      </c>
      <c r="AE63">
        <f ca="1">data0!X62/Calculations!AE$2/Cal!$G62</f>
        <v>5.8498757236383724E-3</v>
      </c>
      <c r="AF63">
        <f ca="1">data0!Y62/Calculations!AF$2/Cal!$G62</f>
        <v>6.4407283936090002E-3</v>
      </c>
      <c r="AG63">
        <f ca="1">data0!Z62/Calculations!AG$2/Cal!$G62</f>
        <v>6.414168412789756E-3</v>
      </c>
      <c r="AH63" t="e">
        <f ca="1">data0!AA62/Calculations!AH$2/Cal!$G62</f>
        <v>#DIV/0!</v>
      </c>
      <c r="AI63" t="e">
        <f ca="1">data0!AB62/Calculations!AI$2/Cal!$G62</f>
        <v>#DIV/0!</v>
      </c>
      <c r="AJ63" t="e">
        <f ca="1">data0!AC62/Calculations!AJ$2/Cal!$G62</f>
        <v>#DIV/0!</v>
      </c>
      <c r="AK63" t="e">
        <f ca="1">data0!AD62/Calculations!AK$2/Cal!$G62</f>
        <v>#DIV/0!</v>
      </c>
      <c r="AL63" t="e">
        <f ca="1">data0!AE62/Calculations!AL$2/Cal!$G62</f>
        <v>#DIV/0!</v>
      </c>
      <c r="AM63" t="e">
        <f ca="1">data0!AF62/Calculations!AM$2/Cal!$G62</f>
        <v>#DIV/0!</v>
      </c>
      <c r="AN63" t="e">
        <f ca="1">data0!AG62/Calculations!AN$2/Cal!$G62</f>
        <v>#DIV/0!</v>
      </c>
    </row>
    <row r="64" spans="1:40">
      <c r="A64">
        <f>data0!A63</f>
        <v>605</v>
      </c>
      <c r="B64" t="e">
        <f t="shared" ca="1" si="0"/>
        <v>#DIV/0!</v>
      </c>
      <c r="C64" t="e">
        <f t="shared" ca="1" si="1"/>
        <v>#DIV/0!</v>
      </c>
      <c r="D64" t="e">
        <f t="shared" ca="1" si="2"/>
        <v>#DIV/0!</v>
      </c>
      <c r="F64" t="e">
        <f t="shared" ca="1" si="3"/>
        <v>#DIV/0!</v>
      </c>
      <c r="G64" t="e">
        <f t="shared" ca="1" si="4"/>
        <v>#DIV/0!</v>
      </c>
      <c r="I64">
        <f ca="1">data0!B63/Calculations!I$2/Cal!$G63</f>
        <v>5.71469583170301E-3</v>
      </c>
      <c r="J64">
        <f ca="1">data0!C63/Calculations!J$2/Cal!$G63</f>
        <v>5.4946598189440027E-3</v>
      </c>
      <c r="K64">
        <f ca="1">data0!D63/Calculations!K$2/Cal!$G63</f>
        <v>5.6445003875727389E-3</v>
      </c>
      <c r="L64">
        <f ca="1">data0!E63/Calculations!L$2/Cal!$G63</f>
        <v>5.5163140970898765E-3</v>
      </c>
      <c r="M64">
        <f ca="1">data0!F63/Calculations!M$2/Cal!$G63</f>
        <v>6.8771087910614896E-3</v>
      </c>
      <c r="N64">
        <f ca="1">data0!G63/Calculations!N$2/Cal!$G63</f>
        <v>5.6011198340813742E-3</v>
      </c>
      <c r="O64">
        <f ca="1">data0!H63/Calculations!O$2/Cal!$G63</f>
        <v>6.456179648533982E-3</v>
      </c>
      <c r="P64">
        <f ca="1">data0!I63/Calculations!P$2/Cal!$G63</f>
        <v>7.1690211249136769E-3</v>
      </c>
      <c r="Q64">
        <f ca="1">data0!J63/Calculations!Q$2/Cal!$G63</f>
        <v>7.2264344802337073E-3</v>
      </c>
      <c r="R64">
        <f ca="1">data0!K63/Calculations!R$2/Cal!$G63</f>
        <v>6.8950975025181722E-3</v>
      </c>
      <c r="S64">
        <f ca="1">data0!L63/Calculations!S$2/Cal!$G63</f>
        <v>7.2452498249999083E-3</v>
      </c>
      <c r="T64">
        <f ca="1">data0!M63/Calculations!T$2/Cal!$G63</f>
        <v>7.5142746135416025E-3</v>
      </c>
      <c r="U64">
        <f ca="1">data0!N63/Calculations!U$2/Cal!$G63</f>
        <v>7.5753757545891668E-3</v>
      </c>
      <c r="V64">
        <f ca="1">data0!O63/Calculations!V$2/Cal!$G63</f>
        <v>7.509077182875956E-3</v>
      </c>
      <c r="W64">
        <f ca="1">data0!P63/Calculations!W$2/Cal!$G63</f>
        <v>7.2095381447697194E-3</v>
      </c>
      <c r="X64">
        <f ca="1">data0!Q63/Calculations!X$2/Cal!$G63</f>
        <v>6.7052561948332621E-3</v>
      </c>
      <c r="Y64">
        <f ca="1">data0!R63/Calculations!Y$2/Cal!$G63</f>
        <v>7.2399563545496228E-3</v>
      </c>
      <c r="Z64">
        <f ca="1">data0!S63/Calculations!Z$2/Cal!$G63</f>
        <v>7.1670695742275308E-3</v>
      </c>
      <c r="AA64">
        <f ca="1">data0!T63/Calculations!AA$2/Cal!$G63</f>
        <v>6.6328570745694806E-3</v>
      </c>
      <c r="AB64">
        <f ca="1">data0!U63/Calculations!AB$2/Cal!$G63</f>
        <v>5.3201113355880137E-3</v>
      </c>
      <c r="AC64">
        <f ca="1">data0!V63/Calculations!AC$2/Cal!$G63</f>
        <v>7.1585388922199593E-3</v>
      </c>
      <c r="AD64">
        <f ca="1">data0!W63/Calculations!AD$2/Cal!$G63</f>
        <v>6.3599048276980156E-3</v>
      </c>
      <c r="AE64">
        <f ca="1">data0!X63/Calculations!AE$2/Cal!$G63</f>
        <v>5.4422409518067125E-3</v>
      </c>
      <c r="AF64">
        <f ca="1">data0!Y63/Calculations!AF$2/Cal!$G63</f>
        <v>5.3212927396948367E-3</v>
      </c>
      <c r="AG64">
        <f ca="1">data0!Z63/Calculations!AG$2/Cal!$G63</f>
        <v>5.4507593087061599E-3</v>
      </c>
      <c r="AH64" t="e">
        <f ca="1">data0!AA63/Calculations!AH$2/Cal!$G63</f>
        <v>#DIV/0!</v>
      </c>
      <c r="AI64" t="e">
        <f ca="1">data0!AB63/Calculations!AI$2/Cal!$G63</f>
        <v>#DIV/0!</v>
      </c>
      <c r="AJ64" t="e">
        <f ca="1">data0!AC63/Calculations!AJ$2/Cal!$G63</f>
        <v>#DIV/0!</v>
      </c>
      <c r="AK64" t="e">
        <f ca="1">data0!AD63/Calculations!AK$2/Cal!$G63</f>
        <v>#DIV/0!</v>
      </c>
      <c r="AL64" t="e">
        <f ca="1">data0!AE63/Calculations!AL$2/Cal!$G63</f>
        <v>#DIV/0!</v>
      </c>
      <c r="AM64" t="e">
        <f ca="1">data0!AF63/Calculations!AM$2/Cal!$G63</f>
        <v>#DIV/0!</v>
      </c>
      <c r="AN64" t="e">
        <f ca="1">data0!AG63/Calculations!AN$2/Cal!$G63</f>
        <v>#DIV/0!</v>
      </c>
    </row>
    <row r="65" spans="1:40">
      <c r="A65">
        <f>data0!A64</f>
        <v>610</v>
      </c>
      <c r="B65" t="e">
        <f t="shared" ca="1" si="0"/>
        <v>#DIV/0!</v>
      </c>
      <c r="C65" t="e">
        <f t="shared" ca="1" si="1"/>
        <v>#DIV/0!</v>
      </c>
      <c r="D65" t="e">
        <f t="shared" ca="1" si="2"/>
        <v>#DIV/0!</v>
      </c>
      <c r="F65" t="e">
        <f t="shared" ca="1" si="3"/>
        <v>#DIV/0!</v>
      </c>
      <c r="G65" t="e">
        <f t="shared" ca="1" si="4"/>
        <v>#DIV/0!</v>
      </c>
      <c r="I65">
        <f ca="1">data0!B64/Calculations!I$2/Cal!$G64</f>
        <v>5.6826881395997042E-3</v>
      </c>
      <c r="J65">
        <f ca="1">data0!C64/Calculations!J$2/Cal!$G64</f>
        <v>4.7808990108998686E-3</v>
      </c>
      <c r="K65">
        <f ca="1">data0!D64/Calculations!K$2/Cal!$G64</f>
        <v>4.9525460972278633E-3</v>
      </c>
      <c r="L65">
        <f ca="1">data0!E64/Calculations!L$2/Cal!$G64</f>
        <v>4.4880688409700683E-3</v>
      </c>
      <c r="M65">
        <f ca="1">data0!F64/Calculations!M$2/Cal!$G64</f>
        <v>6.3731367797058031E-3</v>
      </c>
      <c r="N65">
        <f ca="1">data0!G64/Calculations!N$2/Cal!$G64</f>
        <v>5.3504666066040594E-3</v>
      </c>
      <c r="O65">
        <f ca="1">data0!H64/Calculations!O$2/Cal!$G64</f>
        <v>5.4466613692553583E-3</v>
      </c>
      <c r="P65">
        <f ca="1">data0!I64/Calculations!P$2/Cal!$G64</f>
        <v>6.1548657118834383E-3</v>
      </c>
      <c r="Q65">
        <f ca="1">data0!J64/Calculations!Q$2/Cal!$G64</f>
        <v>6.6860664867263563E-3</v>
      </c>
      <c r="R65">
        <f ca="1">data0!K64/Calculations!R$2/Cal!$G64</f>
        <v>6.4384006757215624E-3</v>
      </c>
      <c r="S65">
        <f ca="1">data0!L64/Calculations!S$2/Cal!$G64</f>
        <v>6.2288205335797268E-3</v>
      </c>
      <c r="T65">
        <f ca="1">data0!M64/Calculations!T$2/Cal!$G64</f>
        <v>6.3868415165147796E-3</v>
      </c>
      <c r="U65">
        <f ca="1">data0!N64/Calculations!U$2/Cal!$G64</f>
        <v>6.4745983751586834E-3</v>
      </c>
      <c r="V65">
        <f ca="1">data0!O64/Calculations!V$2/Cal!$G64</f>
        <v>6.3311909531865388E-3</v>
      </c>
      <c r="W65">
        <f ca="1">data0!P64/Calculations!W$2/Cal!$G64</f>
        <v>6.1086320551327232E-3</v>
      </c>
      <c r="X65">
        <f ca="1">data0!Q64/Calculations!X$2/Cal!$G64</f>
        <v>6.3636361866363025E-3</v>
      </c>
      <c r="Y65">
        <f ca="1">data0!R64/Calculations!Y$2/Cal!$G64</f>
        <v>6.8108663118627514E-3</v>
      </c>
      <c r="Z65">
        <f ca="1">data0!S64/Calculations!Z$2/Cal!$G64</f>
        <v>6.0112101206028822E-3</v>
      </c>
      <c r="AA65">
        <f ca="1">data0!T64/Calculations!AA$2/Cal!$G64</f>
        <v>5.5915163546543887E-3</v>
      </c>
      <c r="AB65">
        <f ca="1">data0!U64/Calculations!AB$2/Cal!$G64</f>
        <v>5.219143506679947E-3</v>
      </c>
      <c r="AC65">
        <f ca="1">data0!V64/Calculations!AC$2/Cal!$G64</f>
        <v>6.3915609862846452E-3</v>
      </c>
      <c r="AD65">
        <f ca="1">data0!W64/Calculations!AD$2/Cal!$G64</f>
        <v>4.948288913859426E-3</v>
      </c>
      <c r="AE65">
        <f ca="1">data0!X64/Calculations!AE$2/Cal!$G64</f>
        <v>5.3327556370299971E-3</v>
      </c>
      <c r="AF65">
        <f ca="1">data0!Y64/Calculations!AF$2/Cal!$G64</f>
        <v>4.9387226008712577E-3</v>
      </c>
      <c r="AG65">
        <f ca="1">data0!Z64/Calculations!AG$2/Cal!$G64</f>
        <v>5.4202299103234108E-3</v>
      </c>
      <c r="AH65" t="e">
        <f ca="1">data0!AA64/Calculations!AH$2/Cal!$G64</f>
        <v>#DIV/0!</v>
      </c>
      <c r="AI65" t="e">
        <f ca="1">data0!AB64/Calculations!AI$2/Cal!$G64</f>
        <v>#DIV/0!</v>
      </c>
      <c r="AJ65" t="e">
        <f ca="1">data0!AC64/Calculations!AJ$2/Cal!$G64</f>
        <v>#DIV/0!</v>
      </c>
      <c r="AK65" t="e">
        <f ca="1">data0!AD64/Calculations!AK$2/Cal!$G64</f>
        <v>#DIV/0!</v>
      </c>
      <c r="AL65" t="e">
        <f ca="1">data0!AE64/Calculations!AL$2/Cal!$G64</f>
        <v>#DIV/0!</v>
      </c>
      <c r="AM65" t="e">
        <f ca="1">data0!AF64/Calculations!AM$2/Cal!$G64</f>
        <v>#DIV/0!</v>
      </c>
      <c r="AN65" t="e">
        <f ca="1">data0!AG64/Calculations!AN$2/Cal!$G64</f>
        <v>#DIV/0!</v>
      </c>
    </row>
    <row r="66" spans="1:40">
      <c r="A66">
        <f>data0!A65</f>
        <v>615</v>
      </c>
      <c r="B66" t="e">
        <f t="shared" ca="1" si="0"/>
        <v>#DIV/0!</v>
      </c>
      <c r="C66" t="e">
        <f t="shared" ca="1" si="1"/>
        <v>#DIV/0!</v>
      </c>
      <c r="D66" t="e">
        <f t="shared" ca="1" si="2"/>
        <v>#DIV/0!</v>
      </c>
      <c r="F66" t="e">
        <f t="shared" ca="1" si="3"/>
        <v>#DIV/0!</v>
      </c>
      <c r="G66" t="e">
        <f t="shared" ca="1" si="4"/>
        <v>#DIV/0!</v>
      </c>
      <c r="I66">
        <f ca="1">data0!B65/Calculations!I$2/Cal!$G65</f>
        <v>5.6558835992065208E-3</v>
      </c>
      <c r="J66">
        <f ca="1">data0!C65/Calculations!J$2/Cal!$G65</f>
        <v>4.7583480988129655E-3</v>
      </c>
      <c r="K66">
        <f ca="1">data0!D65/Calculations!K$2/Cal!$G65</f>
        <v>4.9291855469651841E-3</v>
      </c>
      <c r="L66">
        <f ca="1">data0!E65/Calculations!L$2/Cal!$G65</f>
        <v>3.9374889387078149E-3</v>
      </c>
      <c r="M66">
        <f ca="1">data0!F65/Calculations!M$2/Cal!$G65</f>
        <v>5.7729114276853797E-3</v>
      </c>
      <c r="N66">
        <f ca="1">data0!G65/Calculations!N$2/Cal!$G65</f>
        <v>5.5434764578416052E-3</v>
      </c>
      <c r="O66">
        <f ca="1">data0!H65/Calculations!O$2/Cal!$G65</f>
        <v>4.7201604168572728E-3</v>
      </c>
      <c r="P66">
        <f ca="1">data0!I65/Calculations!P$2/Cal!$G65</f>
        <v>5.5483141479884552E-3</v>
      </c>
      <c r="Q66">
        <f ca="1">data0!J65/Calculations!Q$2/Cal!$G65</f>
        <v>6.0118800363285138E-3</v>
      </c>
      <c r="R66">
        <f ca="1">data0!K65/Calculations!R$2/Cal!$G65</f>
        <v>6.3456152798976526E-3</v>
      </c>
      <c r="S66">
        <f ca="1">data0!L65/Calculations!S$2/Cal!$G65</f>
        <v>6.0341218822569124E-3</v>
      </c>
      <c r="T66">
        <f ca="1">data0!M65/Calculations!T$2/Cal!$G65</f>
        <v>5.8373762865669455E-3</v>
      </c>
      <c r="U66">
        <f ca="1">data0!N65/Calculations!U$2/Cal!$G65</f>
        <v>5.8037836022773182E-3</v>
      </c>
      <c r="V66">
        <f ca="1">data0!O65/Calculations!V$2/Cal!$G65</f>
        <v>5.7570268966227536E-3</v>
      </c>
      <c r="W66">
        <f ca="1">data0!P65/Calculations!W$2/Cal!$G65</f>
        <v>5.9953759821500556E-3</v>
      </c>
      <c r="X66">
        <f ca="1">data0!Q65/Calculations!X$2/Cal!$G65</f>
        <v>6.4200853185785401E-3</v>
      </c>
      <c r="Y66">
        <f ca="1">data0!R65/Calculations!Y$2/Cal!$G65</f>
        <v>5.914336804305355E-3</v>
      </c>
      <c r="Z66">
        <f ca="1">data0!S65/Calculations!Z$2/Cal!$G65</f>
        <v>5.6202586716521943E-3</v>
      </c>
      <c r="AA66">
        <f ca="1">data0!T65/Calculations!AA$2/Cal!$G65</f>
        <v>4.5884026868325033E-3</v>
      </c>
      <c r="AB66">
        <f ca="1">data0!U65/Calculations!AB$2/Cal!$G65</f>
        <v>5.6903668199975773E-3</v>
      </c>
      <c r="AC66">
        <f ca="1">data0!V65/Calculations!AC$2/Cal!$G65</f>
        <v>5.7626916000443019E-3</v>
      </c>
      <c r="AD66">
        <f ca="1">data0!W65/Calculations!AD$2/Cal!$G65</f>
        <v>4.2665327843972407E-3</v>
      </c>
      <c r="AE66">
        <f ca="1">data0!X65/Calculations!AE$2/Cal!$G65</f>
        <v>4.8358149028332751E-3</v>
      </c>
      <c r="AF66">
        <f ca="1">data0!Y65/Calculations!AF$2/Cal!$G65</f>
        <v>4.5643253320856031E-3</v>
      </c>
      <c r="AG66">
        <f ca="1">data0!Z65/Calculations!AG$2/Cal!$G65</f>
        <v>4.4955528673920071E-3</v>
      </c>
      <c r="AH66" t="e">
        <f ca="1">data0!AA65/Calculations!AH$2/Cal!$G65</f>
        <v>#DIV/0!</v>
      </c>
      <c r="AI66" t="e">
        <f ca="1">data0!AB65/Calculations!AI$2/Cal!$G65</f>
        <v>#DIV/0!</v>
      </c>
      <c r="AJ66" t="e">
        <f ca="1">data0!AC65/Calculations!AJ$2/Cal!$G65</f>
        <v>#DIV/0!</v>
      </c>
      <c r="AK66" t="e">
        <f ca="1">data0!AD65/Calculations!AK$2/Cal!$G65</f>
        <v>#DIV/0!</v>
      </c>
      <c r="AL66" t="e">
        <f ca="1">data0!AE65/Calculations!AL$2/Cal!$G65</f>
        <v>#DIV/0!</v>
      </c>
      <c r="AM66" t="e">
        <f ca="1">data0!AF65/Calculations!AM$2/Cal!$G65</f>
        <v>#DIV/0!</v>
      </c>
      <c r="AN66" t="e">
        <f ca="1">data0!AG65/Calculations!AN$2/Cal!$G65</f>
        <v>#DIV/0!</v>
      </c>
    </row>
    <row r="67" spans="1:40">
      <c r="A67">
        <f>data0!A66</f>
        <v>620</v>
      </c>
      <c r="B67" t="e">
        <f t="shared" ca="1" si="0"/>
        <v>#DIV/0!</v>
      </c>
      <c r="C67" t="e">
        <f t="shared" ca="1" si="1"/>
        <v>#DIV/0!</v>
      </c>
      <c r="D67" t="e">
        <f t="shared" ca="1" si="2"/>
        <v>#DIV/0!</v>
      </c>
      <c r="F67" t="e">
        <f t="shared" ca="1" si="3"/>
        <v>#DIV/0!</v>
      </c>
      <c r="G67" t="e">
        <f t="shared" ca="1" si="4"/>
        <v>#DIV/0!</v>
      </c>
      <c r="I67">
        <f ca="1">data0!B66/Calculations!I$2/Cal!$G66</f>
        <v>4.5074868145030672E-3</v>
      </c>
      <c r="J67">
        <f ca="1">data0!C66/Calculations!J$2/Cal!$G66</f>
        <v>4.0630620635813235E-3</v>
      </c>
      <c r="K67">
        <f ca="1">data0!D66/Calculations!K$2/Cal!$G66</f>
        <v>4.5830645705352549E-3</v>
      </c>
      <c r="L67">
        <f ca="1">data0!E66/Calculations!L$2/Cal!$G66</f>
        <v>3.8895414355588883E-3</v>
      </c>
      <c r="M67">
        <f ca="1">data0!F66/Calculations!M$2/Cal!$G66</f>
        <v>5.1119478953578577E-3</v>
      </c>
      <c r="N67">
        <f ca="1">data0!G66/Calculations!N$2/Cal!$G66</f>
        <v>5.6745707950016733E-3</v>
      </c>
      <c r="O67">
        <f ca="1">data0!H66/Calculations!O$2/Cal!$G66</f>
        <v>4.5789949375605685E-3</v>
      </c>
      <c r="P67">
        <f ca="1">data0!I66/Calculations!P$2/Cal!$G66</f>
        <v>5.0340657150614015E-3</v>
      </c>
      <c r="Q67">
        <f ca="1">data0!J66/Calculations!Q$2/Cal!$G66</f>
        <v>5.5140104647083575E-3</v>
      </c>
      <c r="R67">
        <f ca="1">data0!K66/Calculations!R$2/Cal!$G66</f>
        <v>5.9483957784711768E-3</v>
      </c>
      <c r="S67">
        <f ca="1">data0!L66/Calculations!S$2/Cal!$G66</f>
        <v>6.1552608082356807E-3</v>
      </c>
      <c r="T67">
        <f ca="1">data0!M66/Calculations!T$2/Cal!$G66</f>
        <v>6.0014111782854592E-3</v>
      </c>
      <c r="U67">
        <f ca="1">data0!N66/Calculations!U$2/Cal!$G66</f>
        <v>5.9051485086557588E-3</v>
      </c>
      <c r="V67">
        <f ca="1">data0!O66/Calculations!V$2/Cal!$G66</f>
        <v>5.9853768977887502E-3</v>
      </c>
      <c r="W67">
        <f ca="1">data0!P66/Calculations!W$2/Cal!$G66</f>
        <v>6.2038906330127049E-3</v>
      </c>
      <c r="X67">
        <f ca="1">data0!Q66/Calculations!X$2/Cal!$G66</f>
        <v>5.9649686410073836E-3</v>
      </c>
      <c r="Y67">
        <f ca="1">data0!R66/Calculations!Y$2/Cal!$G66</f>
        <v>5.4159499386199367E-3</v>
      </c>
      <c r="Z67">
        <f ca="1">data0!S66/Calculations!Z$2/Cal!$G66</f>
        <v>5.1247716402493667E-3</v>
      </c>
      <c r="AA67">
        <f ca="1">data0!T66/Calculations!AA$2/Cal!$G66</f>
        <v>4.4351697899918741E-3</v>
      </c>
      <c r="AB67">
        <f ca="1">data0!U66/Calculations!AB$2/Cal!$G66</f>
        <v>5.8098401497968764E-3</v>
      </c>
      <c r="AC67">
        <f ca="1">data0!V66/Calculations!AC$2/Cal!$G66</f>
        <v>5.1194661113228524E-3</v>
      </c>
      <c r="AD67">
        <f ca="1">data0!W66/Calculations!AD$2/Cal!$G66</f>
        <v>4.4339500042812714E-3</v>
      </c>
      <c r="AE67">
        <f ca="1">data0!X66/Calculations!AE$2/Cal!$G66</f>
        <v>4.3474197237266376E-3</v>
      </c>
      <c r="AF67">
        <f ca="1">data0!Y66/Calculations!AF$2/Cal!$G66</f>
        <v>4.5469546543553431E-3</v>
      </c>
      <c r="AG67">
        <f ca="1">data0!Z66/Calculations!AG$2/Cal!$G66</f>
        <v>4.4784439204179904E-3</v>
      </c>
      <c r="AH67" t="e">
        <f ca="1">data0!AA66/Calculations!AH$2/Cal!$G66</f>
        <v>#DIV/0!</v>
      </c>
      <c r="AI67" t="e">
        <f ca="1">data0!AB66/Calculations!AI$2/Cal!$G66</f>
        <v>#DIV/0!</v>
      </c>
      <c r="AJ67" t="e">
        <f ca="1">data0!AC66/Calculations!AJ$2/Cal!$G66</f>
        <v>#DIV/0!</v>
      </c>
      <c r="AK67" t="e">
        <f ca="1">data0!AD66/Calculations!AK$2/Cal!$G66</f>
        <v>#DIV/0!</v>
      </c>
      <c r="AL67" t="e">
        <f ca="1">data0!AE66/Calculations!AL$2/Cal!$G66</f>
        <v>#DIV/0!</v>
      </c>
      <c r="AM67" t="e">
        <f ca="1">data0!AF66/Calculations!AM$2/Cal!$G66</f>
        <v>#DIV/0!</v>
      </c>
      <c r="AN67" t="e">
        <f ca="1">data0!AG66/Calculations!AN$2/Cal!$G66</f>
        <v>#DIV/0!</v>
      </c>
    </row>
    <row r="68" spans="1:40">
      <c r="A68">
        <f>data0!A67</f>
        <v>625</v>
      </c>
      <c r="B68" t="e">
        <f t="shared" ref="B68:B131" ca="1" si="5">C68-C$2*G68/F$2</f>
        <v>#DIV/0!</v>
      </c>
      <c r="C68" t="e">
        <f t="shared" ref="C68:C131" ca="1" si="6">F68/F$2</f>
        <v>#DIV/0!</v>
      </c>
      <c r="D68" t="e">
        <f t="shared" ref="D68:D131" ca="1" si="7">C68+C$2*G68/F$2</f>
        <v>#DIV/0!</v>
      </c>
      <c r="F68" t="e">
        <f t="shared" ref="F68:F131" ca="1" si="8">AVERAGE(I68:AN68)</f>
        <v>#DIV/0!</v>
      </c>
      <c r="G68" t="e">
        <f t="shared" ref="G68:G131" ca="1" si="9">STDEV(I68:AN68)</f>
        <v>#DIV/0!</v>
      </c>
      <c r="I68">
        <f ca="1">data0!B67/Calculations!I$2/Cal!$G67</f>
        <v>4.4956150898196965E-3</v>
      </c>
      <c r="J68">
        <f ca="1">data0!C67/Calculations!J$2/Cal!$G67</f>
        <v>4.0523608555300692E-3</v>
      </c>
      <c r="K68">
        <f ca="1">data0!D67/Calculations!K$2/Cal!$G67</f>
        <v>4.2444942570237692E-3</v>
      </c>
      <c r="L68">
        <f ca="1">data0!E67/Calculations!L$2/Cal!$G67</f>
        <v>4.0765497665374573E-3</v>
      </c>
      <c r="M68">
        <f ca="1">data0!F67/Calculations!M$2/Cal!$G67</f>
        <v>4.5319856993085448E-3</v>
      </c>
      <c r="N68">
        <f ca="1">data0!G67/Calculations!N$2/Cal!$G67</f>
        <v>5.572887851401729E-3</v>
      </c>
      <c r="O68">
        <f ca="1">data0!H67/Calculations!O$2/Cal!$G67</f>
        <v>4.9970049179133974E-3</v>
      </c>
      <c r="P68">
        <f ca="1">data0!I67/Calculations!P$2/Cal!$G67</f>
        <v>4.5084797515129778E-3</v>
      </c>
      <c r="Q68">
        <f ca="1">data0!J67/Calculations!Q$2/Cal!$G67</f>
        <v>5.2317228204022386E-3</v>
      </c>
      <c r="R68">
        <f ca="1">data0!K67/Calculations!R$2/Cal!$G67</f>
        <v>5.4986269733390235E-3</v>
      </c>
      <c r="S68">
        <f ca="1">data0!L67/Calculations!S$2/Cal!$G67</f>
        <v>5.8721337767160603E-3</v>
      </c>
      <c r="T68">
        <f ca="1">data0!M67/Calculations!T$2/Cal!$G67</f>
        <v>6.0888048248557754E-3</v>
      </c>
      <c r="U68">
        <f ca="1">data0!N67/Calculations!U$2/Cal!$G67</f>
        <v>6.1153293031348923E-3</v>
      </c>
      <c r="V68">
        <f ca="1">data0!O67/Calculations!V$2/Cal!$G67</f>
        <v>6.0944130735252249E-3</v>
      </c>
      <c r="W68">
        <f ca="1">data0!P67/Calculations!W$2/Cal!$G67</f>
        <v>5.8939047248017179E-3</v>
      </c>
      <c r="X68">
        <f ca="1">data0!Q67/Calculations!X$2/Cal!$G67</f>
        <v>5.3908439085350963E-3</v>
      </c>
      <c r="Y68">
        <f ca="1">data0!R67/Calculations!Y$2/Cal!$G67</f>
        <v>5.2886795981931896E-3</v>
      </c>
      <c r="Z68">
        <f ca="1">data0!S67/Calculations!Z$2/Cal!$G67</f>
        <v>4.413258548920317E-3</v>
      </c>
      <c r="AA68">
        <f ca="1">data0!T67/Calculations!AA$2/Cal!$G67</f>
        <v>4.9877091181694897E-3</v>
      </c>
      <c r="AB68">
        <f ca="1">data0!U67/Calculations!AB$2/Cal!$G67</f>
        <v>5.6303207729861476E-3</v>
      </c>
      <c r="AC68">
        <f ca="1">data0!V67/Calculations!AC$2/Cal!$G67</f>
        <v>4.3871789264121599E-3</v>
      </c>
      <c r="AD68">
        <f ca="1">data0!W67/Calculations!AD$2/Cal!$G67</f>
        <v>4.9194504974773151E-3</v>
      </c>
      <c r="AE68">
        <f ca="1">data0!X67/Calculations!AE$2/Cal!$G67</f>
        <v>4.2578438567003451E-3</v>
      </c>
      <c r="AF68">
        <f ca="1">data0!Y67/Calculations!AF$2/Cal!$G67</f>
        <v>4.5349789800992156E-3</v>
      </c>
      <c r="AG68">
        <f ca="1">data0!Z67/Calculations!AG$2/Cal!$G67</f>
        <v>4.4666486883028229E-3</v>
      </c>
      <c r="AH68" t="e">
        <f ca="1">data0!AA67/Calculations!AH$2/Cal!$G67</f>
        <v>#DIV/0!</v>
      </c>
      <c r="AI68" t="e">
        <f ca="1">data0!AB67/Calculations!AI$2/Cal!$G67</f>
        <v>#DIV/0!</v>
      </c>
      <c r="AJ68" t="e">
        <f ca="1">data0!AC67/Calculations!AJ$2/Cal!$G67</f>
        <v>#DIV/0!</v>
      </c>
      <c r="AK68" t="e">
        <f ca="1">data0!AD67/Calculations!AK$2/Cal!$G67</f>
        <v>#DIV/0!</v>
      </c>
      <c r="AL68" t="e">
        <f ca="1">data0!AE67/Calculations!AL$2/Cal!$G67</f>
        <v>#DIV/0!</v>
      </c>
      <c r="AM68" t="e">
        <f ca="1">data0!AF67/Calculations!AM$2/Cal!$G67</f>
        <v>#DIV/0!</v>
      </c>
      <c r="AN68" t="e">
        <f ca="1">data0!AG67/Calculations!AN$2/Cal!$G67</f>
        <v>#DIV/0!</v>
      </c>
    </row>
    <row r="69" spans="1:40">
      <c r="A69">
        <f>data0!A68</f>
        <v>630</v>
      </c>
      <c r="B69" t="e">
        <f t="shared" ca="1" si="5"/>
        <v>#DIV/0!</v>
      </c>
      <c r="C69" t="e">
        <f t="shared" ca="1" si="6"/>
        <v>#DIV/0!</v>
      </c>
      <c r="D69" t="e">
        <f t="shared" ca="1" si="7"/>
        <v>#DIV/0!</v>
      </c>
      <c r="F69" t="e">
        <f t="shared" ca="1" si="8"/>
        <v>#DIV/0!</v>
      </c>
      <c r="G69" t="e">
        <f t="shared" ca="1" si="9"/>
        <v>#DIV/0!</v>
      </c>
      <c r="I69">
        <f ca="1">data0!B68/Calculations!I$2/Cal!$G68</f>
        <v>4.4920483569730815E-3</v>
      </c>
      <c r="J69">
        <f ca="1">data0!C68/Calculations!J$2/Cal!$G68</f>
        <v>4.0491457919000695E-3</v>
      </c>
      <c r="K69">
        <f ca="1">data0!D68/Calculations!K$2/Cal!$G68</f>
        <v>4.2411267585210442E-3</v>
      </c>
      <c r="L69">
        <f ca="1">data0!E68/Calculations!L$2/Cal!$G68</f>
        <v>4.1390140167639599E-3</v>
      </c>
      <c r="M69">
        <f ca="1">data0!F68/Calculations!M$2/Cal!$G68</f>
        <v>4.2099877695825601E-3</v>
      </c>
      <c r="N69">
        <f ca="1">data0!G68/Calculations!N$2/Cal!$G68</f>
        <v>5.2651257883926687E-3</v>
      </c>
      <c r="O69">
        <f ca="1">data0!H68/Calculations!O$2/Cal!$G68</f>
        <v>5.4432329438858654E-3</v>
      </c>
      <c r="P69">
        <f ca="1">data0!I68/Calculations!P$2/Cal!$G68</f>
        <v>4.4229956510838985E-3</v>
      </c>
      <c r="Q69">
        <f ca="1">data0!J68/Calculations!Q$2/Cal!$G68</f>
        <v>4.8571139979528086E-3</v>
      </c>
      <c r="R69">
        <f ca="1">data0!K68/Calculations!R$2/Cal!$G68</f>
        <v>5.3083682023464139E-3</v>
      </c>
      <c r="S69">
        <f ca="1">data0!L68/Calculations!S$2/Cal!$G68</f>
        <v>5.4571621962592716E-3</v>
      </c>
      <c r="T69">
        <f ca="1">data0!M68/Calculations!T$2/Cal!$G68</f>
        <v>5.7127489640288577E-3</v>
      </c>
      <c r="U69">
        <f ca="1">data0!N68/Calculations!U$2/Cal!$G68</f>
        <v>5.8029026566530527E-3</v>
      </c>
      <c r="V69">
        <f ca="1">data0!O68/Calculations!V$2/Cal!$G68</f>
        <v>5.6739065948291315E-3</v>
      </c>
      <c r="W69">
        <f ca="1">data0!P68/Calculations!W$2/Cal!$G68</f>
        <v>5.3862340399069859E-3</v>
      </c>
      <c r="X69">
        <f ca="1">data0!Q68/Calculations!X$2/Cal!$G68</f>
        <v>5.2792648382633291E-3</v>
      </c>
      <c r="Y69">
        <f ca="1">data0!R68/Calculations!Y$2/Cal!$G68</f>
        <v>4.8779850287180727E-3</v>
      </c>
      <c r="Z69">
        <f ca="1">data0!S68/Calculations!Z$2/Cal!$G68</f>
        <v>4.2522659672057034E-3</v>
      </c>
      <c r="AA69">
        <f ca="1">data0!T68/Calculations!AA$2/Cal!$G68</f>
        <v>5.5700756041309387E-3</v>
      </c>
      <c r="AB69">
        <f ca="1">data0!U68/Calculations!AB$2/Cal!$G68</f>
        <v>5.4148841463100995E-3</v>
      </c>
      <c r="AC69">
        <f ca="1">data0!V68/Calculations!AC$2/Cal!$G68</f>
        <v>4.0617317474305453E-3</v>
      </c>
      <c r="AD69">
        <f ca="1">data0!W68/Calculations!AD$2/Cal!$G68</f>
        <v>4.9155475019303022E-3</v>
      </c>
      <c r="AE69">
        <f ca="1">data0!X68/Calculations!AE$2/Cal!$G68</f>
        <v>4.4886566828906691E-3</v>
      </c>
      <c r="AF69">
        <f ca="1">data0!Y68/Calculations!AF$2/Cal!$G68</f>
        <v>4.5313810167140365E-3</v>
      </c>
      <c r="AG69">
        <f ca="1">data0!Z68/Calculations!AG$2/Cal!$G68</f>
        <v>4.4631049368310978E-3</v>
      </c>
      <c r="AH69" t="e">
        <f ca="1">data0!AA68/Calculations!AH$2/Cal!$G68</f>
        <v>#DIV/0!</v>
      </c>
      <c r="AI69" t="e">
        <f ca="1">data0!AB68/Calculations!AI$2/Cal!$G68</f>
        <v>#DIV/0!</v>
      </c>
      <c r="AJ69" t="e">
        <f ca="1">data0!AC68/Calculations!AJ$2/Cal!$G68</f>
        <v>#DIV/0!</v>
      </c>
      <c r="AK69" t="e">
        <f ca="1">data0!AD68/Calculations!AK$2/Cal!$G68</f>
        <v>#DIV/0!</v>
      </c>
      <c r="AL69" t="e">
        <f ca="1">data0!AE68/Calculations!AL$2/Cal!$G68</f>
        <v>#DIV/0!</v>
      </c>
      <c r="AM69" t="e">
        <f ca="1">data0!AF68/Calculations!AM$2/Cal!$G68</f>
        <v>#DIV/0!</v>
      </c>
      <c r="AN69" t="e">
        <f ca="1">data0!AG68/Calculations!AN$2/Cal!$G68</f>
        <v>#DIV/0!</v>
      </c>
    </row>
    <row r="70" spans="1:40">
      <c r="A70">
        <f>data0!A69</f>
        <v>635</v>
      </c>
      <c r="B70" t="e">
        <f t="shared" ca="1" si="5"/>
        <v>#DIV/0!</v>
      </c>
      <c r="C70" t="e">
        <f t="shared" ca="1" si="6"/>
        <v>#DIV/0!</v>
      </c>
      <c r="D70" t="e">
        <f t="shared" ca="1" si="7"/>
        <v>#DIV/0!</v>
      </c>
      <c r="F70" t="e">
        <f t="shared" ca="1" si="8"/>
        <v>#DIV/0!</v>
      </c>
      <c r="G70" t="e">
        <f t="shared" ca="1" si="9"/>
        <v>#DIV/0!</v>
      </c>
      <c r="I70">
        <f ca="1">data0!B69/Calculations!I$2/Cal!$G69</f>
        <v>4.4937005292551404E-3</v>
      </c>
      <c r="J70">
        <f ca="1">data0!C69/Calculations!J$2/Cal!$G69</f>
        <v>4.7257408541519809E-3</v>
      </c>
      <c r="K70">
        <f ca="1">data0!D69/Calculations!K$2/Cal!$G69</f>
        <v>4.2426866420125593E-3</v>
      </c>
      <c r="L70">
        <f ca="1">data0!E69/Calculations!L$2/Cal!$G69</f>
        <v>4.0090907491349701E-3</v>
      </c>
      <c r="M70">
        <f ca="1">data0!F69/Calculations!M$2/Cal!$G69</f>
        <v>4.317709165662746E-3</v>
      </c>
      <c r="N70">
        <f ca="1">data0!G69/Calculations!N$2/Cal!$G69</f>
        <v>4.8335590902792765E-3</v>
      </c>
      <c r="O70">
        <f ca="1">data0!H69/Calculations!O$2/Cal!$G69</f>
        <v>5.6294720155295091E-3</v>
      </c>
      <c r="P70">
        <f ca="1">data0!I69/Calculations!P$2/Cal!$G69</f>
        <v>4.8547939794528665E-3</v>
      </c>
      <c r="Q70">
        <f ca="1">data0!J69/Calculations!Q$2/Cal!$G69</f>
        <v>4.4471293917379435E-3</v>
      </c>
      <c r="R70">
        <f ca="1">data0!K69/Calculations!R$2/Cal!$G69</f>
        <v>5.0830306076758251E-3</v>
      </c>
      <c r="S70">
        <f ca="1">data0!L69/Calculations!S$2/Cal!$G69</f>
        <v>5.2949834890592788E-3</v>
      </c>
      <c r="T70">
        <f ca="1">data0!M69/Calculations!T$2/Cal!$G69</f>
        <v>5.3434878057494594E-3</v>
      </c>
      <c r="U70">
        <f ca="1">data0!N69/Calculations!U$2/Cal!$G69</f>
        <v>5.374274863749068E-3</v>
      </c>
      <c r="V70">
        <f ca="1">data0!O69/Calculations!V$2/Cal!$G69</f>
        <v>5.3225435225191875E-3</v>
      </c>
      <c r="W70">
        <f ca="1">data0!P69/Calculations!W$2/Cal!$G69</f>
        <v>5.2833857278408829E-3</v>
      </c>
      <c r="X70">
        <f ca="1">data0!Q69/Calculations!X$2/Cal!$G69</f>
        <v>5.1309281154393689E-3</v>
      </c>
      <c r="Y70">
        <f ca="1">data0!R69/Calculations!Y$2/Cal!$G69</f>
        <v>4.3149898034782414E-3</v>
      </c>
      <c r="Z70">
        <f ca="1">data0!S69/Calculations!Z$2/Cal!$G69</f>
        <v>4.8165059578492309E-3</v>
      </c>
      <c r="AA70">
        <f ca="1">data0!T69/Calculations!AA$2/Cal!$G69</f>
        <v>5.7074796023642857E-3</v>
      </c>
      <c r="AB70">
        <f ca="1">data0!U69/Calculations!AB$2/Cal!$G69</f>
        <v>4.924432554745662E-3</v>
      </c>
      <c r="AC70">
        <f ca="1">data0!V69/Calculations!AC$2/Cal!$G69</f>
        <v>4.3605350227851397E-3</v>
      </c>
      <c r="AD70">
        <f ca="1">data0!W69/Calculations!AD$2/Cal!$G69</f>
        <v>4.4727012297507609E-3</v>
      </c>
      <c r="AE70">
        <f ca="1">data0!X69/Calculations!AE$2/Cal!$G69</f>
        <v>4.6074458283741175E-3</v>
      </c>
      <c r="AF70">
        <f ca="1">data0!Y69/Calculations!AF$2/Cal!$G69</f>
        <v>4.5330476555211722E-3</v>
      </c>
      <c r="AG70">
        <f ca="1">data0!Z69/Calculations!AG$2/Cal!$G69</f>
        <v>4.4647464637432256E-3</v>
      </c>
      <c r="AH70" t="e">
        <f ca="1">data0!AA69/Calculations!AH$2/Cal!$G69</f>
        <v>#DIV/0!</v>
      </c>
      <c r="AI70" t="e">
        <f ca="1">data0!AB69/Calculations!AI$2/Cal!$G69</f>
        <v>#DIV/0!</v>
      </c>
      <c r="AJ70" t="e">
        <f ca="1">data0!AC69/Calculations!AJ$2/Cal!$G69</f>
        <v>#DIV/0!</v>
      </c>
      <c r="AK70" t="e">
        <f ca="1">data0!AD69/Calculations!AK$2/Cal!$G69</f>
        <v>#DIV/0!</v>
      </c>
      <c r="AL70" t="e">
        <f ca="1">data0!AE69/Calculations!AL$2/Cal!$G69</f>
        <v>#DIV/0!</v>
      </c>
      <c r="AM70" t="e">
        <f ca="1">data0!AF69/Calculations!AM$2/Cal!$G69</f>
        <v>#DIV/0!</v>
      </c>
      <c r="AN70" t="e">
        <f ca="1">data0!AG69/Calculations!AN$2/Cal!$G69</f>
        <v>#DIV/0!</v>
      </c>
    </row>
    <row r="71" spans="1:40">
      <c r="A71">
        <f>data0!A70</f>
        <v>640</v>
      </c>
      <c r="B71" t="e">
        <f t="shared" ca="1" si="5"/>
        <v>#DIV/0!</v>
      </c>
      <c r="C71" t="e">
        <f t="shared" ca="1" si="6"/>
        <v>#DIV/0!</v>
      </c>
      <c r="D71" t="e">
        <f t="shared" ca="1" si="7"/>
        <v>#DIV/0!</v>
      </c>
      <c r="F71" t="e">
        <f t="shared" ca="1" si="8"/>
        <v>#DIV/0!</v>
      </c>
      <c r="G71" t="e">
        <f t="shared" ca="1" si="9"/>
        <v>#DIV/0!</v>
      </c>
      <c r="I71">
        <f ca="1">data0!B70/Calculations!I$2/Cal!$G70</f>
        <v>4.5046004564628928E-3</v>
      </c>
      <c r="J71">
        <f ca="1">data0!C70/Calculations!J$2/Cal!$G70</f>
        <v>4.7372036187437946E-3</v>
      </c>
      <c r="K71">
        <f ca="1">data0!D70/Calculations!K$2/Cal!$G70</f>
        <v>4.5801298164658165E-3</v>
      </c>
      <c r="L71">
        <f ca="1">data0!E70/Calculations!L$2/Cal!$G70</f>
        <v>3.9199920774740053E-3</v>
      </c>
      <c r="M71">
        <f ca="1">data0!F70/Calculations!M$2/Cal!$G70</f>
        <v>4.6474745356315274E-3</v>
      </c>
      <c r="N71">
        <f ca="1">data0!G70/Calculations!N$2/Cal!$G70</f>
        <v>4.4107290045541083E-3</v>
      </c>
      <c r="O71">
        <f ca="1">data0!H70/Calculations!O$2/Cal!$G70</f>
        <v>5.5405246117398183E-3</v>
      </c>
      <c r="P71">
        <f ca="1">data0!I70/Calculations!P$2/Cal!$G70</f>
        <v>5.4209891251470214E-3</v>
      </c>
      <c r="Q71">
        <f ca="1">data0!J70/Calculations!Q$2/Cal!$G70</f>
        <v>4.4372777348654843E-3</v>
      </c>
      <c r="R71">
        <f ca="1">data0!K70/Calculations!R$2/Cal!$G70</f>
        <v>4.6396773671914578E-3</v>
      </c>
      <c r="S71">
        <f ca="1">data0!L70/Calculations!S$2/Cal!$G70</f>
        <v>5.1226704626205228E-3</v>
      </c>
      <c r="T71">
        <f ca="1">data0!M70/Calculations!T$2/Cal!$G70</f>
        <v>5.2737237416710129E-3</v>
      </c>
      <c r="U71">
        <f ca="1">data0!N70/Calculations!U$2/Cal!$G70</f>
        <v>5.2844994881295626E-3</v>
      </c>
      <c r="V71">
        <f ca="1">data0!O70/Calculations!V$2/Cal!$G70</f>
        <v>5.2729290054349407E-3</v>
      </c>
      <c r="W71">
        <f ca="1">data0!P70/Calculations!W$2/Cal!$G70</f>
        <v>5.170101340280819E-3</v>
      </c>
      <c r="X71">
        <f ca="1">data0!Q70/Calculations!X$2/Cal!$G70</f>
        <v>4.60536413342965E-3</v>
      </c>
      <c r="Y71">
        <f ca="1">data0!R70/Calculations!Y$2/Cal!$G70</f>
        <v>4.3028097503602057E-3</v>
      </c>
      <c r="Z71">
        <f ca="1">data0!S70/Calculations!Z$2/Cal!$G70</f>
        <v>5.5050374650840528E-3</v>
      </c>
      <c r="AA71">
        <f ca="1">data0!T70/Calculations!AA$2/Cal!$G70</f>
        <v>5.6082540864765143E-3</v>
      </c>
      <c r="AB71">
        <f ca="1">data0!U70/Calculations!AB$2/Cal!$G70</f>
        <v>4.3487132010633341E-3</v>
      </c>
      <c r="AC71">
        <f ca="1">data0!V70/Calculations!AC$2/Cal!$G70</f>
        <v>4.9671726101943679E-3</v>
      </c>
      <c r="AD71">
        <f ca="1">data0!W70/Calculations!AD$2/Cal!$G70</f>
        <v>4.3000128403473904E-3</v>
      </c>
      <c r="AE71">
        <f ca="1">data0!X70/Calculations!AE$2/Cal!$G70</f>
        <v>4.5011993050491752E-3</v>
      </c>
      <c r="AF71">
        <f ca="1">data0!Y70/Calculations!AF$2/Cal!$G70</f>
        <v>4.5440430231814743E-3</v>
      </c>
      <c r="AG71">
        <f ca="1">data0!Z70/Calculations!AG$2/Cal!$G70</f>
        <v>4.4755761599232554E-3</v>
      </c>
      <c r="AH71" t="e">
        <f ca="1">data0!AA70/Calculations!AH$2/Cal!$G70</f>
        <v>#DIV/0!</v>
      </c>
      <c r="AI71" t="e">
        <f ca="1">data0!AB70/Calculations!AI$2/Cal!$G70</f>
        <v>#DIV/0!</v>
      </c>
      <c r="AJ71" t="e">
        <f ca="1">data0!AC70/Calculations!AJ$2/Cal!$G70</f>
        <v>#DIV/0!</v>
      </c>
      <c r="AK71" t="e">
        <f ca="1">data0!AD70/Calculations!AK$2/Cal!$G70</f>
        <v>#DIV/0!</v>
      </c>
      <c r="AL71" t="e">
        <f ca="1">data0!AE70/Calculations!AL$2/Cal!$G70</f>
        <v>#DIV/0!</v>
      </c>
      <c r="AM71" t="e">
        <f ca="1">data0!AF70/Calculations!AM$2/Cal!$G70</f>
        <v>#DIV/0!</v>
      </c>
      <c r="AN71" t="e">
        <f ca="1">data0!AG70/Calculations!AN$2/Cal!$G70</f>
        <v>#DIV/0!</v>
      </c>
    </row>
    <row r="72" spans="1:40">
      <c r="A72">
        <f>data0!A71</f>
        <v>645</v>
      </c>
      <c r="B72" t="e">
        <f t="shared" ca="1" si="5"/>
        <v>#DIV/0!</v>
      </c>
      <c r="C72" t="e">
        <f t="shared" ca="1" si="6"/>
        <v>#DIV/0!</v>
      </c>
      <c r="D72" t="e">
        <f t="shared" ca="1" si="7"/>
        <v>#DIV/0!</v>
      </c>
      <c r="F72" t="e">
        <f t="shared" ca="1" si="8"/>
        <v>#DIV/0!</v>
      </c>
      <c r="G72" t="e">
        <f t="shared" ca="1" si="9"/>
        <v>#DIV/0!</v>
      </c>
      <c r="I72">
        <f ca="1">data0!B71/Calculations!I$2/Cal!$G71</f>
        <v>4.5245302961107224E-3</v>
      </c>
      <c r="J72">
        <f ca="1">data0!C71/Calculations!J$2/Cal!$G71</f>
        <v>4.7581625715772749E-3</v>
      </c>
      <c r="K72">
        <f ca="1">data0!D71/Calculations!K$2/Cal!$G71</f>
        <v>4.6003938229388971E-3</v>
      </c>
      <c r="L72">
        <f ca="1">data0!E71/Calculations!L$2/Cal!$G71</f>
        <v>4.0365957713975886E-3</v>
      </c>
      <c r="M72">
        <f ca="1">data0!F71/Calculations!M$2/Cal!$G71</f>
        <v>4.7749378798447074E-3</v>
      </c>
      <c r="N72">
        <f ca="1">data0!G71/Calculations!N$2/Cal!$G71</f>
        <v>4.2774763079251538E-3</v>
      </c>
      <c r="O72">
        <f ca="1">data0!H71/Calculations!O$2/Cal!$G71</f>
        <v>5.235257732570912E-3</v>
      </c>
      <c r="P72">
        <f ca="1">data0!I71/Calculations!P$2/Cal!$G71</f>
        <v>5.733721699939652E-3</v>
      </c>
      <c r="Q72">
        <f ca="1">data0!J71/Calculations!Q$2/Cal!$G71</f>
        <v>4.9336955879143397E-3</v>
      </c>
      <c r="R72">
        <f ca="1">data0!K71/Calculations!R$2/Cal!$G71</f>
        <v>4.3897465750491298E-3</v>
      </c>
      <c r="S72">
        <f ca="1">data0!L71/Calculations!S$2/Cal!$G71</f>
        <v>4.711390700175829E-3</v>
      </c>
      <c r="T72">
        <f ca="1">data0!M71/Calculations!T$2/Cal!$G71</f>
        <v>5.0477833643778613E-3</v>
      </c>
      <c r="U72">
        <f ca="1">data0!N71/Calculations!U$2/Cal!$G71</f>
        <v>5.1426540402183234E-3</v>
      </c>
      <c r="V72">
        <f ca="1">data0!O71/Calculations!V$2/Cal!$G71</f>
        <v>5.0450524395474492E-3</v>
      </c>
      <c r="W72">
        <f ca="1">data0!P71/Calculations!W$2/Cal!$G71</f>
        <v>4.7074533013410566E-3</v>
      </c>
      <c r="X72">
        <f ca="1">data0!Q71/Calculations!X$2/Cal!$G71</f>
        <v>4.2582743817470934E-3</v>
      </c>
      <c r="Y72">
        <f ca="1">data0!R71/Calculations!Y$2/Cal!$G71</f>
        <v>4.8905109756639852E-3</v>
      </c>
      <c r="Z72">
        <f ca="1">data0!S71/Calculations!Z$2/Cal!$G71</f>
        <v>5.8013311252623186E-3</v>
      </c>
      <c r="AA72">
        <f ca="1">data0!T71/Calculations!AA$2/Cal!$G71</f>
        <v>5.3604989429143837E-3</v>
      </c>
      <c r="AB72">
        <f ca="1">data0!U71/Calculations!AB$2/Cal!$G71</f>
        <v>4.0846268340135041E-3</v>
      </c>
      <c r="AC72">
        <f ca="1">data0!V71/Calculations!AC$2/Cal!$G71</f>
        <v>5.1138776888640415E-3</v>
      </c>
      <c r="AD72">
        <f ca="1">data0!W71/Calculations!AD$2/Cal!$G71</f>
        <v>4.5560580113532239E-3</v>
      </c>
      <c r="AE72">
        <f ca="1">data0!X71/Calculations!AE$2/Cal!$G71</f>
        <v>4.4817998342934293E-3</v>
      </c>
      <c r="AF72">
        <f ca="1">data0!Y71/Calculations!AF$2/Cal!$G71</f>
        <v>4.564147369766733E-3</v>
      </c>
      <c r="AG72">
        <f ca="1">data0!Z71/Calculations!AG$2/Cal!$G71</f>
        <v>4.495377586500599E-3</v>
      </c>
      <c r="AH72" t="e">
        <f ca="1">data0!AA71/Calculations!AH$2/Cal!$G71</f>
        <v>#DIV/0!</v>
      </c>
      <c r="AI72" t="e">
        <f ca="1">data0!AB71/Calculations!AI$2/Cal!$G71</f>
        <v>#DIV/0!</v>
      </c>
      <c r="AJ72" t="e">
        <f ca="1">data0!AC71/Calculations!AJ$2/Cal!$G71</f>
        <v>#DIV/0!</v>
      </c>
      <c r="AK72" t="e">
        <f ca="1">data0!AD71/Calculations!AK$2/Cal!$G71</f>
        <v>#DIV/0!</v>
      </c>
      <c r="AL72" t="e">
        <f ca="1">data0!AE71/Calculations!AL$2/Cal!$G71</f>
        <v>#DIV/0!</v>
      </c>
      <c r="AM72" t="e">
        <f ca="1">data0!AF71/Calculations!AM$2/Cal!$G71</f>
        <v>#DIV/0!</v>
      </c>
      <c r="AN72" t="e">
        <f ca="1">data0!AG71/Calculations!AN$2/Cal!$G71</f>
        <v>#DIV/0!</v>
      </c>
    </row>
    <row r="73" spans="1:40">
      <c r="A73">
        <f>data0!A72</f>
        <v>650</v>
      </c>
      <c r="B73" t="e">
        <f t="shared" ca="1" si="5"/>
        <v>#DIV/0!</v>
      </c>
      <c r="C73" t="e">
        <f t="shared" ca="1" si="6"/>
        <v>#DIV/0!</v>
      </c>
      <c r="D73" t="e">
        <f t="shared" ca="1" si="7"/>
        <v>#DIV/0!</v>
      </c>
      <c r="F73" t="e">
        <f t="shared" ca="1" si="8"/>
        <v>#DIV/0!</v>
      </c>
      <c r="G73" t="e">
        <f t="shared" ca="1" si="9"/>
        <v>#DIV/0!</v>
      </c>
      <c r="I73">
        <f ca="1">data0!B72/Calculations!I$2/Cal!$G72</f>
        <v>4.5573959620396065E-3</v>
      </c>
      <c r="J73">
        <f ca="1">data0!C72/Calculations!J$2/Cal!$G72</f>
        <v>4.7927253153934027E-3</v>
      </c>
      <c r="K73">
        <f ca="1">data0!D72/Calculations!K$2/Cal!$G72</f>
        <v>4.6338105527718217E-3</v>
      </c>
      <c r="L73">
        <f ca="1">data0!E72/Calculations!L$2/Cal!$G72</f>
        <v>4.1992258915788082E-3</v>
      </c>
      <c r="M73">
        <f ca="1">data0!F72/Calculations!M$2/Cal!$G72</f>
        <v>4.6660516615226084E-3</v>
      </c>
      <c r="N73">
        <f ca="1">data0!G72/Calculations!N$2/Cal!$G72</f>
        <v>4.5503536672382118E-3</v>
      </c>
      <c r="O73">
        <f ca="1">data0!H72/Calculations!O$2/Cal!$G72</f>
        <v>4.7957835953276323E-3</v>
      </c>
      <c r="P73">
        <f ca="1">data0!I72/Calculations!P$2/Cal!$G72</f>
        <v>5.7753707926822507E-3</v>
      </c>
      <c r="Q73">
        <f ca="1">data0!J72/Calculations!Q$2/Cal!$G72</f>
        <v>5.5541844846963813E-3</v>
      </c>
      <c r="R73">
        <f ca="1">data0!K72/Calculations!R$2/Cal!$G72</f>
        <v>4.6940560217871756E-3</v>
      </c>
      <c r="S73">
        <f ca="1">data0!L72/Calculations!S$2/Cal!$G72</f>
        <v>4.3917742959784112E-3</v>
      </c>
      <c r="T73">
        <f ca="1">data0!M72/Calculations!T$2/Cal!$G72</f>
        <v>4.5822820271234138E-3</v>
      </c>
      <c r="U73">
        <f ca="1">data0!N72/Calculations!U$2/Cal!$G72</f>
        <v>4.6807313617940986E-3</v>
      </c>
      <c r="V73">
        <f ca="1">data0!O72/Calculations!V$2/Cal!$G72</f>
        <v>4.5545518302813328E-3</v>
      </c>
      <c r="W73">
        <f ca="1">data0!P72/Calculations!W$2/Cal!$G72</f>
        <v>4.3376507858971418E-3</v>
      </c>
      <c r="X73">
        <f ca="1">data0!Q72/Calculations!X$2/Cal!$G72</f>
        <v>4.594022729046683E-3</v>
      </c>
      <c r="Y73">
        <f ca="1">data0!R72/Calculations!Y$2/Cal!$G72</f>
        <v>5.6133888737919637E-3</v>
      </c>
      <c r="Z73">
        <f ca="1">data0!S72/Calculations!Z$2/Cal!$G72</f>
        <v>5.7521669129003278E-3</v>
      </c>
      <c r="AA73">
        <f ca="1">data0!T72/Calculations!AA$2/Cal!$G72</f>
        <v>4.8732208233724233E-3</v>
      </c>
      <c r="AB73">
        <f ca="1">data0!U72/Calculations!AB$2/Cal!$G72</f>
        <v>4.4234638545946007E-3</v>
      </c>
      <c r="AC73">
        <f ca="1">data0!V72/Calculations!AC$2/Cal!$G72</f>
        <v>4.6987393734905106E-3</v>
      </c>
      <c r="AD73">
        <f ca="1">data0!W72/Calculations!AD$2/Cal!$G72</f>
        <v>4.8809485555523285E-3</v>
      </c>
      <c r="AE73">
        <f ca="1">data0!X72/Calculations!AE$2/Cal!$G72</f>
        <v>4.7519528950129E-3</v>
      </c>
      <c r="AF73">
        <f ca="1">data0!Y72/Calculations!AF$2/Cal!$G72</f>
        <v>4.597300809546746E-3</v>
      </c>
      <c r="AG73">
        <f ca="1">data0!Z72/Calculations!AG$2/Cal!$G72</f>
        <v>4.5280314905111717E-3</v>
      </c>
      <c r="AH73" t="e">
        <f ca="1">data0!AA72/Calculations!AH$2/Cal!$G72</f>
        <v>#DIV/0!</v>
      </c>
      <c r="AI73" t="e">
        <f ca="1">data0!AB72/Calculations!AI$2/Cal!$G72</f>
        <v>#DIV/0!</v>
      </c>
      <c r="AJ73" t="e">
        <f ca="1">data0!AC72/Calculations!AJ$2/Cal!$G72</f>
        <v>#DIV/0!</v>
      </c>
      <c r="AK73" t="e">
        <f ca="1">data0!AD72/Calculations!AK$2/Cal!$G72</f>
        <v>#DIV/0!</v>
      </c>
      <c r="AL73" t="e">
        <f ca="1">data0!AE72/Calculations!AL$2/Cal!$G72</f>
        <v>#DIV/0!</v>
      </c>
      <c r="AM73" t="e">
        <f ca="1">data0!AF72/Calculations!AM$2/Cal!$G72</f>
        <v>#DIV/0!</v>
      </c>
      <c r="AN73" t="e">
        <f ca="1">data0!AG72/Calculations!AN$2/Cal!$G72</f>
        <v>#DIV/0!</v>
      </c>
    </row>
    <row r="74" spans="1:40">
      <c r="A74">
        <f>data0!A73</f>
        <v>655</v>
      </c>
      <c r="B74" t="e">
        <f t="shared" ca="1" si="5"/>
        <v>#DIV/0!</v>
      </c>
      <c r="C74" t="e">
        <f t="shared" ca="1" si="6"/>
        <v>#DIV/0!</v>
      </c>
      <c r="D74" t="e">
        <f t="shared" ca="1" si="7"/>
        <v>#DIV/0!</v>
      </c>
      <c r="F74" t="e">
        <f t="shared" ca="1" si="8"/>
        <v>#DIV/0!</v>
      </c>
      <c r="G74" t="e">
        <f t="shared" ca="1" si="9"/>
        <v>#DIV/0!</v>
      </c>
      <c r="I74">
        <f ca="1">data0!B73/Calculations!I$2/Cal!$G73</f>
        <v>5.7656792737375223E-3</v>
      </c>
      <c r="J74">
        <f ca="1">data0!C73/Calculations!J$2/Cal!$G73</f>
        <v>4.8507202330690122E-3</v>
      </c>
      <c r="K74">
        <f ca="1">data0!D73/Calculations!K$2/Cal!$G73</f>
        <v>4.6898825042916044E-3</v>
      </c>
      <c r="L74">
        <f ca="1">data0!E73/Calculations!L$2/Cal!$G73</f>
        <v>4.3175001697511196E-3</v>
      </c>
      <c r="M74">
        <f ca="1">data0!F73/Calculations!M$2/Cal!$G73</f>
        <v>4.4682247687495612E-3</v>
      </c>
      <c r="N74">
        <f ca="1">data0!G73/Calculations!N$2/Cal!$G73</f>
        <v>4.9613898858530802E-3</v>
      </c>
      <c r="O74">
        <f ca="1">data0!H73/Calculations!O$2/Cal!$G73</f>
        <v>4.4335719339754515E-3</v>
      </c>
      <c r="P74">
        <f ca="1">data0!I73/Calculations!P$2/Cal!$G73</f>
        <v>5.571917372555359E-3</v>
      </c>
      <c r="Q74">
        <f ca="1">data0!J73/Calculations!Q$2/Cal!$G73</f>
        <v>5.9172560647783833E-3</v>
      </c>
      <c r="R74">
        <f ca="1">data0!K73/Calculations!R$2/Cal!$G73</f>
        <v>5.3659232016536719E-3</v>
      </c>
      <c r="S74">
        <f ca="1">data0!L73/Calculations!S$2/Cal!$G73</f>
        <v>4.655576955708343E-3</v>
      </c>
      <c r="T74">
        <f ca="1">data0!M73/Calculations!T$2/Cal!$G73</f>
        <v>4.4259617069634894E-3</v>
      </c>
      <c r="U74">
        <f ca="1">data0!N73/Calculations!U$2/Cal!$G73</f>
        <v>4.4004913711480397E-3</v>
      </c>
      <c r="V74">
        <f ca="1">data0!O73/Calculations!V$2/Cal!$G73</f>
        <v>4.3749132347337787E-3</v>
      </c>
      <c r="W74">
        <f ca="1">data0!P73/Calculations!W$2/Cal!$G73</f>
        <v>4.6053421596292041E-3</v>
      </c>
      <c r="X74">
        <f ca="1">data0!Q73/Calculations!X$2/Cal!$G73</f>
        <v>5.3547677768418555E-3</v>
      </c>
      <c r="Y74">
        <f ca="1">data0!R73/Calculations!Y$2/Cal!$G73</f>
        <v>5.8668266182895301E-3</v>
      </c>
      <c r="Z74">
        <f ca="1">data0!S73/Calculations!Z$2/Cal!$G73</f>
        <v>5.5907490750805935E-3</v>
      </c>
      <c r="AA74">
        <f ca="1">data0!T73/Calculations!AA$2/Cal!$G73</f>
        <v>4.3764501275504429E-3</v>
      </c>
      <c r="AB74">
        <f ca="1">data0!U73/Calculations!AB$2/Cal!$G73</f>
        <v>5.1028062223790133E-3</v>
      </c>
      <c r="AC74">
        <f ca="1">data0!V73/Calculations!AC$2/Cal!$G73</f>
        <v>4.42499368680395E-3</v>
      </c>
      <c r="AD74">
        <f ca="1">data0!W73/Calculations!AD$2/Cal!$G73</f>
        <v>4.9131629875586637E-3</v>
      </c>
      <c r="AE74">
        <f ca="1">data0!X73/Calculations!AE$2/Cal!$G73</f>
        <v>5.1300847166020121E-3</v>
      </c>
      <c r="AF74">
        <f ca="1">data0!Y73/Calculations!AF$2/Cal!$G73</f>
        <v>4.6529309707669898E-3</v>
      </c>
      <c r="AG74">
        <f ca="1">data0!Z73/Calculations!AG$2/Cal!$G73</f>
        <v>4.5828234504595809E-3</v>
      </c>
      <c r="AH74" t="e">
        <f ca="1">data0!AA73/Calculations!AH$2/Cal!$G73</f>
        <v>#DIV/0!</v>
      </c>
      <c r="AI74" t="e">
        <f ca="1">data0!AB73/Calculations!AI$2/Cal!$G73</f>
        <v>#DIV/0!</v>
      </c>
      <c r="AJ74" t="e">
        <f ca="1">data0!AC73/Calculations!AJ$2/Cal!$G73</f>
        <v>#DIV/0!</v>
      </c>
      <c r="AK74" t="e">
        <f ca="1">data0!AD73/Calculations!AK$2/Cal!$G73</f>
        <v>#DIV/0!</v>
      </c>
      <c r="AL74" t="e">
        <f ca="1">data0!AE73/Calculations!AL$2/Cal!$G73</f>
        <v>#DIV/0!</v>
      </c>
      <c r="AM74" t="e">
        <f ca="1">data0!AF73/Calculations!AM$2/Cal!$G73</f>
        <v>#DIV/0!</v>
      </c>
      <c r="AN74" t="e">
        <f ca="1">data0!AG73/Calculations!AN$2/Cal!$G73</f>
        <v>#DIV/0!</v>
      </c>
    </row>
    <row r="75" spans="1:40">
      <c r="A75">
        <f>data0!A74</f>
        <v>660</v>
      </c>
      <c r="B75" t="e">
        <f t="shared" ca="1" si="5"/>
        <v>#DIV/0!</v>
      </c>
      <c r="C75" t="e">
        <f t="shared" ca="1" si="6"/>
        <v>#DIV/0!</v>
      </c>
      <c r="D75" t="e">
        <f t="shared" ca="1" si="7"/>
        <v>#DIV/0!</v>
      </c>
      <c r="F75" t="e">
        <f t="shared" ca="1" si="8"/>
        <v>#DIV/0!</v>
      </c>
      <c r="G75" t="e">
        <f t="shared" ca="1" si="9"/>
        <v>#DIV/0!</v>
      </c>
      <c r="I75">
        <f ca="1">data0!B74/Calculations!I$2/Cal!$G74</f>
        <v>5.8723258191263703E-3</v>
      </c>
      <c r="J75">
        <f ca="1">data0!C74/Calculations!J$2/Cal!$G74</f>
        <v>4.9404429753417117E-3</v>
      </c>
      <c r="K75">
        <f ca="1">data0!D74/Calculations!K$2/Cal!$G74</f>
        <v>5.117818117538535E-3</v>
      </c>
      <c r="L75">
        <f ca="1">data0!E74/Calculations!L$2/Cal!$G74</f>
        <v>4.5347775470165877E-3</v>
      </c>
      <c r="M75">
        <f ca="1">data0!F74/Calculations!M$2/Cal!$G74</f>
        <v>4.5508725736280878E-3</v>
      </c>
      <c r="N75">
        <f ca="1">data0!G74/Calculations!N$2/Cal!$G74</f>
        <v>5.2117792370483555E-3</v>
      </c>
      <c r="O75">
        <f ca="1">data0!H74/Calculations!O$2/Cal!$G74</f>
        <v>4.5797813509597845E-3</v>
      </c>
      <c r="P75">
        <f ca="1">data0!I74/Calculations!P$2/Cal!$G74</f>
        <v>5.2680945817986605E-3</v>
      </c>
      <c r="Q75">
        <f ca="1">data0!J74/Calculations!Q$2/Cal!$G74</f>
        <v>6.0697544457589498E-3</v>
      </c>
      <c r="R75">
        <f ca="1">data0!K74/Calculations!R$2/Cal!$G74</f>
        <v>6.0484156323235751E-3</v>
      </c>
      <c r="S75">
        <f ca="1">data0!L74/Calculations!S$2/Cal!$G74</f>
        <v>5.4711808413354926E-3</v>
      </c>
      <c r="T75">
        <f ca="1">data0!M74/Calculations!T$2/Cal!$G74</f>
        <v>5.0254733988002028E-3</v>
      </c>
      <c r="U75">
        <f ca="1">data0!N74/Calculations!U$2/Cal!$G74</f>
        <v>4.867886345424898E-3</v>
      </c>
      <c r="V75">
        <f ca="1">data0!O74/Calculations!V$2/Cal!$G74</f>
        <v>4.9774937817994216E-3</v>
      </c>
      <c r="W75">
        <f ca="1">data0!P74/Calculations!W$2/Cal!$G74</f>
        <v>5.5015049072194826E-3</v>
      </c>
      <c r="X75">
        <f ca="1">data0!Q74/Calculations!X$2/Cal!$G74</f>
        <v>6.0373492803944316E-3</v>
      </c>
      <c r="Y75">
        <f ca="1">data0!R74/Calculations!Y$2/Cal!$G74</f>
        <v>5.9044901401565254E-3</v>
      </c>
      <c r="Z75">
        <f ca="1">data0!S74/Calculations!Z$2/Cal!$G74</f>
        <v>5.2941568818944884E-3</v>
      </c>
      <c r="AA75">
        <f ca="1">data0!T74/Calculations!AA$2/Cal!$G74</f>
        <v>4.3866479681970673E-3</v>
      </c>
      <c r="AB75">
        <f ca="1">data0!U74/Calculations!AB$2/Cal!$G74</f>
        <v>5.4178273797906773E-3</v>
      </c>
      <c r="AC75">
        <f ca="1">data0!V74/Calculations!AC$2/Cal!$G74</f>
        <v>4.7658560529263497E-3</v>
      </c>
      <c r="AD75">
        <f ca="1">data0!W74/Calculations!AD$2/Cal!$G74</f>
        <v>4.9220072167564981E-3</v>
      </c>
      <c r="AE75">
        <f ca="1">data0!X74/Calculations!AE$2/Cal!$G74</f>
        <v>5.3882552570879887E-3</v>
      </c>
      <c r="AF75">
        <f ca="1">data0!Y74/Calculations!AF$2/Cal!$G74</f>
        <v>4.7389952470484227E-3</v>
      </c>
      <c r="AG75">
        <f ca="1">data0!Z74/Calculations!AG$2/Cal!$G74</f>
        <v>5.6011090642456539E-3</v>
      </c>
      <c r="AH75" t="e">
        <f ca="1">data0!AA74/Calculations!AH$2/Cal!$G74</f>
        <v>#DIV/0!</v>
      </c>
      <c r="AI75" t="e">
        <f ca="1">data0!AB74/Calculations!AI$2/Cal!$G74</f>
        <v>#DIV/0!</v>
      </c>
      <c r="AJ75" t="e">
        <f ca="1">data0!AC74/Calculations!AJ$2/Cal!$G74</f>
        <v>#DIV/0!</v>
      </c>
      <c r="AK75" t="e">
        <f ca="1">data0!AD74/Calculations!AK$2/Cal!$G74</f>
        <v>#DIV/0!</v>
      </c>
      <c r="AL75" t="e">
        <f ca="1">data0!AE74/Calculations!AL$2/Cal!$G74</f>
        <v>#DIV/0!</v>
      </c>
      <c r="AM75" t="e">
        <f ca="1">data0!AF74/Calculations!AM$2/Cal!$G74</f>
        <v>#DIV/0!</v>
      </c>
      <c r="AN75" t="e">
        <f ca="1">data0!AG74/Calculations!AN$2/Cal!$G74</f>
        <v>#DIV/0!</v>
      </c>
    </row>
    <row r="76" spans="1:40">
      <c r="A76">
        <f>data0!A75</f>
        <v>665</v>
      </c>
      <c r="B76" t="e">
        <f t="shared" ca="1" si="5"/>
        <v>#DIV/0!</v>
      </c>
      <c r="C76" t="e">
        <f t="shared" ca="1" si="6"/>
        <v>#DIV/0!</v>
      </c>
      <c r="D76" t="e">
        <f t="shared" ca="1" si="7"/>
        <v>#DIV/0!</v>
      </c>
      <c r="F76" t="e">
        <f t="shared" ca="1" si="8"/>
        <v>#DIV/0!</v>
      </c>
      <c r="G76" t="e">
        <f t="shared" ca="1" si="9"/>
        <v>#DIV/0!</v>
      </c>
      <c r="I76">
        <f ca="1">data0!B75/Calculations!I$2/Cal!$G75</f>
        <v>5.9581764606578755E-3</v>
      </c>
      <c r="J76">
        <f ca="1">data0!C75/Calculations!J$2/Cal!$G75</f>
        <v>5.0126699279916254E-3</v>
      </c>
      <c r="K76">
        <f ca="1">data0!D75/Calculations!K$2/Cal!$G75</f>
        <v>5.5388140695662698E-3</v>
      </c>
      <c r="L76">
        <f ca="1">data0!E75/Calculations!L$2/Cal!$G75</f>
        <v>5.1239229292650238E-3</v>
      </c>
      <c r="M76">
        <f ca="1">data0!F75/Calculations!M$2/Cal!$G75</f>
        <v>4.992803021692205E-3</v>
      </c>
      <c r="N76">
        <f ca="1">data0!G75/Calculations!N$2/Cal!$G75</f>
        <v>5.3339552784326541E-3</v>
      </c>
      <c r="O76">
        <f ca="1">data0!H75/Calculations!O$2/Cal!$G75</f>
        <v>5.3415745051592399E-3</v>
      </c>
      <c r="P76">
        <f ca="1">data0!I75/Calculations!P$2/Cal!$G75</f>
        <v>5.0843743443129193E-3</v>
      </c>
      <c r="Q76">
        <f ca="1">data0!J75/Calculations!Q$2/Cal!$G75</f>
        <v>6.1803294664660759E-3</v>
      </c>
      <c r="R76">
        <f ca="1">data0!K75/Calculations!R$2/Cal!$G75</f>
        <v>6.5532694569628508E-3</v>
      </c>
      <c r="S76">
        <f ca="1">data0!L75/Calculations!S$2/Cal!$G75</f>
        <v>6.4437075908447845E-3</v>
      </c>
      <c r="T76">
        <f ca="1">data0!M75/Calculations!T$2/Cal!$G75</f>
        <v>6.1056014718134837E-3</v>
      </c>
      <c r="U76">
        <f ca="1">data0!N75/Calculations!U$2/Cal!$G75</f>
        <v>5.9834336302677787E-3</v>
      </c>
      <c r="V76">
        <f ca="1">data0!O75/Calculations!V$2/Cal!$G75</f>
        <v>6.0867792903397484E-3</v>
      </c>
      <c r="W76">
        <f ca="1">data0!P75/Calculations!W$2/Cal!$G75</f>
        <v>6.4492466345555197E-3</v>
      </c>
      <c r="X76">
        <f ca="1">data0!Q75/Calculations!X$2/Cal!$G75</f>
        <v>6.4444173151866754E-3</v>
      </c>
      <c r="Y76">
        <f ca="1">data0!R75/Calculations!Y$2/Cal!$G75</f>
        <v>6.014774392221661E-3</v>
      </c>
      <c r="Z76">
        <f ca="1">data0!S75/Calculations!Z$2/Cal!$G75</f>
        <v>4.9895777334492816E-3</v>
      </c>
      <c r="AA76">
        <f ca="1">data0!T75/Calculations!AA$2/Cal!$G75</f>
        <v>5.1686462785276877E-3</v>
      </c>
      <c r="AB76">
        <f ca="1">data0!U75/Calculations!AB$2/Cal!$G75</f>
        <v>5.2482990343674304E-3</v>
      </c>
      <c r="AC76">
        <f ca="1">data0!V75/Calculations!AC$2/Cal!$G75</f>
        <v>5.5188119678689094E-3</v>
      </c>
      <c r="AD76">
        <f ca="1">data0!W75/Calculations!AD$2/Cal!$G75</f>
        <v>5.4378725966724092E-3</v>
      </c>
      <c r="AE76">
        <f ca="1">data0!X75/Calculations!AE$2/Cal!$G75</f>
        <v>5.5498626209795413E-3</v>
      </c>
      <c r="AF76">
        <f ca="1">data0!Y75/Calculations!AF$2/Cal!$G75</f>
        <v>5.1781445723155517E-3</v>
      </c>
      <c r="AG76">
        <f ca="1">data0!Z75/Calculations!AG$2/Cal!$G75</f>
        <v>5.6829946443827852E-3</v>
      </c>
      <c r="AH76" t="e">
        <f ca="1">data0!AA75/Calculations!AH$2/Cal!$G75</f>
        <v>#DIV/0!</v>
      </c>
      <c r="AI76" t="e">
        <f ca="1">data0!AB75/Calculations!AI$2/Cal!$G75</f>
        <v>#DIV/0!</v>
      </c>
      <c r="AJ76" t="e">
        <f ca="1">data0!AC75/Calculations!AJ$2/Cal!$G75</f>
        <v>#DIV/0!</v>
      </c>
      <c r="AK76" t="e">
        <f ca="1">data0!AD75/Calculations!AK$2/Cal!$G75</f>
        <v>#DIV/0!</v>
      </c>
      <c r="AL76" t="e">
        <f ca="1">data0!AE75/Calculations!AL$2/Cal!$G75</f>
        <v>#DIV/0!</v>
      </c>
      <c r="AM76" t="e">
        <f ca="1">data0!AF75/Calculations!AM$2/Cal!$G75</f>
        <v>#DIV/0!</v>
      </c>
      <c r="AN76" t="e">
        <f ca="1">data0!AG75/Calculations!AN$2/Cal!$G75</f>
        <v>#DIV/0!</v>
      </c>
    </row>
    <row r="77" spans="1:40">
      <c r="A77">
        <f>data0!A76</f>
        <v>670</v>
      </c>
      <c r="B77" t="e">
        <f t="shared" ca="1" si="5"/>
        <v>#DIV/0!</v>
      </c>
      <c r="C77" t="e">
        <f t="shared" ca="1" si="6"/>
        <v>#DIV/0!</v>
      </c>
      <c r="D77" t="e">
        <f t="shared" ca="1" si="7"/>
        <v>#DIV/0!</v>
      </c>
      <c r="F77" t="e">
        <f t="shared" ca="1" si="8"/>
        <v>#DIV/0!</v>
      </c>
      <c r="G77" t="e">
        <f t="shared" ca="1" si="9"/>
        <v>#DIV/0!</v>
      </c>
      <c r="I77">
        <f ca="1">data0!B76/Calculations!I$2/Cal!$G76</f>
        <v>5.9338085936978978E-3</v>
      </c>
      <c r="J77">
        <f ca="1">data0!C76/Calculations!J$2/Cal!$G76</f>
        <v>5.7053359642030522E-3</v>
      </c>
      <c r="K77">
        <f ca="1">data0!D76/Calculations!K$2/Cal!$G76</f>
        <v>6.2056817785545648E-3</v>
      </c>
      <c r="L77">
        <f ca="1">data0!E76/Calculations!L$2/Cal!$G76</f>
        <v>6.0749609829425719E-3</v>
      </c>
      <c r="M77">
        <f ca="1">data0!F76/Calculations!M$2/Cal!$G76</f>
        <v>5.421019112290159E-3</v>
      </c>
      <c r="N77">
        <f ca="1">data0!G76/Calculations!N$2/Cal!$G76</f>
        <v>5.586906047038015E-3</v>
      </c>
      <c r="O77">
        <f ca="1">data0!H76/Calculations!O$2/Cal!$G76</f>
        <v>6.2279749273753335E-3</v>
      </c>
      <c r="P77">
        <f ca="1">data0!I76/Calculations!P$2/Cal!$G76</f>
        <v>5.2583333708752338E-3</v>
      </c>
      <c r="Q77">
        <f ca="1">data0!J76/Calculations!Q$2/Cal!$G76</f>
        <v>6.1550530337853545E-3</v>
      </c>
      <c r="R77">
        <f ca="1">data0!K76/Calculations!R$2/Cal!$G76</f>
        <v>6.8975372454237313E-3</v>
      </c>
      <c r="S77">
        <f ca="1">data0!L76/Calculations!S$2/Cal!$G76</f>
        <v>7.0677611997163664E-3</v>
      </c>
      <c r="T77">
        <f ca="1">data0!M76/Calculations!T$2/Cal!$G76</f>
        <v>7.0395833058374607E-3</v>
      </c>
      <c r="U77">
        <f ca="1">data0!N76/Calculations!U$2/Cal!$G76</f>
        <v>7.020741291799062E-3</v>
      </c>
      <c r="V77">
        <f ca="1">data0!O76/Calculations!V$2/Cal!$G76</f>
        <v>7.0063096078535614E-3</v>
      </c>
      <c r="W77">
        <f ca="1">data0!P76/Calculations!W$2/Cal!$G76</f>
        <v>7.0430097361230629E-3</v>
      </c>
      <c r="X77">
        <f ca="1">data0!Q76/Calculations!X$2/Cal!$G76</f>
        <v>6.7128837002087835E-3</v>
      </c>
      <c r="Y77">
        <f ca="1">data0!R76/Calculations!Y$2/Cal!$G76</f>
        <v>5.9663096725579229E-3</v>
      </c>
      <c r="Z77">
        <f ca="1">data0!S76/Calculations!Z$2/Cal!$G76</f>
        <v>4.9929473382206461E-3</v>
      </c>
      <c r="AA77">
        <f ca="1">data0!T76/Calculations!AA$2/Cal!$G76</f>
        <v>6.2675667179009336E-3</v>
      </c>
      <c r="AB77">
        <f ca="1">data0!U76/Calculations!AB$2/Cal!$G76</f>
        <v>5.2763777915515106E-3</v>
      </c>
      <c r="AC77">
        <f ca="1">data0!V76/Calculations!AC$2/Cal!$G76</f>
        <v>6.0458650429034352E-3</v>
      </c>
      <c r="AD77">
        <f ca="1">data0!W76/Calculations!AD$2/Cal!$G76</f>
        <v>6.410340897854353E-3</v>
      </c>
      <c r="AE77">
        <f ca="1">data0!X76/Calculations!AE$2/Cal!$G76</f>
        <v>5.8571446554858773E-3</v>
      </c>
      <c r="AF77">
        <f ca="1">data0!Y76/Calculations!AF$2/Cal!$G76</f>
        <v>5.8936764001358164E-3</v>
      </c>
      <c r="AG77">
        <f ca="1">data0!Z76/Calculations!AG$2/Cal!$G76</f>
        <v>5.6597522214127723E-3</v>
      </c>
      <c r="AH77" t="e">
        <f ca="1">data0!AA76/Calculations!AH$2/Cal!$G76</f>
        <v>#DIV/0!</v>
      </c>
      <c r="AI77" t="e">
        <f ca="1">data0!AB76/Calculations!AI$2/Cal!$G76</f>
        <v>#DIV/0!</v>
      </c>
      <c r="AJ77" t="e">
        <f ca="1">data0!AC76/Calculations!AJ$2/Cal!$G76</f>
        <v>#DIV/0!</v>
      </c>
      <c r="AK77" t="e">
        <f ca="1">data0!AD76/Calculations!AK$2/Cal!$G76</f>
        <v>#DIV/0!</v>
      </c>
      <c r="AL77" t="e">
        <f ca="1">data0!AE76/Calculations!AL$2/Cal!$G76</f>
        <v>#DIV/0!</v>
      </c>
      <c r="AM77" t="e">
        <f ca="1">data0!AF76/Calculations!AM$2/Cal!$G76</f>
        <v>#DIV/0!</v>
      </c>
      <c r="AN77" t="e">
        <f ca="1">data0!AG76/Calculations!AN$2/Cal!$G76</f>
        <v>#DIV/0!</v>
      </c>
    </row>
    <row r="78" spans="1:40">
      <c r="A78">
        <f>data0!A77</f>
        <v>675</v>
      </c>
      <c r="B78" t="e">
        <f t="shared" ca="1" si="5"/>
        <v>#DIV/0!</v>
      </c>
      <c r="C78" t="e">
        <f t="shared" ca="1" si="6"/>
        <v>#DIV/0!</v>
      </c>
      <c r="D78" t="e">
        <f t="shared" ca="1" si="7"/>
        <v>#DIV/0!</v>
      </c>
      <c r="F78" t="e">
        <f t="shared" ca="1" si="8"/>
        <v>#DIV/0!</v>
      </c>
      <c r="G78" t="e">
        <f t="shared" ca="1" si="9"/>
        <v>#DIV/0!</v>
      </c>
      <c r="I78">
        <f ca="1">data0!B77/Calculations!I$2/Cal!$G77</f>
        <v>5.7638468660731598E-3</v>
      </c>
      <c r="J78">
        <f ca="1">data0!C77/Calculations!J$2/Cal!$G77</f>
        <v>6.2346584560220315E-3</v>
      </c>
      <c r="K78">
        <f ca="1">data0!D77/Calculations!K$2/Cal!$G77</f>
        <v>6.3628179228374174E-3</v>
      </c>
      <c r="L78">
        <f ca="1">data0!E77/Calculations!L$2/Cal!$G77</f>
        <v>6.9125488086195785E-3</v>
      </c>
      <c r="M78">
        <f ca="1">data0!F77/Calculations!M$2/Cal!$G77</f>
        <v>5.5925847391076703E-3</v>
      </c>
      <c r="N78">
        <f ca="1">data0!G77/Calculations!N$2/Cal!$G77</f>
        <v>6.0718786718904133E-3</v>
      </c>
      <c r="O78">
        <f ca="1">data0!H77/Calculations!O$2/Cal!$G77</f>
        <v>6.5537193123239275E-3</v>
      </c>
      <c r="P78">
        <f ca="1">data0!I77/Calculations!P$2/Cal!$G77</f>
        <v>5.9064572524661569E-3</v>
      </c>
      <c r="Q78">
        <f ca="1">data0!J77/Calculations!Q$2/Cal!$G77</f>
        <v>5.8731225568581314E-3</v>
      </c>
      <c r="R78">
        <f ca="1">data0!K77/Calculations!R$2/Cal!$G77</f>
        <v>6.8483887886041121E-3</v>
      </c>
      <c r="S78">
        <f ca="1">data0!L77/Calculations!S$2/Cal!$G77</f>
        <v>7.2233273247613548E-3</v>
      </c>
      <c r="T78">
        <f ca="1">data0!M77/Calculations!T$2/Cal!$G77</f>
        <v>7.3883719604772085E-3</v>
      </c>
      <c r="U78">
        <f ca="1">data0!N77/Calculations!U$2/Cal!$G77</f>
        <v>7.4510950837829255E-3</v>
      </c>
      <c r="V78">
        <f ca="1">data0!O77/Calculations!V$2/Cal!$G77</f>
        <v>7.3176501149236394E-3</v>
      </c>
      <c r="W78">
        <f ca="1">data0!P77/Calculations!W$2/Cal!$G77</f>
        <v>7.1639788360625192E-3</v>
      </c>
      <c r="X78">
        <f ca="1">data0!Q77/Calculations!X$2/Cal!$G77</f>
        <v>6.6748107206727574E-3</v>
      </c>
      <c r="Y78">
        <f ca="1">data0!R77/Calculations!Y$2/Cal!$G77</f>
        <v>5.6099636825592998E-3</v>
      </c>
      <c r="Z78">
        <f ca="1">data0!S77/Calculations!Z$2/Cal!$G77</f>
        <v>5.4965927405417232E-3</v>
      </c>
      <c r="AA78">
        <f ca="1">data0!T77/Calculations!AA$2/Cal!$G77</f>
        <v>6.5741627885322704E-3</v>
      </c>
      <c r="AB78">
        <f ca="1">data0!U77/Calculations!AB$2/Cal!$G77</f>
        <v>5.8230502806638738E-3</v>
      </c>
      <c r="AC78">
        <f ca="1">data0!V77/Calculations!AC$2/Cal!$G77</f>
        <v>6.1777688715577731E-3</v>
      </c>
      <c r="AD78">
        <f ca="1">data0!W77/Calculations!AD$2/Cal!$G77</f>
        <v>7.2197858234700693E-3</v>
      </c>
      <c r="AE78">
        <f ca="1">data0!X77/Calculations!AE$2/Cal!$G77</f>
        <v>6.2102373392499983E-3</v>
      </c>
      <c r="AF78">
        <f ca="1">data0!Y77/Calculations!AF$2/Cal!$G77</f>
        <v>6.4404725042860782E-3</v>
      </c>
      <c r="AG78">
        <f ca="1">data0!Z77/Calculations!AG$2/Cal!$G77</f>
        <v>6.4139135786915064E-3</v>
      </c>
      <c r="AH78" t="e">
        <f ca="1">data0!AA77/Calculations!AH$2/Cal!$G77</f>
        <v>#DIV/0!</v>
      </c>
      <c r="AI78" t="e">
        <f ca="1">data0!AB77/Calculations!AI$2/Cal!$G77</f>
        <v>#DIV/0!</v>
      </c>
      <c r="AJ78" t="e">
        <f ca="1">data0!AC77/Calculations!AJ$2/Cal!$G77</f>
        <v>#DIV/0!</v>
      </c>
      <c r="AK78" t="e">
        <f ca="1">data0!AD77/Calculations!AK$2/Cal!$G77</f>
        <v>#DIV/0!</v>
      </c>
      <c r="AL78" t="e">
        <f ca="1">data0!AE77/Calculations!AL$2/Cal!$G77</f>
        <v>#DIV/0!</v>
      </c>
      <c r="AM78" t="e">
        <f ca="1">data0!AF77/Calculations!AM$2/Cal!$G77</f>
        <v>#DIV/0!</v>
      </c>
      <c r="AN78" t="e">
        <f ca="1">data0!AG77/Calculations!AN$2/Cal!$G77</f>
        <v>#DIV/0!</v>
      </c>
    </row>
    <row r="79" spans="1:40">
      <c r="A79">
        <f>data0!A78</f>
        <v>680</v>
      </c>
      <c r="B79" t="e">
        <f t="shared" ca="1" si="5"/>
        <v>#DIV/0!</v>
      </c>
      <c r="C79" t="e">
        <f t="shared" ca="1" si="6"/>
        <v>#DIV/0!</v>
      </c>
      <c r="D79" t="e">
        <f t="shared" ca="1" si="7"/>
        <v>#DIV/0!</v>
      </c>
      <c r="F79" t="e">
        <f t="shared" ca="1" si="8"/>
        <v>#DIV/0!</v>
      </c>
      <c r="G79" t="e">
        <f t="shared" ca="1" si="9"/>
        <v>#DIV/0!</v>
      </c>
      <c r="I79">
        <f ca="1">data0!B78/Calculations!I$2/Cal!$G78</f>
        <v>6.588774151820063E-3</v>
      </c>
      <c r="J79">
        <f ca="1">data0!C78/Calculations!J$2/Cal!$G78</f>
        <v>6.5990451724614397E-3</v>
      </c>
      <c r="K79">
        <f ca="1">data0!D78/Calculations!K$2/Cal!$G78</f>
        <v>6.6992492066862853E-3</v>
      </c>
      <c r="L79">
        <f ca="1">data0!E78/Calculations!L$2/Cal!$G78</f>
        <v>7.2915718540714309E-3</v>
      </c>
      <c r="M79">
        <f ca="1">data0!F78/Calculations!M$2/Cal!$G78</f>
        <v>5.6388478607343985E-3</v>
      </c>
      <c r="N79">
        <f ca="1">data0!G78/Calculations!N$2/Cal!$G78</f>
        <v>6.5679989714250318E-3</v>
      </c>
      <c r="O79">
        <f ca="1">data0!H78/Calculations!O$2/Cal!$G78</f>
        <v>6.3231176567853297E-3</v>
      </c>
      <c r="P79">
        <f ca="1">data0!I78/Calculations!P$2/Cal!$G78</f>
        <v>6.6877210873550101E-3</v>
      </c>
      <c r="Q79">
        <f ca="1">data0!J78/Calculations!Q$2/Cal!$G78</f>
        <v>5.6551165870832648E-3</v>
      </c>
      <c r="R79">
        <f ca="1">data0!K78/Calculations!R$2/Cal!$G78</f>
        <v>6.4227934610505116E-3</v>
      </c>
      <c r="S79">
        <f ca="1">data0!L78/Calculations!S$2/Cal!$G78</f>
        <v>6.9812528036403351E-3</v>
      </c>
      <c r="T79">
        <f ca="1">data0!M78/Calculations!T$2/Cal!$G78</f>
        <v>7.2398357939705065E-3</v>
      </c>
      <c r="U79">
        <f ca="1">data0!N78/Calculations!U$2/Cal!$G78</f>
        <v>7.3184760857511431E-3</v>
      </c>
      <c r="V79">
        <f ca="1">data0!O78/Calculations!V$2/Cal!$G78</f>
        <v>7.1537071610221405E-3</v>
      </c>
      <c r="W79">
        <f ca="1">data0!P78/Calculations!W$2/Cal!$G78</f>
        <v>6.9268806755284048E-3</v>
      </c>
      <c r="X79">
        <f ca="1">data0!Q78/Calculations!X$2/Cal!$G78</f>
        <v>6.2115355072840566E-3</v>
      </c>
      <c r="Y79">
        <f ca="1">data0!R78/Calculations!Y$2/Cal!$G78</f>
        <v>5.2557246431192296E-3</v>
      </c>
      <c r="Z79">
        <f ca="1">data0!S78/Calculations!Z$2/Cal!$G78</f>
        <v>6.4460724032474959E-3</v>
      </c>
      <c r="AA79">
        <f ca="1">data0!T78/Calculations!AA$2/Cal!$G78</f>
        <v>5.9979384390760485E-3</v>
      </c>
      <c r="AB79">
        <f ca="1">data0!U78/Calculations!AB$2/Cal!$G78</f>
        <v>6.5097521450636613E-3</v>
      </c>
      <c r="AC79">
        <f ca="1">data0!V78/Calculations!AC$2/Cal!$G78</f>
        <v>6.3208695776076186E-3</v>
      </c>
      <c r="AD79">
        <f ca="1">data0!W78/Calculations!AD$2/Cal!$G78</f>
        <v>7.2866488555261375E-3</v>
      </c>
      <c r="AE79">
        <f ca="1">data0!X78/Calculations!AE$2/Cal!$G78</f>
        <v>6.5265489215005478E-3</v>
      </c>
      <c r="AF79">
        <f ca="1">data0!Y78/Calculations!AF$2/Cal!$G78</f>
        <v>6.8168880921982465E-3</v>
      </c>
      <c r="AG79">
        <f ca="1">data0!Z78/Calculations!AG$2/Cal!$G78</f>
        <v>6.982741991010683E-3</v>
      </c>
      <c r="AH79" t="e">
        <f ca="1">data0!AA78/Calculations!AH$2/Cal!$G78</f>
        <v>#DIV/0!</v>
      </c>
      <c r="AI79" t="e">
        <f ca="1">data0!AB78/Calculations!AI$2/Cal!$G78</f>
        <v>#DIV/0!</v>
      </c>
      <c r="AJ79" t="e">
        <f ca="1">data0!AC78/Calculations!AJ$2/Cal!$G78</f>
        <v>#DIV/0!</v>
      </c>
      <c r="AK79" t="e">
        <f ca="1">data0!AD78/Calculations!AK$2/Cal!$G78</f>
        <v>#DIV/0!</v>
      </c>
      <c r="AL79" t="e">
        <f ca="1">data0!AE78/Calculations!AL$2/Cal!$G78</f>
        <v>#DIV/0!</v>
      </c>
      <c r="AM79" t="e">
        <f ca="1">data0!AF78/Calculations!AM$2/Cal!$G78</f>
        <v>#DIV/0!</v>
      </c>
      <c r="AN79" t="e">
        <f ca="1">data0!AG78/Calculations!AN$2/Cal!$G78</f>
        <v>#DIV/0!</v>
      </c>
    </row>
    <row r="80" spans="1:40">
      <c r="A80">
        <f>data0!A79</f>
        <v>685</v>
      </c>
      <c r="B80" t="e">
        <f t="shared" ca="1" si="5"/>
        <v>#DIV/0!</v>
      </c>
      <c r="C80" t="e">
        <f t="shared" ca="1" si="6"/>
        <v>#DIV/0!</v>
      </c>
      <c r="D80" t="e">
        <f t="shared" ca="1" si="7"/>
        <v>#DIV/0!</v>
      </c>
      <c r="F80" t="e">
        <f t="shared" ca="1" si="8"/>
        <v>#DIV/0!</v>
      </c>
      <c r="G80" t="e">
        <f t="shared" ca="1" si="9"/>
        <v>#DIV/0!</v>
      </c>
      <c r="I80">
        <f ca="1">data0!B79/Calculations!I$2/Cal!$G79</f>
        <v>6.2628846444027306E-3</v>
      </c>
      <c r="J80">
        <f ca="1">data0!C79/Calculations!J$2/Cal!$G79</f>
        <v>6.8999123501748477E-3</v>
      </c>
      <c r="K80">
        <f ca="1">data0!D79/Calculations!K$2/Cal!$G79</f>
        <v>6.9743616341115663E-3</v>
      </c>
      <c r="L80">
        <f ca="1">data0!E79/Calculations!L$2/Cal!$G79</f>
        <v>7.3278459434147902E-3</v>
      </c>
      <c r="M80">
        <f ca="1">data0!F79/Calculations!M$2/Cal!$G79</f>
        <v>5.7874235257533262E-3</v>
      </c>
      <c r="N80">
        <f ca="1">data0!G79/Calculations!N$2/Cal!$G79</f>
        <v>6.7868941607900175E-3</v>
      </c>
      <c r="O80">
        <f ca="1">data0!H79/Calculations!O$2/Cal!$G79</f>
        <v>6.2005693078730538E-3</v>
      </c>
      <c r="P80">
        <f ca="1">data0!I79/Calculations!P$2/Cal!$G79</f>
        <v>6.9469525475735769E-3</v>
      </c>
      <c r="Q80">
        <f ca="1">data0!J79/Calculations!Q$2/Cal!$G79</f>
        <v>5.9492936235951421E-3</v>
      </c>
      <c r="R80">
        <f ca="1">data0!K79/Calculations!R$2/Cal!$G79</f>
        <v>5.8363352349227546E-3</v>
      </c>
      <c r="S80">
        <f ca="1">data0!L79/Calculations!S$2/Cal!$G79</f>
        <v>6.4452626195069928E-3</v>
      </c>
      <c r="T80">
        <f ca="1">data0!M79/Calculations!T$2/Cal!$G79</f>
        <v>6.8242365685778072E-3</v>
      </c>
      <c r="U80">
        <f ca="1">data0!N79/Calculations!U$2/Cal!$G79</f>
        <v>6.9374355528506182E-3</v>
      </c>
      <c r="V80">
        <f ca="1">data0!O79/Calculations!V$2/Cal!$G79</f>
        <v>6.7419215006031619E-3</v>
      </c>
      <c r="W80">
        <f ca="1">data0!P79/Calculations!W$2/Cal!$G79</f>
        <v>6.4089474225342419E-3</v>
      </c>
      <c r="X80">
        <f ca="1">data0!Q79/Calculations!X$2/Cal!$G79</f>
        <v>5.5452589512510527E-3</v>
      </c>
      <c r="Y80">
        <f ca="1">data0!R79/Calculations!Y$2/Cal!$G79</f>
        <v>5.4155818996030405E-3</v>
      </c>
      <c r="Z80">
        <f ca="1">data0!S79/Calculations!Z$2/Cal!$G79</f>
        <v>6.8382515483482219E-3</v>
      </c>
      <c r="AA80">
        <f ca="1">data0!T79/Calculations!AA$2/Cal!$G79</f>
        <v>5.701272449562653E-3</v>
      </c>
      <c r="AB80">
        <f ca="1">data0!U79/Calculations!AB$2/Cal!$G79</f>
        <v>6.6671056292811129E-3</v>
      </c>
      <c r="AC80">
        <f ca="1">data0!V79/Calculations!AC$2/Cal!$G79</f>
        <v>6.7909122859200572E-3</v>
      </c>
      <c r="AD80">
        <f ca="1">data0!W79/Calculations!AD$2/Cal!$G79</f>
        <v>6.8533340697554219E-3</v>
      </c>
      <c r="AE80">
        <f ca="1">data0!X79/Calculations!AE$2/Cal!$G79</f>
        <v>6.6028074308370037E-3</v>
      </c>
      <c r="AF80">
        <f ca="1">data0!Y79/Calculations!AF$2/Cal!$G79</f>
        <v>6.8037015234778059E-3</v>
      </c>
      <c r="AG80">
        <f ca="1">data0!Z79/Calculations!AG$2/Cal!$G79</f>
        <v>6.6373663117966376E-3</v>
      </c>
      <c r="AH80" t="e">
        <f ca="1">data0!AA79/Calculations!AH$2/Cal!$G79</f>
        <v>#DIV/0!</v>
      </c>
      <c r="AI80" t="e">
        <f ca="1">data0!AB79/Calculations!AI$2/Cal!$G79</f>
        <v>#DIV/0!</v>
      </c>
      <c r="AJ80" t="e">
        <f ca="1">data0!AC79/Calculations!AJ$2/Cal!$G79</f>
        <v>#DIV/0!</v>
      </c>
      <c r="AK80" t="e">
        <f ca="1">data0!AD79/Calculations!AK$2/Cal!$G79</f>
        <v>#DIV/0!</v>
      </c>
      <c r="AL80" t="e">
        <f ca="1">data0!AE79/Calculations!AL$2/Cal!$G79</f>
        <v>#DIV/0!</v>
      </c>
      <c r="AM80" t="e">
        <f ca="1">data0!AF79/Calculations!AM$2/Cal!$G79</f>
        <v>#DIV/0!</v>
      </c>
      <c r="AN80" t="e">
        <f ca="1">data0!AG79/Calculations!AN$2/Cal!$G79</f>
        <v>#DIV/0!</v>
      </c>
    </row>
    <row r="81" spans="1:40">
      <c r="A81">
        <f>data0!A80</f>
        <v>690</v>
      </c>
      <c r="B81" t="e">
        <f t="shared" ca="1" si="5"/>
        <v>#DIV/0!</v>
      </c>
      <c r="C81" t="e">
        <f t="shared" ca="1" si="6"/>
        <v>#DIV/0!</v>
      </c>
      <c r="D81" t="e">
        <f t="shared" ca="1" si="7"/>
        <v>#DIV/0!</v>
      </c>
      <c r="F81" t="e">
        <f t="shared" ca="1" si="8"/>
        <v>#DIV/0!</v>
      </c>
      <c r="G81" t="e">
        <f t="shared" ca="1" si="9"/>
        <v>#DIV/0!</v>
      </c>
      <c r="I81">
        <f ca="1">data0!B80/Calculations!I$2/Cal!$G80</f>
        <v>6.0261690569151554E-3</v>
      </c>
      <c r="J81">
        <f ca="1">data0!C80/Calculations!J$2/Cal!$G80</f>
        <v>6.6391192974009725E-3</v>
      </c>
      <c r="K81">
        <f ca="1">data0!D80/Calculations!K$2/Cal!$G80</f>
        <v>7.2942984867777685E-3</v>
      </c>
      <c r="L81">
        <f ca="1">data0!E80/Calculations!L$2/Cal!$G80</f>
        <v>7.3152865639909163E-3</v>
      </c>
      <c r="M81">
        <f ca="1">data0!F80/Calculations!M$2/Cal!$G80</f>
        <v>5.9800015031530153E-3</v>
      </c>
      <c r="N81">
        <f ca="1">data0!G80/Calculations!N$2/Cal!$G80</f>
        <v>6.7629084860398314E-3</v>
      </c>
      <c r="O81">
        <f ca="1">data0!H80/Calculations!O$2/Cal!$G80</f>
        <v>6.4603429329170344E-3</v>
      </c>
      <c r="P81">
        <f ca="1">data0!I80/Calculations!P$2/Cal!$G80</f>
        <v>6.5378748354464021E-3</v>
      </c>
      <c r="Q81">
        <f ca="1">data0!J80/Calculations!Q$2/Cal!$G80</f>
        <v>6.5711313965448187E-3</v>
      </c>
      <c r="R81">
        <f ca="1">data0!K80/Calculations!R$2/Cal!$G80</f>
        <v>5.578795872003251E-3</v>
      </c>
      <c r="S81">
        <f ca="1">data0!L80/Calculations!S$2/Cal!$G80</f>
        <v>5.7429517624228857E-3</v>
      </c>
      <c r="T81">
        <f ca="1">data0!M80/Calculations!T$2/Cal!$G80</f>
        <v>6.2158547016857371E-3</v>
      </c>
      <c r="U81">
        <f ca="1">data0!N80/Calculations!U$2/Cal!$G80</f>
        <v>6.3451311097682652E-3</v>
      </c>
      <c r="V81">
        <f ca="1">data0!O80/Calculations!V$2/Cal!$G80</f>
        <v>6.1339343282361524E-3</v>
      </c>
      <c r="W81">
        <f ca="1">data0!P80/Calculations!W$2/Cal!$G80</f>
        <v>5.6793723913033025E-3</v>
      </c>
      <c r="X81">
        <f ca="1">data0!Q80/Calculations!X$2/Cal!$G80</f>
        <v>5.1629299207728964E-3</v>
      </c>
      <c r="Y81">
        <f ca="1">data0!R80/Calculations!Y$2/Cal!$G80</f>
        <v>6.1399654758466449E-3</v>
      </c>
      <c r="Z81">
        <f ca="1">data0!S80/Calculations!Z$2/Cal!$G80</f>
        <v>6.1169908896049714E-3</v>
      </c>
      <c r="AA81">
        <f ca="1">data0!T80/Calculations!AA$2/Cal!$G80</f>
        <v>6.030328579520447E-3</v>
      </c>
      <c r="AB81">
        <f ca="1">data0!U80/Calculations!AB$2/Cal!$G80</f>
        <v>6.4151118731311449E-3</v>
      </c>
      <c r="AC81">
        <f ca="1">data0!V80/Calculations!AC$2/Cal!$G80</f>
        <v>7.3094881281200409E-3</v>
      </c>
      <c r="AD81">
        <f ca="1">data0!W80/Calculations!AD$2/Cal!$G80</f>
        <v>6.547533151145749E-3</v>
      </c>
      <c r="AE81">
        <f ca="1">data0!X80/Calculations!AE$2/Cal!$G80</f>
        <v>6.632507389647279E-3</v>
      </c>
      <c r="AF81">
        <f ca="1">data0!Y80/Calculations!AF$2/Cal!$G80</f>
        <v>7.1700253200894064E-3</v>
      </c>
      <c r="AG81">
        <f ca="1">data0!Z80/Calculations!AG$2/Cal!$G80</f>
        <v>7.184809015972635E-3</v>
      </c>
      <c r="AH81" t="e">
        <f ca="1">data0!AA80/Calculations!AH$2/Cal!$G80</f>
        <v>#DIV/0!</v>
      </c>
      <c r="AI81" t="e">
        <f ca="1">data0!AB80/Calculations!AI$2/Cal!$G80</f>
        <v>#DIV/0!</v>
      </c>
      <c r="AJ81" t="e">
        <f ca="1">data0!AC80/Calculations!AJ$2/Cal!$G80</f>
        <v>#DIV/0!</v>
      </c>
      <c r="AK81" t="e">
        <f ca="1">data0!AD80/Calculations!AK$2/Cal!$G80</f>
        <v>#DIV/0!</v>
      </c>
      <c r="AL81" t="e">
        <f ca="1">data0!AE80/Calculations!AL$2/Cal!$G80</f>
        <v>#DIV/0!</v>
      </c>
      <c r="AM81" t="e">
        <f ca="1">data0!AF80/Calculations!AM$2/Cal!$G80</f>
        <v>#DIV/0!</v>
      </c>
      <c r="AN81" t="e">
        <f ca="1">data0!AG80/Calculations!AN$2/Cal!$G80</f>
        <v>#DIV/0!</v>
      </c>
    </row>
    <row r="82" spans="1:40">
      <c r="A82">
        <f>data0!A81</f>
        <v>695</v>
      </c>
      <c r="B82" t="e">
        <f t="shared" ca="1" si="5"/>
        <v>#DIV/0!</v>
      </c>
      <c r="C82" t="e">
        <f t="shared" ca="1" si="6"/>
        <v>#DIV/0!</v>
      </c>
      <c r="D82" t="e">
        <f t="shared" ca="1" si="7"/>
        <v>#DIV/0!</v>
      </c>
      <c r="F82" t="e">
        <f t="shared" ca="1" si="8"/>
        <v>#DIV/0!</v>
      </c>
      <c r="G82" t="e">
        <f t="shared" ca="1" si="9"/>
        <v>#DIV/0!</v>
      </c>
      <c r="I82">
        <f ca="1">data0!B81/Calculations!I$2/Cal!$G81</f>
        <v>5.8424517434246788E-3</v>
      </c>
      <c r="J82">
        <f ca="1">data0!C81/Calculations!J$2/Cal!$G81</f>
        <v>7.0218711020359828E-3</v>
      </c>
      <c r="K82">
        <f ca="1">data0!D81/Calculations!K$2/Cal!$G81</f>
        <v>7.3547970254130663E-3</v>
      </c>
      <c r="L82">
        <f ca="1">data0!E81/Calculations!L$2/Cal!$G81</f>
        <v>7.3770983832534059E-3</v>
      </c>
      <c r="M82">
        <f ca="1">data0!F81/Calculations!M$2/Cal!$G81</f>
        <v>5.8283669963479267E-3</v>
      </c>
      <c r="N82">
        <f ca="1">data0!G81/Calculations!N$2/Cal!$G81</f>
        <v>6.7070283384774399E-3</v>
      </c>
      <c r="O82">
        <f ca="1">data0!H81/Calculations!O$2/Cal!$G81</f>
        <v>6.6714854835435806E-3</v>
      </c>
      <c r="P82">
        <f ca="1">data0!I81/Calculations!P$2/Cal!$G81</f>
        <v>5.9834557208055562E-3</v>
      </c>
      <c r="Q82">
        <f ca="1">data0!J81/Calculations!Q$2/Cal!$G81</f>
        <v>6.7098619579166047E-3</v>
      </c>
      <c r="R82">
        <f ca="1">data0!K81/Calculations!R$2/Cal!$G81</f>
        <v>5.8564587450623028E-3</v>
      </c>
      <c r="S82">
        <f ca="1">data0!L81/Calculations!S$2/Cal!$G81</f>
        <v>5.2298828429441571E-3</v>
      </c>
      <c r="T82">
        <f ca="1">data0!M81/Calculations!T$2/Cal!$G81</f>
        <v>5.4362371831751886E-3</v>
      </c>
      <c r="U82">
        <f ca="1">data0!N81/Calculations!U$2/Cal!$G81</f>
        <v>5.5471882688834257E-3</v>
      </c>
      <c r="V82">
        <f ca="1">data0!O81/Calculations!V$2/Cal!$G81</f>
        <v>5.3522384014026208E-3</v>
      </c>
      <c r="W82">
        <f ca="1">data0!P81/Calculations!W$2/Cal!$G81</f>
        <v>5.1064355743098058E-3</v>
      </c>
      <c r="X82">
        <f ca="1">data0!Q81/Calculations!X$2/Cal!$G81</f>
        <v>5.4149040582582688E-3</v>
      </c>
      <c r="Y82">
        <f ca="1">data0!R81/Calculations!Y$2/Cal!$G81</f>
        <v>6.3248272734400569E-3</v>
      </c>
      <c r="Z82">
        <f ca="1">data0!S81/Calculations!Z$2/Cal!$G81</f>
        <v>5.3062411371299677E-3</v>
      </c>
      <c r="AA82">
        <f ca="1">data0!T81/Calculations!AA$2/Cal!$G81</f>
        <v>6.3353207042251931E-3</v>
      </c>
      <c r="AB82">
        <f ca="1">data0!U81/Calculations!AB$2/Cal!$G81</f>
        <v>6.1382360458519464E-3</v>
      </c>
      <c r="AC82">
        <f ca="1">data0!V81/Calculations!AC$2/Cal!$G81</f>
        <v>7.215494995852772E-3</v>
      </c>
      <c r="AD82">
        <f ca="1">data0!W81/Calculations!AD$2/Cal!$G81</f>
        <v>6.4839481914114637E-3</v>
      </c>
      <c r="AE82">
        <f ca="1">data0!X81/Calculations!AE$2/Cal!$G81</f>
        <v>6.7687423802970763E-3</v>
      </c>
      <c r="AF82">
        <f ca="1">data0!Y81/Calculations!AF$2/Cal!$G81</f>
        <v>6.9514357357242052E-3</v>
      </c>
      <c r="AG82">
        <f ca="1">data0!Z81/Calculations!AG$2/Cal!$G81</f>
        <v>6.9657687272104158E-3</v>
      </c>
      <c r="AH82" t="e">
        <f ca="1">data0!AA81/Calculations!AH$2/Cal!$G81</f>
        <v>#DIV/0!</v>
      </c>
      <c r="AI82" t="e">
        <f ca="1">data0!AB81/Calculations!AI$2/Cal!$G81</f>
        <v>#DIV/0!</v>
      </c>
      <c r="AJ82" t="e">
        <f ca="1">data0!AC81/Calculations!AJ$2/Cal!$G81</f>
        <v>#DIV/0!</v>
      </c>
      <c r="AK82" t="e">
        <f ca="1">data0!AD81/Calculations!AK$2/Cal!$G81</f>
        <v>#DIV/0!</v>
      </c>
      <c r="AL82" t="e">
        <f ca="1">data0!AE81/Calculations!AL$2/Cal!$G81</f>
        <v>#DIV/0!</v>
      </c>
      <c r="AM82" t="e">
        <f ca="1">data0!AF81/Calculations!AM$2/Cal!$G81</f>
        <v>#DIV/0!</v>
      </c>
      <c r="AN82" t="e">
        <f ca="1">data0!AG81/Calculations!AN$2/Cal!$G81</f>
        <v>#DIV/0!</v>
      </c>
    </row>
    <row r="83" spans="1:40">
      <c r="A83">
        <f>data0!A82</f>
        <v>700</v>
      </c>
      <c r="B83" t="e">
        <f t="shared" ca="1" si="5"/>
        <v>#DIV/0!</v>
      </c>
      <c r="C83" t="e">
        <f t="shared" ca="1" si="6"/>
        <v>#DIV/0!</v>
      </c>
      <c r="D83" t="e">
        <f t="shared" ca="1" si="7"/>
        <v>#DIV/0!</v>
      </c>
      <c r="F83" t="e">
        <f t="shared" ca="1" si="8"/>
        <v>#DIV/0!</v>
      </c>
      <c r="G83" t="e">
        <f t="shared" ca="1" si="9"/>
        <v>#DIV/0!</v>
      </c>
      <c r="I83">
        <f ca="1">data0!B82/Calculations!I$2/Cal!$G82</f>
        <v>5.7033138369740133E-3</v>
      </c>
      <c r="J83">
        <f ca="1">data0!C82/Calculations!J$2/Cal!$G82</f>
        <v>6.8546453400768394E-3</v>
      </c>
      <c r="K83">
        <f ca="1">data0!D82/Calculations!K$2/Cal!$G82</f>
        <v>7.4557827179451671E-3</v>
      </c>
      <c r="L83">
        <f ca="1">data0!E82/Calculations!L$2/Cal!$G82</f>
        <v>7.4238499028711959E-3</v>
      </c>
      <c r="M83">
        <f ca="1">data0!F82/Calculations!M$2/Cal!$G82</f>
        <v>5.2703338076580024E-3</v>
      </c>
      <c r="N83">
        <f ca="1">data0!G82/Calculations!N$2/Cal!$G82</f>
        <v>6.7857173176170552E-3</v>
      </c>
      <c r="O83">
        <f ca="1">data0!H82/Calculations!O$2/Cal!$G82</f>
        <v>6.547245863107942E-3</v>
      </c>
      <c r="P83">
        <f ca="1">data0!I82/Calculations!P$2/Cal!$G82</f>
        <v>5.8236280219326709E-3</v>
      </c>
      <c r="Q83">
        <f ca="1">data0!J82/Calculations!Q$2/Cal!$G82</f>
        <v>6.0797161413362472E-3</v>
      </c>
      <c r="R83">
        <f ca="1">data0!K82/Calculations!R$2/Cal!$G82</f>
        <v>6.2589650753817347E-3</v>
      </c>
      <c r="S83">
        <f ca="1">data0!L82/Calculations!S$2/Cal!$G82</f>
        <v>5.278984519713632E-3</v>
      </c>
      <c r="T83">
        <f ca="1">data0!M82/Calculations!T$2/Cal!$G82</f>
        <v>4.940186485697896E-3</v>
      </c>
      <c r="U83">
        <f ca="1">data0!N82/Calculations!U$2/Cal!$G82</f>
        <v>4.8944013202447748E-3</v>
      </c>
      <c r="V83">
        <f ca="1">data0!O82/Calculations!V$2/Cal!$G82</f>
        <v>4.8377545137576897E-3</v>
      </c>
      <c r="W83">
        <f ca="1">data0!P82/Calculations!W$2/Cal!$G82</f>
        <v>5.1267423457645378E-3</v>
      </c>
      <c r="X83">
        <f ca="1">data0!Q82/Calculations!X$2/Cal!$G82</f>
        <v>5.9580446236432568E-3</v>
      </c>
      <c r="Y83">
        <f ca="1">data0!R82/Calculations!Y$2/Cal!$G82</f>
        <v>5.352249072842344E-3</v>
      </c>
      <c r="Z83">
        <f ca="1">data0!S82/Calculations!Z$2/Cal!$G82</f>
        <v>5.1798730787589982E-3</v>
      </c>
      <c r="AA83">
        <f ca="1">data0!T82/Calculations!AA$2/Cal!$G82</f>
        <v>6.1271814182341034E-3</v>
      </c>
      <c r="AB83">
        <f ca="1">data0!U82/Calculations!AB$2/Cal!$G82</f>
        <v>6.1507836285289753E-3</v>
      </c>
      <c r="AC83">
        <f ca="1">data0!V82/Calculations!AC$2/Cal!$G82</f>
        <v>6.4147596895358129E-3</v>
      </c>
      <c r="AD83">
        <f ca="1">data0!W82/Calculations!AD$2/Cal!$G82</f>
        <v>6.307401693441443E-3</v>
      </c>
      <c r="AE83">
        <f ca="1">data0!X82/Calculations!AE$2/Cal!$G82</f>
        <v>7.0700731094682752E-3</v>
      </c>
      <c r="AF83">
        <f ca="1">data0!Y82/Calculations!AF$2/Cal!$G82</f>
        <v>6.4908488338569128E-3</v>
      </c>
      <c r="AG83">
        <f ca="1">data0!Z82/Calculations!AG$2/Cal!$G82</f>
        <v>6.7998790425220735E-3</v>
      </c>
      <c r="AH83" t="e">
        <f ca="1">data0!AA82/Calculations!AH$2/Cal!$G82</f>
        <v>#DIV/0!</v>
      </c>
      <c r="AI83" t="e">
        <f ca="1">data0!AB82/Calculations!AI$2/Cal!$G82</f>
        <v>#DIV/0!</v>
      </c>
      <c r="AJ83" t="e">
        <f ca="1">data0!AC82/Calculations!AJ$2/Cal!$G82</f>
        <v>#DIV/0!</v>
      </c>
      <c r="AK83" t="e">
        <f ca="1">data0!AD82/Calculations!AK$2/Cal!$G82</f>
        <v>#DIV/0!</v>
      </c>
      <c r="AL83" t="e">
        <f ca="1">data0!AE82/Calculations!AL$2/Cal!$G82</f>
        <v>#DIV/0!</v>
      </c>
      <c r="AM83" t="e">
        <f ca="1">data0!AF82/Calculations!AM$2/Cal!$G82</f>
        <v>#DIV/0!</v>
      </c>
      <c r="AN83" t="e">
        <f ca="1">data0!AG82/Calculations!AN$2/Cal!$G82</f>
        <v>#DIV/0!</v>
      </c>
    </row>
    <row r="84" spans="1:40">
      <c r="A84">
        <f>data0!A83</f>
        <v>705</v>
      </c>
      <c r="B84" t="e">
        <f t="shared" ca="1" si="5"/>
        <v>#DIV/0!</v>
      </c>
      <c r="C84" t="e">
        <f t="shared" ca="1" si="6"/>
        <v>#DIV/0!</v>
      </c>
      <c r="D84" t="e">
        <f t="shared" ca="1" si="7"/>
        <v>#DIV/0!</v>
      </c>
      <c r="F84" t="e">
        <f t="shared" ca="1" si="8"/>
        <v>#DIV/0!</v>
      </c>
      <c r="G84" t="e">
        <f t="shared" ca="1" si="9"/>
        <v>#DIV/0!</v>
      </c>
      <c r="I84">
        <f ca="1">data0!B83/Calculations!I$2/Cal!$G83</f>
        <v>5.6210974815288622E-3</v>
      </c>
      <c r="J84">
        <f ca="1">data0!C83/Calculations!J$2/Cal!$G83</f>
        <v>6.7558319179437847E-3</v>
      </c>
      <c r="K84">
        <f ca="1">data0!D83/Calculations!K$2/Cal!$G83</f>
        <v>7.6204629471812828E-3</v>
      </c>
      <c r="L84">
        <f ca="1">data0!E83/Calculations!L$2/Cal!$G83</f>
        <v>7.3990431551852805E-3</v>
      </c>
      <c r="M84">
        <f ca="1">data0!F83/Calculations!M$2/Cal!$G83</f>
        <v>4.633604410911445E-3</v>
      </c>
      <c r="N84">
        <f ca="1">data0!G83/Calculations!N$2/Cal!$G83</f>
        <v>6.8505765018956697E-3</v>
      </c>
      <c r="O84">
        <f ca="1">data0!H83/Calculations!O$2/Cal!$G83</f>
        <v>6.1967978666616639E-3</v>
      </c>
      <c r="P84">
        <f ca="1">data0!I83/Calculations!P$2/Cal!$G83</f>
        <v>5.9617477983976257E-3</v>
      </c>
      <c r="Q84">
        <f ca="1">data0!J83/Calculations!Q$2/Cal!$G83</f>
        <v>5.3224722377436346E-3</v>
      </c>
      <c r="R84">
        <f ca="1">data0!K83/Calculations!R$2/Cal!$G83</f>
        <v>5.9964271154431216E-3</v>
      </c>
      <c r="S84">
        <f ca="1">data0!L83/Calculations!S$2/Cal!$G83</f>
        <v>5.6992126042637054E-3</v>
      </c>
      <c r="T84">
        <f ca="1">data0!M83/Calculations!T$2/Cal!$G83</f>
        <v>5.1614534811055485E-3</v>
      </c>
      <c r="U84">
        <f ca="1">data0!N83/Calculations!U$2/Cal!$G83</f>
        <v>4.9435863525547508E-3</v>
      </c>
      <c r="V84">
        <f ca="1">data0!O83/Calculations!V$2/Cal!$G83</f>
        <v>5.0280891278816778E-3</v>
      </c>
      <c r="W84">
        <f ca="1">data0!P83/Calculations!W$2/Cal!$G83</f>
        <v>5.6647732223516403E-3</v>
      </c>
      <c r="X84">
        <f ca="1">data0!Q83/Calculations!X$2/Cal!$G83</f>
        <v>5.6215155949206654E-3</v>
      </c>
      <c r="Y84">
        <f ca="1">data0!R83/Calculations!Y$2/Cal!$G83</f>
        <v>4.4461501398352079E-3</v>
      </c>
      <c r="Z84">
        <f ca="1">data0!S83/Calculations!Z$2/Cal!$G83</f>
        <v>5.3867391601707167E-3</v>
      </c>
      <c r="AA84">
        <f ca="1">data0!T83/Calculations!AA$2/Cal!$G83</f>
        <v>5.6061646646270473E-3</v>
      </c>
      <c r="AB84">
        <f ca="1">data0!U83/Calculations!AB$2/Cal!$G83</f>
        <v>6.3358901469665286E-3</v>
      </c>
      <c r="AC84">
        <f ca="1">data0!V83/Calculations!AC$2/Cal!$G83</f>
        <v>5.7231168096278312E-3</v>
      </c>
      <c r="AD84">
        <f ca="1">data0!W83/Calculations!AD$2/Cal!$G83</f>
        <v>5.8238572425643332E-3</v>
      </c>
      <c r="AE84">
        <f ca="1">data0!X83/Calculations!AE$2/Cal!$G83</f>
        <v>7.293768703865537E-3</v>
      </c>
      <c r="AF84">
        <f ca="1">data0!Y83/Calculations!AF$2/Cal!$G83</f>
        <v>6.3972797352382293E-3</v>
      </c>
      <c r="AG84">
        <f ca="1">data0!Z83/Calculations!AG$2/Cal!$G83</f>
        <v>6.7018551062063671E-3</v>
      </c>
      <c r="AH84" t="e">
        <f ca="1">data0!AA83/Calculations!AH$2/Cal!$G83</f>
        <v>#DIV/0!</v>
      </c>
      <c r="AI84" t="e">
        <f ca="1">data0!AB83/Calculations!AI$2/Cal!$G83</f>
        <v>#DIV/0!</v>
      </c>
      <c r="AJ84" t="e">
        <f ca="1">data0!AC83/Calculations!AJ$2/Cal!$G83</f>
        <v>#DIV/0!</v>
      </c>
      <c r="AK84" t="e">
        <f ca="1">data0!AD83/Calculations!AK$2/Cal!$G83</f>
        <v>#DIV/0!</v>
      </c>
      <c r="AL84" t="e">
        <f ca="1">data0!AE83/Calculations!AL$2/Cal!$G83</f>
        <v>#DIV/0!</v>
      </c>
      <c r="AM84" t="e">
        <f ca="1">data0!AF83/Calculations!AM$2/Cal!$G83</f>
        <v>#DIV/0!</v>
      </c>
      <c r="AN84" t="e">
        <f ca="1">data0!AG83/Calculations!AN$2/Cal!$G83</f>
        <v>#DIV/0!</v>
      </c>
    </row>
    <row r="85" spans="1:40">
      <c r="A85">
        <f>data0!A84</f>
        <v>710</v>
      </c>
      <c r="B85" t="e">
        <f t="shared" ca="1" si="5"/>
        <v>#DIV/0!</v>
      </c>
      <c r="C85" t="e">
        <f t="shared" ca="1" si="6"/>
        <v>#DIV/0!</v>
      </c>
      <c r="D85" t="e">
        <f t="shared" ca="1" si="7"/>
        <v>#DIV/0!</v>
      </c>
      <c r="F85" t="e">
        <f t="shared" ca="1" si="8"/>
        <v>#DIV/0!</v>
      </c>
      <c r="G85" t="e">
        <f t="shared" ca="1" si="9"/>
        <v>#DIV/0!</v>
      </c>
      <c r="I85">
        <f ca="1">data0!B84/Calculations!I$2/Cal!$G84</f>
        <v>5.5874538842740863E-3</v>
      </c>
      <c r="J85">
        <f ca="1">data0!C84/Calculations!J$2/Cal!$G84</f>
        <v>6.7153966668357682E-3</v>
      </c>
      <c r="K85">
        <f ca="1">data0!D84/Calculations!K$2/Cal!$G84</f>
        <v>7.5748526749644454E-3</v>
      </c>
      <c r="L85">
        <f ca="1">data0!E84/Calculations!L$2/Cal!$G84</f>
        <v>7.3547581327671934E-3</v>
      </c>
      <c r="M85">
        <f ca="1">data0!F84/Calculations!M$2/Cal!$G84</f>
        <v>4.2244934141204967E-3</v>
      </c>
      <c r="N85">
        <f ca="1">data0!G84/Calculations!N$2/Cal!$G84</f>
        <v>6.6838035182478382E-3</v>
      </c>
      <c r="O85">
        <f ca="1">data0!H84/Calculations!O$2/Cal!$G84</f>
        <v>5.9900191769177158E-3</v>
      </c>
      <c r="P85">
        <f ca="1">data0!I84/Calculations!P$2/Cal!$G84</f>
        <v>5.9260653284666318E-3</v>
      </c>
      <c r="Q85">
        <f ca="1">data0!J84/Calculations!Q$2/Cal!$G84</f>
        <v>5.1199510202525941E-3</v>
      </c>
      <c r="R85">
        <f ca="1">data0!K84/Calculations!R$2/Cal!$G84</f>
        <v>5.206906374595182E-3</v>
      </c>
      <c r="S85">
        <f ca="1">data0!L84/Calculations!S$2/Cal!$G84</f>
        <v>5.6310771696695874E-3</v>
      </c>
      <c r="T85">
        <f ca="1">data0!M84/Calculations!T$2/Cal!$G84</f>
        <v>5.5923114697920837E-3</v>
      </c>
      <c r="U85">
        <f ca="1">data0!N84/Calculations!U$2/Cal!$G84</f>
        <v>5.4581082937535672E-3</v>
      </c>
      <c r="V85">
        <f ca="1">data0!O84/Calculations!V$2/Cal!$G84</f>
        <v>5.4977945237699851E-3</v>
      </c>
      <c r="W85">
        <f ca="1">data0!P84/Calculations!W$2/Cal!$G84</f>
        <v>5.6134888920262097E-3</v>
      </c>
      <c r="X85">
        <f ca="1">data0!Q84/Calculations!X$2/Cal!$G84</f>
        <v>4.5913065914166638E-3</v>
      </c>
      <c r="Y85">
        <f ca="1">data0!R84/Calculations!Y$2/Cal!$G84</f>
        <v>4.3633585590209063E-3</v>
      </c>
      <c r="Z85">
        <f ca="1">data0!S84/Calculations!Z$2/Cal!$G84</f>
        <v>5.373155148849406E-3</v>
      </c>
      <c r="AA85">
        <f ca="1">data0!T84/Calculations!AA$2/Cal!$G84</f>
        <v>5.2734099105171952E-3</v>
      </c>
      <c r="AB85">
        <f ca="1">data0!U84/Calculations!AB$2/Cal!$G84</f>
        <v>6.2396534875180957E-3</v>
      </c>
      <c r="AC85">
        <f ca="1">data0!V84/Calculations!AC$2/Cal!$G84</f>
        <v>5.5245630181903335E-3</v>
      </c>
      <c r="AD85">
        <f ca="1">data0!W84/Calculations!AD$2/Cal!$G84</f>
        <v>5.507139036172168E-3</v>
      </c>
      <c r="AE85">
        <f ca="1">data0!X84/Calculations!AE$2/Cal!$G84</f>
        <v>7.153013979452786E-3</v>
      </c>
      <c r="AF85">
        <f ca="1">data0!Y84/Calculations!AF$2/Cal!$G84</f>
        <v>6.0699455064644539E-3</v>
      </c>
      <c r="AG85">
        <f ca="1">data0!Z84/Calculations!AG$2/Cal!$G84</f>
        <v>5.9215489803636405E-3</v>
      </c>
      <c r="AH85" t="e">
        <f ca="1">data0!AA84/Calculations!AH$2/Cal!$G84</f>
        <v>#DIV/0!</v>
      </c>
      <c r="AI85" t="e">
        <f ca="1">data0!AB84/Calculations!AI$2/Cal!$G84</f>
        <v>#DIV/0!</v>
      </c>
      <c r="AJ85" t="e">
        <f ca="1">data0!AC84/Calculations!AJ$2/Cal!$G84</f>
        <v>#DIV/0!</v>
      </c>
      <c r="AK85" t="e">
        <f ca="1">data0!AD84/Calculations!AK$2/Cal!$G84</f>
        <v>#DIV/0!</v>
      </c>
      <c r="AL85" t="e">
        <f ca="1">data0!AE84/Calculations!AL$2/Cal!$G84</f>
        <v>#DIV/0!</v>
      </c>
      <c r="AM85" t="e">
        <f ca="1">data0!AF84/Calculations!AM$2/Cal!$G84</f>
        <v>#DIV/0!</v>
      </c>
      <c r="AN85" t="e">
        <f ca="1">data0!AG84/Calculations!AN$2/Cal!$G84</f>
        <v>#DIV/0!</v>
      </c>
    </row>
    <row r="86" spans="1:40">
      <c r="A86">
        <f>data0!A85</f>
        <v>715</v>
      </c>
      <c r="B86" t="e">
        <f t="shared" ca="1" si="5"/>
        <v>#DIV/0!</v>
      </c>
      <c r="C86" t="e">
        <f t="shared" ca="1" si="6"/>
        <v>#DIV/0!</v>
      </c>
      <c r="D86" t="e">
        <f t="shared" ca="1" si="7"/>
        <v>#DIV/0!</v>
      </c>
      <c r="F86" t="e">
        <f t="shared" ca="1" si="8"/>
        <v>#DIV/0!</v>
      </c>
      <c r="G86" t="e">
        <f t="shared" ca="1" si="9"/>
        <v>#DIV/0!</v>
      </c>
      <c r="I86">
        <f ca="1">data0!B85/Calculations!I$2/Cal!$G85</f>
        <v>5.5859301112375194E-3</v>
      </c>
      <c r="J86">
        <f ca="1">data0!C85/Calculations!J$2/Cal!$G85</f>
        <v>6.7135652887908284E-3</v>
      </c>
      <c r="K86">
        <f ca="1">data0!D85/Calculations!K$2/Cal!$G85</f>
        <v>7.8432435683892226E-3</v>
      </c>
      <c r="L86">
        <f ca="1">data0!E85/Calculations!L$2/Cal!$G85</f>
        <v>7.4072175399902676E-3</v>
      </c>
      <c r="M86">
        <f ca="1">data0!F85/Calculations!M$2/Cal!$G85</f>
        <v>3.9593823617126815E-3</v>
      </c>
      <c r="N86">
        <f ca="1">data0!G85/Calculations!N$2/Cal!$G85</f>
        <v>6.25088496998648E-3</v>
      </c>
      <c r="O86">
        <f ca="1">data0!H85/Calculations!O$2/Cal!$G85</f>
        <v>6.107135639090564E-3</v>
      </c>
      <c r="P86">
        <f ca="1">data0!I85/Calculations!P$2/Cal!$G85</f>
        <v>5.6528412354427795E-3</v>
      </c>
      <c r="Q86">
        <f ca="1">data0!J85/Calculations!Q$2/Cal!$G85</f>
        <v>5.2891731617775639E-3</v>
      </c>
      <c r="R86">
        <f ca="1">data0!K85/Calculations!R$2/Cal!$G85</f>
        <v>4.7260336043873285E-3</v>
      </c>
      <c r="S86">
        <f ca="1">data0!L85/Calculations!S$2/Cal!$G85</f>
        <v>4.9152186202770622E-3</v>
      </c>
      <c r="T86">
        <f ca="1">data0!M85/Calculations!T$2/Cal!$G85</f>
        <v>5.3001337780295274E-3</v>
      </c>
      <c r="U86">
        <f ca="1">data0!N85/Calculations!U$2/Cal!$G85</f>
        <v>5.4226224964070919E-3</v>
      </c>
      <c r="V86">
        <f ca="1">data0!O85/Calculations!V$2/Cal!$G85</f>
        <v>5.1861592454261933E-3</v>
      </c>
      <c r="W86">
        <f ca="1">data0!P85/Calculations!W$2/Cal!$G85</f>
        <v>4.7432337110727245E-3</v>
      </c>
      <c r="X86">
        <f ca="1">data0!Q85/Calculations!X$2/Cal!$G85</f>
        <v>4.1274909416197103E-3</v>
      </c>
      <c r="Y86">
        <f ca="1">data0!R85/Calculations!Y$2/Cal!$G85</f>
        <v>4.6429947830742843E-3</v>
      </c>
      <c r="Z86">
        <f ca="1">data0!S85/Calculations!Z$2/Cal!$G85</f>
        <v>5.0546108302023636E-3</v>
      </c>
      <c r="AA86">
        <f ca="1">data0!T85/Calculations!AA$2/Cal!$G85</f>
        <v>5.328056326668211E-3</v>
      </c>
      <c r="AB86">
        <f ca="1">data0!U85/Calculations!AB$2/Cal!$G85</f>
        <v>5.6549659349858124E-3</v>
      </c>
      <c r="AC86">
        <f ca="1">data0!V85/Calculations!AC$2/Cal!$G85</f>
        <v>5.440929328209442E-3</v>
      </c>
      <c r="AD86">
        <f ca="1">data0!W85/Calculations!AD$2/Cal!$G85</f>
        <v>5.6573671855437799E-3</v>
      </c>
      <c r="AE86">
        <f ca="1">data0!X85/Calculations!AE$2/Cal!$G85</f>
        <v>6.7951279409209763E-3</v>
      </c>
      <c r="AF86">
        <f ca="1">data0!Y85/Calculations!AF$2/Cal!$G85</f>
        <v>6.06829015154113E-3</v>
      </c>
      <c r="AG86">
        <f ca="1">data0!Z85/Calculations!AG$2/Cal!$G85</f>
        <v>5.9199340951479641E-3</v>
      </c>
      <c r="AH86" t="e">
        <f ca="1">data0!AA85/Calculations!AH$2/Cal!$G85</f>
        <v>#DIV/0!</v>
      </c>
      <c r="AI86" t="e">
        <f ca="1">data0!AB85/Calculations!AI$2/Cal!$G85</f>
        <v>#DIV/0!</v>
      </c>
      <c r="AJ86" t="e">
        <f ca="1">data0!AC85/Calculations!AJ$2/Cal!$G85</f>
        <v>#DIV/0!</v>
      </c>
      <c r="AK86" t="e">
        <f ca="1">data0!AD85/Calculations!AK$2/Cal!$G85</f>
        <v>#DIV/0!</v>
      </c>
      <c r="AL86" t="e">
        <f ca="1">data0!AE85/Calculations!AL$2/Cal!$G85</f>
        <v>#DIV/0!</v>
      </c>
      <c r="AM86" t="e">
        <f ca="1">data0!AF85/Calculations!AM$2/Cal!$G85</f>
        <v>#DIV/0!</v>
      </c>
      <c r="AN86" t="e">
        <f ca="1">data0!AG85/Calculations!AN$2/Cal!$G85</f>
        <v>#DIV/0!</v>
      </c>
    </row>
    <row r="87" spans="1:40">
      <c r="A87">
        <f>data0!A86</f>
        <v>720</v>
      </c>
      <c r="B87" t="e">
        <f t="shared" ca="1" si="5"/>
        <v>#DIV/0!</v>
      </c>
      <c r="C87" t="e">
        <f t="shared" ca="1" si="6"/>
        <v>#DIV/0!</v>
      </c>
      <c r="D87" t="e">
        <f t="shared" ca="1" si="7"/>
        <v>#DIV/0!</v>
      </c>
      <c r="F87" t="e">
        <f t="shared" ca="1" si="8"/>
        <v>#DIV/0!</v>
      </c>
      <c r="G87" t="e">
        <f t="shared" ca="1" si="9"/>
        <v>#DIV/0!</v>
      </c>
      <c r="I87">
        <f ca="1">data0!B86/Calculations!I$2/Cal!$G86</f>
        <v>5.6096873085234485E-3</v>
      </c>
      <c r="J87">
        <f ca="1">data0!C86/Calculations!J$2/Cal!$G86</f>
        <v>6.7421183662339026E-3</v>
      </c>
      <c r="K87">
        <f ca="1">data0!D86/Calculations!K$2/Cal!$G86</f>
        <v>7.6049942952152909E-3</v>
      </c>
      <c r="L87">
        <f ca="1">data0!E86/Calculations!L$2/Cal!$G86</f>
        <v>7.6575062018934843E-3</v>
      </c>
      <c r="M87">
        <f ca="1">data0!F86/Calculations!M$2/Cal!$G86</f>
        <v>3.7111401770116071E-3</v>
      </c>
      <c r="N87">
        <f ca="1">data0!G86/Calculations!N$2/Cal!$G86</f>
        <v>5.7904251186680781E-3</v>
      </c>
      <c r="O87">
        <f ca="1">data0!H86/Calculations!O$2/Cal!$G86</f>
        <v>6.2864376434687034E-3</v>
      </c>
      <c r="P87">
        <f ca="1">data0!I86/Calculations!P$2/Cal!$G86</f>
        <v>5.3870720763229372E-3</v>
      </c>
      <c r="Q87">
        <f ca="1">data0!J86/Calculations!Q$2/Cal!$G86</f>
        <v>5.3973408083490123E-3</v>
      </c>
      <c r="R87">
        <f ca="1">data0!K86/Calculations!R$2/Cal!$G86</f>
        <v>4.797721794965553E-3</v>
      </c>
      <c r="S87">
        <f ca="1">data0!L86/Calculations!S$2/Cal!$G86</f>
        <v>4.4066430150200963E-3</v>
      </c>
      <c r="T87">
        <f ca="1">data0!M86/Calculations!T$2/Cal!$G86</f>
        <v>4.5500293434858228E-3</v>
      </c>
      <c r="U87">
        <f ca="1">data0!N86/Calculations!U$2/Cal!$G86</f>
        <v>4.6774848692371597E-3</v>
      </c>
      <c r="V87">
        <f ca="1">data0!O86/Calculations!V$2/Cal!$G86</f>
        <v>4.3949732774072317E-3</v>
      </c>
      <c r="W87">
        <f ca="1">data0!P86/Calculations!W$2/Cal!$G86</f>
        <v>4.2399557945105764E-3</v>
      </c>
      <c r="X87">
        <f ca="1">data0!Q86/Calculations!X$2/Cal!$G86</f>
        <v>4.3415776789525445E-3</v>
      </c>
      <c r="Y87">
        <f ca="1">data0!R86/Calculations!Y$2/Cal!$G86</f>
        <v>4.775549968201293E-3</v>
      </c>
      <c r="Z87">
        <f ca="1">data0!S86/Calculations!Z$2/Cal!$G86</f>
        <v>4.7202184961538766E-3</v>
      </c>
      <c r="AA87">
        <f ca="1">data0!T86/Calculations!AA$2/Cal!$G86</f>
        <v>5.6698824325688768E-3</v>
      </c>
      <c r="AB87">
        <f ca="1">data0!U86/Calculations!AB$2/Cal!$G86</f>
        <v>5.1130666945292079E-3</v>
      </c>
      <c r="AC87">
        <f ca="1">data0!V86/Calculations!AC$2/Cal!$G86</f>
        <v>5.1135445042078086E-3</v>
      </c>
      <c r="AD87">
        <f ca="1">data0!W86/Calculations!AD$2/Cal!$G86</f>
        <v>6.0297153162134718E-3</v>
      </c>
      <c r="AE87">
        <f ca="1">data0!X86/Calculations!AE$2/Cal!$G86</f>
        <v>6.4340837314672454E-3</v>
      </c>
      <c r="AF87">
        <f ca="1">data0!Y86/Calculations!AF$2/Cal!$G86</f>
        <v>5.8039036903193373E-3</v>
      </c>
      <c r="AG87">
        <f ca="1">data0!Z86/Calculations!AG$2/Cal!$G86</f>
        <v>5.9451118255200632E-3</v>
      </c>
      <c r="AH87" t="e">
        <f ca="1">data0!AA86/Calculations!AH$2/Cal!$G86</f>
        <v>#DIV/0!</v>
      </c>
      <c r="AI87" t="e">
        <f ca="1">data0!AB86/Calculations!AI$2/Cal!$G86</f>
        <v>#DIV/0!</v>
      </c>
      <c r="AJ87" t="e">
        <f ca="1">data0!AC86/Calculations!AJ$2/Cal!$G86</f>
        <v>#DIV/0!</v>
      </c>
      <c r="AK87" t="e">
        <f ca="1">data0!AD86/Calculations!AK$2/Cal!$G86</f>
        <v>#DIV/0!</v>
      </c>
      <c r="AL87" t="e">
        <f ca="1">data0!AE86/Calculations!AL$2/Cal!$G86</f>
        <v>#DIV/0!</v>
      </c>
      <c r="AM87" t="e">
        <f ca="1">data0!AF86/Calculations!AM$2/Cal!$G86</f>
        <v>#DIV/0!</v>
      </c>
      <c r="AN87" t="e">
        <f ca="1">data0!AG86/Calculations!AN$2/Cal!$G86</f>
        <v>#DIV/0!</v>
      </c>
    </row>
    <row r="88" spans="1:40">
      <c r="A88">
        <f>data0!A87</f>
        <v>725</v>
      </c>
      <c r="B88" t="e">
        <f t="shared" ca="1" si="5"/>
        <v>#DIV/0!</v>
      </c>
      <c r="C88" t="e">
        <f t="shared" ca="1" si="6"/>
        <v>#DIV/0!</v>
      </c>
      <c r="D88" t="e">
        <f t="shared" ca="1" si="7"/>
        <v>#DIV/0!</v>
      </c>
      <c r="F88" t="e">
        <f t="shared" ca="1" si="8"/>
        <v>#DIV/0!</v>
      </c>
      <c r="G88" t="e">
        <f t="shared" ca="1" si="9"/>
        <v>#DIV/0!</v>
      </c>
      <c r="I88">
        <f ca="1">data0!B87/Calculations!I$2/Cal!$G87</f>
        <v>5.6545058541171787E-3</v>
      </c>
      <c r="J88">
        <f ca="1">data0!C87/Calculations!J$2/Cal!$G87</f>
        <v>6.2296524672266059E-3</v>
      </c>
      <c r="K88">
        <f ca="1">data0!D87/Calculations!K$2/Cal!$G87</f>
        <v>7.3919774065974702E-3</v>
      </c>
      <c r="L88">
        <f ca="1">data0!E87/Calculations!L$2/Cal!$G87</f>
        <v>7.8565193909474317E-3</v>
      </c>
      <c r="M88">
        <f ca="1">data0!F87/Calculations!M$2/Cal!$G87</f>
        <v>3.4735910568931905E-3</v>
      </c>
      <c r="N88">
        <f ca="1">data0!G87/Calculations!N$2/Cal!$G87</f>
        <v>5.5457624306706451E-3</v>
      </c>
      <c r="O88">
        <f ca="1">data0!H87/Calculations!O$2/Cal!$G87</f>
        <v>6.2336278509599633E-3</v>
      </c>
      <c r="P88">
        <f ca="1">data0!I87/Calculations!P$2/Cal!$G87</f>
        <v>5.4129285773179764E-3</v>
      </c>
      <c r="Q88">
        <f ca="1">data0!J87/Calculations!Q$2/Cal!$G87</f>
        <v>5.2677492543787155E-3</v>
      </c>
      <c r="R88">
        <f ca="1">data0!K87/Calculations!R$2/Cal!$G87</f>
        <v>5.0440555635995043E-3</v>
      </c>
      <c r="S88">
        <f ca="1">data0!L87/Calculations!S$2/Cal!$G87</f>
        <v>4.4418498492020814E-3</v>
      </c>
      <c r="T88">
        <f ca="1">data0!M87/Calculations!T$2/Cal!$G87</f>
        <v>4.2402396345780384E-3</v>
      </c>
      <c r="U88">
        <f ca="1">data0!N87/Calculations!U$2/Cal!$G87</f>
        <v>4.2330456864552628E-3</v>
      </c>
      <c r="V88">
        <f ca="1">data0!O87/Calculations!V$2/Cal!$G87</f>
        <v>4.1335849194013008E-3</v>
      </c>
      <c r="W88">
        <f ca="1">data0!P87/Calculations!W$2/Cal!$G87</f>
        <v>4.3617697490126008E-3</v>
      </c>
      <c r="X88">
        <f ca="1">data0!Q87/Calculations!X$2/Cal!$G87</f>
        <v>4.664413767738641E-3</v>
      </c>
      <c r="Y88">
        <f ca="1">data0!R87/Calculations!Y$2/Cal!$G87</f>
        <v>4.6052366562349661E-3</v>
      </c>
      <c r="Z88">
        <f ca="1">data0!S87/Calculations!Z$2/Cal!$G87</f>
        <v>4.6068852263600702E-3</v>
      </c>
      <c r="AA88">
        <f ca="1">data0!T87/Calculations!AA$2/Cal!$G87</f>
        <v>5.696257353523285E-3</v>
      </c>
      <c r="AB88">
        <f ca="1">data0!U87/Calculations!AB$2/Cal!$G87</f>
        <v>5.0162172267375479E-3</v>
      </c>
      <c r="AC88">
        <f ca="1">data0!V87/Calculations!AC$2/Cal!$G87</f>
        <v>4.801073275671433E-3</v>
      </c>
      <c r="AD88">
        <f ca="1">data0!W87/Calculations!AD$2/Cal!$G87</f>
        <v>6.2095400978190171E-3</v>
      </c>
      <c r="AE88">
        <f ca="1">data0!X87/Calculations!AE$2/Cal!$G87</f>
        <v>6.2562035305437445E-3</v>
      </c>
      <c r="AF88">
        <f ca="1">data0!Y87/Calculations!AF$2/Cal!$G87</f>
        <v>5.8502739259242639E-3</v>
      </c>
      <c r="AG88">
        <f ca="1">data0!Z87/Calculations!AG$2/Cal!$G87</f>
        <v>5.9926102422334232E-3</v>
      </c>
      <c r="AH88" t="e">
        <f ca="1">data0!AA87/Calculations!AH$2/Cal!$G87</f>
        <v>#DIV/0!</v>
      </c>
      <c r="AI88" t="e">
        <f ca="1">data0!AB87/Calculations!AI$2/Cal!$G87</f>
        <v>#DIV/0!</v>
      </c>
      <c r="AJ88" t="e">
        <f ca="1">data0!AC87/Calculations!AJ$2/Cal!$G87</f>
        <v>#DIV/0!</v>
      </c>
      <c r="AK88" t="e">
        <f ca="1">data0!AD87/Calculations!AK$2/Cal!$G87</f>
        <v>#DIV/0!</v>
      </c>
      <c r="AL88" t="e">
        <f ca="1">data0!AE87/Calculations!AL$2/Cal!$G87</f>
        <v>#DIV/0!</v>
      </c>
      <c r="AM88" t="e">
        <f ca="1">data0!AF87/Calculations!AM$2/Cal!$G87</f>
        <v>#DIV/0!</v>
      </c>
      <c r="AN88" t="e">
        <f ca="1">data0!AG87/Calculations!AN$2/Cal!$G87</f>
        <v>#DIV/0!</v>
      </c>
    </row>
    <row r="89" spans="1:40">
      <c r="A89">
        <f>data0!A88</f>
        <v>730</v>
      </c>
      <c r="B89" t="e">
        <f t="shared" ca="1" si="5"/>
        <v>#DIV/0!</v>
      </c>
      <c r="C89" t="e">
        <f t="shared" ca="1" si="6"/>
        <v>#DIV/0!</v>
      </c>
      <c r="D89" t="e">
        <f t="shared" ca="1" si="7"/>
        <v>#DIV/0!</v>
      </c>
      <c r="F89" t="e">
        <f t="shared" ca="1" si="8"/>
        <v>#DIV/0!</v>
      </c>
      <c r="G89" t="e">
        <f t="shared" ca="1" si="9"/>
        <v>#DIV/0!</v>
      </c>
      <c r="I89">
        <f ca="1">data0!B88/Calculations!I$2/Cal!$G88</f>
        <v>5.7166096448432006E-3</v>
      </c>
      <c r="J89">
        <f ca="1">data0!C88/Calculations!J$2/Cal!$G88</f>
        <v>6.2980731291026187E-3</v>
      </c>
      <c r="K89">
        <f ca="1">data0!D88/Calculations!K$2/Cal!$G88</f>
        <v>7.1963801256311483E-3</v>
      </c>
      <c r="L89">
        <f ca="1">data0!E88/Calculations!L$2/Cal!$G88</f>
        <v>7.9149383699944741E-3</v>
      </c>
      <c r="M89">
        <f ca="1">data0!F88/Calculations!M$2/Cal!$G88</f>
        <v>3.3316525313178422E-3</v>
      </c>
      <c r="N89">
        <f ca="1">data0!G88/Calculations!N$2/Cal!$G88</f>
        <v>5.4044640150820375E-3</v>
      </c>
      <c r="O89">
        <f ca="1">data0!H88/Calculations!O$2/Cal!$G88</f>
        <v>5.8507022192424108E-3</v>
      </c>
      <c r="P89">
        <f ca="1">data0!I88/Calculations!P$2/Cal!$G88</f>
        <v>5.6634775337952902E-3</v>
      </c>
      <c r="Q89">
        <f ca="1">data0!J88/Calculations!Q$2/Cal!$G88</f>
        <v>4.9938465012474504E-3</v>
      </c>
      <c r="R89">
        <f ca="1">data0!K88/Calculations!R$2/Cal!$G88</f>
        <v>5.0994547406830546E-3</v>
      </c>
      <c r="S89">
        <f ca="1">data0!L88/Calculations!S$2/Cal!$G88</f>
        <v>4.6820961692372893E-3</v>
      </c>
      <c r="T89">
        <f ca="1">data0!M88/Calculations!T$2/Cal!$G88</f>
        <v>4.3917936267062604E-3</v>
      </c>
      <c r="U89">
        <f ca="1">data0!N88/Calculations!U$2/Cal!$G88</f>
        <v>4.314330408473426E-3</v>
      </c>
      <c r="V89">
        <f ca="1">data0!O88/Calculations!V$2/Cal!$G88</f>
        <v>4.3024141473931689E-3</v>
      </c>
      <c r="W89">
        <f ca="1">data0!P88/Calculations!W$2/Cal!$G88</f>
        <v>4.6408276254168252E-3</v>
      </c>
      <c r="X89">
        <f ca="1">data0!Q88/Calculations!X$2/Cal!$G88</f>
        <v>4.6974360928143197E-3</v>
      </c>
      <c r="Y89">
        <f ca="1">data0!R88/Calculations!Y$2/Cal!$G88</f>
        <v>4.2534618329595026E-3</v>
      </c>
      <c r="Z89">
        <f ca="1">data0!S88/Calculations!Z$2/Cal!$G88</f>
        <v>4.8101872879583027E-3</v>
      </c>
      <c r="AA89">
        <f ca="1">data0!T88/Calculations!AA$2/Cal!$G88</f>
        <v>5.1657188099881847E-3</v>
      </c>
      <c r="AB89">
        <f ca="1">data0!U88/Calculations!AB$2/Cal!$G88</f>
        <v>5.0116481388028282E-3</v>
      </c>
      <c r="AC89">
        <f ca="1">data0!V88/Calculations!AC$2/Cal!$G88</f>
        <v>4.7907673122476128E-3</v>
      </c>
      <c r="AD89">
        <f ca="1">data0!W88/Calculations!AD$2/Cal!$G88</f>
        <v>6.0559116886918811E-3</v>
      </c>
      <c r="AE89">
        <f ca="1">data0!X88/Calculations!AE$2/Cal!$G88</f>
        <v>6.1924571000962041E-3</v>
      </c>
      <c r="AF89">
        <f ca="1">data0!Y88/Calculations!AF$2/Cal!$G88</f>
        <v>5.9145278496019549E-3</v>
      </c>
      <c r="AG89">
        <f ca="1">data0!Z88/Calculations!AG$2/Cal!$G88</f>
        <v>6.058427454557167E-3</v>
      </c>
      <c r="AH89" t="e">
        <f ca="1">data0!AA88/Calculations!AH$2/Cal!$G88</f>
        <v>#DIV/0!</v>
      </c>
      <c r="AI89" t="e">
        <f ca="1">data0!AB88/Calculations!AI$2/Cal!$G88</f>
        <v>#DIV/0!</v>
      </c>
      <c r="AJ89" t="e">
        <f ca="1">data0!AC88/Calculations!AJ$2/Cal!$G88</f>
        <v>#DIV/0!</v>
      </c>
      <c r="AK89" t="e">
        <f ca="1">data0!AD88/Calculations!AK$2/Cal!$G88</f>
        <v>#DIV/0!</v>
      </c>
      <c r="AL89" t="e">
        <f ca="1">data0!AE88/Calculations!AL$2/Cal!$G88</f>
        <v>#DIV/0!</v>
      </c>
      <c r="AM89" t="e">
        <f ca="1">data0!AF88/Calculations!AM$2/Cal!$G88</f>
        <v>#DIV/0!</v>
      </c>
      <c r="AN89" t="e">
        <f ca="1">data0!AG88/Calculations!AN$2/Cal!$G88</f>
        <v>#DIV/0!</v>
      </c>
    </row>
    <row r="90" spans="1:40">
      <c r="A90">
        <f>data0!A89</f>
        <v>735</v>
      </c>
      <c r="B90" t="e">
        <f t="shared" ca="1" si="5"/>
        <v>#DIV/0!</v>
      </c>
      <c r="C90" t="e">
        <f t="shared" ca="1" si="6"/>
        <v>#DIV/0!</v>
      </c>
      <c r="D90" t="e">
        <f t="shared" ca="1" si="7"/>
        <v>#DIV/0!</v>
      </c>
      <c r="F90" t="e">
        <f t="shared" ca="1" si="8"/>
        <v>#DIV/0!</v>
      </c>
      <c r="G90" t="e">
        <f t="shared" ca="1" si="9"/>
        <v>#DIV/0!</v>
      </c>
      <c r="I90">
        <f ca="1">data0!B89/Calculations!I$2/Cal!$G89</f>
        <v>4.8216261948358999E-3</v>
      </c>
      <c r="J90">
        <f ca="1">data0!C89/Calculations!J$2/Cal!$G89</f>
        <v>6.3744678966212165E-3</v>
      </c>
      <c r="K90">
        <f ca="1">data0!D89/Calculations!K$2/Cal!$G89</f>
        <v>7.0035300541353386E-3</v>
      </c>
      <c r="L90">
        <f ca="1">data0!E89/Calculations!L$2/Cal!$G89</f>
        <v>7.7852855026623634E-3</v>
      </c>
      <c r="M90">
        <f ca="1">data0!F89/Calculations!M$2/Cal!$G89</f>
        <v>3.311306980215231E-3</v>
      </c>
      <c r="N90">
        <f ca="1">data0!G89/Calculations!N$2/Cal!$G89</f>
        <v>5.1909369149254585E-3</v>
      </c>
      <c r="O90">
        <f ca="1">data0!H89/Calculations!O$2/Cal!$G89</f>
        <v>5.4120908076111512E-3</v>
      </c>
      <c r="P90">
        <f ca="1">data0!I89/Calculations!P$2/Cal!$G89</f>
        <v>5.8025085869505893E-3</v>
      </c>
      <c r="Q90">
        <f ca="1">data0!J89/Calculations!Q$2/Cal!$G89</f>
        <v>4.8246745347194017E-3</v>
      </c>
      <c r="R90">
        <f ca="1">data0!K89/Calculations!R$2/Cal!$G89</f>
        <v>4.8597904917012042E-3</v>
      </c>
      <c r="S90">
        <f ca="1">data0!L89/Calculations!S$2/Cal!$G89</f>
        <v>4.7565061481362851E-3</v>
      </c>
      <c r="T90">
        <f ca="1">data0!M89/Calculations!T$2/Cal!$G89</f>
        <v>4.5867408680163044E-3</v>
      </c>
      <c r="U90">
        <f ca="1">data0!N89/Calculations!U$2/Cal!$G89</f>
        <v>4.5075227240559956E-3</v>
      </c>
      <c r="V90">
        <f ca="1">data0!O89/Calculations!V$2/Cal!$G89</f>
        <v>4.4795291161435205E-3</v>
      </c>
      <c r="W90">
        <f ca="1">data0!P89/Calculations!W$2/Cal!$G89</f>
        <v>4.6791234974314713E-3</v>
      </c>
      <c r="X90">
        <f ca="1">data0!Q89/Calculations!X$2/Cal!$G89</f>
        <v>4.3674281090333722E-3</v>
      </c>
      <c r="Y90">
        <f ca="1">data0!R89/Calculations!Y$2/Cal!$G89</f>
        <v>3.9366050221672595E-3</v>
      </c>
      <c r="Z90">
        <f ca="1">data0!S89/Calculations!Z$2/Cal!$G89</f>
        <v>5.0230908398686347E-3</v>
      </c>
      <c r="AA90">
        <f ca="1">data0!T89/Calculations!AA$2/Cal!$G89</f>
        <v>4.6474473211943193E-3</v>
      </c>
      <c r="AB90">
        <f ca="1">data0!U89/Calculations!AB$2/Cal!$G89</f>
        <v>4.6698644127396325E-3</v>
      </c>
      <c r="AC90">
        <f ca="1">data0!V89/Calculations!AC$2/Cal!$G89</f>
        <v>5.0615490247220068E-3</v>
      </c>
      <c r="AD90">
        <f ca="1">data0!W89/Calculations!AD$2/Cal!$G89</f>
        <v>5.7701390076782934E-3</v>
      </c>
      <c r="AE90">
        <f ca="1">data0!X89/Calculations!AE$2/Cal!$G89</f>
        <v>6.2340541452351869E-3</v>
      </c>
      <c r="AF90">
        <f ca="1">data0!Y89/Calculations!AF$2/Cal!$G89</f>
        <v>5.6869567811864774E-3</v>
      </c>
      <c r="AG90">
        <f ca="1">data0!Z89/Calculations!AG$2/Cal!$G89</f>
        <v>6.1319153527494719E-3</v>
      </c>
      <c r="AH90" t="e">
        <f ca="1">data0!AA89/Calculations!AH$2/Cal!$G89</f>
        <v>#DIV/0!</v>
      </c>
      <c r="AI90" t="e">
        <f ca="1">data0!AB89/Calculations!AI$2/Cal!$G89</f>
        <v>#DIV/0!</v>
      </c>
      <c r="AJ90" t="e">
        <f ca="1">data0!AC89/Calculations!AJ$2/Cal!$G89</f>
        <v>#DIV/0!</v>
      </c>
      <c r="AK90" t="e">
        <f ca="1">data0!AD89/Calculations!AK$2/Cal!$G89</f>
        <v>#DIV/0!</v>
      </c>
      <c r="AL90" t="e">
        <f ca="1">data0!AE89/Calculations!AL$2/Cal!$G89</f>
        <v>#DIV/0!</v>
      </c>
      <c r="AM90" t="e">
        <f ca="1">data0!AF89/Calculations!AM$2/Cal!$G89</f>
        <v>#DIV/0!</v>
      </c>
      <c r="AN90" t="e">
        <f ca="1">data0!AG89/Calculations!AN$2/Cal!$G89</f>
        <v>#DIV/0!</v>
      </c>
    </row>
    <row r="91" spans="1:40">
      <c r="A91">
        <f>data0!A90</f>
        <v>740</v>
      </c>
      <c r="B91" t="e">
        <f t="shared" ca="1" si="5"/>
        <v>#DIV/0!</v>
      </c>
      <c r="C91" t="e">
        <f t="shared" ca="1" si="6"/>
        <v>#DIV/0!</v>
      </c>
      <c r="D91" t="e">
        <f t="shared" ca="1" si="7"/>
        <v>#DIV/0!</v>
      </c>
      <c r="F91" t="e">
        <f t="shared" ca="1" si="8"/>
        <v>#DIV/0!</v>
      </c>
      <c r="G91" t="e">
        <f t="shared" ca="1" si="9"/>
        <v>#DIV/0!</v>
      </c>
      <c r="I91">
        <f ca="1">data0!B90/Calculations!I$2/Cal!$G90</f>
        <v>4.8855140632243031E-3</v>
      </c>
      <c r="J91">
        <f ca="1">data0!C90/Calculations!J$2/Cal!$G90</f>
        <v>6.4589313430952738E-3</v>
      </c>
      <c r="K91">
        <f ca="1">data0!D90/Calculations!K$2/Cal!$G90</f>
        <v>7.3801818742758492E-3</v>
      </c>
      <c r="L91">
        <f ca="1">data0!E90/Calculations!L$2/Cal!$G90</f>
        <v>7.6597917298255455E-3</v>
      </c>
      <c r="M91">
        <f ca="1">data0!F90/Calculations!M$2/Cal!$G90</f>
        <v>3.2012753099646104E-3</v>
      </c>
      <c r="N91">
        <f ca="1">data0!G90/Calculations!N$2/Cal!$G90</f>
        <v>4.9203816756665311E-3</v>
      </c>
      <c r="O91">
        <f ca="1">data0!H90/Calculations!O$2/Cal!$G90</f>
        <v>5.1633203457826507E-3</v>
      </c>
      <c r="P91">
        <f ca="1">data0!I90/Calculations!P$2/Cal!$G90</f>
        <v>5.5230661541956824E-3</v>
      </c>
      <c r="Q91">
        <f ca="1">data0!J90/Calculations!Q$2/Cal!$G90</f>
        <v>4.8886027944466202E-3</v>
      </c>
      <c r="R91">
        <f ca="1">data0!K90/Calculations!R$2/Cal!$G90</f>
        <v>4.4569257973728574E-3</v>
      </c>
      <c r="S91">
        <f ca="1">data0!L90/Calculations!S$2/Cal!$G90</f>
        <v>4.4803789551289084E-3</v>
      </c>
      <c r="T91">
        <f ca="1">data0!M90/Calculations!T$2/Cal!$G90</f>
        <v>4.5219077223156391E-3</v>
      </c>
      <c r="U91">
        <f ca="1">data0!N90/Calculations!U$2/Cal!$G90</f>
        <v>4.4958852404598532E-3</v>
      </c>
      <c r="V91">
        <f ca="1">data0!O90/Calculations!V$2/Cal!$G90</f>
        <v>4.3761351775243153E-3</v>
      </c>
      <c r="W91">
        <f ca="1">data0!P90/Calculations!W$2/Cal!$G90</f>
        <v>4.3946567327812274E-3</v>
      </c>
      <c r="X91">
        <f ca="1">data0!Q90/Calculations!X$2/Cal!$G90</f>
        <v>3.8464614593603755E-3</v>
      </c>
      <c r="Y91">
        <f ca="1">data0!R90/Calculations!Y$2/Cal!$G90</f>
        <v>3.8315733776984333E-3</v>
      </c>
      <c r="Z91">
        <f ca="1">data0!S90/Calculations!Z$2/Cal!$G90</f>
        <v>4.6394101908634293E-3</v>
      </c>
      <c r="AA91">
        <f ca="1">data0!T90/Calculations!AA$2/Cal!$G90</f>
        <v>4.5128178915146491E-3</v>
      </c>
      <c r="AB91">
        <f ca="1">data0!U90/Calculations!AB$2/Cal!$G90</f>
        <v>4.0994826907792652E-3</v>
      </c>
      <c r="AC91">
        <f ca="1">data0!V90/Calculations!AC$2/Cal!$G90</f>
        <v>5.2148109867946046E-3</v>
      </c>
      <c r="AD91">
        <f ca="1">data0!W90/Calculations!AD$2/Cal!$G90</f>
        <v>5.4598550873206659E-3</v>
      </c>
      <c r="AE91">
        <f ca="1">data0!X90/Calculations!AE$2/Cal!$G90</f>
        <v>6.3166570710247328E-3</v>
      </c>
      <c r="AF91">
        <f ca="1">data0!Y90/Calculations!AF$2/Cal!$G90</f>
        <v>5.4590310472519233E-3</v>
      </c>
      <c r="AG91">
        <f ca="1">data0!Z90/Calculations!AG$2/Cal!$G90</f>
        <v>5.4365193449962372E-3</v>
      </c>
      <c r="AH91" t="e">
        <f ca="1">data0!AA90/Calculations!AH$2/Cal!$G90</f>
        <v>#DIV/0!</v>
      </c>
      <c r="AI91" t="e">
        <f ca="1">data0!AB90/Calculations!AI$2/Cal!$G90</f>
        <v>#DIV/0!</v>
      </c>
      <c r="AJ91" t="e">
        <f ca="1">data0!AC90/Calculations!AJ$2/Cal!$G90</f>
        <v>#DIV/0!</v>
      </c>
      <c r="AK91" t="e">
        <f ca="1">data0!AD90/Calculations!AK$2/Cal!$G90</f>
        <v>#DIV/0!</v>
      </c>
      <c r="AL91" t="e">
        <f ca="1">data0!AE90/Calculations!AL$2/Cal!$G90</f>
        <v>#DIV/0!</v>
      </c>
      <c r="AM91" t="e">
        <f ca="1">data0!AF90/Calculations!AM$2/Cal!$G90</f>
        <v>#DIV/0!</v>
      </c>
      <c r="AN91" t="e">
        <f ca="1">data0!AG90/Calculations!AN$2/Cal!$G90</f>
        <v>#DIV/0!</v>
      </c>
    </row>
    <row r="92" spans="1:40">
      <c r="A92">
        <f>data0!A91</f>
        <v>745</v>
      </c>
      <c r="B92" t="e">
        <f t="shared" ca="1" si="5"/>
        <v>#DIV/0!</v>
      </c>
      <c r="C92" t="e">
        <f t="shared" ca="1" si="6"/>
        <v>#DIV/0!</v>
      </c>
      <c r="D92" t="e">
        <f t="shared" ca="1" si="7"/>
        <v>#DIV/0!</v>
      </c>
      <c r="F92" t="e">
        <f t="shared" ca="1" si="8"/>
        <v>#DIV/0!</v>
      </c>
      <c r="G92" t="e">
        <f t="shared" ca="1" si="9"/>
        <v>#DIV/0!</v>
      </c>
      <c r="I92">
        <f ca="1">data0!B91/Calculations!I$2/Cal!$G91</f>
        <v>4.9650110685765993E-3</v>
      </c>
      <c r="J92">
        <f ca="1">data0!C91/Calculations!J$2/Cal!$G91</f>
        <v>6.5640309688270414E-3</v>
      </c>
      <c r="K92">
        <f ca="1">data0!D91/Calculations!K$2/Cal!$G91</f>
        <v>7.5002720736627735E-3</v>
      </c>
      <c r="L92">
        <f ca="1">data0!E91/Calculations!L$2/Cal!$G91</f>
        <v>7.6682464181865176E-3</v>
      </c>
      <c r="M92">
        <f ca="1">data0!F91/Calculations!M$2/Cal!$G91</f>
        <v>2.8779780060264235E-3</v>
      </c>
      <c r="N92">
        <f ca="1">data0!G91/Calculations!N$2/Cal!$G91</f>
        <v>4.770540642578475E-3</v>
      </c>
      <c r="O92">
        <f ca="1">data0!H91/Calculations!O$2/Cal!$G91</f>
        <v>4.9759239027270452E-3</v>
      </c>
      <c r="P92">
        <f ca="1">data0!I91/Calculations!P$2/Cal!$G91</f>
        <v>4.9611125584162804E-3</v>
      </c>
      <c r="Q92">
        <f ca="1">data0!J91/Calculations!Q$2/Cal!$G91</f>
        <v>4.9681500595831147E-3</v>
      </c>
      <c r="R92">
        <f ca="1">data0!K91/Calculations!R$2/Cal!$G91</f>
        <v>4.1824345834081495E-3</v>
      </c>
      <c r="S92">
        <f ca="1">data0!L91/Calculations!S$2/Cal!$G91</f>
        <v>3.9909257343369213E-3</v>
      </c>
      <c r="T92">
        <f ca="1">data0!M91/Calculations!T$2/Cal!$G91</f>
        <v>4.1213505527865841E-3</v>
      </c>
      <c r="U92">
        <f ca="1">data0!N91/Calculations!U$2/Cal!$G91</f>
        <v>4.1882887414898306E-3</v>
      </c>
      <c r="V92">
        <f ca="1">data0!O91/Calculations!V$2/Cal!$G91</f>
        <v>3.9879071724895944E-3</v>
      </c>
      <c r="W92">
        <f ca="1">data0!P91/Calculations!W$2/Cal!$G91</f>
        <v>3.8546166897336668E-3</v>
      </c>
      <c r="X92">
        <f ca="1">data0!Q91/Calculations!X$2/Cal!$G91</f>
        <v>3.3966996821859202E-3</v>
      </c>
      <c r="Y92">
        <f ca="1">data0!R91/Calculations!Y$2/Cal!$G91</f>
        <v>3.8340141718102481E-3</v>
      </c>
      <c r="Z92">
        <f ca="1">data0!S91/Calculations!Z$2/Cal!$G91</f>
        <v>3.8793503647491759E-3</v>
      </c>
      <c r="AA92">
        <f ca="1">data0!T91/Calculations!AA$2/Cal!$G91</f>
        <v>4.3868479832304364E-3</v>
      </c>
      <c r="AB92">
        <f ca="1">data0!U91/Calculations!AB$2/Cal!$G91</f>
        <v>3.7723704783166967E-3</v>
      </c>
      <c r="AC92">
        <f ca="1">data0!V91/Calculations!AC$2/Cal!$G91</f>
        <v>4.9273755877717422E-3</v>
      </c>
      <c r="AD92">
        <f ca="1">data0!W91/Calculations!AD$2/Cal!$G91</f>
        <v>5.1556648925880095E-3</v>
      </c>
      <c r="AE92">
        <f ca="1">data0!X91/Calculations!AE$2/Cal!$G91</f>
        <v>6.2468760556434562E-3</v>
      </c>
      <c r="AF92">
        <f ca="1">data0!Y91/Calculations!AF$2/Cal!$G91</f>
        <v>5.2396458833151305E-3</v>
      </c>
      <c r="AG92">
        <f ca="1">data0!Z91/Calculations!AG$2/Cal!$G91</f>
        <v>5.5249822993289899E-3</v>
      </c>
      <c r="AH92" t="e">
        <f ca="1">data0!AA91/Calculations!AH$2/Cal!$G91</f>
        <v>#DIV/0!</v>
      </c>
      <c r="AI92" t="e">
        <f ca="1">data0!AB91/Calculations!AI$2/Cal!$G91</f>
        <v>#DIV/0!</v>
      </c>
      <c r="AJ92" t="e">
        <f ca="1">data0!AC91/Calculations!AJ$2/Cal!$G91</f>
        <v>#DIV/0!</v>
      </c>
      <c r="AK92" t="e">
        <f ca="1">data0!AD91/Calculations!AK$2/Cal!$G91</f>
        <v>#DIV/0!</v>
      </c>
      <c r="AL92" t="e">
        <f ca="1">data0!AE91/Calculations!AL$2/Cal!$G91</f>
        <v>#DIV/0!</v>
      </c>
      <c r="AM92" t="e">
        <f ca="1">data0!AF91/Calculations!AM$2/Cal!$G91</f>
        <v>#DIV/0!</v>
      </c>
      <c r="AN92" t="e">
        <f ca="1">data0!AG91/Calculations!AN$2/Cal!$G91</f>
        <v>#DIV/0!</v>
      </c>
    </row>
    <row r="93" spans="1:40">
      <c r="A93">
        <f>data0!A92</f>
        <v>750</v>
      </c>
      <c r="B93" t="e">
        <f t="shared" ca="1" si="5"/>
        <v>#DIV/0!</v>
      </c>
      <c r="C93" t="e">
        <f t="shared" ca="1" si="6"/>
        <v>#DIV/0!</v>
      </c>
      <c r="D93" t="e">
        <f t="shared" ca="1" si="7"/>
        <v>#DIV/0!</v>
      </c>
      <c r="F93" t="e">
        <f t="shared" ca="1" si="8"/>
        <v>#DIV/0!</v>
      </c>
      <c r="G93" t="e">
        <f t="shared" ca="1" si="9"/>
        <v>#DIV/0!</v>
      </c>
      <c r="I93">
        <f ca="1">data0!B92/Calculations!I$2/Cal!$G92</f>
        <v>5.0554916225615115E-3</v>
      </c>
      <c r="J93">
        <f ca="1">data0!C92/Calculations!J$2/Cal!$G92</f>
        <v>6.6836514792811821E-3</v>
      </c>
      <c r="K93">
        <f ca="1">data0!D92/Calculations!K$2/Cal!$G92</f>
        <v>7.6369543011320321E-3</v>
      </c>
      <c r="L93">
        <f ca="1">data0!E92/Calculations!L$2/Cal!$G92</f>
        <v>7.8671415294498288E-3</v>
      </c>
      <c r="M93">
        <f ca="1">data0!F92/Calculations!M$2/Cal!$G92</f>
        <v>2.3889334702686411E-3</v>
      </c>
      <c r="N93">
        <f ca="1">data0!G92/Calculations!N$2/Cal!$G92</f>
        <v>4.8574772383254373E-3</v>
      </c>
      <c r="O93">
        <f ca="1">data0!H92/Calculations!O$2/Cal!$G92</f>
        <v>4.6244270660218759E-3</v>
      </c>
      <c r="P93">
        <f ca="1">data0!I92/Calculations!P$2/Cal!$G92</f>
        <v>4.5537443306890961E-3</v>
      </c>
      <c r="Q93">
        <f ca="1">data0!J92/Calculations!Q$2/Cal!$G92</f>
        <v>4.6695580298221403E-3</v>
      </c>
      <c r="R93">
        <f ca="1">data0!K92/Calculations!R$2/Cal!$G92</f>
        <v>4.165670084023132E-3</v>
      </c>
      <c r="S93">
        <f ca="1">data0!L92/Calculations!S$2/Cal!$G92</f>
        <v>3.5279913649176303E-3</v>
      </c>
      <c r="T93">
        <f ca="1">data0!M92/Calculations!T$2/Cal!$G92</f>
        <v>3.5279943298602338E-3</v>
      </c>
      <c r="U93">
        <f ca="1">data0!N92/Calculations!U$2/Cal!$G92</f>
        <v>3.5999995020006489E-3</v>
      </c>
      <c r="V93">
        <f ca="1">data0!O92/Calculations!V$2/Cal!$G92</f>
        <v>3.3682242089123886E-3</v>
      </c>
      <c r="W93">
        <f ca="1">data0!P92/Calculations!W$2/Cal!$G92</f>
        <v>3.3021673335752936E-3</v>
      </c>
      <c r="X93">
        <f ca="1">data0!Q92/Calculations!X$2/Cal!$G92</f>
        <v>3.3040256184251396E-3</v>
      </c>
      <c r="Y93">
        <f ca="1">data0!R92/Calculations!Y$2/Cal!$G92</f>
        <v>3.3752327168930568E-3</v>
      </c>
      <c r="Z93">
        <f ca="1">data0!S92/Calculations!Z$2/Cal!$G92</f>
        <v>3.524656400447261E-3</v>
      </c>
      <c r="AA93">
        <f ca="1">data0!T92/Calculations!AA$2/Cal!$G92</f>
        <v>3.7967736801218939E-3</v>
      </c>
      <c r="AB93">
        <f ca="1">data0!U92/Calculations!AB$2/Cal!$G92</f>
        <v>3.9466422570133049E-3</v>
      </c>
      <c r="AC93">
        <f ca="1">data0!V92/Calculations!AC$2/Cal!$G92</f>
        <v>4.4374084888655742E-3</v>
      </c>
      <c r="AD93">
        <f ca="1">data0!W92/Calculations!AD$2/Cal!$G92</f>
        <v>4.8494248644141459E-3</v>
      </c>
      <c r="AE93">
        <f ca="1">data0!X92/Calculations!AE$2/Cal!$G92</f>
        <v>6.079580215291586E-3</v>
      </c>
      <c r="AF93">
        <f ca="1">data0!Y92/Calculations!AF$2/Cal!$G92</f>
        <v>5.0212997599248244E-3</v>
      </c>
      <c r="AG93">
        <f ca="1">data0!Z92/Calculations!AG$2/Cal!$G92</f>
        <v>5.6256675651411838E-3</v>
      </c>
      <c r="AH93" t="e">
        <f ca="1">data0!AA92/Calculations!AH$2/Cal!$G92</f>
        <v>#DIV/0!</v>
      </c>
      <c r="AI93" t="e">
        <f ca="1">data0!AB92/Calculations!AI$2/Cal!$G92</f>
        <v>#DIV/0!</v>
      </c>
      <c r="AJ93" t="e">
        <f ca="1">data0!AC92/Calculations!AJ$2/Cal!$G92</f>
        <v>#DIV/0!</v>
      </c>
      <c r="AK93" t="e">
        <f ca="1">data0!AD92/Calculations!AK$2/Cal!$G92</f>
        <v>#DIV/0!</v>
      </c>
      <c r="AL93" t="e">
        <f ca="1">data0!AE92/Calculations!AL$2/Cal!$G92</f>
        <v>#DIV/0!</v>
      </c>
      <c r="AM93" t="e">
        <f ca="1">data0!AF92/Calculations!AM$2/Cal!$G92</f>
        <v>#DIV/0!</v>
      </c>
      <c r="AN93" t="e">
        <f ca="1">data0!AG92/Calculations!AN$2/Cal!$G92</f>
        <v>#DIV/0!</v>
      </c>
    </row>
    <row r="94" spans="1:40">
      <c r="A94">
        <f>data0!A93</f>
        <v>755</v>
      </c>
      <c r="B94" t="e">
        <f t="shared" ca="1" si="5"/>
        <v>#DIV/0!</v>
      </c>
      <c r="C94" t="e">
        <f t="shared" ca="1" si="6"/>
        <v>#DIV/0!</v>
      </c>
      <c r="D94" t="e">
        <f t="shared" ca="1" si="7"/>
        <v>#DIV/0!</v>
      </c>
      <c r="F94" t="e">
        <f t="shared" ca="1" si="8"/>
        <v>#DIV/0!</v>
      </c>
      <c r="G94" t="e">
        <f t="shared" ca="1" si="9"/>
        <v>#DIV/0!</v>
      </c>
      <c r="I94">
        <f ca="1">data0!B93/Calculations!I$2/Cal!$G93</f>
        <v>4.1230498731376804E-3</v>
      </c>
      <c r="J94">
        <f ca="1">data0!C93/Calculations!J$2/Cal!$G93</f>
        <v>6.8136373893114867E-3</v>
      </c>
      <c r="K94">
        <f ca="1">data0!D93/Calculations!K$2/Cal!$G93</f>
        <v>7.4860388361696747E-3</v>
      </c>
      <c r="L94">
        <f ca="1">data0!E93/Calculations!L$2/Cal!$G93</f>
        <v>8.140747780059002E-3</v>
      </c>
      <c r="M94">
        <f ca="1">data0!F93/Calculations!M$2/Cal!$G93</f>
        <v>1.9158434939544006E-3</v>
      </c>
      <c r="N94">
        <f ca="1">data0!G93/Calculations!N$2/Cal!$G93</f>
        <v>4.9718342371457011E-3</v>
      </c>
      <c r="O94">
        <f ca="1">data0!H93/Calculations!O$2/Cal!$G93</f>
        <v>4.1696770292951038E-3</v>
      </c>
      <c r="P94">
        <f ca="1">data0!I93/Calculations!P$2/Cal!$G93</f>
        <v>4.3979751819264038E-3</v>
      </c>
      <c r="Q94">
        <f ca="1">data0!J93/Calculations!Q$2/Cal!$G93</f>
        <v>4.0992102138378735E-3</v>
      </c>
      <c r="R94">
        <f ca="1">data0!K93/Calculations!R$2/Cal!$G93</f>
        <v>4.1329348729212765E-3</v>
      </c>
      <c r="S94">
        <f ca="1">data0!L93/Calculations!S$2/Cal!$G93</f>
        <v>3.4083010918832418E-3</v>
      </c>
      <c r="T94">
        <f ca="1">data0!M93/Calculations!T$2/Cal!$G93</f>
        <v>3.0855110081573572E-3</v>
      </c>
      <c r="U94">
        <f ca="1">data0!N93/Calculations!U$2/Cal!$G93</f>
        <v>3.0677546408990524E-3</v>
      </c>
      <c r="V94">
        <f ca="1">data0!O93/Calculations!V$2/Cal!$G93</f>
        <v>2.8805184840908857E-3</v>
      </c>
      <c r="W94">
        <f ca="1">data0!P93/Calculations!W$2/Cal!$G93</f>
        <v>3.1163144387175838E-3</v>
      </c>
      <c r="X94">
        <f ca="1">data0!Q93/Calculations!X$2/Cal!$G93</f>
        <v>3.3091906998863143E-3</v>
      </c>
      <c r="Y94">
        <f ca="1">data0!R93/Calculations!Y$2/Cal!$G93</f>
        <v>2.591020679503273E-3</v>
      </c>
      <c r="Z94">
        <f ca="1">data0!S93/Calculations!Z$2/Cal!$G93</f>
        <v>3.5725547058802327E-3</v>
      </c>
      <c r="AA94">
        <f ca="1">data0!T93/Calculations!AA$2/Cal!$G93</f>
        <v>2.9598816892895418E-3</v>
      </c>
      <c r="AB94">
        <f ca="1">data0!U93/Calculations!AB$2/Cal!$G93</f>
        <v>4.1309753193229581E-3</v>
      </c>
      <c r="AC94">
        <f ca="1">data0!V93/Calculations!AC$2/Cal!$G93</f>
        <v>4.0917967972049314E-3</v>
      </c>
      <c r="AD94">
        <f ca="1">data0!W93/Calculations!AD$2/Cal!$G93</f>
        <v>4.6317543442958853E-3</v>
      </c>
      <c r="AE94">
        <f ca="1">data0!X93/Calculations!AE$2/Cal!$G93</f>
        <v>5.8753879238771277E-3</v>
      </c>
      <c r="AF94">
        <f ca="1">data0!Y93/Calculations!AF$2/Cal!$G93</f>
        <v>4.79902098132711E-3</v>
      </c>
      <c r="AG94">
        <f ca="1">data0!Z93/Calculations!AG$2/Cal!$G93</f>
        <v>4.9157807258965102E-3</v>
      </c>
      <c r="AH94" t="e">
        <f ca="1">data0!AA93/Calculations!AH$2/Cal!$G93</f>
        <v>#DIV/0!</v>
      </c>
      <c r="AI94" t="e">
        <f ca="1">data0!AB93/Calculations!AI$2/Cal!$G93</f>
        <v>#DIV/0!</v>
      </c>
      <c r="AJ94" t="e">
        <f ca="1">data0!AC93/Calculations!AJ$2/Cal!$G93</f>
        <v>#DIV/0!</v>
      </c>
      <c r="AK94" t="e">
        <f ca="1">data0!AD93/Calculations!AK$2/Cal!$G93</f>
        <v>#DIV/0!</v>
      </c>
      <c r="AL94" t="e">
        <f ca="1">data0!AE93/Calculations!AL$2/Cal!$G93</f>
        <v>#DIV/0!</v>
      </c>
      <c r="AM94" t="e">
        <f ca="1">data0!AF93/Calculations!AM$2/Cal!$G93</f>
        <v>#DIV/0!</v>
      </c>
      <c r="AN94" t="e">
        <f ca="1">data0!AG93/Calculations!AN$2/Cal!$G93</f>
        <v>#DIV/0!</v>
      </c>
    </row>
    <row r="95" spans="1:40">
      <c r="A95">
        <f>data0!A94</f>
        <v>760</v>
      </c>
      <c r="B95" t="e">
        <f t="shared" ca="1" si="5"/>
        <v>#DIV/0!</v>
      </c>
      <c r="C95" t="e">
        <f t="shared" ca="1" si="6"/>
        <v>#DIV/0!</v>
      </c>
      <c r="D95" t="e">
        <f t="shared" ca="1" si="7"/>
        <v>#DIV/0!</v>
      </c>
      <c r="F95" t="e">
        <f t="shared" ca="1" si="8"/>
        <v>#DIV/0!</v>
      </c>
      <c r="G95" t="e">
        <f t="shared" ca="1" si="9"/>
        <v>#DIV/0!</v>
      </c>
      <c r="I95">
        <f ca="1">data0!B94/Calculations!I$2/Cal!$G94</f>
        <v>4.2048268077004951E-3</v>
      </c>
      <c r="J95">
        <f ca="1">data0!C94/Calculations!J$2/Cal!$G94</f>
        <v>6.317072486796551E-3</v>
      </c>
      <c r="K95">
        <f ca="1">data0!D94/Calculations!K$2/Cal!$G94</f>
        <v>7.6345175902174057E-3</v>
      </c>
      <c r="L95">
        <f ca="1">data0!E94/Calculations!L$2/Cal!$G94</f>
        <v>8.3944584630263087E-3</v>
      </c>
      <c r="M95">
        <f ca="1">data0!F94/Calculations!M$2/Cal!$G94</f>
        <v>1.5564508203585431E-3</v>
      </c>
      <c r="N95">
        <f ca="1">data0!G94/Calculations!N$2/Cal!$G94</f>
        <v>4.8879101848795974E-3</v>
      </c>
      <c r="O95">
        <f ca="1">data0!H94/Calculations!O$2/Cal!$G94</f>
        <v>3.9842106891619464E-3</v>
      </c>
      <c r="P95">
        <f ca="1">data0!I94/Calculations!P$2/Cal!$G94</f>
        <v>4.1018543227021162E-3</v>
      </c>
      <c r="Q95">
        <f ca="1">data0!J94/Calculations!Q$2/Cal!$G94</f>
        <v>3.7566836037241859E-3</v>
      </c>
      <c r="R95">
        <f ca="1">data0!K94/Calculations!R$2/Cal!$G94</f>
        <v>3.7315467861854133E-3</v>
      </c>
      <c r="S95">
        <f ca="1">data0!L94/Calculations!S$2/Cal!$G94</f>
        <v>3.4566976486376058E-3</v>
      </c>
      <c r="T95">
        <f ca="1">data0!M94/Calculations!T$2/Cal!$G94</f>
        <v>3.0694895968824943E-3</v>
      </c>
      <c r="U95">
        <f ca="1">data0!N94/Calculations!U$2/Cal!$G94</f>
        <v>2.9366621373384601E-3</v>
      </c>
      <c r="V95">
        <f ca="1">data0!O94/Calculations!V$2/Cal!$G94</f>
        <v>2.8209230211627087E-3</v>
      </c>
      <c r="W95">
        <f ca="1">data0!P94/Calculations!W$2/Cal!$G94</f>
        <v>3.2173597094820924E-3</v>
      </c>
      <c r="X95">
        <f ca="1">data0!Q94/Calculations!X$2/Cal!$G94</f>
        <v>2.7721780503429509E-3</v>
      </c>
      <c r="Y95">
        <f ca="1">data0!R94/Calculations!Y$2/Cal!$G94</f>
        <v>2.3676005001228811E-3</v>
      </c>
      <c r="Z95">
        <f ca="1">data0!S94/Calculations!Z$2/Cal!$G94</f>
        <v>3.2643294131004196E-3</v>
      </c>
      <c r="AA95">
        <f ca="1">data0!T94/Calculations!AA$2/Cal!$G94</f>
        <v>2.6808441274972662E-3</v>
      </c>
      <c r="AB95">
        <f ca="1">data0!U94/Calculations!AB$2/Cal!$G94</f>
        <v>3.8618336891238949E-3</v>
      </c>
      <c r="AC95">
        <f ca="1">data0!V94/Calculations!AC$2/Cal!$G94</f>
        <v>3.8020246400002141E-3</v>
      </c>
      <c r="AD95">
        <f ca="1">data0!W94/Calculations!AD$2/Cal!$G94</f>
        <v>4.5033487334307414E-3</v>
      </c>
      <c r="AE95">
        <f ca="1">data0!X94/Calculations!AE$2/Cal!$G94</f>
        <v>5.7361683912504763E-3</v>
      </c>
      <c r="AF95">
        <f ca="1">data0!Y94/Calculations!AF$2/Cal!$G94</f>
        <v>4.5679248619008087E-3</v>
      </c>
      <c r="AG95">
        <f ca="1">data0!Z94/Calculations!AG$2/Cal!$G94</f>
        <v>5.0132807540591243E-3</v>
      </c>
      <c r="AH95" t="e">
        <f ca="1">data0!AA94/Calculations!AH$2/Cal!$G94</f>
        <v>#DIV/0!</v>
      </c>
      <c r="AI95" t="e">
        <f ca="1">data0!AB94/Calculations!AI$2/Cal!$G94</f>
        <v>#DIV/0!</v>
      </c>
      <c r="AJ95" t="e">
        <f ca="1">data0!AC94/Calculations!AJ$2/Cal!$G94</f>
        <v>#DIV/0!</v>
      </c>
      <c r="AK95" t="e">
        <f ca="1">data0!AD94/Calculations!AK$2/Cal!$G94</f>
        <v>#DIV/0!</v>
      </c>
      <c r="AL95" t="e">
        <f ca="1">data0!AE94/Calculations!AL$2/Cal!$G94</f>
        <v>#DIV/0!</v>
      </c>
      <c r="AM95" t="e">
        <f ca="1">data0!AF94/Calculations!AM$2/Cal!$G94</f>
        <v>#DIV/0!</v>
      </c>
      <c r="AN95" t="e">
        <f ca="1">data0!AG94/Calculations!AN$2/Cal!$G94</f>
        <v>#DIV/0!</v>
      </c>
    </row>
    <row r="96" spans="1:40">
      <c r="A96">
        <f>data0!A95</f>
        <v>765</v>
      </c>
      <c r="B96" t="e">
        <f t="shared" ca="1" si="5"/>
        <v>#DIV/0!</v>
      </c>
      <c r="C96" t="e">
        <f t="shared" ca="1" si="6"/>
        <v>#DIV/0!</v>
      </c>
      <c r="D96" t="e">
        <f t="shared" ca="1" si="7"/>
        <v>#DIV/0!</v>
      </c>
      <c r="F96" t="e">
        <f t="shared" ca="1" si="8"/>
        <v>#DIV/0!</v>
      </c>
      <c r="G96" t="e">
        <f t="shared" ca="1" si="9"/>
        <v>#DIV/0!</v>
      </c>
      <c r="I96">
        <f ca="1">data0!B95/Calculations!I$2/Cal!$G95</f>
        <v>4.2952314263191632E-3</v>
      </c>
      <c r="J96">
        <f ca="1">data0!C95/Calculations!J$2/Cal!$G95</f>
        <v>6.4528908106118036E-3</v>
      </c>
      <c r="K96">
        <f ca="1">data0!D95/Calculations!K$2/Cal!$G95</f>
        <v>7.4867148221076183E-3</v>
      </c>
      <c r="L96">
        <f ca="1">data0!E95/Calculations!L$2/Cal!$G95</f>
        <v>8.5121215355228163E-3</v>
      </c>
      <c r="M96">
        <f ca="1">data0!F95/Calculations!M$2/Cal!$G95</f>
        <v>1.1839791416884595E-3</v>
      </c>
      <c r="N96">
        <f ca="1">data0!G95/Calculations!N$2/Cal!$G95</f>
        <v>4.6200797695300638E-3</v>
      </c>
      <c r="O96">
        <f ca="1">data0!H95/Calculations!O$2/Cal!$G95</f>
        <v>4.1677054334350143E-3</v>
      </c>
      <c r="P96">
        <f ca="1">data0!I95/Calculations!P$2/Cal!$G95</f>
        <v>3.563495976698465E-3</v>
      </c>
      <c r="Q96">
        <f ca="1">data0!J95/Calculations!Q$2/Cal!$G95</f>
        <v>3.7193775089042922E-3</v>
      </c>
      <c r="R96">
        <f ca="1">data0!K95/Calculations!R$2/Cal!$G95</f>
        <v>3.2982724080179411E-3</v>
      </c>
      <c r="S96">
        <f ca="1">data0!L95/Calculations!S$2/Cal!$G95</f>
        <v>3.1975322689927295E-3</v>
      </c>
      <c r="T96">
        <f ca="1">data0!M95/Calculations!T$2/Cal!$G95</f>
        <v>3.1552043790157879E-3</v>
      </c>
      <c r="U96">
        <f ca="1">data0!N95/Calculations!U$2/Cal!$G95</f>
        <v>3.0978336306458332E-3</v>
      </c>
      <c r="V96">
        <f ca="1">data0!O95/Calculations!V$2/Cal!$G95</f>
        <v>2.941192228207296E-3</v>
      </c>
      <c r="W96">
        <f ca="1">data0!P95/Calculations!W$2/Cal!$G95</f>
        <v>2.9258165820458147E-3</v>
      </c>
      <c r="X96">
        <f ca="1">data0!Q95/Calculations!X$2/Cal!$G95</f>
        <v>2.1956558574656245E-3</v>
      </c>
      <c r="Y96">
        <f ca="1">data0!R95/Calculations!Y$2/Cal!$G95</f>
        <v>2.6776298368843274E-3</v>
      </c>
      <c r="Z96">
        <f ca="1">data0!S95/Calculations!Z$2/Cal!$G95</f>
        <v>2.3879418546479889E-3</v>
      </c>
      <c r="AA96">
        <f ca="1">data0!T95/Calculations!AA$2/Cal!$G95</f>
        <v>3.0619255140054212E-3</v>
      </c>
      <c r="AB96">
        <f ca="1">data0!U95/Calculations!AB$2/Cal!$G95</f>
        <v>3.406927950145462E-3</v>
      </c>
      <c r="AC96">
        <f ca="1">data0!V95/Calculations!AC$2/Cal!$G95</f>
        <v>3.481183007920561E-3</v>
      </c>
      <c r="AD96">
        <f ca="1">data0!W95/Calculations!AD$2/Cal!$G95</f>
        <v>4.4251648744902021E-3</v>
      </c>
      <c r="AE96">
        <f ca="1">data0!X95/Calculations!AE$2/Cal!$G95</f>
        <v>5.672889059945333E-3</v>
      </c>
      <c r="AF96">
        <f ca="1">data0!Y95/Calculations!AF$2/Cal!$G95</f>
        <v>4.3328407445576492E-3</v>
      </c>
      <c r="AG96">
        <f ca="1">data0!Z95/Calculations!AG$2/Cal!$G95</f>
        <v>4.2675561481610317E-3</v>
      </c>
      <c r="AH96" t="e">
        <f ca="1">data0!AA95/Calculations!AH$2/Cal!$G95</f>
        <v>#DIV/0!</v>
      </c>
      <c r="AI96" t="e">
        <f ca="1">data0!AB95/Calculations!AI$2/Cal!$G95</f>
        <v>#DIV/0!</v>
      </c>
      <c r="AJ96" t="e">
        <f ca="1">data0!AC95/Calculations!AJ$2/Cal!$G95</f>
        <v>#DIV/0!</v>
      </c>
      <c r="AK96" t="e">
        <f ca="1">data0!AD95/Calculations!AK$2/Cal!$G95</f>
        <v>#DIV/0!</v>
      </c>
      <c r="AL96" t="e">
        <f ca="1">data0!AE95/Calculations!AL$2/Cal!$G95</f>
        <v>#DIV/0!</v>
      </c>
      <c r="AM96" t="e">
        <f ca="1">data0!AF95/Calculations!AM$2/Cal!$G95</f>
        <v>#DIV/0!</v>
      </c>
      <c r="AN96" t="e">
        <f ca="1">data0!AG95/Calculations!AN$2/Cal!$G95</f>
        <v>#DIV/0!</v>
      </c>
    </row>
    <row r="97" spans="1:40">
      <c r="A97">
        <f>data0!A96</f>
        <v>770</v>
      </c>
      <c r="B97" t="e">
        <f t="shared" ca="1" si="5"/>
        <v>#DIV/0!</v>
      </c>
      <c r="C97" t="e">
        <f t="shared" ca="1" si="6"/>
        <v>#DIV/0!</v>
      </c>
      <c r="D97" t="e">
        <f t="shared" ca="1" si="7"/>
        <v>#DIV/0!</v>
      </c>
      <c r="F97" t="e">
        <f t="shared" ca="1" si="8"/>
        <v>#DIV/0!</v>
      </c>
      <c r="G97" t="e">
        <f t="shared" ca="1" si="9"/>
        <v>#DIV/0!</v>
      </c>
      <c r="I97">
        <f ca="1">data0!B96/Calculations!I$2/Cal!$G96</f>
        <v>4.3900239979108267E-3</v>
      </c>
      <c r="J97">
        <f ca="1">data0!C96/Calculations!J$2/Cal!$G96</f>
        <v>6.5953013243713141E-3</v>
      </c>
      <c r="K97">
        <f ca="1">data0!D96/Calculations!K$2/Cal!$G96</f>
        <v>7.3331102131954876E-3</v>
      </c>
      <c r="L97">
        <f ca="1">data0!E96/Calculations!L$2/Cal!$G96</f>
        <v>8.475254779212198E-3</v>
      </c>
      <c r="M97">
        <f ca="1">data0!F96/Calculations!M$2/Cal!$G96</f>
        <v>8.2978883250661402E-4</v>
      </c>
      <c r="N97">
        <f ca="1">data0!G96/Calculations!N$2/Cal!$G96</f>
        <v>4.3832403338544225E-3</v>
      </c>
      <c r="O97">
        <f ca="1">data0!H96/Calculations!O$2/Cal!$G96</f>
        <v>4.3996730767319296E-3</v>
      </c>
      <c r="P97">
        <f ca="1">data0!I96/Calculations!P$2/Cal!$G96</f>
        <v>3.1818694164413592E-3</v>
      </c>
      <c r="Q97">
        <f ca="1">data0!J96/Calculations!Q$2/Cal!$G96</f>
        <v>3.5600986427219137E-3</v>
      </c>
      <c r="R97">
        <f ca="1">data0!K96/Calculations!R$2/Cal!$G96</f>
        <v>3.2701328539294912E-3</v>
      </c>
      <c r="S97">
        <f ca="1">data0!L96/Calculations!S$2/Cal!$G96</f>
        <v>2.786906885406447E-3</v>
      </c>
      <c r="T97">
        <f ca="1">data0!M96/Calculations!T$2/Cal!$G96</f>
        <v>2.8217326063090615E-3</v>
      </c>
      <c r="U97">
        <f ca="1">data0!N96/Calculations!U$2/Cal!$G96</f>
        <v>2.9056903971712202E-3</v>
      </c>
      <c r="V97">
        <f ca="1">data0!O96/Calculations!V$2/Cal!$G96</f>
        <v>2.579560698658005E-3</v>
      </c>
      <c r="W97">
        <f ca="1">data0!P96/Calculations!W$2/Cal!$G96</f>
        <v>2.3554419707900523E-3</v>
      </c>
      <c r="X97">
        <f ca="1">data0!Q96/Calculations!X$2/Cal!$G96</f>
        <v>2.3489773663440917E-3</v>
      </c>
      <c r="Y97">
        <f ca="1">data0!R96/Calculations!Y$2/Cal!$G96</f>
        <v>2.6484417551602825E-3</v>
      </c>
      <c r="Z97">
        <f ca="1">data0!S96/Calculations!Z$2/Cal!$G96</f>
        <v>1.7590212495412587E-3</v>
      </c>
      <c r="AA97">
        <f ca="1">data0!T96/Calculations!AA$2/Cal!$G96</f>
        <v>3.3719260268896744E-3</v>
      </c>
      <c r="AB97">
        <f ca="1">data0!U96/Calculations!AB$2/Cal!$G96</f>
        <v>3.2301210438710768E-3</v>
      </c>
      <c r="AC97">
        <f ca="1">data0!V96/Calculations!AC$2/Cal!$G96</f>
        <v>3.2191523147424342E-3</v>
      </c>
      <c r="AD97">
        <f ca="1">data0!W96/Calculations!AD$2/Cal!$G96</f>
        <v>4.2928510864216236E-3</v>
      </c>
      <c r="AE97">
        <f ca="1">data0!X96/Calculations!AE$2/Cal!$G96</f>
        <v>5.6073585146855214E-3</v>
      </c>
      <c r="AF97">
        <f ca="1">data0!Y96/Calculations!AF$2/Cal!$G96</f>
        <v>4.0878123264199507E-3</v>
      </c>
      <c r="AG97">
        <f ca="1">data0!Z96/Calculations!AG$2/Cal!$G96</f>
        <v>4.3617379468918784E-3</v>
      </c>
      <c r="AH97" t="e">
        <f ca="1">data0!AA96/Calculations!AH$2/Cal!$G96</f>
        <v>#DIV/0!</v>
      </c>
      <c r="AI97" t="e">
        <f ca="1">data0!AB96/Calculations!AI$2/Cal!$G96</f>
        <v>#DIV/0!</v>
      </c>
      <c r="AJ97" t="e">
        <f ca="1">data0!AC96/Calculations!AJ$2/Cal!$G96</f>
        <v>#DIV/0!</v>
      </c>
      <c r="AK97" t="e">
        <f ca="1">data0!AD96/Calculations!AK$2/Cal!$G96</f>
        <v>#DIV/0!</v>
      </c>
      <c r="AL97" t="e">
        <f ca="1">data0!AE96/Calculations!AL$2/Cal!$G96</f>
        <v>#DIV/0!</v>
      </c>
      <c r="AM97" t="e">
        <f ca="1">data0!AF96/Calculations!AM$2/Cal!$G96</f>
        <v>#DIV/0!</v>
      </c>
      <c r="AN97" t="e">
        <f ca="1">data0!AG96/Calculations!AN$2/Cal!$G96</f>
        <v>#DIV/0!</v>
      </c>
    </row>
    <row r="98" spans="1:40">
      <c r="A98">
        <f>data0!A97</f>
        <v>775</v>
      </c>
      <c r="B98" t="e">
        <f t="shared" ca="1" si="5"/>
        <v>#DIV/0!</v>
      </c>
      <c r="C98" t="e">
        <f t="shared" ca="1" si="6"/>
        <v>#DIV/0!</v>
      </c>
      <c r="D98" t="e">
        <f t="shared" ca="1" si="7"/>
        <v>#DIV/0!</v>
      </c>
      <c r="F98" t="e">
        <f t="shared" ca="1" si="8"/>
        <v>#DIV/0!</v>
      </c>
      <c r="G98" t="e">
        <f t="shared" ca="1" si="9"/>
        <v>#DIV/0!</v>
      </c>
      <c r="I98">
        <f ca="1">data0!B97/Calculations!I$2/Cal!$G97</f>
        <v>4.4891817307417944E-3</v>
      </c>
      <c r="J98">
        <f ca="1">data0!C97/Calculations!J$2/Cal!$G97</f>
        <v>6.0698428743078715E-3</v>
      </c>
      <c r="K98">
        <f ca="1">data0!D97/Calculations!K$2/Cal!$G97</f>
        <v>7.4987436092056508E-3</v>
      </c>
      <c r="L98">
        <f ca="1">data0!E97/Calculations!L$2/Cal!$G97</f>
        <v>8.4040590336095407E-3</v>
      </c>
      <c r="M98">
        <f ca="1">data0!F97/Calculations!M$2/Cal!$G97</f>
        <v>6.363985088793443E-4</v>
      </c>
      <c r="N98">
        <f ca="1">data0!G97/Calculations!N$2/Cal!$G97</f>
        <v>4.2007512616958273E-3</v>
      </c>
      <c r="O98">
        <f ca="1">data0!H97/Calculations!O$2/Cal!$G97</f>
        <v>4.3967976893989989E-3</v>
      </c>
      <c r="P98">
        <f ca="1">data0!I97/Calculations!P$2/Cal!$G97</f>
        <v>3.274202372676937E-3</v>
      </c>
      <c r="Q98">
        <f ca="1">data0!J97/Calculations!Q$2/Cal!$G97</f>
        <v>3.0440429906000619E-3</v>
      </c>
      <c r="R98">
        <f ca="1">data0!K97/Calculations!R$2/Cal!$G97</f>
        <v>3.405921418106134E-3</v>
      </c>
      <c r="S98">
        <f ca="1">data0!L97/Calculations!S$2/Cal!$G97</f>
        <v>2.7268398385686273E-3</v>
      </c>
      <c r="T98">
        <f ca="1">data0!M97/Calculations!T$2/Cal!$G97</f>
        <v>2.4320366255280368E-3</v>
      </c>
      <c r="U98">
        <f ca="1">data0!N97/Calculations!U$2/Cal!$G97</f>
        <v>2.4385328357267163E-3</v>
      </c>
      <c r="V98">
        <f ca="1">data0!O97/Calculations!V$2/Cal!$G97</f>
        <v>2.1808792129650412E-3</v>
      </c>
      <c r="W98">
        <f ca="1">data0!P97/Calculations!W$2/Cal!$G97</f>
        <v>2.4086444785097363E-3</v>
      </c>
      <c r="X98">
        <f ca="1">data0!Q97/Calculations!X$2/Cal!$G97</f>
        <v>2.7451815276801879E-3</v>
      </c>
      <c r="Y98">
        <f ca="1">data0!R97/Calculations!Y$2/Cal!$G97</f>
        <v>1.8957836393735021E-3</v>
      </c>
      <c r="Z98">
        <f ca="1">data0!S97/Calculations!Z$2/Cal!$G97</f>
        <v>1.9561430520332497E-3</v>
      </c>
      <c r="AA98">
        <f ca="1">data0!T97/Calculations!AA$2/Cal!$G97</f>
        <v>3.1551131849724078E-3</v>
      </c>
      <c r="AB98">
        <f ca="1">data0!U97/Calculations!AB$2/Cal!$G97</f>
        <v>3.2093754092975399E-3</v>
      </c>
      <c r="AC98">
        <f ca="1">data0!V97/Calculations!AC$2/Cal!$G97</f>
        <v>3.1186073018191008E-3</v>
      </c>
      <c r="AD98">
        <f ca="1">data0!W97/Calculations!AD$2/Cal!$G97</f>
        <v>4.2069048154517053E-3</v>
      </c>
      <c r="AE98">
        <f ca="1">data0!X97/Calculations!AE$2/Cal!$G97</f>
        <v>5.5389779028929779E-3</v>
      </c>
      <c r="AF98">
        <f ca="1">data0!Y97/Calculations!AF$2/Cal!$G97</f>
        <v>3.8317986824260098E-3</v>
      </c>
      <c r="AG98">
        <f ca="1">data0!Z97/Calculations!AG$2/Cal!$G97</f>
        <v>4.4602567810081437E-3</v>
      </c>
      <c r="AH98" t="e">
        <f ca="1">data0!AA97/Calculations!AH$2/Cal!$G97</f>
        <v>#DIV/0!</v>
      </c>
      <c r="AI98" t="e">
        <f ca="1">data0!AB97/Calculations!AI$2/Cal!$G97</f>
        <v>#DIV/0!</v>
      </c>
      <c r="AJ98" t="e">
        <f ca="1">data0!AC97/Calculations!AJ$2/Cal!$G97</f>
        <v>#DIV/0!</v>
      </c>
      <c r="AK98" t="e">
        <f ca="1">data0!AD97/Calculations!AK$2/Cal!$G97</f>
        <v>#DIV/0!</v>
      </c>
      <c r="AL98" t="e">
        <f ca="1">data0!AE97/Calculations!AL$2/Cal!$G97</f>
        <v>#DIV/0!</v>
      </c>
      <c r="AM98" t="e">
        <f ca="1">data0!AF97/Calculations!AM$2/Cal!$G97</f>
        <v>#DIV/0!</v>
      </c>
      <c r="AN98" t="e">
        <f ca="1">data0!AG97/Calculations!AN$2/Cal!$G97</f>
        <v>#DIV/0!</v>
      </c>
    </row>
    <row r="99" spans="1:40">
      <c r="A99">
        <f>data0!A98</f>
        <v>780</v>
      </c>
      <c r="B99" t="e">
        <f t="shared" ca="1" si="5"/>
        <v>#DIV/0!</v>
      </c>
      <c r="C99" t="e">
        <f t="shared" ca="1" si="6"/>
        <v>#DIV/0!</v>
      </c>
      <c r="D99" t="e">
        <f t="shared" ca="1" si="7"/>
        <v>#DIV/0!</v>
      </c>
      <c r="F99" t="e">
        <f t="shared" ca="1" si="8"/>
        <v>#DIV/0!</v>
      </c>
      <c r="G99" t="e">
        <f t="shared" ca="1" si="9"/>
        <v>#DIV/0!</v>
      </c>
      <c r="I99">
        <f ca="1">data0!B98/Calculations!I$2/Cal!$G98</f>
        <v>4.5878392177046649E-3</v>
      </c>
      <c r="J99">
        <f ca="1">data0!C98/Calculations!J$2/Cal!$G98</f>
        <v>6.2032381075945728E-3</v>
      </c>
      <c r="K99">
        <f ca="1">data0!D98/Calculations!K$2/Cal!$G98</f>
        <v>7.330343969330101E-3</v>
      </c>
      <c r="L99">
        <f ca="1">data0!E98/Calculations!L$2/Cal!$G98</f>
        <v>8.3539041850694655E-3</v>
      </c>
      <c r="M99">
        <f ca="1">data0!F98/Calculations!M$2/Cal!$G98</f>
        <v>5.0585456063297432E-4</v>
      </c>
      <c r="N99">
        <f ca="1">data0!G98/Calculations!N$2/Cal!$G98</f>
        <v>4.0275191151575764E-3</v>
      </c>
      <c r="O99">
        <f ca="1">data0!H98/Calculations!O$2/Cal!$G98</f>
        <v>4.2008297015325149E-3</v>
      </c>
      <c r="P99">
        <f ca="1">data0!I98/Calculations!P$2/Cal!$G98</f>
        <v>3.6180339180949587E-3</v>
      </c>
      <c r="Q99">
        <f ca="1">data0!J98/Calculations!Q$2/Cal!$G98</f>
        <v>2.5644243415217055E-3</v>
      </c>
      <c r="R99">
        <f ca="1">data0!K98/Calculations!R$2/Cal!$G98</f>
        <v>3.1432429805892809E-3</v>
      </c>
      <c r="S99">
        <f ca="1">data0!L98/Calculations!S$2/Cal!$G98</f>
        <v>2.9962980698050191E-3</v>
      </c>
      <c r="T99">
        <f ca="1">data0!M98/Calculations!T$2/Cal!$G98</f>
        <v>2.5697385315198201E-3</v>
      </c>
      <c r="U99">
        <f ca="1">data0!N98/Calculations!U$2/Cal!$G98</f>
        <v>2.4502392757070491E-3</v>
      </c>
      <c r="V99">
        <f ca="1">data0!O98/Calculations!V$2/Cal!$G98</f>
        <v>2.3986217002188856E-3</v>
      </c>
      <c r="W99">
        <f ca="1">data0!P98/Calculations!W$2/Cal!$G98</f>
        <v>2.8682740141291944E-3</v>
      </c>
      <c r="X99">
        <f ca="1">data0!Q98/Calculations!X$2/Cal!$G98</f>
        <v>2.5644129294387784E-3</v>
      </c>
      <c r="Y99">
        <f ca="1">data0!R98/Calculations!Y$2/Cal!$G98</f>
        <v>1.1301772074848015E-3</v>
      </c>
      <c r="Z99">
        <f ca="1">data0!S98/Calculations!Z$2/Cal!$G98</f>
        <v>2.5276390269891387E-3</v>
      </c>
      <c r="AA99">
        <f ca="1">data0!T98/Calculations!AA$2/Cal!$G98</f>
        <v>2.7407844605926773E-3</v>
      </c>
      <c r="AB99">
        <f ca="1">data0!U98/Calculations!AB$2/Cal!$G98</f>
        <v>3.0404977890938628E-3</v>
      </c>
      <c r="AC99">
        <f ca="1">data0!V98/Calculations!AC$2/Cal!$G98</f>
        <v>3.0859648858756468E-3</v>
      </c>
      <c r="AD99">
        <f ca="1">data0!W98/Calculations!AD$2/Cal!$G98</f>
        <v>4.1391341325362303E-3</v>
      </c>
      <c r="AE99">
        <f ca="1">data0!X98/Calculations!AE$2/Cal!$G98</f>
        <v>5.4613858988172576E-3</v>
      </c>
      <c r="AF99">
        <f ca="1">data0!Y98/Calculations!AF$2/Cal!$G98</f>
        <v>3.5600082558130651E-3</v>
      </c>
      <c r="AG99">
        <f ca="1">data0!Z98/Calculations!AG$2/Cal!$G98</f>
        <v>4.5582785924687926E-3</v>
      </c>
      <c r="AH99" t="e">
        <f ca="1">data0!AA98/Calculations!AH$2/Cal!$G98</f>
        <v>#DIV/0!</v>
      </c>
      <c r="AI99" t="e">
        <f ca="1">data0!AB98/Calculations!AI$2/Cal!$G98</f>
        <v>#DIV/0!</v>
      </c>
      <c r="AJ99" t="e">
        <f ca="1">data0!AC98/Calculations!AJ$2/Cal!$G98</f>
        <v>#DIV/0!</v>
      </c>
      <c r="AK99" t="e">
        <f ca="1">data0!AD98/Calculations!AK$2/Cal!$G98</f>
        <v>#DIV/0!</v>
      </c>
      <c r="AL99" t="e">
        <f ca="1">data0!AE98/Calculations!AL$2/Cal!$G98</f>
        <v>#DIV/0!</v>
      </c>
      <c r="AM99" t="e">
        <f ca="1">data0!AF98/Calculations!AM$2/Cal!$G98</f>
        <v>#DIV/0!</v>
      </c>
      <c r="AN99" t="e">
        <f ca="1">data0!AG98/Calculations!AN$2/Cal!$G98</f>
        <v>#DIV/0!</v>
      </c>
    </row>
    <row r="100" spans="1:40">
      <c r="A100">
        <f>data0!A99</f>
        <v>785</v>
      </c>
      <c r="B100" t="e">
        <f t="shared" ca="1" si="5"/>
        <v>#DIV/0!</v>
      </c>
      <c r="C100" t="e">
        <f t="shared" ca="1" si="6"/>
        <v>#DIV/0!</v>
      </c>
      <c r="D100" t="e">
        <f t="shared" ca="1" si="7"/>
        <v>#DIV/0!</v>
      </c>
      <c r="F100" t="e">
        <f t="shared" ca="1" si="8"/>
        <v>#DIV/0!</v>
      </c>
      <c r="G100" t="e">
        <f t="shared" ca="1" si="9"/>
        <v>#DIV/0!</v>
      </c>
      <c r="I100">
        <f ca="1">data0!B99/Calculations!I$2/Cal!$G99</f>
        <v>3.5211864230691309E-3</v>
      </c>
      <c r="J100">
        <f ca="1">data0!C99/Calculations!J$2/Cal!$G99</f>
        <v>6.3480159388763805E-3</v>
      </c>
      <c r="K100">
        <f ca="1">data0!D99/Calculations!K$2/Cal!$G99</f>
        <v>6.8194795217732035E-3</v>
      </c>
      <c r="L100">
        <f ca="1">data0!E99/Calculations!L$2/Cal!$G99</f>
        <v>8.308546392512748E-3</v>
      </c>
      <c r="M100">
        <f ca="1">data0!F99/Calculations!M$2/Cal!$G99</f>
        <v>4.0673344434114455E-4</v>
      </c>
      <c r="N100">
        <f ca="1">data0!G99/Calculations!N$2/Cal!$G99</f>
        <v>3.8497694447652197E-3</v>
      </c>
      <c r="O100">
        <f ca="1">data0!H99/Calculations!O$2/Cal!$G99</f>
        <v>3.9780618791071618E-3</v>
      </c>
      <c r="P100">
        <f ca="1">data0!I99/Calculations!P$2/Cal!$G99</f>
        <v>3.7880816738238097E-3</v>
      </c>
      <c r="Q100">
        <f ca="1">data0!J99/Calculations!Q$2/Cal!$G99</f>
        <v>2.5597443903066265E-3</v>
      </c>
      <c r="R100">
        <f ca="1">data0!K99/Calculations!R$2/Cal!$G99</f>
        <v>2.5042012125454467E-3</v>
      </c>
      <c r="S100">
        <f ca="1">data0!L99/Calculations!S$2/Cal!$G99</f>
        <v>2.9161339065443322E-3</v>
      </c>
      <c r="T100">
        <f ca="1">data0!M99/Calculations!T$2/Cal!$G99</f>
        <v>2.8668193983087324E-3</v>
      </c>
      <c r="U100">
        <f ca="1">data0!N99/Calculations!U$2/Cal!$G99</f>
        <v>2.8074594907491518E-3</v>
      </c>
      <c r="V100">
        <f ca="1">data0!O99/Calculations!V$2/Cal!$G99</f>
        <v>2.7804356319799158E-3</v>
      </c>
      <c r="W100">
        <f ca="1">data0!P99/Calculations!W$2/Cal!$G99</f>
        <v>2.847598461138389E-3</v>
      </c>
      <c r="X100">
        <f ca="1">data0!Q99/Calculations!X$2/Cal!$G99</f>
        <v>1.7046501781623402E-3</v>
      </c>
      <c r="Y100">
        <f ca="1">data0!R99/Calculations!Y$2/Cal!$G99</f>
        <v>1.1565544966079539E-3</v>
      </c>
      <c r="Z100">
        <f ca="1">data0!S99/Calculations!Z$2/Cal!$G99</f>
        <v>2.6336615393892731E-3</v>
      </c>
      <c r="AA100">
        <f ca="1">data0!T99/Calculations!AA$2/Cal!$G99</f>
        <v>2.6633356919219427E-3</v>
      </c>
      <c r="AB100">
        <f ca="1">data0!U99/Calculations!AB$2/Cal!$G99</f>
        <v>2.792964146934483E-3</v>
      </c>
      <c r="AC100">
        <f ca="1">data0!V99/Calculations!AC$2/Cal!$G99</f>
        <v>3.0285627463707025E-3</v>
      </c>
      <c r="AD100">
        <f ca="1">data0!W99/Calculations!AD$2/Cal!$G99</f>
        <v>3.9897918995872358E-3</v>
      </c>
      <c r="AE100">
        <f ca="1">data0!X99/Calculations!AE$2/Cal!$G99</f>
        <v>5.1809045381834831E-3</v>
      </c>
      <c r="AF100">
        <f ca="1">data0!Y99/Calculations!AF$2/Cal!$G99</f>
        <v>3.6430955508164496E-3</v>
      </c>
      <c r="AG100">
        <f ca="1">data0!Z99/Calculations!AG$2/Cal!$G99</f>
        <v>3.7317315373072155E-3</v>
      </c>
      <c r="AH100" t="e">
        <f ca="1">data0!AA99/Calculations!AH$2/Cal!$G99</f>
        <v>#DIV/0!</v>
      </c>
      <c r="AI100" t="e">
        <f ca="1">data0!AB99/Calculations!AI$2/Cal!$G99</f>
        <v>#DIV/0!</v>
      </c>
      <c r="AJ100" t="e">
        <f ca="1">data0!AC99/Calculations!AJ$2/Cal!$G99</f>
        <v>#DIV/0!</v>
      </c>
      <c r="AK100" t="e">
        <f ca="1">data0!AD99/Calculations!AK$2/Cal!$G99</f>
        <v>#DIV/0!</v>
      </c>
      <c r="AL100" t="e">
        <f ca="1">data0!AE99/Calculations!AL$2/Cal!$G99</f>
        <v>#DIV/0!</v>
      </c>
      <c r="AM100" t="e">
        <f ca="1">data0!AF99/Calculations!AM$2/Cal!$G99</f>
        <v>#DIV/0!</v>
      </c>
      <c r="AN100" t="e">
        <f ca="1">data0!AG99/Calculations!AN$2/Cal!$G99</f>
        <v>#DIV/0!</v>
      </c>
    </row>
    <row r="101" spans="1:40">
      <c r="A101">
        <f>data0!A100</f>
        <v>790</v>
      </c>
      <c r="B101" t="e">
        <f t="shared" ca="1" si="5"/>
        <v>#DIV/0!</v>
      </c>
      <c r="C101" t="e">
        <f t="shared" ca="1" si="6"/>
        <v>#DIV/0!</v>
      </c>
      <c r="D101" t="e">
        <f t="shared" ca="1" si="7"/>
        <v>#DIV/0!</v>
      </c>
      <c r="F101" t="e">
        <f t="shared" ca="1" si="8"/>
        <v>#DIV/0!</v>
      </c>
      <c r="G101" t="e">
        <f t="shared" ca="1" si="9"/>
        <v>#DIV/0!</v>
      </c>
      <c r="I101">
        <f ca="1">data0!B100/Calculations!I$2/Cal!$G100</f>
        <v>3.609592049253835E-3</v>
      </c>
      <c r="J101">
        <f ca="1">data0!C100/Calculations!J$2/Cal!$G100</f>
        <v>5.7843500636020262E-3</v>
      </c>
      <c r="K101">
        <f ca="1">data0!D100/Calculations!K$2/Cal!$G100</f>
        <v>6.6411599441903238E-3</v>
      </c>
      <c r="L101">
        <f ca="1">data0!E100/Calculations!L$2/Cal!$G100</f>
        <v>8.2003941275396782E-3</v>
      </c>
      <c r="M101">
        <f ca="1">data0!F100/Calculations!M$2/Cal!$G100</f>
        <v>2.653287639133325E-4</v>
      </c>
      <c r="N101">
        <f ca="1">data0!G100/Calculations!N$2/Cal!$G100</f>
        <v>3.7374962404447196E-3</v>
      </c>
      <c r="O101">
        <f ca="1">data0!H100/Calculations!O$2/Cal!$G100</f>
        <v>3.7709965241615358E-3</v>
      </c>
      <c r="P101">
        <f ca="1">data0!I100/Calculations!P$2/Cal!$G100</f>
        <v>3.5979823192054303E-3</v>
      </c>
      <c r="Q101">
        <f ca="1">data0!J100/Calculations!Q$2/Cal!$G100</f>
        <v>2.8886174710058125E-3</v>
      </c>
      <c r="R101">
        <f ca="1">data0!K100/Calculations!R$2/Cal!$G100</f>
        <v>2.0138249045702481E-3</v>
      </c>
      <c r="S101">
        <f ca="1">data0!L100/Calculations!S$2/Cal!$G100</f>
        <v>2.2420112909885305E-3</v>
      </c>
      <c r="T101">
        <f ca="1">data0!M100/Calculations!T$2/Cal!$G100</f>
        <v>2.607352643155556E-3</v>
      </c>
      <c r="U101">
        <f ca="1">data0!N100/Calculations!U$2/Cal!$G100</f>
        <v>2.7461313527225284E-3</v>
      </c>
      <c r="V101">
        <f ca="1">data0!O100/Calculations!V$2/Cal!$G100</f>
        <v>2.5384979571852801E-3</v>
      </c>
      <c r="W101">
        <f ca="1">data0!P100/Calculations!W$2/Cal!$G100</f>
        <v>2.0658193981271515E-3</v>
      </c>
      <c r="X101">
        <f ca="1">data0!Q100/Calculations!X$2/Cal!$G100</f>
        <v>9.8868787771763536E-4</v>
      </c>
      <c r="Y101">
        <f ca="1">data0!R100/Calculations!Y$2/Cal!$G100</f>
        <v>1.6695069620101717E-3</v>
      </c>
      <c r="Z101">
        <f ca="1">data0!S100/Calculations!Z$2/Cal!$G100</f>
        <v>2.1212591177228344E-3</v>
      </c>
      <c r="AA101">
        <f ca="1">data0!T100/Calculations!AA$2/Cal!$G100</f>
        <v>2.6818813668429476E-3</v>
      </c>
      <c r="AB101">
        <f ca="1">data0!U100/Calculations!AB$2/Cal!$G100</f>
        <v>2.5868238899387792E-3</v>
      </c>
      <c r="AC101">
        <f ca="1">data0!V100/Calculations!AC$2/Cal!$G100</f>
        <v>2.8923198383167936E-3</v>
      </c>
      <c r="AD101">
        <f ca="1">data0!W100/Calculations!AD$2/Cal!$G100</f>
        <v>3.7538011874537853E-3</v>
      </c>
      <c r="AE101">
        <f ca="1">data0!X100/Calculations!AE$2/Cal!$G100</f>
        <v>4.6836991546726856E-3</v>
      </c>
      <c r="AF101">
        <f ca="1">data0!Y100/Calculations!AF$2/Cal!$G100</f>
        <v>3.3611057660164925E-3</v>
      </c>
      <c r="AG101">
        <f ca="1">data0!Z100/Calculations!AG$2/Cal!$G100</f>
        <v>3.825423271759974E-3</v>
      </c>
      <c r="AH101" t="e">
        <f ca="1">data0!AA100/Calculations!AH$2/Cal!$G100</f>
        <v>#DIV/0!</v>
      </c>
      <c r="AI101" t="e">
        <f ca="1">data0!AB100/Calculations!AI$2/Cal!$G100</f>
        <v>#DIV/0!</v>
      </c>
      <c r="AJ101" t="e">
        <f ca="1">data0!AC100/Calculations!AJ$2/Cal!$G100</f>
        <v>#DIV/0!</v>
      </c>
      <c r="AK101" t="e">
        <f ca="1">data0!AD100/Calculations!AK$2/Cal!$G100</f>
        <v>#DIV/0!</v>
      </c>
      <c r="AL101" t="e">
        <f ca="1">data0!AE100/Calculations!AL$2/Cal!$G100</f>
        <v>#DIV/0!</v>
      </c>
      <c r="AM101" t="e">
        <f ca="1">data0!AF100/Calculations!AM$2/Cal!$G100</f>
        <v>#DIV/0!</v>
      </c>
      <c r="AN101" t="e">
        <f ca="1">data0!AG100/Calculations!AN$2/Cal!$G100</f>
        <v>#DIV/0!</v>
      </c>
    </row>
    <row r="102" spans="1:40">
      <c r="A102">
        <f>data0!A101</f>
        <v>795</v>
      </c>
      <c r="B102" t="e">
        <f t="shared" ca="1" si="5"/>
        <v>#DIV/0!</v>
      </c>
      <c r="C102" t="e">
        <f t="shared" ca="1" si="6"/>
        <v>#DIV/0!</v>
      </c>
      <c r="D102" t="e">
        <f t="shared" ca="1" si="7"/>
        <v>#DIV/0!</v>
      </c>
      <c r="F102" t="e">
        <f t="shared" ca="1" si="8"/>
        <v>#DIV/0!</v>
      </c>
      <c r="G102" t="e">
        <f t="shared" ca="1" si="9"/>
        <v>#DIV/0!</v>
      </c>
      <c r="I102">
        <f ca="1">data0!B101/Calculations!I$2/Cal!$G101</f>
        <v>3.7026298656299981E-3</v>
      </c>
      <c r="J102">
        <f ca="1">data0!C101/Calculations!J$2/Cal!$G101</f>
        <v>5.9334426180318546E-3</v>
      </c>
      <c r="K102">
        <f ca="1">data0!D101/Calculations!K$2/Cal!$G101</f>
        <v>6.4537929001631912E-3</v>
      </c>
      <c r="L102">
        <f ca="1">data0!E101/Calculations!L$2/Cal!$G101</f>
        <v>7.9785366425290886E-3</v>
      </c>
      <c r="M102">
        <f ca="1">data0!F101/Calculations!M$2/Cal!$G101</f>
        <v>3.8881093308646775E-5</v>
      </c>
      <c r="N102">
        <f ca="1">data0!G101/Calculations!N$2/Cal!$G101</f>
        <v>3.6195175248075681E-3</v>
      </c>
      <c r="O102">
        <f ca="1">data0!H101/Calculations!O$2/Cal!$G101</f>
        <v>3.5308521644964587E-3</v>
      </c>
      <c r="P102">
        <f ca="1">data0!I101/Calculations!P$2/Cal!$G101</f>
        <v>3.2406331763575481E-3</v>
      </c>
      <c r="Q102">
        <f ca="1">data0!J101/Calculations!Q$2/Cal!$G101</f>
        <v>3.0309285258277928E-3</v>
      </c>
      <c r="R102">
        <f ca="1">data0!K101/Calculations!R$2/Cal!$G101</f>
        <v>2.088432045169143E-3</v>
      </c>
      <c r="S102">
        <f ca="1">data0!L101/Calculations!S$2/Cal!$G101</f>
        <v>1.4881055854223527E-3</v>
      </c>
      <c r="T102">
        <f ca="1">data0!M101/Calculations!T$2/Cal!$G101</f>
        <v>1.7679279201737582E-3</v>
      </c>
      <c r="U102">
        <f ca="1">data0!N101/Calculations!U$2/Cal!$G101</f>
        <v>1.9831070678137316E-3</v>
      </c>
      <c r="V102">
        <f ca="1">data0!O101/Calculations!V$2/Cal!$G101</f>
        <v>1.6217447145709649E-3</v>
      </c>
      <c r="W102">
        <f ca="1">data0!P101/Calculations!W$2/Cal!$G101</f>
        <v>1.1746997008552009E-3</v>
      </c>
      <c r="X102">
        <f ca="1">data0!Q101/Calculations!X$2/Cal!$G101</f>
        <v>1.0849276586896051E-3</v>
      </c>
      <c r="Y102">
        <f ca="1">data0!R101/Calculations!Y$2/Cal!$G101</f>
        <v>1.8118163744118869E-3</v>
      </c>
      <c r="Z102">
        <f ca="1">data0!S101/Calculations!Z$2/Cal!$G101</f>
        <v>1.6072245573519875E-3</v>
      </c>
      <c r="AA102">
        <f ca="1">data0!T101/Calculations!AA$2/Cal!$G101</f>
        <v>2.5031687213051203E-3</v>
      </c>
      <c r="AB102">
        <f ca="1">data0!U101/Calculations!AB$2/Cal!$G101</f>
        <v>2.3958782867585546E-3</v>
      </c>
      <c r="AC102">
        <f ca="1">data0!V101/Calculations!AC$2/Cal!$G101</f>
        <v>2.7491179442001726E-3</v>
      </c>
      <c r="AD102">
        <f ca="1">data0!W101/Calculations!AD$2/Cal!$G101</f>
        <v>3.6781431788250837E-3</v>
      </c>
      <c r="AE102">
        <f ca="1">data0!X101/Calculations!AE$2/Cal!$G101</f>
        <v>4.1180762661530675E-3</v>
      </c>
      <c r="AF102">
        <f ca="1">data0!Y101/Calculations!AF$2/Cal!$G101</f>
        <v>3.447738808424747E-3</v>
      </c>
      <c r="AG102">
        <f ca="1">data0!Z101/Calculations!AG$2/Cal!$G101</f>
        <v>3.9240241726547663E-3</v>
      </c>
      <c r="AH102" t="e">
        <f ca="1">data0!AA101/Calculations!AH$2/Cal!$G101</f>
        <v>#DIV/0!</v>
      </c>
      <c r="AI102" t="e">
        <f ca="1">data0!AB101/Calculations!AI$2/Cal!$G101</f>
        <v>#DIV/0!</v>
      </c>
      <c r="AJ102" t="e">
        <f ca="1">data0!AC101/Calculations!AJ$2/Cal!$G101</f>
        <v>#DIV/0!</v>
      </c>
      <c r="AK102" t="e">
        <f ca="1">data0!AD101/Calculations!AK$2/Cal!$G101</f>
        <v>#DIV/0!</v>
      </c>
      <c r="AL102" t="e">
        <f ca="1">data0!AE101/Calculations!AL$2/Cal!$G101</f>
        <v>#DIV/0!</v>
      </c>
      <c r="AM102" t="e">
        <f ca="1">data0!AF101/Calculations!AM$2/Cal!$G101</f>
        <v>#DIV/0!</v>
      </c>
      <c r="AN102" t="e">
        <f ca="1">data0!AG101/Calculations!AN$2/Cal!$G101</f>
        <v>#DIV/0!</v>
      </c>
    </row>
    <row r="103" spans="1:40">
      <c r="A103">
        <f>data0!A102</f>
        <v>800</v>
      </c>
      <c r="B103" t="e">
        <f t="shared" ca="1" si="5"/>
        <v>#DIV/0!</v>
      </c>
      <c r="C103" t="e">
        <f t="shared" ca="1" si="6"/>
        <v>#DIV/0!</v>
      </c>
      <c r="D103" t="e">
        <f t="shared" ca="1" si="7"/>
        <v>#DIV/0!</v>
      </c>
      <c r="F103" t="e">
        <f t="shared" ca="1" si="8"/>
        <v>#DIV/0!</v>
      </c>
      <c r="G103" t="e">
        <f t="shared" ca="1" si="9"/>
        <v>#DIV/0!</v>
      </c>
      <c r="I103">
        <f ca="1">data0!B102/Calculations!I$2/Cal!$G102</f>
        <v>3.7835766230969437E-3</v>
      </c>
      <c r="J103">
        <f ca="1">data0!C102/Calculations!J$2/Cal!$G102</f>
        <v>6.0631593215576983E-3</v>
      </c>
      <c r="K103">
        <f ca="1">data0!D102/Calculations!K$2/Cal!$G102</f>
        <v>6.2285029953000753E-3</v>
      </c>
      <c r="L103">
        <f ca="1">data0!E102/Calculations!L$2/Cal!$G102</f>
        <v>7.6364857025361518E-3</v>
      </c>
      <c r="M103">
        <f ca="1">data0!F102/Calculations!M$2/Cal!$G102</f>
        <v>3.973111033554968E-5</v>
      </c>
      <c r="N103">
        <f ca="1">data0!G102/Calculations!N$2/Cal!$G102</f>
        <v>3.4553149651543485E-3</v>
      </c>
      <c r="O103">
        <f ca="1">data0!H102/Calculations!O$2/Cal!$G102</f>
        <v>3.2863070972480855E-3</v>
      </c>
      <c r="P103">
        <f ca="1">data0!I102/Calculations!P$2/Cal!$G102</f>
        <v>2.9435374418589895E-3</v>
      </c>
      <c r="Q103">
        <f ca="1">data0!J102/Calculations!Q$2/Cal!$G102</f>
        <v>2.7504902815756274E-3</v>
      </c>
      <c r="R103">
        <f ca="1">data0!K102/Calculations!R$2/Cal!$G102</f>
        <v>2.3892521405291618E-3</v>
      </c>
      <c r="S103">
        <f ca="1">data0!L102/Calculations!S$2/Cal!$G102</f>
        <v>1.3132786673424976E-3</v>
      </c>
      <c r="T103">
        <f ca="1">data0!M102/Calculations!T$2/Cal!$G102</f>
        <v>9.9593418369380341E-4</v>
      </c>
      <c r="U103">
        <f ca="1">data0!N102/Calculations!U$2/Cal!$G102</f>
        <v>1.0592867838845727E-3</v>
      </c>
      <c r="V103">
        <f ca="1">data0!O102/Calculations!V$2/Cal!$G102</f>
        <v>7.7024755739275527E-4</v>
      </c>
      <c r="W103">
        <f ca="1">data0!P102/Calculations!W$2/Cal!$G102</f>
        <v>9.6501213914405631E-4</v>
      </c>
      <c r="X103">
        <f ca="1">data0!Q102/Calculations!X$2/Cal!$G102</f>
        <v>1.5424643904696056E-3</v>
      </c>
      <c r="Y103">
        <f ca="1">data0!R102/Calculations!Y$2/Cal!$G102</f>
        <v>1.2173761572708899E-3</v>
      </c>
      <c r="Z103">
        <f ca="1">data0!S102/Calculations!Z$2/Cal!$G102</f>
        <v>1.4654919807393977E-3</v>
      </c>
      <c r="AA103">
        <f ca="1">data0!T102/Calculations!AA$2/Cal!$G102</f>
        <v>2.1273565486244809E-3</v>
      </c>
      <c r="AB103">
        <f ca="1">data0!U102/Calculations!AB$2/Cal!$G102</f>
        <v>2.1323527945696355E-3</v>
      </c>
      <c r="AC103">
        <f ca="1">data0!V102/Calculations!AC$2/Cal!$G102</f>
        <v>2.503264471661324E-3</v>
      </c>
      <c r="AD103">
        <f ca="1">data0!W102/Calculations!AD$2/Cal!$G102</f>
        <v>3.7291909604928609E-3</v>
      </c>
      <c r="AE103">
        <f ca="1">data0!X102/Calculations!AE$2/Cal!$G102</f>
        <v>3.5067546383080548E-3</v>
      </c>
      <c r="AF103">
        <f ca="1">data0!Y102/Calculations!AF$2/Cal!$G102</f>
        <v>3.5231131470065073E-3</v>
      </c>
      <c r="AG103">
        <f ca="1">data0!Z102/Calculations!AG$2/Cal!$G102</f>
        <v>4.009811044290738E-3</v>
      </c>
      <c r="AH103" t="e">
        <f ca="1">data0!AA102/Calculations!AH$2/Cal!$G102</f>
        <v>#DIV/0!</v>
      </c>
      <c r="AI103" t="e">
        <f ca="1">data0!AB102/Calculations!AI$2/Cal!$G102</f>
        <v>#DIV/0!</v>
      </c>
      <c r="AJ103" t="e">
        <f ca="1">data0!AC102/Calculations!AJ$2/Cal!$G102</f>
        <v>#DIV/0!</v>
      </c>
      <c r="AK103" t="e">
        <f ca="1">data0!AD102/Calculations!AK$2/Cal!$G102</f>
        <v>#DIV/0!</v>
      </c>
      <c r="AL103" t="e">
        <f ca="1">data0!AE102/Calculations!AL$2/Cal!$G102</f>
        <v>#DIV/0!</v>
      </c>
      <c r="AM103" t="e">
        <f ca="1">data0!AF102/Calculations!AM$2/Cal!$G102</f>
        <v>#DIV/0!</v>
      </c>
      <c r="AN103" t="e">
        <f ca="1">data0!AG102/Calculations!AN$2/Cal!$G102</f>
        <v>#DIV/0!</v>
      </c>
    </row>
    <row r="104" spans="1:40">
      <c r="A104">
        <f>data0!A103</f>
        <v>805</v>
      </c>
      <c r="B104" t="e">
        <f t="shared" ca="1" si="5"/>
        <v>#DIV/0!</v>
      </c>
      <c r="C104" t="e">
        <f t="shared" ca="1" si="6"/>
        <v>#DIV/0!</v>
      </c>
      <c r="D104" t="e">
        <f t="shared" ca="1" si="7"/>
        <v>#DIV/0!</v>
      </c>
      <c r="F104" t="e">
        <f t="shared" ca="1" si="8"/>
        <v>#DIV/0!</v>
      </c>
      <c r="G104" t="e">
        <f t="shared" ca="1" si="9"/>
        <v>#DIV/0!</v>
      </c>
      <c r="I104">
        <f ca="1">data0!B103/Calculations!I$2/Cal!$G103</f>
        <v>3.8777046862485003E-3</v>
      </c>
      <c r="J104">
        <f ca="1">data0!C103/Calculations!J$2/Cal!$G103</f>
        <v>6.2139989900432254E-3</v>
      </c>
      <c r="K104">
        <f ca="1">data0!D103/Calculations!K$2/Cal!$G103</f>
        <v>6.0079583535682336E-3</v>
      </c>
      <c r="L104">
        <f ca="1">data0!E103/Calculations!L$2/Cal!$G103</f>
        <v>7.2215224297699498E-3</v>
      </c>
      <c r="M104">
        <f ca="1">data0!F103/Calculations!M$2/Cal!$G103</f>
        <v>4.0719543459889308E-5</v>
      </c>
      <c r="N104">
        <f ca="1">data0!G103/Calculations!N$2/Cal!$G103</f>
        <v>3.2669524302799198E-3</v>
      </c>
      <c r="O104">
        <f ca="1">data0!H103/Calculations!O$2/Cal!$G103</f>
        <v>3.0618762984580181E-3</v>
      </c>
      <c r="P104">
        <f ca="1">data0!I103/Calculations!P$2/Cal!$G103</f>
        <v>2.7339450712266615E-3</v>
      </c>
      <c r="Q104">
        <f ca="1">data0!J103/Calculations!Q$2/Cal!$G103</f>
        <v>2.2740844269126619E-3</v>
      </c>
      <c r="R104">
        <f ca="1">data0!K103/Calculations!R$2/Cal!$G103</f>
        <v>2.3773709402544335E-3</v>
      </c>
      <c r="S104">
        <f ca="1">data0!L103/Calculations!S$2/Cal!$G103</f>
        <v>1.6765348203817046E-3</v>
      </c>
      <c r="T104">
        <f ca="1">data0!M103/Calculations!T$2/Cal!$G103</f>
        <v>9.7323616586315659E-4</v>
      </c>
      <c r="U104">
        <f ca="1">data0!N103/Calculations!U$2/Cal!$G103</f>
        <v>8.2603025003151682E-4</v>
      </c>
      <c r="V104">
        <f ca="1">data0!O103/Calculations!V$2/Cal!$G103</f>
        <v>7.6548831732567684E-4</v>
      </c>
      <c r="W104">
        <f ca="1">data0!P103/Calculations!W$2/Cal!$G103</f>
        <v>1.4473460350619913E-3</v>
      </c>
      <c r="X104">
        <f ca="1">data0!Q103/Calculations!X$2/Cal!$G103</f>
        <v>1.5561372798073752E-3</v>
      </c>
      <c r="Y104">
        <f ca="1">data0!R103/Calculations!Y$2/Cal!$G103</f>
        <v>3.6390144737701924E-4</v>
      </c>
      <c r="Z104">
        <f ca="1">data0!S103/Calculations!Z$2/Cal!$G103</f>
        <v>1.4501591887288896E-3</v>
      </c>
      <c r="AA104">
        <f ca="1">data0!T103/Calculations!AA$2/Cal!$G103</f>
        <v>1.7390335931869252E-3</v>
      </c>
      <c r="AB104">
        <f ca="1">data0!U103/Calculations!AB$2/Cal!$G103</f>
        <v>1.8616384275571109E-3</v>
      </c>
      <c r="AC104">
        <f ca="1">data0!V103/Calculations!AC$2/Cal!$G103</f>
        <v>2.0239266356888415E-3</v>
      </c>
      <c r="AD104">
        <f ca="1">data0!W103/Calculations!AD$2/Cal!$G103</f>
        <v>3.490929553932405E-3</v>
      </c>
      <c r="AE104">
        <f ca="1">data0!X103/Calculations!AE$2/Cal!$G103</f>
        <v>3.234596350737166E-3</v>
      </c>
      <c r="AF104">
        <f ca="1">data0!Y103/Calculations!AF$2/Cal!$G103</f>
        <v>3.2095655214584083E-3</v>
      </c>
      <c r="AG104">
        <f ca="1">data0!Z103/Calculations!AG$2/Cal!$G103</f>
        <v>3.0821755991600522E-3</v>
      </c>
      <c r="AH104" t="e">
        <f ca="1">data0!AA103/Calculations!AH$2/Cal!$G103</f>
        <v>#DIV/0!</v>
      </c>
      <c r="AI104" t="e">
        <f ca="1">data0!AB103/Calculations!AI$2/Cal!$G103</f>
        <v>#DIV/0!</v>
      </c>
      <c r="AJ104" t="e">
        <f ca="1">data0!AC103/Calculations!AJ$2/Cal!$G103</f>
        <v>#DIV/0!</v>
      </c>
      <c r="AK104" t="e">
        <f ca="1">data0!AD103/Calculations!AK$2/Cal!$G103</f>
        <v>#DIV/0!</v>
      </c>
      <c r="AL104" t="e">
        <f ca="1">data0!AE103/Calculations!AL$2/Cal!$G103</f>
        <v>#DIV/0!</v>
      </c>
      <c r="AM104" t="e">
        <f ca="1">data0!AF103/Calculations!AM$2/Cal!$G103</f>
        <v>#DIV/0!</v>
      </c>
      <c r="AN104" t="e">
        <f ca="1">data0!AG103/Calculations!AN$2/Cal!$G103</f>
        <v>#DIV/0!</v>
      </c>
    </row>
    <row r="105" spans="1:40">
      <c r="A105">
        <f>data0!A104</f>
        <v>810</v>
      </c>
      <c r="B105" t="e">
        <f t="shared" ca="1" si="5"/>
        <v>#DIV/0!</v>
      </c>
      <c r="C105" t="e">
        <f t="shared" ca="1" si="6"/>
        <v>#DIV/0!</v>
      </c>
      <c r="D105" t="e">
        <f t="shared" ca="1" si="7"/>
        <v>#DIV/0!</v>
      </c>
      <c r="F105" t="e">
        <f t="shared" ca="1" si="8"/>
        <v>#DIV/0!</v>
      </c>
      <c r="G105" t="e">
        <f t="shared" ca="1" si="9"/>
        <v>#DIV/0!</v>
      </c>
      <c r="I105">
        <f ca="1">data0!B104/Calculations!I$2/Cal!$G104</f>
        <v>3.9545065967826649E-3</v>
      </c>
      <c r="J105">
        <f ca="1">data0!C104/Calculations!J$2/Cal!$G104</f>
        <v>6.3370736006976023E-3</v>
      </c>
      <c r="K105">
        <f ca="1">data0!D104/Calculations!K$2/Cal!$G104</f>
        <v>6.1269521185137879E-3</v>
      </c>
      <c r="L105">
        <f ca="1">data0!E104/Calculations!L$2/Cal!$G104</f>
        <v>6.7476262768428981E-3</v>
      </c>
      <c r="M105">
        <f ca="1">data0!F104/Calculations!M$2/Cal!$G104</f>
        <v>4.1526035698684306E-5</v>
      </c>
      <c r="N105">
        <f ca="1">data0!G104/Calculations!N$2/Cal!$G104</f>
        <v>3.0519002159689599E-3</v>
      </c>
      <c r="O105">
        <f ca="1">data0!H104/Calculations!O$2/Cal!$G104</f>
        <v>2.8823261558083612E-3</v>
      </c>
      <c r="P105">
        <f ca="1">data0!I104/Calculations!P$2/Cal!$G104</f>
        <v>2.4756349484768452E-3</v>
      </c>
      <c r="Q105">
        <f ca="1">data0!J104/Calculations!Q$2/Cal!$G104</f>
        <v>1.9567616983128108E-3</v>
      </c>
      <c r="R105">
        <f ca="1">data0!K104/Calculations!R$2/Cal!$G104</f>
        <v>1.8910765670384897E-3</v>
      </c>
      <c r="S105">
        <f ca="1">data0!L104/Calculations!S$2/Cal!$G104</f>
        <v>1.8542254951731711E-3</v>
      </c>
      <c r="T105">
        <f ca="1">data0!M104/Calculations!T$2/Cal!$G104</f>
        <v>1.4282491049963364E-3</v>
      </c>
      <c r="U105">
        <f ca="1">data0!N104/Calculations!U$2/Cal!$G104</f>
        <v>1.2756200645993613E-3</v>
      </c>
      <c r="V105">
        <f ca="1">data0!O104/Calculations!V$2/Cal!$G104</f>
        <v>1.2685556129964804E-3</v>
      </c>
      <c r="W105">
        <f ca="1">data0!P104/Calculations!W$2/Cal!$G104</f>
        <v>1.6728139153586088E-3</v>
      </c>
      <c r="X105">
        <f ca="1">data0!Q104/Calculations!X$2/Cal!$G104</f>
        <v>8.0607401607499035E-4</v>
      </c>
      <c r="Y105">
        <f ca="1">data0!R104/Calculations!Y$2/Cal!$G104</f>
        <v>5.3015554971034554E-5</v>
      </c>
      <c r="Z105">
        <f ca="1">data0!S104/Calculations!Z$2/Cal!$G104</f>
        <v>1.1883865474967114E-3</v>
      </c>
      <c r="AA105">
        <f ca="1">data0!T104/Calculations!AA$2/Cal!$G104</f>
        <v>1.4028996746742858E-3</v>
      </c>
      <c r="AB105">
        <f ca="1">data0!U104/Calculations!AB$2/Cal!$G104</f>
        <v>1.7059075727089946E-3</v>
      </c>
      <c r="AC105">
        <f ca="1">data0!V104/Calculations!AC$2/Cal!$G104</f>
        <v>1.5988829929628385E-3</v>
      </c>
      <c r="AD105">
        <f ca="1">data0!W104/Calculations!AD$2/Cal!$G104</f>
        <v>2.823504625545147E-3</v>
      </c>
      <c r="AE105">
        <f ca="1">data0!X104/Calculations!AE$2/Cal!$G104</f>
        <v>3.3444754818922591E-3</v>
      </c>
      <c r="AF105">
        <f ca="1">data0!Y104/Calculations!AF$2/Cal!$G104</f>
        <v>2.8639924954010818E-3</v>
      </c>
      <c r="AG105">
        <f ca="1">data0!Z104/Calculations!AG$2/Cal!$G104</f>
        <v>3.1432212418199333E-3</v>
      </c>
      <c r="AH105" t="e">
        <f ca="1">data0!AA104/Calculations!AH$2/Cal!$G104</f>
        <v>#DIV/0!</v>
      </c>
      <c r="AI105" t="e">
        <f ca="1">data0!AB104/Calculations!AI$2/Cal!$G104</f>
        <v>#DIV/0!</v>
      </c>
      <c r="AJ105" t="e">
        <f ca="1">data0!AC104/Calculations!AJ$2/Cal!$G104</f>
        <v>#DIV/0!</v>
      </c>
      <c r="AK105" t="e">
        <f ca="1">data0!AD104/Calculations!AK$2/Cal!$G104</f>
        <v>#DIV/0!</v>
      </c>
      <c r="AL105" t="e">
        <f ca="1">data0!AE104/Calculations!AL$2/Cal!$G104</f>
        <v>#DIV/0!</v>
      </c>
      <c r="AM105" t="e">
        <f ca="1">data0!AF104/Calculations!AM$2/Cal!$G104</f>
        <v>#DIV/0!</v>
      </c>
      <c r="AN105" t="e">
        <f ca="1">data0!AG104/Calculations!AN$2/Cal!$G104</f>
        <v>#DIV/0!</v>
      </c>
    </row>
    <row r="106" spans="1:40">
      <c r="A106">
        <f>data0!A105</f>
        <v>815</v>
      </c>
      <c r="B106" t="e">
        <f t="shared" ca="1" si="5"/>
        <v>#DIV/0!</v>
      </c>
      <c r="C106" t="e">
        <f t="shared" ca="1" si="6"/>
        <v>#DIV/0!</v>
      </c>
      <c r="D106" t="e">
        <f t="shared" ca="1" si="7"/>
        <v>#DIV/0!</v>
      </c>
      <c r="F106" t="e">
        <f t="shared" ca="1" si="8"/>
        <v>#DIV/0!</v>
      </c>
      <c r="G106" t="e">
        <f t="shared" ca="1" si="9"/>
        <v>#DIV/0!</v>
      </c>
      <c r="I106">
        <f ca="1">data0!B105/Calculations!I$2/Cal!$G105</f>
        <v>2.6822119306855103E-3</v>
      </c>
      <c r="J106">
        <f ca="1">data0!C105/Calculations!J$2/Cal!$G105</f>
        <v>5.6414255546465685E-3</v>
      </c>
      <c r="K106">
        <f ca="1">data0!D105/Calculations!K$2/Cal!$G105</f>
        <v>5.8439678499311353E-3</v>
      </c>
      <c r="L106">
        <f ca="1">data0!E105/Calculations!L$2/Cal!$G105</f>
        <v>6.3158367100906807E-3</v>
      </c>
      <c r="M106">
        <f ca="1">data0!F105/Calculations!M$2/Cal!$G105</f>
        <v>4.2248619868739345E-5</v>
      </c>
      <c r="N106">
        <f ca="1">data0!G105/Calculations!N$2/Cal!$G105</f>
        <v>2.8721302169825618E-3</v>
      </c>
      <c r="O106">
        <f ca="1">data0!H105/Calculations!O$2/Cal!$G105</f>
        <v>2.6881073140242809E-3</v>
      </c>
      <c r="P106">
        <f ca="1">data0!I105/Calculations!P$2/Cal!$G105</f>
        <v>2.2008169434005508E-3</v>
      </c>
      <c r="Q106">
        <f ca="1">data0!J105/Calculations!Q$2/Cal!$G105</f>
        <v>1.8433432662000346E-3</v>
      </c>
      <c r="R106">
        <f ca="1">data0!K105/Calculations!R$2/Cal!$G105</f>
        <v>1.356654460748116E-3</v>
      </c>
      <c r="S106">
        <f ca="1">data0!L105/Calculations!S$2/Cal!$G105</f>
        <v>1.4209927636767471E-3</v>
      </c>
      <c r="T106">
        <f ca="1">data0!M105/Calculations!T$2/Cal!$G105</f>
        <v>1.5023593942407477E-3</v>
      </c>
      <c r="U106">
        <f ca="1">data0!N105/Calculations!U$2/Cal!$G105</f>
        <v>1.567175054431539E-3</v>
      </c>
      <c r="V106">
        <f ca="1">data0!O105/Calculations!V$2/Cal!$G105</f>
        <v>1.3650887684764658E-3</v>
      </c>
      <c r="W106">
        <f ca="1">data0!P105/Calculations!W$2/Cal!$G105</f>
        <v>1.126271918803828E-3</v>
      </c>
      <c r="X106">
        <f ca="1">data0!Q105/Calculations!X$2/Cal!$G105</f>
        <v>2.5628134643595534E-5</v>
      </c>
      <c r="Y106">
        <f ca="1">data0!R105/Calculations!Y$2/Cal!$G105</f>
        <v>1.6181419947564659E-4</v>
      </c>
      <c r="Z106">
        <f ca="1">data0!S105/Calculations!Z$2/Cal!$G105</f>
        <v>8.0604359404676685E-4</v>
      </c>
      <c r="AA106">
        <f ca="1">data0!T105/Calculations!AA$2/Cal!$G105</f>
        <v>1.0502856001566834E-3</v>
      </c>
      <c r="AB106">
        <f ca="1">data0!U105/Calculations!AB$2/Cal!$G105</f>
        <v>1.5676311729783986E-3</v>
      </c>
      <c r="AC106">
        <f ca="1">data0!V105/Calculations!AC$2/Cal!$G105</f>
        <v>1.5971283650575506E-3</v>
      </c>
      <c r="AD106">
        <f ca="1">data0!W105/Calculations!AD$2/Cal!$G105</f>
        <v>1.7797850866687268E-3</v>
      </c>
      <c r="AE106">
        <f ca="1">data0!X105/Calculations!AE$2/Cal!$G105</f>
        <v>3.6823433195635495E-3</v>
      </c>
      <c r="AF106">
        <f ca="1">data0!Y105/Calculations!AF$2/Cal!$G105</f>
        <v>2.4975669831291888E-3</v>
      </c>
      <c r="AG106">
        <f ca="1">data0!Z105/Calculations!AG$2/Cal!$G105</f>
        <v>3.1979156491743969E-3</v>
      </c>
      <c r="AH106" t="e">
        <f ca="1">data0!AA105/Calculations!AH$2/Cal!$G105</f>
        <v>#DIV/0!</v>
      </c>
      <c r="AI106" t="e">
        <f ca="1">data0!AB105/Calculations!AI$2/Cal!$G105</f>
        <v>#DIV/0!</v>
      </c>
      <c r="AJ106" t="e">
        <f ca="1">data0!AC105/Calculations!AJ$2/Cal!$G105</f>
        <v>#DIV/0!</v>
      </c>
      <c r="AK106" t="e">
        <f ca="1">data0!AD105/Calculations!AK$2/Cal!$G105</f>
        <v>#DIV/0!</v>
      </c>
      <c r="AL106" t="e">
        <f ca="1">data0!AE105/Calculations!AL$2/Cal!$G105</f>
        <v>#DIV/0!</v>
      </c>
      <c r="AM106" t="e">
        <f ca="1">data0!AF105/Calculations!AM$2/Cal!$G105</f>
        <v>#DIV/0!</v>
      </c>
      <c r="AN106" t="e">
        <f ca="1">data0!AG105/Calculations!AN$2/Cal!$G105</f>
        <v>#DIV/0!</v>
      </c>
    </row>
    <row r="107" spans="1:40">
      <c r="A107">
        <f>data0!A106</f>
        <v>820</v>
      </c>
      <c r="B107" t="e">
        <f t="shared" ca="1" si="5"/>
        <v>#DIV/0!</v>
      </c>
      <c r="C107" t="e">
        <f t="shared" ca="1" si="6"/>
        <v>#DIV/0!</v>
      </c>
      <c r="D107" t="e">
        <f t="shared" ca="1" si="7"/>
        <v>#DIV/0!</v>
      </c>
      <c r="F107" t="e">
        <f t="shared" ca="1" si="8"/>
        <v>#DIV/0!</v>
      </c>
      <c r="G107" t="e">
        <f t="shared" ca="1" si="9"/>
        <v>#DIV/0!</v>
      </c>
      <c r="I107">
        <f ca="1">data0!B106/Calculations!I$2/Cal!$G106</f>
        <v>2.7311882755311112E-3</v>
      </c>
      <c r="J107">
        <f ca="1">data0!C106/Calculations!J$2/Cal!$G106</f>
        <v>5.7444362079898861E-3</v>
      </c>
      <c r="K107">
        <f ca="1">data0!D106/Calculations!K$2/Cal!$G106</f>
        <v>5.9506768617770709E-3</v>
      </c>
      <c r="L107">
        <f ca="1">data0!E106/Calculations!L$2/Cal!$G106</f>
        <v>6.1116010706066797E-3</v>
      </c>
      <c r="M107">
        <f ca="1">data0!F106/Calculations!M$2/Cal!$G106</f>
        <v>4.3020066357463766E-5</v>
      </c>
      <c r="N107">
        <f ca="1">data0!G106/Calculations!N$2/Cal!$G106</f>
        <v>2.6347516946785571E-3</v>
      </c>
      <c r="O107">
        <f ca="1">data0!H106/Calculations!O$2/Cal!$G106</f>
        <v>2.5381228551098331E-3</v>
      </c>
      <c r="P107">
        <f ca="1">data0!I106/Calculations!P$2/Cal!$G106</f>
        <v>1.9920029235469911E-3</v>
      </c>
      <c r="Q107">
        <f ca="1">data0!J106/Calculations!Q$2/Cal!$G106</f>
        <v>1.701815418882476E-3</v>
      </c>
      <c r="R107">
        <f ca="1">data0!K106/Calculations!R$2/Cal!$G106</f>
        <v>1.1804917809252508E-3</v>
      </c>
      <c r="S107">
        <f ca="1">data0!L106/Calculations!S$2/Cal!$G106</f>
        <v>7.4841705549408906E-4</v>
      </c>
      <c r="T107">
        <f ca="1">data0!M106/Calculations!T$2/Cal!$G106</f>
        <v>9.2790664432452444E-4</v>
      </c>
      <c r="U107">
        <f ca="1">data0!N106/Calculations!U$2/Cal!$G106</f>
        <v>1.1469749359993122E-3</v>
      </c>
      <c r="V107">
        <f ca="1">data0!O106/Calculations!V$2/Cal!$G106</f>
        <v>7.3291694915671483E-4</v>
      </c>
      <c r="W107">
        <f ca="1">data0!P106/Calculations!W$2/Cal!$G106</f>
        <v>2.8033801674860222E-4</v>
      </c>
      <c r="X107">
        <f ca="1">data0!Q106/Calculations!X$2/Cal!$G106</f>
        <v>2.609609630825543E-5</v>
      </c>
      <c r="Y107">
        <f ca="1">data0!R106/Calculations!Y$2/Cal!$G106</f>
        <v>1.3730739871747923E-4</v>
      </c>
      <c r="Z107">
        <f ca="1">data0!S106/Calculations!Z$2/Cal!$G106</f>
        <v>4.6509831762697013E-4</v>
      </c>
      <c r="AA107">
        <f ca="1">data0!T106/Calculations!AA$2/Cal!$G106</f>
        <v>7.9524209182252304E-4</v>
      </c>
      <c r="AB107">
        <f ca="1">data0!U106/Calculations!AB$2/Cal!$G106</f>
        <v>1.2256962531484079E-3</v>
      </c>
      <c r="AC107">
        <f ca="1">data0!V106/Calculations!AC$2/Cal!$G106</f>
        <v>1.89733991840571E-3</v>
      </c>
      <c r="AD107">
        <f ca="1">data0!W106/Calculations!AD$2/Cal!$G106</f>
        <v>8.2665562047976721E-4</v>
      </c>
      <c r="AE107">
        <f ca="1">data0!X106/Calculations!AE$2/Cal!$G106</f>
        <v>3.8445080517128141E-3</v>
      </c>
      <c r="AF107">
        <f ca="1">data0!Y106/Calculations!AF$2/Cal!$G106</f>
        <v>2.1193098423216172E-3</v>
      </c>
      <c r="AG107">
        <f ca="1">data0!Z106/Calculations!AG$2/Cal!$G106</f>
        <v>2.1708723434785437E-3</v>
      </c>
      <c r="AH107" t="e">
        <f ca="1">data0!AA106/Calculations!AH$2/Cal!$G106</f>
        <v>#DIV/0!</v>
      </c>
      <c r="AI107" t="e">
        <f ca="1">data0!AB106/Calculations!AI$2/Cal!$G106</f>
        <v>#DIV/0!</v>
      </c>
      <c r="AJ107" t="e">
        <f ca="1">data0!AC106/Calculations!AJ$2/Cal!$G106</f>
        <v>#DIV/0!</v>
      </c>
      <c r="AK107" t="e">
        <f ca="1">data0!AD106/Calculations!AK$2/Cal!$G106</f>
        <v>#DIV/0!</v>
      </c>
      <c r="AL107" t="e">
        <f ca="1">data0!AE106/Calculations!AL$2/Cal!$G106</f>
        <v>#DIV/0!</v>
      </c>
      <c r="AM107" t="e">
        <f ca="1">data0!AF106/Calculations!AM$2/Cal!$G106</f>
        <v>#DIV/0!</v>
      </c>
      <c r="AN107" t="e">
        <f ca="1">data0!AG106/Calculations!AN$2/Cal!$G106</f>
        <v>#DIV/0!</v>
      </c>
    </row>
    <row r="108" spans="1:40">
      <c r="A108">
        <f>data0!A107</f>
        <v>825</v>
      </c>
      <c r="B108" t="e">
        <f t="shared" ca="1" si="5"/>
        <v>#DIV/0!</v>
      </c>
      <c r="C108" t="e">
        <f t="shared" ca="1" si="6"/>
        <v>#DIV/0!</v>
      </c>
      <c r="D108" t="e">
        <f t="shared" ca="1" si="7"/>
        <v>#DIV/0!</v>
      </c>
      <c r="F108" t="e">
        <f t="shared" ca="1" si="8"/>
        <v>#DIV/0!</v>
      </c>
      <c r="G108" t="e">
        <f t="shared" ca="1" si="9"/>
        <v>#DIV/0!</v>
      </c>
      <c r="I108">
        <f ca="1">data0!B107/Calculations!I$2/Cal!$G107</f>
        <v>2.7738090527680806E-3</v>
      </c>
      <c r="J108">
        <f ca="1">data0!C107/Calculations!J$2/Cal!$G107</f>
        <v>5.8340793637423416E-3</v>
      </c>
      <c r="K108">
        <f ca="1">data0!D107/Calculations!K$2/Cal!$G107</f>
        <v>6.04353844704646E-3</v>
      </c>
      <c r="L108">
        <f ca="1">data0!E107/Calculations!L$2/Cal!$G107</f>
        <v>6.1258371602247851E-3</v>
      </c>
      <c r="M108">
        <f ca="1">data0!F107/Calculations!M$2/Cal!$G107</f>
        <v>4.369140369490329E-5</v>
      </c>
      <c r="N108">
        <f ca="1">data0!G107/Calculations!N$2/Cal!$G107</f>
        <v>2.3815220977547145E-3</v>
      </c>
      <c r="O108">
        <f ca="1">data0!H107/Calculations!O$2/Cal!$G107</f>
        <v>2.4260996858311737E-3</v>
      </c>
      <c r="P108">
        <f ca="1">data0!I107/Calculations!P$2/Cal!$G107</f>
        <v>1.795490966870936E-3</v>
      </c>
      <c r="Q108">
        <f ca="1">data0!J107/Calculations!Q$2/Cal!$G107</f>
        <v>1.4742000994266641E-3</v>
      </c>
      <c r="R108">
        <f ca="1">data0!K107/Calculations!R$2/Cal!$G107</f>
        <v>1.2244224565852782E-3</v>
      </c>
      <c r="S108">
        <f ca="1">data0!L107/Calculations!S$2/Cal!$G107</f>
        <v>4.0538467234044721E-4</v>
      </c>
      <c r="T108">
        <f ca="1">data0!M107/Calculations!T$2/Cal!$G107</f>
        <v>2.0375931540714157E-4</v>
      </c>
      <c r="U108">
        <f ca="1">data0!N107/Calculations!U$2/Cal!$G107</f>
        <v>3.5452678055931903E-4</v>
      </c>
      <c r="V108">
        <f ca="1">data0!O107/Calculations!V$2/Cal!$G107</f>
        <v>2.5667388628259023E-5</v>
      </c>
      <c r="W108">
        <f ca="1">data0!P107/Calculations!W$2/Cal!$G107</f>
        <v>2.5882976687903629E-5</v>
      </c>
      <c r="X108">
        <f ca="1">data0!Q107/Calculations!X$2/Cal!$G107</f>
        <v>2.6503331473063817E-5</v>
      </c>
      <c r="Y108">
        <f ca="1">data0!R107/Calculations!Y$2/Cal!$G107</f>
        <v>2.7890020987751029E-5</v>
      </c>
      <c r="Z108">
        <f ca="1">data0!S107/Calculations!Z$2/Cal!$G107</f>
        <v>1.1114264727649136E-4</v>
      </c>
      <c r="AA108">
        <f ca="1">data0!T107/Calculations!AA$2/Cal!$G107</f>
        <v>7.7980194716708228E-4</v>
      </c>
      <c r="AB108">
        <f ca="1">data0!U107/Calculations!AB$2/Cal!$G107</f>
        <v>6.9478523726778719E-4</v>
      </c>
      <c r="AC108">
        <f ca="1">data0!V107/Calculations!AC$2/Cal!$G107</f>
        <v>1.8046023927852865E-3</v>
      </c>
      <c r="AD108">
        <f ca="1">data0!W107/Calculations!AD$2/Cal!$G107</f>
        <v>3.5519667180540059E-4</v>
      </c>
      <c r="AE108">
        <f ca="1">data0!X107/Calculations!AE$2/Cal!$G107</f>
        <v>3.5188725812247633E-3</v>
      </c>
      <c r="AF108">
        <f ca="1">data0!Y107/Calculations!AF$2/Cal!$G107</f>
        <v>2.1523821257284216E-3</v>
      </c>
      <c r="AG108">
        <f ca="1">data0!Z107/Calculations!AG$2/Cal!$G107</f>
        <v>2.2047492707450477E-3</v>
      </c>
      <c r="AH108" t="e">
        <f ca="1">data0!AA107/Calculations!AH$2/Cal!$G107</f>
        <v>#DIV/0!</v>
      </c>
      <c r="AI108" t="e">
        <f ca="1">data0!AB107/Calculations!AI$2/Cal!$G107</f>
        <v>#DIV/0!</v>
      </c>
      <c r="AJ108" t="e">
        <f ca="1">data0!AC107/Calculations!AJ$2/Cal!$G107</f>
        <v>#DIV/0!</v>
      </c>
      <c r="AK108" t="e">
        <f ca="1">data0!AD107/Calculations!AK$2/Cal!$G107</f>
        <v>#DIV/0!</v>
      </c>
      <c r="AL108" t="e">
        <f ca="1">data0!AE107/Calculations!AL$2/Cal!$G107</f>
        <v>#DIV/0!</v>
      </c>
      <c r="AM108" t="e">
        <f ca="1">data0!AF107/Calculations!AM$2/Cal!$G107</f>
        <v>#DIV/0!</v>
      </c>
      <c r="AN108" t="e">
        <f ca="1">data0!AG107/Calculations!AN$2/Cal!$G107</f>
        <v>#DIV/0!</v>
      </c>
    </row>
    <row r="109" spans="1:40">
      <c r="A109">
        <f>data0!A108</f>
        <v>830</v>
      </c>
      <c r="B109" t="e">
        <f t="shared" ca="1" si="5"/>
        <v>#DIV/0!</v>
      </c>
      <c r="C109" t="e">
        <f t="shared" ca="1" si="6"/>
        <v>#DIV/0!</v>
      </c>
      <c r="D109" t="e">
        <f t="shared" ca="1" si="7"/>
        <v>#DIV/0!</v>
      </c>
      <c r="F109" t="e">
        <f t="shared" ca="1" si="8"/>
        <v>#DIV/0!</v>
      </c>
      <c r="G109" t="e">
        <f t="shared" ca="1" si="9"/>
        <v>#DIV/0!</v>
      </c>
      <c r="I109">
        <f ca="1">data0!B108/Calculations!I$2/Cal!$G108</f>
        <v>2.8057249954481318E-3</v>
      </c>
      <c r="J109">
        <f ca="1">data0!C108/Calculations!J$2/Cal!$G108</f>
        <v>5.0581777646770444E-3</v>
      </c>
      <c r="K109">
        <f ca="1">data0!D108/Calculations!K$2/Cal!$G108</f>
        <v>5.7055380749776669E-3</v>
      </c>
      <c r="L109">
        <f ca="1">data0!E108/Calculations!L$2/Cal!$G108</f>
        <v>6.4014982736845753E-3</v>
      </c>
      <c r="M109">
        <f ca="1">data0!F108/Calculations!M$2/Cal!$G108</f>
        <v>4.4194124794088526E-5</v>
      </c>
      <c r="N109">
        <f ca="1">data0!G108/Calculations!N$2/Cal!$G108</f>
        <v>2.2465248294773633E-3</v>
      </c>
      <c r="O109">
        <f ca="1">data0!H108/Calculations!O$2/Cal!$G108</f>
        <v>2.3262014110492697E-3</v>
      </c>
      <c r="P109">
        <f ca="1">data0!I108/Calculations!P$2/Cal!$G108</f>
        <v>1.5859340396955953E-3</v>
      </c>
      <c r="Q109">
        <f ca="1">data0!J108/Calculations!Q$2/Cal!$G108</f>
        <v>1.2597751886938397E-3</v>
      </c>
      <c r="R109">
        <f ca="1">data0!K108/Calculations!R$2/Cal!$G108</f>
        <v>1.1353016485734649E-3</v>
      </c>
      <c r="S109">
        <f ca="1">data0!L108/Calculations!S$2/Cal!$G108</f>
        <v>4.6130526032555421E-4</v>
      </c>
      <c r="T109">
        <f ca="1">data0!M108/Calculations!T$2/Cal!$G108</f>
        <v>2.5762975813110893E-5</v>
      </c>
      <c r="U109">
        <f ca="1">data0!N108/Calculations!U$2/Cal!$G108</f>
        <v>2.5614716137810757E-5</v>
      </c>
      <c r="V109">
        <f ca="1">data0!O108/Calculations!V$2/Cal!$G108</f>
        <v>2.5962722188941078E-5</v>
      </c>
      <c r="W109">
        <f ca="1">data0!P108/Calculations!W$2/Cal!$G108</f>
        <v>7.8542374127544315E-5</v>
      </c>
      <c r="X109">
        <f ca="1">data0!Q108/Calculations!X$2/Cal!$G108</f>
        <v>2.6808283541513004E-5</v>
      </c>
      <c r="Y109">
        <f ca="1">data0!R108/Calculations!Y$2/Cal!$G108</f>
        <v>2.8210928553577232E-5</v>
      </c>
      <c r="Z109">
        <f ca="1">data0!S108/Calculations!Z$2/Cal!$G108</f>
        <v>2.8105368609704347E-5</v>
      </c>
      <c r="AA109">
        <f ca="1">data0!T108/Calculations!AA$2/Cal!$G108</f>
        <v>8.4511551864180129E-4</v>
      </c>
      <c r="AB109">
        <f ca="1">data0!U108/Calculations!AB$2/Cal!$G108</f>
        <v>4.6851969738742768E-4</v>
      </c>
      <c r="AC109">
        <f ca="1">data0!V108/Calculations!AC$2/Cal!$G108</f>
        <v>1.0828445409279081E-3</v>
      </c>
      <c r="AD109">
        <f ca="1">data0!W108/Calculations!AD$2/Cal!$G108</f>
        <v>5.8791867590662471E-4</v>
      </c>
      <c r="AE109">
        <f ca="1">data0!X108/Calculations!AE$2/Cal!$G108</f>
        <v>3.1692942007631631E-3</v>
      </c>
      <c r="AF109">
        <f ca="1">data0!Y108/Calculations!AF$2/Cal!$G108</f>
        <v>2.1771478191281754E-3</v>
      </c>
      <c r="AG109">
        <f ca="1">data0!Z108/Calculations!AG$2/Cal!$G108</f>
        <v>2.2301175098741119E-3</v>
      </c>
      <c r="AH109" t="e">
        <f ca="1">data0!AA108/Calculations!AH$2/Cal!$G108</f>
        <v>#DIV/0!</v>
      </c>
      <c r="AI109" t="e">
        <f ca="1">data0!AB108/Calculations!AI$2/Cal!$G108</f>
        <v>#DIV/0!</v>
      </c>
      <c r="AJ109" t="e">
        <f ca="1">data0!AC108/Calculations!AJ$2/Cal!$G108</f>
        <v>#DIV/0!</v>
      </c>
      <c r="AK109" t="e">
        <f ca="1">data0!AD108/Calculations!AK$2/Cal!$G108</f>
        <v>#DIV/0!</v>
      </c>
      <c r="AL109" t="e">
        <f ca="1">data0!AE108/Calculations!AL$2/Cal!$G108</f>
        <v>#DIV/0!</v>
      </c>
      <c r="AM109" t="e">
        <f ca="1">data0!AF108/Calculations!AM$2/Cal!$G108</f>
        <v>#DIV/0!</v>
      </c>
      <c r="AN109" t="e">
        <f ca="1">data0!AG108/Calculations!AN$2/Cal!$G108</f>
        <v>#DIV/0!</v>
      </c>
    </row>
    <row r="110" spans="1:40">
      <c r="A110">
        <f>data0!A109</f>
        <v>835</v>
      </c>
      <c r="B110" t="e">
        <f t="shared" ca="1" si="5"/>
        <v>#DIV/0!</v>
      </c>
      <c r="C110" t="e">
        <f t="shared" ca="1" si="6"/>
        <v>#DIV/0!</v>
      </c>
      <c r="D110" t="e">
        <f t="shared" ca="1" si="7"/>
        <v>#DIV/0!</v>
      </c>
      <c r="F110" t="e">
        <f t="shared" ca="1" si="8"/>
        <v>#DIV/0!</v>
      </c>
      <c r="G110" t="e">
        <f t="shared" ca="1" si="9"/>
        <v>#DIV/0!</v>
      </c>
      <c r="I110">
        <f ca="1">data0!B109/Calculations!I$2/Cal!$G109</f>
        <v>2.8280795243773886E-3</v>
      </c>
      <c r="J110">
        <f ca="1">data0!C109/Calculations!J$2/Cal!$G109</f>
        <v>5.0984786428291224E-3</v>
      </c>
      <c r="K110">
        <f ca="1">data0!D109/Calculations!K$2/Cal!$G109</f>
        <v>5.7509967767966205E-3</v>
      </c>
      <c r="L110">
        <f ca="1">data0!E109/Calculations!L$2/Cal!$G109</f>
        <v>6.7833995400912797E-3</v>
      </c>
      <c r="M110">
        <f ca="1">data0!F109/Calculations!M$2/Cal!$G109</f>
        <v>4.4546240144956983E-5</v>
      </c>
      <c r="N110">
        <f ca="1">data0!G109/Calculations!N$2/Cal!$G109</f>
        <v>2.2917063234368213E-3</v>
      </c>
      <c r="O110">
        <f ca="1">data0!H109/Calculations!O$2/Cal!$G109</f>
        <v>2.1386047745155117E-3</v>
      </c>
      <c r="P110">
        <f ca="1">data0!I109/Calculations!P$2/Cal!$G109</f>
        <v>1.4438696159231575E-3</v>
      </c>
      <c r="Q110">
        <f ca="1">data0!J109/Calculations!Q$2/Cal!$G109</f>
        <v>1.0365816185551569E-3</v>
      </c>
      <c r="R110">
        <f ca="1">data0!K109/Calculations!R$2/Cal!$G109</f>
        <v>9.6229187021069028E-4</v>
      </c>
      <c r="S110">
        <f ca="1">data0!L109/Calculations!S$2/Cal!$G109</f>
        <v>5.1664521219148773E-4</v>
      </c>
      <c r="T110">
        <f ca="1">data0!M109/Calculations!T$2/Cal!$G109</f>
        <v>1.2984121246708953E-4</v>
      </c>
      <c r="U110">
        <f ca="1">data0!N109/Calculations!U$2/Cal!$G109</f>
        <v>1.0327520245156661E-4</v>
      </c>
      <c r="V110">
        <f ca="1">data0!O109/Calculations!V$2/Cal!$G109</f>
        <v>2.616957939169492E-5</v>
      </c>
      <c r="W110">
        <f ca="1">data0!P109/Calculations!W$2/Cal!$G109</f>
        <v>2.1111508401185609E-4</v>
      </c>
      <c r="X110">
        <f ca="1">data0!Q109/Calculations!X$2/Cal!$G109</f>
        <v>2.7021877728735458E-5</v>
      </c>
      <c r="Y110">
        <f ca="1">data0!R109/Calculations!Y$2/Cal!$G109</f>
        <v>2.8435698272453908E-5</v>
      </c>
      <c r="Z110">
        <f ca="1">data0!S109/Calculations!Z$2/Cal!$G109</f>
        <v>2.8329297282925117E-5</v>
      </c>
      <c r="AA110">
        <f ca="1">data0!T109/Calculations!AA$2/Cal!$G109</f>
        <v>6.5308420865951356E-4</v>
      </c>
      <c r="AB110">
        <f ca="1">data0!U109/Calculations!AB$2/Cal!$G109</f>
        <v>8.5595786807363063E-4</v>
      </c>
      <c r="AC110">
        <f ca="1">data0!V109/Calculations!AC$2/Cal!$G109</f>
        <v>3.1184916506351699E-5</v>
      </c>
      <c r="AD110">
        <f ca="1">data0!W109/Calculations!AD$2/Cal!$G109</f>
        <v>1.1852058003033379E-3</v>
      </c>
      <c r="AE110">
        <f ca="1">data0!X109/Calculations!AE$2/Cal!$G109</f>
        <v>2.9488112938023982E-3</v>
      </c>
      <c r="AF110">
        <f ca="1">data0!Y109/Calculations!AF$2/Cal!$G109</f>
        <v>1.7555952784772332E-3</v>
      </c>
      <c r="AG110">
        <f ca="1">data0!Z109/Calculations!AG$2/Cal!$G109</f>
        <v>2.2478859035944525E-3</v>
      </c>
      <c r="AH110" t="e">
        <f ca="1">data0!AA109/Calculations!AH$2/Cal!$G109</f>
        <v>#DIV/0!</v>
      </c>
      <c r="AI110" t="e">
        <f ca="1">data0!AB109/Calculations!AI$2/Cal!$G109</f>
        <v>#DIV/0!</v>
      </c>
      <c r="AJ110" t="e">
        <f ca="1">data0!AC109/Calculations!AJ$2/Cal!$G109</f>
        <v>#DIV/0!</v>
      </c>
      <c r="AK110" t="e">
        <f ca="1">data0!AD109/Calculations!AK$2/Cal!$G109</f>
        <v>#DIV/0!</v>
      </c>
      <c r="AL110" t="e">
        <f ca="1">data0!AE109/Calculations!AL$2/Cal!$G109</f>
        <v>#DIV/0!</v>
      </c>
      <c r="AM110" t="e">
        <f ca="1">data0!AF109/Calculations!AM$2/Cal!$G109</f>
        <v>#DIV/0!</v>
      </c>
      <c r="AN110" t="e">
        <f ca="1">data0!AG109/Calculations!AN$2/Cal!$G109</f>
        <v>#DIV/0!</v>
      </c>
    </row>
    <row r="111" spans="1:40">
      <c r="A111">
        <f>data0!A110</f>
        <v>840</v>
      </c>
      <c r="B111" t="e">
        <f t="shared" ca="1" si="5"/>
        <v>#DIV/0!</v>
      </c>
      <c r="C111" t="e">
        <f t="shared" ca="1" si="6"/>
        <v>#DIV/0!</v>
      </c>
      <c r="D111" t="e">
        <f t="shared" ca="1" si="7"/>
        <v>#DIV/0!</v>
      </c>
      <c r="F111" t="e">
        <f t="shared" ca="1" si="8"/>
        <v>#DIV/0!</v>
      </c>
      <c r="G111" t="e">
        <f t="shared" ca="1" si="9"/>
        <v>#DIV/0!</v>
      </c>
      <c r="I111">
        <f ca="1">data0!B110/Calculations!I$2/Cal!$G110</f>
        <v>1.4202338967837815E-3</v>
      </c>
      <c r="J111">
        <f ca="1">data0!C110/Calculations!J$2/Cal!$G110</f>
        <v>5.1208122884509252E-3</v>
      </c>
      <c r="K111">
        <f ca="1">data0!D110/Calculations!K$2/Cal!$G110</f>
        <v>5.3636038656245536E-3</v>
      </c>
      <c r="L111">
        <f ca="1">data0!E110/Calculations!L$2/Cal!$G110</f>
        <v>7.0623743174540472E-3</v>
      </c>
      <c r="M111">
        <f ca="1">data0!F110/Calculations!M$2/Cal!$G110</f>
        <v>4.4741372852354017E-5</v>
      </c>
      <c r="N111">
        <f ca="1">data0!G110/Calculations!N$2/Cal!$G110</f>
        <v>2.3017450350765905E-3</v>
      </c>
      <c r="O111">
        <f ca="1">data0!H110/Calculations!O$2/Cal!$G110</f>
        <v>1.8891810317101592E-3</v>
      </c>
      <c r="P111">
        <f ca="1">data0!I110/Calculations!P$2/Cal!$G110</f>
        <v>1.450194418787924E-3</v>
      </c>
      <c r="Q111">
        <f ca="1">data0!J110/Calculations!Q$2/Cal!$G110</f>
        <v>8.3289782192622259E-4</v>
      </c>
      <c r="R111">
        <f ca="1">data0!K110/Calculations!R$2/Cal!$G110</f>
        <v>8.097762644208703E-4</v>
      </c>
      <c r="S111">
        <f ca="1">data0!L110/Calculations!S$2/Cal!$G110</f>
        <v>4.4107210698303694E-4</v>
      </c>
      <c r="T111">
        <f ca="1">data0!M110/Calculations!T$2/Cal!$G110</f>
        <v>1.8257396100532271E-4</v>
      </c>
      <c r="U111">
        <f ca="1">data0!N110/Calculations!U$2/Cal!$G110</f>
        <v>2.3338709895576884E-4</v>
      </c>
      <c r="V111">
        <f ca="1">data0!O110/Calculations!V$2/Cal!$G110</f>
        <v>5.2568428003935769E-5</v>
      </c>
      <c r="W111">
        <f ca="1">data0!P110/Calculations!W$2/Cal!$G110</f>
        <v>1.3252491966236668E-4</v>
      </c>
      <c r="X111">
        <f ca="1">data0!Q110/Calculations!X$2/Cal!$G110</f>
        <v>2.7140245791741484E-5</v>
      </c>
      <c r="Y111">
        <f ca="1">data0!R110/Calculations!Y$2/Cal!$G110</f>
        <v>2.8560259509778834E-5</v>
      </c>
      <c r="Z111">
        <f ca="1">data0!S110/Calculations!Z$2/Cal!$G110</f>
        <v>2.8453392435725538E-5</v>
      </c>
      <c r="AA111">
        <f ca="1">data0!T110/Calculations!AA$2/Cal!$G110</f>
        <v>1.1407739089066357E-4</v>
      </c>
      <c r="AB111">
        <f ca="1">data0!U110/Calculations!AB$2/Cal!$G110</f>
        <v>1.3043835952983643E-3</v>
      </c>
      <c r="AC111">
        <f ca="1">data0!V110/Calculations!AC$2/Cal!$G110</f>
        <v>3.1321520564697211E-5</v>
      </c>
      <c r="AD111">
        <f ca="1">data0!W110/Calculations!AD$2/Cal!$G110</f>
        <v>1.5210634855503933E-3</v>
      </c>
      <c r="AE111">
        <f ca="1">data0!X110/Calculations!AE$2/Cal!$G110</f>
        <v>3.0110904636042215E-3</v>
      </c>
      <c r="AF111">
        <f ca="1">data0!Y110/Calculations!AF$2/Cal!$G110</f>
        <v>1.7632855809285278E-3</v>
      </c>
      <c r="AG111">
        <f ca="1">data0!Z110/Calculations!AG$2/Cal!$G110</f>
        <v>2.2577326619484831E-3</v>
      </c>
      <c r="AH111" t="e">
        <f ca="1">data0!AA110/Calculations!AH$2/Cal!$G110</f>
        <v>#DIV/0!</v>
      </c>
      <c r="AI111" t="e">
        <f ca="1">data0!AB110/Calculations!AI$2/Cal!$G110</f>
        <v>#DIV/0!</v>
      </c>
      <c r="AJ111" t="e">
        <f ca="1">data0!AC110/Calculations!AJ$2/Cal!$G110</f>
        <v>#DIV/0!</v>
      </c>
      <c r="AK111" t="e">
        <f ca="1">data0!AD110/Calculations!AK$2/Cal!$G110</f>
        <v>#DIV/0!</v>
      </c>
      <c r="AL111" t="e">
        <f ca="1">data0!AE110/Calculations!AL$2/Cal!$G110</f>
        <v>#DIV/0!</v>
      </c>
      <c r="AM111" t="e">
        <f ca="1">data0!AF110/Calculations!AM$2/Cal!$G110</f>
        <v>#DIV/0!</v>
      </c>
      <c r="AN111" t="e">
        <f ca="1">data0!AG110/Calculations!AN$2/Cal!$G110</f>
        <v>#DIV/0!</v>
      </c>
    </row>
    <row r="112" spans="1:40">
      <c r="A112">
        <f>data0!A111</f>
        <v>845</v>
      </c>
      <c r="B112" t="e">
        <f t="shared" ca="1" si="5"/>
        <v>#DIV/0!</v>
      </c>
      <c r="C112" t="e">
        <f t="shared" ca="1" si="6"/>
        <v>#DIV/0!</v>
      </c>
      <c r="D112" t="e">
        <f t="shared" ca="1" si="7"/>
        <v>#DIV/0!</v>
      </c>
      <c r="F112" t="e">
        <f t="shared" ca="1" si="8"/>
        <v>#DIV/0!</v>
      </c>
      <c r="G112" t="e">
        <f t="shared" ca="1" si="9"/>
        <v>#DIV/0!</v>
      </c>
      <c r="I112">
        <f ca="1">data0!B111/Calculations!I$2/Cal!$G111</f>
        <v>1.4212773503709667E-3</v>
      </c>
      <c r="J112">
        <f ca="1">data0!C111/Calculations!J$2/Cal!$G111</f>
        <v>5.1245745771582906E-3</v>
      </c>
      <c r="K112">
        <f ca="1">data0!D111/Calculations!K$2/Cal!$G111</f>
        <v>5.3675445346273859E-3</v>
      </c>
      <c r="L112">
        <f ca="1">data0!E111/Calculations!L$2/Cal!$G111</f>
        <v>7.1091372235266362E-3</v>
      </c>
      <c r="M112">
        <f ca="1">data0!F111/Calculations!M$2/Cal!$G111</f>
        <v>4.4774244582921856E-5</v>
      </c>
      <c r="N112">
        <f ca="1">data0!G111/Calculations!N$2/Cal!$G111</f>
        <v>1.9743738646285447E-3</v>
      </c>
      <c r="O112">
        <f ca="1">data0!H111/Calculations!O$2/Cal!$G111</f>
        <v>1.7610780552811873E-3</v>
      </c>
      <c r="P112">
        <f ca="1">data0!I111/Calculations!P$2/Cal!$G111</f>
        <v>1.5030905910813595E-3</v>
      </c>
      <c r="Q112">
        <f ca="1">data0!J111/Calculations!Q$2/Cal!$G111</f>
        <v>6.7722668669025496E-4</v>
      </c>
      <c r="R112">
        <f ca="1">data0!K111/Calculations!R$2/Cal!$G111</f>
        <v>6.0124317006036748E-4</v>
      </c>
      <c r="S112">
        <f ca="1">data0!L111/Calculations!S$2/Cal!$G111</f>
        <v>3.375382304526244E-4</v>
      </c>
      <c r="T112">
        <f ca="1">data0!M111/Calculations!T$2/Cal!$G111</f>
        <v>1.3050578870465529E-4</v>
      </c>
      <c r="U112">
        <f ca="1">data0!N111/Calculations!U$2/Cal!$G111</f>
        <v>2.0760760768451515E-4</v>
      </c>
      <c r="V112">
        <f ca="1">data0!O111/Calculations!V$2/Cal!$G111</f>
        <v>2.6303525157298574E-5</v>
      </c>
      <c r="W112">
        <f ca="1">data0!P111/Calculations!W$2/Cal!$G111</f>
        <v>2.6524456317558167E-5</v>
      </c>
      <c r="X112">
        <f ca="1">data0!Q111/Calculations!X$2/Cal!$G111</f>
        <v>2.7160185878295267E-5</v>
      </c>
      <c r="Y112">
        <f ca="1">data0!R111/Calculations!Y$2/Cal!$G111</f>
        <v>2.8581242888153275E-5</v>
      </c>
      <c r="Z112">
        <f ca="1">data0!S111/Calculations!Z$2/Cal!$G111</f>
        <v>2.8474297298278029E-5</v>
      </c>
      <c r="AA112">
        <f ca="1">data0!T111/Calculations!AA$2/Cal!$G111</f>
        <v>2.8540301042927292E-5</v>
      </c>
      <c r="AB112">
        <f ca="1">data0!U111/Calculations!AB$2/Cal!$G111</f>
        <v>1.1273407761493049E-3</v>
      </c>
      <c r="AC112">
        <f ca="1">data0!V111/Calculations!AC$2/Cal!$G111</f>
        <v>3.1344532656623294E-5</v>
      </c>
      <c r="AD112">
        <f ca="1">data0!W111/Calculations!AD$2/Cal!$G111</f>
        <v>1.2905447321866327E-3</v>
      </c>
      <c r="AE112">
        <f ca="1">data0!X111/Calculations!AE$2/Cal!$G111</f>
        <v>3.062701228441024E-3</v>
      </c>
      <c r="AF112">
        <f ca="1">data0!Y111/Calculations!AF$2/Cal!$G111</f>
        <v>1.3234358342625945E-3</v>
      </c>
      <c r="AG112">
        <f ca="1">data0!Z111/Calculations!AG$2/Cal!$G111</f>
        <v>2.2593914304445389E-3</v>
      </c>
      <c r="AH112" t="e">
        <f ca="1">data0!AA111/Calculations!AH$2/Cal!$G111</f>
        <v>#DIV/0!</v>
      </c>
      <c r="AI112" t="e">
        <f ca="1">data0!AB111/Calculations!AI$2/Cal!$G111</f>
        <v>#DIV/0!</v>
      </c>
      <c r="AJ112" t="e">
        <f ca="1">data0!AC111/Calculations!AJ$2/Cal!$G111</f>
        <v>#DIV/0!</v>
      </c>
      <c r="AK112" t="e">
        <f ca="1">data0!AD111/Calculations!AK$2/Cal!$G111</f>
        <v>#DIV/0!</v>
      </c>
      <c r="AL112" t="e">
        <f ca="1">data0!AE111/Calculations!AL$2/Cal!$G111</f>
        <v>#DIV/0!</v>
      </c>
      <c r="AM112" t="e">
        <f ca="1">data0!AF111/Calculations!AM$2/Cal!$G111</f>
        <v>#DIV/0!</v>
      </c>
      <c r="AN112" t="e">
        <f ca="1">data0!AG111/Calculations!AN$2/Cal!$G111</f>
        <v>#DIV/0!</v>
      </c>
    </row>
    <row r="113" spans="1:40">
      <c r="A113">
        <f>data0!A112</f>
        <v>850</v>
      </c>
      <c r="B113" t="e">
        <f t="shared" ca="1" si="5"/>
        <v>#DIV/0!</v>
      </c>
      <c r="C113" t="e">
        <f t="shared" ca="1" si="6"/>
        <v>#DIV/0!</v>
      </c>
      <c r="D113" t="e">
        <f t="shared" ca="1" si="7"/>
        <v>#DIV/0!</v>
      </c>
      <c r="F113" t="e">
        <f t="shared" ca="1" si="8"/>
        <v>#DIV/0!</v>
      </c>
      <c r="G113" t="e">
        <f t="shared" ca="1" si="9"/>
        <v>#DIV/0!</v>
      </c>
      <c r="I113">
        <f ca="1">data0!B112/Calculations!I$2/Cal!$G112</f>
        <v>1.4173204063164706E-3</v>
      </c>
      <c r="J113">
        <f ca="1">data0!C112/Calculations!J$2/Cal!$G112</f>
        <v>5.1103073724500644E-3</v>
      </c>
      <c r="K113">
        <f ca="1">data0!D112/Calculations!K$2/Cal!$G112</f>
        <v>5.3526008831099722E-3</v>
      </c>
      <c r="L113">
        <f ca="1">data0!E112/Calculations!L$2/Cal!$G112</f>
        <v>6.9649703065833256E-3</v>
      </c>
      <c r="M113">
        <f ca="1">data0!F112/Calculations!M$2/Cal!$G112</f>
        <v>4.4649589686500197E-5</v>
      </c>
      <c r="N113">
        <f ca="1">data0!G112/Calculations!N$2/Cal!$G112</f>
        <v>1.3672756931115073E-3</v>
      </c>
      <c r="O113">
        <f ca="1">data0!H112/Calculations!O$2/Cal!$G112</f>
        <v>1.8594794848851579E-3</v>
      </c>
      <c r="P113">
        <f ca="1">data0!I112/Calculations!P$2/Cal!$G112</f>
        <v>1.3696898074776077E-3</v>
      </c>
      <c r="Q113">
        <f ca="1">data0!J112/Calculations!Q$2/Cal!$G112</f>
        <v>7.0131589715488954E-4</v>
      </c>
      <c r="R113">
        <f ca="1">data0!K112/Calculations!R$2/Cal!$G112</f>
        <v>3.9102342492269658E-4</v>
      </c>
      <c r="S113">
        <f ca="1">data0!L112/Calculations!S$2/Cal!$G112</f>
        <v>2.0713753455475195E-4</v>
      </c>
      <c r="T113">
        <f ca="1">data0!M112/Calculations!T$2/Cal!$G112</f>
        <v>7.8085469137505694E-5</v>
      </c>
      <c r="U113">
        <f ca="1">data0!N112/Calculations!U$2/Cal!$G112</f>
        <v>1.2939351245114304E-4</v>
      </c>
      <c r="V113">
        <f ca="1">data0!O112/Calculations!V$2/Cal!$G112</f>
        <v>2.6230294146154765E-5</v>
      </c>
      <c r="W113">
        <f ca="1">data0!P112/Calculations!W$2/Cal!$G112</f>
        <v>2.6450610217289905E-5</v>
      </c>
      <c r="X113">
        <f ca="1">data0!Q112/Calculations!X$2/Cal!$G112</f>
        <v>2.7084569858661886E-5</v>
      </c>
      <c r="Y113">
        <f ca="1">data0!R112/Calculations!Y$2/Cal!$G112</f>
        <v>2.8501670537910116E-5</v>
      </c>
      <c r="Z113">
        <f ca="1">data0!S112/Calculations!Z$2/Cal!$G112</f>
        <v>2.839502269267697E-5</v>
      </c>
      <c r="AA113">
        <f ca="1">data0!T112/Calculations!AA$2/Cal!$G112</f>
        <v>2.846084267788977E-5</v>
      </c>
      <c r="AB113">
        <f ca="1">data0!U112/Calculations!AB$2/Cal!$G112</f>
        <v>3.2542694049680714E-4</v>
      </c>
      <c r="AC113">
        <f ca="1">data0!V112/Calculations!AC$2/Cal!$G112</f>
        <v>3.1257267097860813E-5</v>
      </c>
      <c r="AD113">
        <f ca="1">data0!W112/Calculations!AD$2/Cal!$G112</f>
        <v>8.5796785992305101E-4</v>
      </c>
      <c r="AE113">
        <f ca="1">data0!X112/Calculations!AE$2/Cal!$G112</f>
        <v>2.9556526859001423E-3</v>
      </c>
      <c r="AF113">
        <f ca="1">data0!Y112/Calculations!AF$2/Cal!$G112</f>
        <v>1.3197512884176011E-3</v>
      </c>
      <c r="AG113">
        <f ca="1">data0!Z112/Calculations!AG$2/Cal!$G112</f>
        <v>2.2531011131569642E-3</v>
      </c>
      <c r="AH113" t="e">
        <f ca="1">data0!AA112/Calculations!AH$2/Cal!$G112</f>
        <v>#DIV/0!</v>
      </c>
      <c r="AI113" t="e">
        <f ca="1">data0!AB112/Calculations!AI$2/Cal!$G112</f>
        <v>#DIV/0!</v>
      </c>
      <c r="AJ113" t="e">
        <f ca="1">data0!AC112/Calculations!AJ$2/Cal!$G112</f>
        <v>#DIV/0!</v>
      </c>
      <c r="AK113" t="e">
        <f ca="1">data0!AD112/Calculations!AK$2/Cal!$G112</f>
        <v>#DIV/0!</v>
      </c>
      <c r="AL113" t="e">
        <f ca="1">data0!AE112/Calculations!AL$2/Cal!$G112</f>
        <v>#DIV/0!</v>
      </c>
      <c r="AM113" t="e">
        <f ca="1">data0!AF112/Calculations!AM$2/Cal!$G112</f>
        <v>#DIV/0!</v>
      </c>
      <c r="AN113" t="e">
        <f ca="1">data0!AG112/Calculations!AN$2/Cal!$G112</f>
        <v>#DIV/0!</v>
      </c>
    </row>
    <row r="114" spans="1:40">
      <c r="A114">
        <f>data0!A113</f>
        <v>855</v>
      </c>
      <c r="B114" t="e">
        <f t="shared" ca="1" si="5"/>
        <v>#DIV/0!</v>
      </c>
      <c r="C114" t="e">
        <f t="shared" ca="1" si="6"/>
        <v>#DIV/0!</v>
      </c>
      <c r="D114" t="e">
        <f t="shared" ca="1" si="7"/>
        <v>#DIV/0!</v>
      </c>
      <c r="F114" t="e">
        <f t="shared" ca="1" si="8"/>
        <v>#DIV/0!</v>
      </c>
      <c r="G114" t="e">
        <f t="shared" ca="1" si="9"/>
        <v>#DIV/0!</v>
      </c>
      <c r="I114">
        <f ca="1">data0!B113/Calculations!I$2/Cal!$G113</f>
        <v>1.4086169869658217E-3</v>
      </c>
      <c r="J114">
        <f ca="1">data0!C113/Calculations!J$2/Cal!$G113</f>
        <v>5.0789262197657959E-3</v>
      </c>
      <c r="K114">
        <f ca="1">data0!D113/Calculations!K$2/Cal!$G113</f>
        <v>5.3197318650003451E-3</v>
      </c>
      <c r="L114">
        <f ca="1">data0!E113/Calculations!L$2/Cal!$G113</f>
        <v>6.7573855255377464E-3</v>
      </c>
      <c r="M114">
        <f ca="1">data0!F113/Calculations!M$2/Cal!$G113</f>
        <v>4.4375407433042079E-5</v>
      </c>
      <c r="N114">
        <f ca="1">data0!G113/Calculations!N$2/Cal!$G113</f>
        <v>6.7943979307678556E-4</v>
      </c>
      <c r="O114">
        <f ca="1">data0!H113/Calculations!O$2/Cal!$G113</f>
        <v>2.0277332895005306E-3</v>
      </c>
      <c r="P114">
        <f ca="1">data0!I113/Calculations!P$2/Cal!$G113</f>
        <v>1.1044338145449028E-3</v>
      </c>
      <c r="Q114">
        <f ca="1">data0!J113/Calculations!Q$2/Cal!$G113</f>
        <v>8.7771543587636662E-4</v>
      </c>
      <c r="R114">
        <f ca="1">data0!K113/Calculations!R$2/Cal!$G113</f>
        <v>2.3317335731290727E-4</v>
      </c>
      <c r="S114">
        <f ca="1">data0!L113/Calculations!S$2/Cal!$G113</f>
        <v>2.5733194176815959E-5</v>
      </c>
      <c r="T114">
        <f ca="1">data0!M113/Calculations!T$2/Cal!$G113</f>
        <v>2.5868654571644019E-5</v>
      </c>
      <c r="U114">
        <f ca="1">data0!N113/Calculations!U$2/Cal!$G113</f>
        <v>5.1439573481455717E-5</v>
      </c>
      <c r="V114">
        <f ca="1">data0!O113/Calculations!V$2/Cal!$G113</f>
        <v>2.6069220299600774E-5</v>
      </c>
      <c r="W114">
        <f ca="1">data0!P113/Calculations!W$2/Cal!$G113</f>
        <v>2.6288183463412891E-5</v>
      </c>
      <c r="X114">
        <f ca="1">data0!Q113/Calculations!X$2/Cal!$G113</f>
        <v>2.6918250113062143E-5</v>
      </c>
      <c r="Y114">
        <f ca="1">data0!R113/Calculations!Y$2/Cal!$G113</f>
        <v>2.8326648722250122E-5</v>
      </c>
      <c r="Z114">
        <f ca="1">data0!S113/Calculations!Z$2/Cal!$G113</f>
        <v>2.8220655775454739E-5</v>
      </c>
      <c r="AA114">
        <f ca="1">data0!T113/Calculations!AA$2/Cal!$G113</f>
        <v>7.3543787133662061E-4</v>
      </c>
      <c r="AB114">
        <f ca="1">data0!U113/Calculations!AB$2/Cal!$G113</f>
        <v>2.9402596723605794E-5</v>
      </c>
      <c r="AC114">
        <f ca="1">data0!V113/Calculations!AC$2/Cal!$G113</f>
        <v>3.1065323834999772E-5</v>
      </c>
      <c r="AD114">
        <f ca="1">data0!W113/Calculations!AD$2/Cal!$G113</f>
        <v>6.2312642022939826E-4</v>
      </c>
      <c r="AE114">
        <f ca="1">data0!X113/Calculations!AE$2/Cal!$G113</f>
        <v>2.6927107678683094E-3</v>
      </c>
      <c r="AF114">
        <f ca="1">data0!Y113/Calculations!AF$2/Cal!$G113</f>
        <v>1.3116470172517679E-3</v>
      </c>
      <c r="AG114">
        <f ca="1">data0!Z113/Calculations!AG$2/Cal!$G113</f>
        <v>2.2392653680849074E-3</v>
      </c>
      <c r="AH114" t="e">
        <f ca="1">data0!AA113/Calculations!AH$2/Cal!$G113</f>
        <v>#DIV/0!</v>
      </c>
      <c r="AI114" t="e">
        <f ca="1">data0!AB113/Calculations!AI$2/Cal!$G113</f>
        <v>#DIV/0!</v>
      </c>
      <c r="AJ114" t="e">
        <f ca="1">data0!AC113/Calculations!AJ$2/Cal!$G113</f>
        <v>#DIV/0!</v>
      </c>
      <c r="AK114" t="e">
        <f ca="1">data0!AD113/Calculations!AK$2/Cal!$G113</f>
        <v>#DIV/0!</v>
      </c>
      <c r="AL114" t="e">
        <f ca="1">data0!AE113/Calculations!AL$2/Cal!$G113</f>
        <v>#DIV/0!</v>
      </c>
      <c r="AM114" t="e">
        <f ca="1">data0!AF113/Calculations!AM$2/Cal!$G113</f>
        <v>#DIV/0!</v>
      </c>
      <c r="AN114" t="e">
        <f ca="1">data0!AG113/Calculations!AN$2/Cal!$G113</f>
        <v>#DIV/0!</v>
      </c>
    </row>
    <row r="115" spans="1:40">
      <c r="A115">
        <f>data0!A114</f>
        <v>860</v>
      </c>
      <c r="B115" t="e">
        <f t="shared" ca="1" si="5"/>
        <v>#DIV/0!</v>
      </c>
      <c r="C115" t="e">
        <f t="shared" ca="1" si="6"/>
        <v>#DIV/0!</v>
      </c>
      <c r="D115" t="e">
        <f t="shared" ca="1" si="7"/>
        <v>#DIV/0!</v>
      </c>
      <c r="F115" t="e">
        <f t="shared" ca="1" si="8"/>
        <v>#DIV/0!</v>
      </c>
      <c r="G115" t="e">
        <f t="shared" ca="1" si="9"/>
        <v>#DIV/0!</v>
      </c>
      <c r="I115">
        <f ca="1">data0!B114/Calculations!I$2/Cal!$G114</f>
        <v>1.3965833073211256E-3</v>
      </c>
      <c r="J115">
        <f ca="1">data0!C114/Calculations!J$2/Cal!$G114</f>
        <v>5.0355374408193217E-3</v>
      </c>
      <c r="K115">
        <f ca="1">data0!D114/Calculations!K$2/Cal!$G114</f>
        <v>5.2742859065521312E-3</v>
      </c>
      <c r="L115">
        <f ca="1">data0!E114/Calculations!L$2/Cal!$G114</f>
        <v>6.6179548490922224E-3</v>
      </c>
      <c r="M115">
        <f ca="1">data0!F114/Calculations!M$2/Cal!$G114</f>
        <v>4.3996312588884095E-5</v>
      </c>
      <c r="N115">
        <f ca="1">data0!G114/Calculations!N$2/Cal!$G114</f>
        <v>2.4250875286864522E-4</v>
      </c>
      <c r="O115">
        <f ca="1">data0!H114/Calculations!O$2/Cal!$G114</f>
        <v>1.9340660049385339E-3</v>
      </c>
      <c r="P115">
        <f ca="1">data0!I114/Calculations!P$2/Cal!$G114</f>
        <v>9.6767336285862363E-4</v>
      </c>
      <c r="Q115">
        <f ca="1">data0!J114/Calculations!Q$2/Cal!$G114</f>
        <v>8.9581176772796285E-4</v>
      </c>
      <c r="R115">
        <f ca="1">data0!K114/Calculations!R$2/Cal!$G114</f>
        <v>3.3392864844070959E-4</v>
      </c>
      <c r="S115">
        <f ca="1">data0!L114/Calculations!S$2/Cal!$G114</f>
        <v>2.5513357970221866E-5</v>
      </c>
      <c r="T115">
        <f ca="1">data0!M114/Calculations!T$2/Cal!$G114</f>
        <v>2.5647661139905701E-5</v>
      </c>
      <c r="U115">
        <f ca="1">data0!N114/Calculations!U$2/Cal!$G114</f>
        <v>2.55000650725727E-5</v>
      </c>
      <c r="V115">
        <f ca="1">data0!O114/Calculations!V$2/Cal!$G114</f>
        <v>2.5846513454109623E-5</v>
      </c>
      <c r="W115">
        <f ca="1">data0!P114/Calculations!W$2/Cal!$G114</f>
        <v>2.6063606036641177E-5</v>
      </c>
      <c r="X115">
        <f ca="1">data0!Q114/Calculations!X$2/Cal!$G114</f>
        <v>2.6688290087410218E-5</v>
      </c>
      <c r="Y115">
        <f ca="1">data0!R114/Calculations!Y$2/Cal!$G114</f>
        <v>2.8084656882533889E-5</v>
      </c>
      <c r="Z115">
        <f ca="1">data0!S114/Calculations!Z$2/Cal!$G114</f>
        <v>2.7979569423304062E-5</v>
      </c>
      <c r="AA115">
        <f ca="1">data0!T114/Calculations!AA$2/Cal!$G114</f>
        <v>9.2546606893162485E-4</v>
      </c>
      <c r="AB115">
        <f ca="1">data0!U114/Calculations!AB$2/Cal!$G114</f>
        <v>2.9151413163441433E-5</v>
      </c>
      <c r="AC115">
        <f ca="1">data0!V114/Calculations!AC$2/Cal!$G114</f>
        <v>2.4639948605440724E-4</v>
      </c>
      <c r="AD115">
        <f ca="1">data0!W114/Calculations!AD$2/Cal!$G114</f>
        <v>7.153509606790063E-4</v>
      </c>
      <c r="AE115">
        <f ca="1">data0!X114/Calculations!AE$2/Cal!$G114</f>
        <v>2.4755466817452825E-3</v>
      </c>
      <c r="AF115">
        <f ca="1">data0!Y114/Calculations!AF$2/Cal!$G114</f>
        <v>1.3004417427459366E-3</v>
      </c>
      <c r="AG115">
        <f ca="1">data0!Z114/Calculations!AG$2/Cal!$G114</f>
        <v>2.2201355390906964E-3</v>
      </c>
      <c r="AH115" t="e">
        <f ca="1">data0!AA114/Calculations!AH$2/Cal!$G114</f>
        <v>#DIV/0!</v>
      </c>
      <c r="AI115" t="e">
        <f ca="1">data0!AB114/Calculations!AI$2/Cal!$G114</f>
        <v>#DIV/0!</v>
      </c>
      <c r="AJ115" t="e">
        <f ca="1">data0!AC114/Calculations!AJ$2/Cal!$G114</f>
        <v>#DIV/0!</v>
      </c>
      <c r="AK115" t="e">
        <f ca="1">data0!AD114/Calculations!AK$2/Cal!$G114</f>
        <v>#DIV/0!</v>
      </c>
      <c r="AL115" t="e">
        <f ca="1">data0!AE114/Calculations!AL$2/Cal!$G114</f>
        <v>#DIV/0!</v>
      </c>
      <c r="AM115" t="e">
        <f ca="1">data0!AF114/Calculations!AM$2/Cal!$G114</f>
        <v>#DIV/0!</v>
      </c>
      <c r="AN115" t="e">
        <f ca="1">data0!AG114/Calculations!AN$2/Cal!$G114</f>
        <v>#DIV/0!</v>
      </c>
    </row>
    <row r="116" spans="1:40">
      <c r="A116">
        <f>data0!A115</f>
        <v>865</v>
      </c>
      <c r="B116" t="e">
        <f t="shared" ca="1" si="5"/>
        <v>#DIV/0!</v>
      </c>
      <c r="C116" t="e">
        <f t="shared" ca="1" si="6"/>
        <v>#DIV/0!</v>
      </c>
      <c r="D116" t="e">
        <f t="shared" ca="1" si="7"/>
        <v>#DIV/0!</v>
      </c>
      <c r="F116" t="e">
        <f t="shared" ca="1" si="8"/>
        <v>#DIV/0!</v>
      </c>
      <c r="G116" t="e">
        <f t="shared" ca="1" si="9"/>
        <v>#DIV/0!</v>
      </c>
      <c r="I116">
        <f ca="1">data0!B115/Calculations!I$2/Cal!$G115</f>
        <v>1.374162831002608E-3</v>
      </c>
      <c r="J116">
        <f ca="1">data0!C115/Calculations!J$2/Cal!$G115</f>
        <v>4.9546979038213763E-3</v>
      </c>
      <c r="K116">
        <f ca="1">data0!D115/Calculations!K$2/Cal!$G115</f>
        <v>4.7904125360122701E-3</v>
      </c>
      <c r="L116">
        <f ca="1">data0!E115/Calculations!L$2/Cal!$G115</f>
        <v>6.4313201542226025E-3</v>
      </c>
      <c r="M116">
        <f ca="1">data0!F115/Calculations!M$2/Cal!$G115</f>
        <v>4.3290004358411771E-5</v>
      </c>
      <c r="N116">
        <f ca="1">data0!G115/Calculations!N$2/Cal!$G115</f>
        <v>2.6512840223301615E-4</v>
      </c>
      <c r="O116">
        <f ca="1">data0!H115/Calculations!O$2/Cal!$G115</f>
        <v>1.4022229223926857E-3</v>
      </c>
      <c r="P116">
        <f ca="1">data0!I115/Calculations!P$2/Cal!$G115</f>
        <v>1.1024761693350031E-3</v>
      </c>
      <c r="Q116">
        <f ca="1">data0!J115/Calculations!Q$2/Cal!$G115</f>
        <v>6.2959328557887296E-4</v>
      </c>
      <c r="R116">
        <f ca="1">data0!K115/Calculations!R$2/Cal!$G115</f>
        <v>5.5603786186338708E-4</v>
      </c>
      <c r="S116">
        <f ca="1">data0!L115/Calculations!S$2/Cal!$G115</f>
        <v>2.5103771492151718E-5</v>
      </c>
      <c r="T116">
        <f ca="1">data0!M115/Calculations!T$2/Cal!$G115</f>
        <v>2.5235918584915819E-5</v>
      </c>
      <c r="U116">
        <f ca="1">data0!N115/Calculations!U$2/Cal!$G115</f>
        <v>2.5090691996091548E-5</v>
      </c>
      <c r="V116">
        <f ca="1">data0!O115/Calculations!V$2/Cal!$G115</f>
        <v>2.5431578562810034E-5</v>
      </c>
      <c r="W116">
        <f ca="1">data0!P115/Calculations!W$2/Cal!$G115</f>
        <v>2.5645185983317915E-5</v>
      </c>
      <c r="X116">
        <f ca="1">data0!Q115/Calculations!X$2/Cal!$G115</f>
        <v>2.6259841478043499E-5</v>
      </c>
      <c r="Y116">
        <f ca="1">data0!R115/Calculations!Y$2/Cal!$G115</f>
        <v>2.7633791272693287E-5</v>
      </c>
      <c r="Z116">
        <f ca="1">data0!S115/Calculations!Z$2/Cal!$G115</f>
        <v>2.7530390867059682E-5</v>
      </c>
      <c r="AA116">
        <f ca="1">data0!T115/Calculations!AA$2/Cal!$G115</f>
        <v>3.8631889612989118E-4</v>
      </c>
      <c r="AB116">
        <f ca="1">data0!U115/Calculations!AB$2/Cal!$G115</f>
        <v>2.868342205610395E-5</v>
      </c>
      <c r="AC116">
        <f ca="1">data0!V115/Calculations!AC$2/Cal!$G115</f>
        <v>3.0305479588932337E-5</v>
      </c>
      <c r="AD116">
        <f ca="1">data0!W115/Calculations!AD$2/Cal!$G115</f>
        <v>8.638365814684644E-4</v>
      </c>
      <c r="AE116">
        <f ca="1">data0!X115/Calculations!AE$2/Cal!$G115</f>
        <v>2.292522204749738E-3</v>
      </c>
      <c r="AF116">
        <f ca="1">data0!Y115/Calculations!AF$2/Cal!$G115</f>
        <v>1.2795647043737869E-3</v>
      </c>
      <c r="AG116">
        <f ca="1">data0!Z115/Calculations!AG$2/Cal!$G115</f>
        <v>1.0922469578482782E-3</v>
      </c>
      <c r="AH116" t="e">
        <f ca="1">data0!AA115/Calculations!AH$2/Cal!$G115</f>
        <v>#DIV/0!</v>
      </c>
      <c r="AI116" t="e">
        <f ca="1">data0!AB115/Calculations!AI$2/Cal!$G115</f>
        <v>#DIV/0!</v>
      </c>
      <c r="AJ116" t="e">
        <f ca="1">data0!AC115/Calculations!AJ$2/Cal!$G115</f>
        <v>#DIV/0!</v>
      </c>
      <c r="AK116" t="e">
        <f ca="1">data0!AD115/Calculations!AK$2/Cal!$G115</f>
        <v>#DIV/0!</v>
      </c>
      <c r="AL116" t="e">
        <f ca="1">data0!AE115/Calculations!AL$2/Cal!$G115</f>
        <v>#DIV/0!</v>
      </c>
      <c r="AM116" t="e">
        <f ca="1">data0!AF115/Calculations!AM$2/Cal!$G115</f>
        <v>#DIV/0!</v>
      </c>
      <c r="AN116" t="e">
        <f ca="1">data0!AG115/Calculations!AN$2/Cal!$G115</f>
        <v>#DIV/0!</v>
      </c>
    </row>
    <row r="117" spans="1:40">
      <c r="A117">
        <f>data0!A116</f>
        <v>870</v>
      </c>
      <c r="B117" t="e">
        <f t="shared" ca="1" si="5"/>
        <v>#DIV/0!</v>
      </c>
      <c r="C117" t="e">
        <f t="shared" ca="1" si="6"/>
        <v>#DIV/0!</v>
      </c>
      <c r="D117" t="e">
        <f t="shared" ca="1" si="7"/>
        <v>#DIV/0!</v>
      </c>
      <c r="F117" t="e">
        <f t="shared" ca="1" si="8"/>
        <v>#DIV/0!</v>
      </c>
      <c r="G117" t="e">
        <f t="shared" ca="1" si="9"/>
        <v>#DIV/0!</v>
      </c>
      <c r="I117">
        <f ca="1">data0!B116/Calculations!I$2/Cal!$G116</f>
        <v>1.3576395970971748E-3</v>
      </c>
      <c r="J117">
        <f ca="1">data0!C116/Calculations!J$2/Cal!$G116</f>
        <v>4.8951215344504567E-3</v>
      </c>
      <c r="K117">
        <f ca="1">data0!D116/Calculations!K$2/Cal!$G116</f>
        <v>4.7328115697728487E-3</v>
      </c>
      <c r="L117">
        <f ca="1">data0!E116/Calculations!L$2/Cal!$G116</f>
        <v>6.2745632420486922E-3</v>
      </c>
      <c r="M117">
        <f ca="1">data0!F116/Calculations!M$2/Cal!$G116</f>
        <v>4.2769475894358226E-5</v>
      </c>
      <c r="N117">
        <f ca="1">data0!G116/Calculations!N$2/Cal!$G116</f>
        <v>6.5485108830860394E-4</v>
      </c>
      <c r="O117">
        <f ca="1">data0!H116/Calculations!O$2/Cal!$G116</f>
        <v>7.1741975446829042E-4</v>
      </c>
      <c r="P117">
        <f ca="1">data0!I116/Calculations!P$2/Cal!$G116</f>
        <v>1.3615246214529319E-3</v>
      </c>
      <c r="Q117">
        <f ca="1">data0!J116/Calculations!Q$2/Cal!$G116</f>
        <v>3.4833283141805173E-4</v>
      </c>
      <c r="R117">
        <f ca="1">data0!K116/Calculations!R$2/Cal!$G116</f>
        <v>5.7432248177678399E-4</v>
      </c>
      <c r="S117">
        <f ca="1">data0!L116/Calculations!S$2/Cal!$G116</f>
        <v>2.4801918262741688E-5</v>
      </c>
      <c r="T117">
        <f ca="1">data0!M116/Calculations!T$2/Cal!$G116</f>
        <v>2.4932476390010286E-5</v>
      </c>
      <c r="U117">
        <f ca="1">data0!N116/Calculations!U$2/Cal!$G116</f>
        <v>2.4788996037397831E-5</v>
      </c>
      <c r="V117">
        <f ca="1">data0!O116/Calculations!V$2/Cal!$G116</f>
        <v>2.5125783709611219E-5</v>
      </c>
      <c r="W117">
        <f ca="1">data0!P116/Calculations!W$2/Cal!$G116</f>
        <v>2.5336822667857308E-5</v>
      </c>
      <c r="X117">
        <f ca="1">data0!Q116/Calculations!X$2/Cal!$G116</f>
        <v>2.5944087410714572E-5</v>
      </c>
      <c r="Y117">
        <f ca="1">data0!R116/Calculations!Y$2/Cal!$G116</f>
        <v>2.7301516533054544E-5</v>
      </c>
      <c r="Z117">
        <f ca="1">data0!S116/Calculations!Z$2/Cal!$G116</f>
        <v>8.1598079969133922E-5</v>
      </c>
      <c r="AA117">
        <f ca="1">data0!T116/Calculations!AA$2/Cal!$G116</f>
        <v>2.726240786067437E-5</v>
      </c>
      <c r="AB117">
        <f ca="1">data0!U116/Calculations!AB$2/Cal!$G116</f>
        <v>2.8338526326756161E-5</v>
      </c>
      <c r="AC117">
        <f ca="1">data0!V116/Calculations!AC$2/Cal!$G116</f>
        <v>2.9941079885660702E-5</v>
      </c>
      <c r="AD117">
        <f ca="1">data0!W116/Calculations!AD$2/Cal!$G116</f>
        <v>8.850588647748073E-4</v>
      </c>
      <c r="AE117">
        <f ca="1">data0!X116/Calculations!AE$2/Cal!$G116</f>
        <v>2.2177697369007345E-3</v>
      </c>
      <c r="AF117">
        <f ca="1">data0!Y116/Calculations!AF$2/Cal!$G116</f>
        <v>1.2641789389968565E-3</v>
      </c>
      <c r="AG117">
        <f ca="1">data0!Z116/Calculations!AG$2/Cal!$G116</f>
        <v>1.0791135419532657E-3</v>
      </c>
      <c r="AH117" t="e">
        <f ca="1">data0!AA116/Calculations!AH$2/Cal!$G116</f>
        <v>#DIV/0!</v>
      </c>
      <c r="AI117" t="e">
        <f ca="1">data0!AB116/Calculations!AI$2/Cal!$G116</f>
        <v>#DIV/0!</v>
      </c>
      <c r="AJ117" t="e">
        <f ca="1">data0!AC116/Calculations!AJ$2/Cal!$G116</f>
        <v>#DIV/0!</v>
      </c>
      <c r="AK117" t="e">
        <f ca="1">data0!AD116/Calculations!AK$2/Cal!$G116</f>
        <v>#DIV/0!</v>
      </c>
      <c r="AL117" t="e">
        <f ca="1">data0!AE116/Calculations!AL$2/Cal!$G116</f>
        <v>#DIV/0!</v>
      </c>
      <c r="AM117" t="e">
        <f ca="1">data0!AF116/Calculations!AM$2/Cal!$G116</f>
        <v>#DIV/0!</v>
      </c>
      <c r="AN117" t="e">
        <f ca="1">data0!AG116/Calculations!AN$2/Cal!$G116</f>
        <v>#DIV/0!</v>
      </c>
    </row>
    <row r="118" spans="1:40">
      <c r="A118">
        <f>data0!A117</f>
        <v>875</v>
      </c>
      <c r="B118" t="e">
        <f t="shared" ca="1" si="5"/>
        <v>#DIV/0!</v>
      </c>
      <c r="C118" t="e">
        <f t="shared" ca="1" si="6"/>
        <v>#DIV/0!</v>
      </c>
      <c r="D118" t="e">
        <f t="shared" ca="1" si="7"/>
        <v>#DIV/0!</v>
      </c>
      <c r="F118" t="e">
        <f t="shared" ca="1" si="8"/>
        <v>#DIV/0!</v>
      </c>
      <c r="G118" t="e">
        <f t="shared" ca="1" si="9"/>
        <v>#DIV/0!</v>
      </c>
      <c r="I118">
        <f ca="1">data0!B117/Calculations!I$2/Cal!$G117</f>
        <v>1.3355199505737266E-3</v>
      </c>
      <c r="J118">
        <f ca="1">data0!C117/Calculations!J$2/Cal!$G117</f>
        <v>4.8153666729519578E-3</v>
      </c>
      <c r="K118">
        <f ca="1">data0!D117/Calculations!K$2/Cal!$G117</f>
        <v>4.2677261129068439E-3</v>
      </c>
      <c r="L118">
        <f ca="1">data0!E117/Calculations!L$2/Cal!$G117</f>
        <v>6.0160722191981812E-3</v>
      </c>
      <c r="M118">
        <f ca="1">data0!F117/Calculations!M$2/Cal!$G117</f>
        <v>4.2072644650779941E-5</v>
      </c>
      <c r="N118">
        <f ca="1">data0!G117/Calculations!N$2/Cal!$G117</f>
        <v>1.0564580880068539E-3</v>
      </c>
      <c r="O118">
        <f ca="1">data0!H117/Calculations!O$2/Cal!$G117</f>
        <v>1.7034887039559215E-4</v>
      </c>
      <c r="P118">
        <f ca="1">data0!I117/Calculations!P$2/Cal!$G117</f>
        <v>1.3149900588567448E-3</v>
      </c>
      <c r="Q118">
        <f ca="1">data0!J117/Calculations!Q$2/Cal!$G117</f>
        <v>3.6713307785162734E-4</v>
      </c>
      <c r="R118">
        <f ca="1">data0!K117/Calculations!R$2/Cal!$G117</f>
        <v>2.9476445342700648E-4</v>
      </c>
      <c r="S118">
        <f ca="1">data0!L117/Calculations!S$2/Cal!$G117</f>
        <v>1.7078479375799946E-4</v>
      </c>
      <c r="T118">
        <f ca="1">data0!M117/Calculations!T$2/Cal!$G117</f>
        <v>2.4526258446838602E-5</v>
      </c>
      <c r="U118">
        <f ca="1">data0!N117/Calculations!U$2/Cal!$G117</f>
        <v>2.4385115779934222E-5</v>
      </c>
      <c r="V118">
        <f ca="1">data0!O117/Calculations!V$2/Cal!$G117</f>
        <v>2.4716416263737118E-5</v>
      </c>
      <c r="W118">
        <f ca="1">data0!P117/Calculations!W$2/Cal!$G117</f>
        <v>2.4924016822595722E-5</v>
      </c>
      <c r="X118">
        <f ca="1">data0!Q117/Calculations!X$2/Cal!$G117</f>
        <v>2.5521387568926315E-5</v>
      </c>
      <c r="Y118">
        <f ca="1">data0!R117/Calculations!Y$2/Cal!$G117</f>
        <v>2.6856700473949855E-5</v>
      </c>
      <c r="Z118">
        <f ca="1">data0!S117/Calculations!Z$2/Cal!$G117</f>
        <v>3.4783070622903541E-4</v>
      </c>
      <c r="AA118">
        <f ca="1">data0!T117/Calculations!AA$2/Cal!$G117</f>
        <v>2.6818228988353933E-5</v>
      </c>
      <c r="AB118">
        <f ca="1">data0!U117/Calculations!AB$2/Cal!$G117</f>
        <v>2.7876814553850049E-5</v>
      </c>
      <c r="AC118">
        <f ca="1">data0!V117/Calculations!AC$2/Cal!$G117</f>
        <v>2.9453258150778187E-5</v>
      </c>
      <c r="AD118">
        <f ca="1">data0!W117/Calculations!AD$2/Cal!$G117</f>
        <v>7.4626187619283358E-4</v>
      </c>
      <c r="AE118">
        <f ca="1">data0!X117/Calculations!AE$2/Cal!$G117</f>
        <v>2.181636227863775E-3</v>
      </c>
      <c r="AF118">
        <f ca="1">data0!Y117/Calculations!AF$2/Cal!$G117</f>
        <v>1.243582021130887E-3</v>
      </c>
      <c r="AG118">
        <f ca="1">data0!Z117/Calculations!AG$2/Cal!$G117</f>
        <v>1.0615318434246512E-3</v>
      </c>
      <c r="AH118" t="e">
        <f ca="1">data0!AA117/Calculations!AH$2/Cal!$G117</f>
        <v>#DIV/0!</v>
      </c>
      <c r="AI118" t="e">
        <f ca="1">data0!AB117/Calculations!AI$2/Cal!$G117</f>
        <v>#DIV/0!</v>
      </c>
      <c r="AJ118" t="e">
        <f ca="1">data0!AC117/Calculations!AJ$2/Cal!$G117</f>
        <v>#DIV/0!</v>
      </c>
      <c r="AK118" t="e">
        <f ca="1">data0!AD117/Calculations!AK$2/Cal!$G117</f>
        <v>#DIV/0!</v>
      </c>
      <c r="AL118" t="e">
        <f ca="1">data0!AE117/Calculations!AL$2/Cal!$G117</f>
        <v>#DIV/0!</v>
      </c>
      <c r="AM118" t="e">
        <f ca="1">data0!AF117/Calculations!AM$2/Cal!$G117</f>
        <v>#DIV/0!</v>
      </c>
      <c r="AN118" t="e">
        <f ca="1">data0!AG117/Calculations!AN$2/Cal!$G117</f>
        <v>#DIV/0!</v>
      </c>
    </row>
    <row r="119" spans="1:40">
      <c r="A119">
        <f>data0!A118</f>
        <v>880</v>
      </c>
      <c r="B119" t="e">
        <f t="shared" ca="1" si="5"/>
        <v>#DIV/0!</v>
      </c>
      <c r="C119" t="e">
        <f t="shared" ca="1" si="6"/>
        <v>#DIV/0!</v>
      </c>
      <c r="D119" t="e">
        <f t="shared" ca="1" si="7"/>
        <v>#DIV/0!</v>
      </c>
      <c r="F119" t="e">
        <f t="shared" ca="1" si="8"/>
        <v>#DIV/0!</v>
      </c>
      <c r="G119" t="e">
        <f t="shared" ca="1" si="9"/>
        <v>#DIV/0!</v>
      </c>
      <c r="I119">
        <f ca="1">data0!B118/Calculations!I$2/Cal!$G118</f>
        <v>1.3120595839441953E-3</v>
      </c>
      <c r="J119">
        <f ca="1">data0!C118/Calculations!J$2/Cal!$G118</f>
        <v>4.7307776950377394E-3</v>
      </c>
      <c r="K119">
        <f ca="1">data0!D118/Calculations!K$2/Cal!$G118</f>
        <v>4.1927572446093632E-3</v>
      </c>
      <c r="L119">
        <f ca="1">data0!E118/Calculations!L$2/Cal!$G118</f>
        <v>5.6801159775936721E-3</v>
      </c>
      <c r="M119">
        <f ca="1">data0!F118/Calculations!M$2/Cal!$G118</f>
        <v>4.1333576942987734E-5</v>
      </c>
      <c r="N119">
        <f ca="1">data0!G118/Calculations!N$2/Cal!$G118</f>
        <v>1.2404168869709538E-3</v>
      </c>
      <c r="O119">
        <f ca="1">data0!H118/Calculations!O$2/Cal!$G118</f>
        <v>4.7816126054709854E-5</v>
      </c>
      <c r="P119">
        <f ca="1">data0!I118/Calculations!P$2/Cal!$G118</f>
        <v>8.612602510664545E-4</v>
      </c>
      <c r="Q119">
        <f ca="1">data0!J118/Calculations!Q$2/Cal!$G118</f>
        <v>6.9732210556238414E-4</v>
      </c>
      <c r="R119">
        <f ca="1">data0!K118/Calculations!R$2/Cal!$G118</f>
        <v>2.4132206467122606E-5</v>
      </c>
      <c r="S119">
        <f ca="1">data0!L118/Calculations!S$2/Cal!$G118</f>
        <v>2.3969243845280678E-5</v>
      </c>
      <c r="T119">
        <f ca="1">data0!M118/Calculations!T$2/Cal!$G118</f>
        <v>2.4095418746565847E-5</v>
      </c>
      <c r="U119">
        <f ca="1">data0!N118/Calculations!U$2/Cal!$G118</f>
        <v>2.3956755457608026E-5</v>
      </c>
      <c r="V119">
        <f ca="1">data0!O118/Calculations!V$2/Cal!$G118</f>
        <v>2.4282236162521649E-5</v>
      </c>
      <c r="W119">
        <f ca="1">data0!P118/Calculations!W$2/Cal!$G118</f>
        <v>2.4486189913093168E-5</v>
      </c>
      <c r="X119">
        <f ca="1">data0!Q118/Calculations!X$2/Cal!$G118</f>
        <v>2.5073066966149726E-5</v>
      </c>
      <c r="Y119">
        <f ca="1">data0!R118/Calculations!Y$2/Cal!$G118</f>
        <v>2.6384923141602481E-5</v>
      </c>
      <c r="Z119">
        <f ca="1">data0!S118/Calculations!Z$2/Cal!$G118</f>
        <v>2.6286195763642254E-5</v>
      </c>
      <c r="AA119">
        <f ca="1">data0!T118/Calculations!AA$2/Cal!$G118</f>
        <v>2.6347127464074028E-5</v>
      </c>
      <c r="AB119">
        <f ca="1">data0!U118/Calculations!AB$2/Cal!$G118</f>
        <v>1.6432270787176663E-4</v>
      </c>
      <c r="AC119">
        <f ca="1">data0!V118/Calculations!AC$2/Cal!$G118</f>
        <v>2.8935868474678894E-5</v>
      </c>
      <c r="AD119">
        <f ca="1">data0!W118/Calculations!AD$2/Cal!$G118</f>
        <v>5.8041256014659825E-4</v>
      </c>
      <c r="AE119">
        <f ca="1">data0!X118/Calculations!AE$2/Cal!$G118</f>
        <v>2.1433125878942152E-3</v>
      </c>
      <c r="AF119">
        <f ca="1">data0!Y118/Calculations!AF$2/Cal!$G118</f>
        <v>8.1449110281308094E-4</v>
      </c>
      <c r="AG119">
        <f ca="1">data0!Z118/Calculations!AG$2/Cal!$G118</f>
        <v>1.0428844797331046E-3</v>
      </c>
      <c r="AH119" t="e">
        <f ca="1">data0!AA118/Calculations!AH$2/Cal!$G118</f>
        <v>#DIV/0!</v>
      </c>
      <c r="AI119" t="e">
        <f ca="1">data0!AB118/Calculations!AI$2/Cal!$G118</f>
        <v>#DIV/0!</v>
      </c>
      <c r="AJ119" t="e">
        <f ca="1">data0!AC118/Calculations!AJ$2/Cal!$G118</f>
        <v>#DIV/0!</v>
      </c>
      <c r="AK119" t="e">
        <f ca="1">data0!AD118/Calculations!AK$2/Cal!$G118</f>
        <v>#DIV/0!</v>
      </c>
      <c r="AL119" t="e">
        <f ca="1">data0!AE118/Calculations!AL$2/Cal!$G118</f>
        <v>#DIV/0!</v>
      </c>
      <c r="AM119" t="e">
        <f ca="1">data0!AF118/Calculations!AM$2/Cal!$G118</f>
        <v>#DIV/0!</v>
      </c>
      <c r="AN119" t="e">
        <f ca="1">data0!AG118/Calculations!AN$2/Cal!$G118</f>
        <v>#DIV/0!</v>
      </c>
    </row>
    <row r="120" spans="1:40">
      <c r="A120">
        <f>data0!A119</f>
        <v>885</v>
      </c>
      <c r="B120" t="e">
        <f t="shared" ca="1" si="5"/>
        <v>#DIV/0!</v>
      </c>
      <c r="C120" t="e">
        <f t="shared" ca="1" si="6"/>
        <v>#DIV/0!</v>
      </c>
      <c r="D120" t="e">
        <f t="shared" ca="1" si="7"/>
        <v>#DIV/0!</v>
      </c>
      <c r="F120" t="e">
        <f t="shared" ca="1" si="8"/>
        <v>#DIV/0!</v>
      </c>
      <c r="G120" t="e">
        <f t="shared" ca="1" si="9"/>
        <v>#DIV/0!</v>
      </c>
      <c r="I120">
        <f ca="1">data0!B119/Calculations!I$2/Cal!$G119</f>
        <v>1.287235644266288E-3</v>
      </c>
      <c r="J120">
        <f ca="1">data0!C119/Calculations!J$2/Cal!$G119</f>
        <v>4.641272201866325E-3</v>
      </c>
      <c r="K120">
        <f ca="1">data0!D119/Calculations!K$2/Cal!$G119</f>
        <v>4.1134310050102334E-3</v>
      </c>
      <c r="L120">
        <f ca="1">data0!E119/Calculations!L$2/Cal!$G119</f>
        <v>5.3467308241614197E-3</v>
      </c>
      <c r="M120">
        <f ca="1">data0!F119/Calculations!M$2/Cal!$G119</f>
        <v>4.0551552838853369E-5</v>
      </c>
      <c r="N120">
        <f ca="1">data0!G119/Calculations!N$2/Cal!$G119</f>
        <v>1.1424414203564828E-3</v>
      </c>
      <c r="O120">
        <f ca="1">data0!H119/Calculations!O$2/Cal!$G119</f>
        <v>3.0492445039375537E-4</v>
      </c>
      <c r="P120">
        <f ca="1">data0!I119/Calculations!P$2/Cal!$G119</f>
        <v>2.1124133913754208E-4</v>
      </c>
      <c r="Q120">
        <f ca="1">data0!J119/Calculations!Q$2/Cal!$G119</f>
        <v>9.672166907632641E-4</v>
      </c>
      <c r="R120">
        <f ca="1">data0!K119/Calculations!R$2/Cal!$G119</f>
        <v>2.3675629307849222E-5</v>
      </c>
      <c r="S120">
        <f ca="1">data0!L119/Calculations!S$2/Cal!$G119</f>
        <v>2.3515749910537542E-5</v>
      </c>
      <c r="T120">
        <f ca="1">data0!M119/Calculations!T$2/Cal!$G119</f>
        <v>2.3639537604582506E-5</v>
      </c>
      <c r="U120">
        <f ca="1">data0!N119/Calculations!U$2/Cal!$G119</f>
        <v>2.3503497800992842E-5</v>
      </c>
      <c r="V120">
        <f ca="1">data0!O119/Calculations!V$2/Cal!$G119</f>
        <v>2.3822820467442382E-5</v>
      </c>
      <c r="W120">
        <f ca="1">data0!P119/Calculations!W$2/Cal!$G119</f>
        <v>2.4022915448440304E-5</v>
      </c>
      <c r="X120">
        <f ca="1">data0!Q119/Calculations!X$2/Cal!$G119</f>
        <v>2.459868888947977E-5</v>
      </c>
      <c r="Y120">
        <f ca="1">data0!R119/Calculations!Y$2/Cal!$G119</f>
        <v>2.5885724973707982E-5</v>
      </c>
      <c r="Z120">
        <f ca="1">data0!S119/Calculations!Z$2/Cal!$G119</f>
        <v>2.5788865500608961E-5</v>
      </c>
      <c r="AA120">
        <f ca="1">data0!T119/Calculations!AA$2/Cal!$G119</f>
        <v>2.5848644383840589E-5</v>
      </c>
      <c r="AB120">
        <f ca="1">data0!U119/Calculations!AB$2/Cal!$G119</f>
        <v>2.6868957911786765E-5</v>
      </c>
      <c r="AC120">
        <f ca="1">data0!V119/Calculations!AC$2/Cal!$G119</f>
        <v>2.8388406863687116E-5</v>
      </c>
      <c r="AD120">
        <f ca="1">data0!W119/Calculations!AD$2/Cal!$G119</f>
        <v>4.4955097401792356E-4</v>
      </c>
      <c r="AE120">
        <f ca="1">data0!X119/Calculations!AE$2/Cal!$G119</f>
        <v>2.1475011771877849E-3</v>
      </c>
      <c r="AF120">
        <f ca="1">data0!Y119/Calculations!AF$2/Cal!$G119</f>
        <v>7.9908107246701697E-4</v>
      </c>
      <c r="AG120">
        <f ca="1">data0!Z119/Calculations!AG$2/Cal!$G119</f>
        <v>1.0231532863233537E-3</v>
      </c>
      <c r="AH120" t="e">
        <f ca="1">data0!AA119/Calculations!AH$2/Cal!$G119</f>
        <v>#DIV/0!</v>
      </c>
      <c r="AI120" t="e">
        <f ca="1">data0!AB119/Calculations!AI$2/Cal!$G119</f>
        <v>#DIV/0!</v>
      </c>
      <c r="AJ120" t="e">
        <f ca="1">data0!AC119/Calculations!AJ$2/Cal!$G119</f>
        <v>#DIV/0!</v>
      </c>
      <c r="AK120" t="e">
        <f ca="1">data0!AD119/Calculations!AK$2/Cal!$G119</f>
        <v>#DIV/0!</v>
      </c>
      <c r="AL120" t="e">
        <f ca="1">data0!AE119/Calculations!AL$2/Cal!$G119</f>
        <v>#DIV/0!</v>
      </c>
      <c r="AM120" t="e">
        <f ca="1">data0!AF119/Calculations!AM$2/Cal!$G119</f>
        <v>#DIV/0!</v>
      </c>
      <c r="AN120" t="e">
        <f ca="1">data0!AG119/Calculations!AN$2/Cal!$G119</f>
        <v>#DIV/0!</v>
      </c>
    </row>
    <row r="121" spans="1:40">
      <c r="A121">
        <f>data0!A120</f>
        <v>890</v>
      </c>
      <c r="B121" t="e">
        <f t="shared" ca="1" si="5"/>
        <v>#DIV/0!</v>
      </c>
      <c r="C121" t="e">
        <f t="shared" ca="1" si="6"/>
        <v>#DIV/0!</v>
      </c>
      <c r="D121" t="e">
        <f t="shared" ca="1" si="7"/>
        <v>#DIV/0!</v>
      </c>
      <c r="F121" t="e">
        <f t="shared" ca="1" si="8"/>
        <v>#DIV/0!</v>
      </c>
      <c r="G121" t="e">
        <f t="shared" ca="1" si="9"/>
        <v>#DIV/0!</v>
      </c>
      <c r="I121">
        <f ca="1">data0!B120/Calculations!I$2/Cal!$G120</f>
        <v>1.2617131432046812E-3</v>
      </c>
      <c r="J121">
        <f ca="1">data0!C120/Calculations!J$2/Cal!$G120</f>
        <v>3.791040034548603E-3</v>
      </c>
      <c r="K121">
        <f ca="1">data0!D120/Calculations!K$2/Cal!$G120</f>
        <v>4.0318724747909589E-3</v>
      </c>
      <c r="L121">
        <f ca="1">data0!E120/Calculations!L$2/Cal!$G120</f>
        <v>5.0930935979982299E-3</v>
      </c>
      <c r="M121">
        <f ca="1">data0!F120/Calculations!M$2/Cal!$G120</f>
        <v>3.974752208116769E-5</v>
      </c>
      <c r="N121">
        <f ca="1">data0!G120/Calculations!N$2/Cal!$G120</f>
        <v>9.2504377126444929E-4</v>
      </c>
      <c r="O121">
        <f ca="1">data0!H120/Calculations!O$2/Cal!$G120</f>
        <v>7.3570115794893904E-4</v>
      </c>
      <c r="P121">
        <f ca="1">data0!I120/Calculations!P$2/Cal!$G120</f>
        <v>2.3005885390984193E-5</v>
      </c>
      <c r="Q121">
        <f ca="1">data0!J120/Calculations!Q$2/Cal!$G120</f>
        <v>7.8617900514194744E-4</v>
      </c>
      <c r="R121">
        <f ca="1">data0!K120/Calculations!R$2/Cal!$G120</f>
        <v>3.4809305808845733E-4</v>
      </c>
      <c r="S121">
        <f ca="1">data0!L120/Calculations!S$2/Cal!$G120</f>
        <v>2.3049494369270058E-5</v>
      </c>
      <c r="T121">
        <f ca="1">data0!M120/Calculations!T$2/Cal!$G120</f>
        <v>2.3170827678551249E-5</v>
      </c>
      <c r="U121">
        <f ca="1">data0!N120/Calculations!U$2/Cal!$G120</f>
        <v>2.3037485186869475E-5</v>
      </c>
      <c r="V121">
        <f ca="1">data0!O120/Calculations!V$2/Cal!$G120</f>
        <v>2.3350476523752622E-5</v>
      </c>
      <c r="W121">
        <f ca="1">data0!P120/Calculations!W$2/Cal!$G120</f>
        <v>2.3546604146957364E-5</v>
      </c>
      <c r="X121">
        <f ca="1">data0!Q120/Calculations!X$2/Cal!$G120</f>
        <v>2.4110961513305585E-5</v>
      </c>
      <c r="Y121">
        <f ca="1">data0!R120/Calculations!Y$2/Cal!$G120</f>
        <v>2.5372479053223472E-5</v>
      </c>
      <c r="Z121">
        <f ca="1">data0!S120/Calculations!Z$2/Cal!$G120</f>
        <v>2.5277540049011409E-5</v>
      </c>
      <c r="AA121">
        <f ca="1">data0!T120/Calculations!AA$2/Cal!$G120</f>
        <v>2.5336133674036788E-5</v>
      </c>
      <c r="AB121">
        <f ca="1">data0!U120/Calculations!AB$2/Cal!$G120</f>
        <v>2.6336217065242913E-5</v>
      </c>
      <c r="AC121">
        <f ca="1">data0!V120/Calculations!AC$2/Cal!$G120</f>
        <v>2.7825539336251019E-5</v>
      </c>
      <c r="AD121">
        <f ca="1">data0!W120/Calculations!AD$2/Cal!$G120</f>
        <v>3.8188588850049865E-4</v>
      </c>
      <c r="AE121">
        <f ca="1">data0!X120/Calculations!AE$2/Cal!$G120</f>
        <v>2.1487743204325776E-3</v>
      </c>
      <c r="AF121">
        <f ca="1">data0!Y120/Calculations!AF$2/Cal!$G120</f>
        <v>7.8323739410774188E-4</v>
      </c>
      <c r="AG121">
        <f ca="1">data0!Z120/Calculations!AG$2/Cal!$G120</f>
        <v>1.0028668446351585E-3</v>
      </c>
      <c r="AH121" t="e">
        <f ca="1">data0!AA120/Calculations!AH$2/Cal!$G120</f>
        <v>#DIV/0!</v>
      </c>
      <c r="AI121" t="e">
        <f ca="1">data0!AB120/Calculations!AI$2/Cal!$G120</f>
        <v>#DIV/0!</v>
      </c>
      <c r="AJ121" t="e">
        <f ca="1">data0!AC120/Calculations!AJ$2/Cal!$G120</f>
        <v>#DIV/0!</v>
      </c>
      <c r="AK121" t="e">
        <f ca="1">data0!AD120/Calculations!AK$2/Cal!$G120</f>
        <v>#DIV/0!</v>
      </c>
      <c r="AL121" t="e">
        <f ca="1">data0!AE120/Calculations!AL$2/Cal!$G120</f>
        <v>#DIV/0!</v>
      </c>
      <c r="AM121" t="e">
        <f ca="1">data0!AF120/Calculations!AM$2/Cal!$G120</f>
        <v>#DIV/0!</v>
      </c>
      <c r="AN121" t="e">
        <f ca="1">data0!AG120/Calculations!AN$2/Cal!$G120</f>
        <v>#DIV/0!</v>
      </c>
    </row>
    <row r="122" spans="1:40">
      <c r="A122">
        <f>data0!A121</f>
        <v>895</v>
      </c>
      <c r="B122" t="e">
        <f t="shared" ca="1" si="5"/>
        <v>#DIV/0!</v>
      </c>
      <c r="C122" t="e">
        <f t="shared" ca="1" si="6"/>
        <v>#DIV/0!</v>
      </c>
      <c r="D122" t="e">
        <f t="shared" ca="1" si="7"/>
        <v>#DIV/0!</v>
      </c>
      <c r="F122" t="e">
        <f t="shared" ca="1" si="8"/>
        <v>#DIV/0!</v>
      </c>
      <c r="G122" t="e">
        <f t="shared" ca="1" si="9"/>
        <v>#DIV/0!</v>
      </c>
      <c r="I122">
        <f ca="1">data0!B121/Calculations!I$2/Cal!$G121</f>
        <v>1.2376051634147734E-3</v>
      </c>
      <c r="J122">
        <f ca="1">data0!C121/Calculations!J$2/Cal!$G121</f>
        <v>3.7186033503245701E-3</v>
      </c>
      <c r="K122">
        <f ca="1">data0!D121/Calculations!K$2/Cal!$G121</f>
        <v>3.9548341236718904E-3</v>
      </c>
      <c r="L122">
        <f ca="1">data0!E121/Calculations!L$2/Cal!$G121</f>
        <v>4.8871742019415253E-3</v>
      </c>
      <c r="M122">
        <f ca="1">data0!F121/Calculations!M$2/Cal!$G121</f>
        <v>3.898805273253441E-5</v>
      </c>
      <c r="N122">
        <f ca="1">data0!G121/Calculations!N$2/Cal!$G121</f>
        <v>7.8797800123123099E-4</v>
      </c>
      <c r="O122">
        <f ca="1">data0!H121/Calculations!O$2/Cal!$G121</f>
        <v>1.0599144091323319E-3</v>
      </c>
      <c r="P122">
        <f ca="1">data0!I121/Calculations!P$2/Cal!$G121</f>
        <v>2.2566304157292621E-5</v>
      </c>
      <c r="Q122">
        <f ca="1">data0!J121/Calculations!Q$2/Cal!$G121</f>
        <v>2.041298502490795E-4</v>
      </c>
      <c r="R122">
        <f ca="1">data0!K121/Calculations!R$2/Cal!$G121</f>
        <v>6.8288385257666564E-4</v>
      </c>
      <c r="S122">
        <f ca="1">data0!L121/Calculations!S$2/Cal!$G121</f>
        <v>2.260907988408005E-5</v>
      </c>
      <c r="T122">
        <f ca="1">data0!M121/Calculations!T$2/Cal!$G121</f>
        <v>2.2728094836780942E-5</v>
      </c>
      <c r="U122">
        <f ca="1">data0!N121/Calculations!U$2/Cal!$G121</f>
        <v>2.2597300165189586E-5</v>
      </c>
      <c r="V122">
        <f ca="1">data0!O121/Calculations!V$2/Cal!$G121</f>
        <v>2.290431107073251E-5</v>
      </c>
      <c r="W122">
        <f ca="1">data0!P121/Calculations!W$2/Cal!$G121</f>
        <v>2.3096691217102341E-5</v>
      </c>
      <c r="X122">
        <f ca="1">data0!Q121/Calculations!X$2/Cal!$G121</f>
        <v>2.3650265216363132E-5</v>
      </c>
      <c r="Y122">
        <f ca="1">data0!R121/Calculations!Y$2/Cal!$G121</f>
        <v>2.4887678513949274E-5</v>
      </c>
      <c r="Z122">
        <f ca="1">data0!S121/Calculations!Z$2/Cal!$G121</f>
        <v>2.4794553541402924E-5</v>
      </c>
      <c r="AA122">
        <f ca="1">data0!T121/Calculations!AA$2/Cal!$G121</f>
        <v>2.4852027598216198E-5</v>
      </c>
      <c r="AB122">
        <f ca="1">data0!U121/Calculations!AB$2/Cal!$G121</f>
        <v>2.583300205779767E-5</v>
      </c>
      <c r="AC122">
        <f ca="1">data0!V121/Calculations!AC$2/Cal!$G121</f>
        <v>2.7293867344424267E-5</v>
      </c>
      <c r="AD122">
        <f ca="1">data0!W121/Calculations!AD$2/Cal!$G121</f>
        <v>3.1695998296308182E-4</v>
      </c>
      <c r="AE122">
        <f ca="1">data0!X121/Calculations!AE$2/Cal!$G121</f>
        <v>2.1077169626892113E-3</v>
      </c>
      <c r="AF122">
        <f ca="1">data0!Y121/Calculations!AF$2/Cal!$G121</f>
        <v>7.6827181229578603E-4</v>
      </c>
      <c r="AG122">
        <f ca="1">data0!Z121/Calculations!AG$2/Cal!$G121</f>
        <v>9.8370472862436349E-4</v>
      </c>
      <c r="AH122" t="e">
        <f ca="1">data0!AA121/Calculations!AH$2/Cal!$G121</f>
        <v>#DIV/0!</v>
      </c>
      <c r="AI122" t="e">
        <f ca="1">data0!AB121/Calculations!AI$2/Cal!$G121</f>
        <v>#DIV/0!</v>
      </c>
      <c r="AJ122" t="e">
        <f ca="1">data0!AC121/Calculations!AJ$2/Cal!$G121</f>
        <v>#DIV/0!</v>
      </c>
      <c r="AK122" t="e">
        <f ca="1">data0!AD121/Calculations!AK$2/Cal!$G121</f>
        <v>#DIV/0!</v>
      </c>
      <c r="AL122" t="e">
        <f ca="1">data0!AE121/Calculations!AL$2/Cal!$G121</f>
        <v>#DIV/0!</v>
      </c>
      <c r="AM122" t="e">
        <f ca="1">data0!AF121/Calculations!AM$2/Cal!$G121</f>
        <v>#DIV/0!</v>
      </c>
      <c r="AN122" t="e">
        <f ca="1">data0!AG121/Calculations!AN$2/Cal!$G121</f>
        <v>#DIV/0!</v>
      </c>
    </row>
    <row r="123" spans="1:40">
      <c r="A123">
        <f>data0!A122</f>
        <v>900</v>
      </c>
      <c r="B123" t="e">
        <f t="shared" ca="1" si="5"/>
        <v>#DIV/0!</v>
      </c>
      <c r="C123" t="e">
        <f t="shared" ca="1" si="6"/>
        <v>#DIV/0!</v>
      </c>
      <c r="D123" t="e">
        <f t="shared" ca="1" si="7"/>
        <v>#DIV/0!</v>
      </c>
      <c r="F123" t="e">
        <f t="shared" ca="1" si="8"/>
        <v>#DIV/0!</v>
      </c>
      <c r="G123" t="e">
        <f t="shared" ca="1" si="9"/>
        <v>#DIV/0!</v>
      </c>
      <c r="I123">
        <f ca="1">data0!B122/Calculations!I$2/Cal!$G122</f>
        <v>1.2142995795254383E-3</v>
      </c>
      <c r="J123">
        <f ca="1">data0!C122/Calculations!J$2/Cal!$G122</f>
        <v>3.6485776063360517E-3</v>
      </c>
      <c r="K123">
        <f ca="1">data0!D122/Calculations!K$2/Cal!$G122</f>
        <v>3.8803598719781367E-3</v>
      </c>
      <c r="L123">
        <f ca="1">data0!E122/Calculations!L$2/Cal!$G122</f>
        <v>4.7596230902981779E-3</v>
      </c>
      <c r="M123">
        <f ca="1">data0!F122/Calculations!M$2/Cal!$G122</f>
        <v>3.8253861117550511E-5</v>
      </c>
      <c r="N123">
        <f ca="1">data0!G122/Calculations!N$2/Cal!$G122</f>
        <v>7.7313943401002231E-4</v>
      </c>
      <c r="O123">
        <f ca="1">data0!H122/Calculations!O$2/Cal!$G122</f>
        <v>1.0620816978918087E-3</v>
      </c>
      <c r="P123">
        <f ca="1">data0!I122/Calculations!P$2/Cal!$G122</f>
        <v>2.2141353688308696E-5</v>
      </c>
      <c r="Q123">
        <f ca="1">data0!J122/Calculations!Q$2/Cal!$G122</f>
        <v>2.2253981308180621E-5</v>
      </c>
      <c r="R123">
        <f ca="1">data0!K122/Calculations!R$2/Cal!$G122</f>
        <v>5.5835361871736959E-4</v>
      </c>
      <c r="S123">
        <f ca="1">data0!L122/Calculations!S$2/Cal!$G122</f>
        <v>1.3309994608958373E-4</v>
      </c>
      <c r="T123">
        <f ca="1">data0!M122/Calculations!T$2/Cal!$G122</f>
        <v>2.2300097655998464E-5</v>
      </c>
      <c r="U123">
        <f ca="1">data0!N122/Calculations!U$2/Cal!$G122</f>
        <v>2.2171766004343646E-5</v>
      </c>
      <c r="V123">
        <f ca="1">data0!O122/Calculations!V$2/Cal!$G122</f>
        <v>2.2472995527725612E-5</v>
      </c>
      <c r="W123">
        <f ca="1">data0!P122/Calculations!W$2/Cal!$G122</f>
        <v>2.2661752926087917E-5</v>
      </c>
      <c r="X123">
        <f ca="1">data0!Q122/Calculations!X$2/Cal!$G122</f>
        <v>2.3204902465545124E-5</v>
      </c>
      <c r="Y123">
        <f ca="1">data0!R122/Calculations!Y$2/Cal!$G122</f>
        <v>2.4419013792304719E-5</v>
      </c>
      <c r="Z123">
        <f ca="1">data0!S122/Calculations!Z$2/Cal!$G122</f>
        <v>2.4327642474254996E-5</v>
      </c>
      <c r="AA123">
        <f ca="1">data0!T122/Calculations!AA$2/Cal!$G122</f>
        <v>2.4384034225909791E-5</v>
      </c>
      <c r="AB123">
        <f ca="1">data0!U122/Calculations!AB$2/Cal!$G122</f>
        <v>2.5346535764371586E-5</v>
      </c>
      <c r="AC123">
        <f ca="1">data0!V122/Calculations!AC$2/Cal!$G122</f>
        <v>2.6779891212242699E-5</v>
      </c>
      <c r="AD123">
        <f ca="1">data0!W122/Calculations!AD$2/Cal!$G122</f>
        <v>2.8271931867966649E-4</v>
      </c>
      <c r="AE123">
        <f ca="1">data0!X122/Calculations!AE$2/Cal!$G122</f>
        <v>1.9414123765456519E-3</v>
      </c>
      <c r="AF123">
        <f ca="1">data0!Y122/Calculations!AF$2/Cal!$G122</f>
        <v>7.5380433615673391E-4</v>
      </c>
      <c r="AG123">
        <f ca="1">data0!Z122/Calculations!AG$2/Cal!$G122</f>
        <v>9.6518039327654192E-4</v>
      </c>
      <c r="AH123" t="e">
        <f ca="1">data0!AA122/Calculations!AH$2/Cal!$G122</f>
        <v>#DIV/0!</v>
      </c>
      <c r="AI123" t="e">
        <f ca="1">data0!AB122/Calculations!AI$2/Cal!$G122</f>
        <v>#DIV/0!</v>
      </c>
      <c r="AJ123" t="e">
        <f ca="1">data0!AC122/Calculations!AJ$2/Cal!$G122</f>
        <v>#DIV/0!</v>
      </c>
      <c r="AK123" t="e">
        <f ca="1">data0!AD122/Calculations!AK$2/Cal!$G122</f>
        <v>#DIV/0!</v>
      </c>
      <c r="AL123" t="e">
        <f ca="1">data0!AE122/Calculations!AL$2/Cal!$G122</f>
        <v>#DIV/0!</v>
      </c>
      <c r="AM123" t="e">
        <f ca="1">data0!AF122/Calculations!AM$2/Cal!$G122</f>
        <v>#DIV/0!</v>
      </c>
      <c r="AN123" t="e">
        <f ca="1">data0!AG122/Calculations!AN$2/Cal!$G122</f>
        <v>#DIV/0!</v>
      </c>
    </row>
    <row r="124" spans="1:40">
      <c r="A124">
        <f>data0!A123</f>
        <v>905</v>
      </c>
      <c r="B124" t="e">
        <f t="shared" ca="1" si="5"/>
        <v>#DIV/0!</v>
      </c>
      <c r="C124" t="e">
        <f t="shared" ca="1" si="6"/>
        <v>#DIV/0!</v>
      </c>
      <c r="D124" t="e">
        <f t="shared" ca="1" si="7"/>
        <v>#DIV/0!</v>
      </c>
      <c r="F124" t="e">
        <f t="shared" ca="1" si="8"/>
        <v>#DIV/0!</v>
      </c>
      <c r="G124" t="e">
        <f t="shared" ca="1" si="9"/>
        <v>#DIV/0!</v>
      </c>
      <c r="I124">
        <f ca="1">data0!B123/Calculations!I$2/Cal!$G123</f>
        <v>1.193325919813858E-3</v>
      </c>
      <c r="J124">
        <f ca="1">data0!C123/Calculations!J$2/Cal!$G123</f>
        <v>3.5855585405001797E-3</v>
      </c>
      <c r="K124">
        <f ca="1">data0!D123/Calculations!K$2/Cal!$G123</f>
        <v>3.466670403410563E-3</v>
      </c>
      <c r="L124">
        <f ca="1">data0!E123/Calculations!L$2/Cal!$G123</f>
        <v>4.6774137930749114E-3</v>
      </c>
      <c r="M124">
        <f ca="1">data0!F123/Calculations!M$2/Cal!$G123</f>
        <v>3.7593131690264437E-5</v>
      </c>
      <c r="N124">
        <f ca="1">data0!G123/Calculations!N$2/Cal!$G123</f>
        <v>8.2885705152809994E-4</v>
      </c>
      <c r="O124">
        <f ca="1">data0!H123/Calculations!O$2/Cal!$G123</f>
        <v>8.6978099765469953E-4</v>
      </c>
      <c r="P124">
        <f ca="1">data0!I123/Calculations!P$2/Cal!$G123</f>
        <v>2.8286600519071727E-4</v>
      </c>
      <c r="Q124">
        <f ca="1">data0!J123/Calculations!Q$2/Cal!$G123</f>
        <v>2.1869605459703376E-5</v>
      </c>
      <c r="R124">
        <f ca="1">data0!K123/Calculations!R$2/Cal!$G123</f>
        <v>2.1948383923958926E-5</v>
      </c>
      <c r="S124">
        <f ca="1">data0!L123/Calculations!S$2/Cal!$G123</f>
        <v>3.0520236109379475E-4</v>
      </c>
      <c r="T124">
        <f ca="1">data0!M123/Calculations!T$2/Cal!$G123</f>
        <v>2.1914925275427675E-5</v>
      </c>
      <c r="U124">
        <f ca="1">data0!N123/Calculations!U$2/Cal!$G123</f>
        <v>2.1788810197374145E-5</v>
      </c>
      <c r="V124">
        <f ca="1">data0!O123/Calculations!V$2/Cal!$G123</f>
        <v>2.2084836815620491E-5</v>
      </c>
      <c r="W124">
        <f ca="1">data0!P123/Calculations!W$2/Cal!$G123</f>
        <v>1.3362200643637337E-4</v>
      </c>
      <c r="X124">
        <f ca="1">data0!Q123/Calculations!X$2/Cal!$G123</f>
        <v>2.2804102089625565E-5</v>
      </c>
      <c r="Y124">
        <f ca="1">data0!R123/Calculations!Y$2/Cal!$G123</f>
        <v>2.3997243008218356E-5</v>
      </c>
      <c r="Z124">
        <f ca="1">data0!S123/Calculations!Z$2/Cal!$G123</f>
        <v>2.3907449876445301E-5</v>
      </c>
      <c r="AA124">
        <f ca="1">data0!T123/Calculations!AA$2/Cal!$G123</f>
        <v>2.3962867616884341E-5</v>
      </c>
      <c r="AB124">
        <f ca="1">data0!U123/Calculations!AB$2/Cal!$G123</f>
        <v>2.490874460891628E-5</v>
      </c>
      <c r="AC124">
        <f ca="1">data0!V123/Calculations!AC$2/Cal!$G123</f>
        <v>2.6317342814080334E-5</v>
      </c>
      <c r="AD124">
        <f ca="1">data0!W123/Calculations!AD$2/Cal!$G123</f>
        <v>3.0561973591802268E-4</v>
      </c>
      <c r="AE124">
        <f ca="1">data0!X123/Calculations!AE$2/Cal!$G123</f>
        <v>1.7005015496424922E-3</v>
      </c>
      <c r="AF124">
        <f ca="1">data0!Y123/Calculations!AF$2/Cal!$G123</f>
        <v>7.4078445547634715E-4</v>
      </c>
      <c r="AG124">
        <f ca="1">data0!Z123/Calculations!AG$2/Cal!$G123</f>
        <v>9.4850957705441754E-4</v>
      </c>
      <c r="AH124" t="e">
        <f ca="1">data0!AA123/Calculations!AH$2/Cal!$G123</f>
        <v>#DIV/0!</v>
      </c>
      <c r="AI124" t="e">
        <f ca="1">data0!AB123/Calculations!AI$2/Cal!$G123</f>
        <v>#DIV/0!</v>
      </c>
      <c r="AJ124" t="e">
        <f ca="1">data0!AC123/Calculations!AJ$2/Cal!$G123</f>
        <v>#DIV/0!</v>
      </c>
      <c r="AK124" t="e">
        <f ca="1">data0!AD123/Calculations!AK$2/Cal!$G123</f>
        <v>#DIV/0!</v>
      </c>
      <c r="AL124" t="e">
        <f ca="1">data0!AE123/Calculations!AL$2/Cal!$G123</f>
        <v>#DIV/0!</v>
      </c>
      <c r="AM124" t="e">
        <f ca="1">data0!AF123/Calculations!AM$2/Cal!$G123</f>
        <v>#DIV/0!</v>
      </c>
      <c r="AN124" t="e">
        <f ca="1">data0!AG123/Calculations!AN$2/Cal!$G123</f>
        <v>#DIV/0!</v>
      </c>
    </row>
    <row r="125" spans="1:40">
      <c r="A125">
        <f>data0!A124</f>
        <v>910</v>
      </c>
      <c r="B125" t="e">
        <f t="shared" ca="1" si="5"/>
        <v>#DIV/0!</v>
      </c>
      <c r="C125" t="e">
        <f t="shared" ca="1" si="6"/>
        <v>#DIV/0!</v>
      </c>
      <c r="D125" t="e">
        <f t="shared" ca="1" si="7"/>
        <v>#DIV/0!</v>
      </c>
      <c r="F125" t="e">
        <f t="shared" ca="1" si="8"/>
        <v>#DIV/0!</v>
      </c>
      <c r="G125" t="e">
        <f t="shared" ca="1" si="9"/>
        <v>#DIV/0!</v>
      </c>
      <c r="I125">
        <f ca="1">data0!B124/Calculations!I$2/Cal!$G124</f>
        <v>1.1722588521098927E-3</v>
      </c>
      <c r="J125">
        <f ca="1">data0!C124/Calculations!J$2/Cal!$G124</f>
        <v>3.5222588138496178E-3</v>
      </c>
      <c r="K125">
        <f ca="1">data0!D124/Calculations!K$2/Cal!$G124</f>
        <v>3.4054695370895039E-3</v>
      </c>
      <c r="L125">
        <f ca="1">data0!E124/Calculations!L$2/Cal!$G124</f>
        <v>4.5605488668950585E-3</v>
      </c>
      <c r="M125">
        <f ca="1">data0!F124/Calculations!M$2/Cal!$G124</f>
        <v>3.6929459647804808E-5</v>
      </c>
      <c r="N125">
        <f ca="1">data0!G124/Calculations!N$2/Cal!$G124</f>
        <v>8.5945902624076436E-4</v>
      </c>
      <c r="O125">
        <f ca="1">data0!H124/Calculations!O$2/Cal!$G124</f>
        <v>6.835406285160922E-4</v>
      </c>
      <c r="P125">
        <f ca="1">data0!I124/Calculations!P$2/Cal!$G124</f>
        <v>5.984941102146205E-4</v>
      </c>
      <c r="Q125">
        <f ca="1">data0!J124/Calculations!Q$2/Cal!$G124</f>
        <v>2.1483517760417965E-5</v>
      </c>
      <c r="R125">
        <f ca="1">data0!K124/Calculations!R$2/Cal!$G124</f>
        <v>2.1560905463597662E-5</v>
      </c>
      <c r="S125">
        <f ca="1">data0!L124/Calculations!S$2/Cal!$G124</f>
        <v>2.1415306606384969E-5</v>
      </c>
      <c r="T125">
        <f ca="1">data0!M124/Calculations!T$2/Cal!$G124</f>
        <v>1.2916822760704102E-4</v>
      </c>
      <c r="U125">
        <f ca="1">data0!N124/Calculations!U$2/Cal!$G124</f>
        <v>2.1404149647525096E-4</v>
      </c>
      <c r="V125">
        <f ca="1">data0!O124/Calculations!V$2/Cal!$G124</f>
        <v>8.6779797621598358E-5</v>
      </c>
      <c r="W125">
        <f ca="1">data0!P124/Calculations!W$2/Cal!$G124</f>
        <v>2.1877171762108237E-5</v>
      </c>
      <c r="X125">
        <f ca="1">data0!Q124/Calculations!X$2/Cal!$G124</f>
        <v>2.2401516714856186E-5</v>
      </c>
      <c r="Y125">
        <f ca="1">data0!R124/Calculations!Y$2/Cal!$G124</f>
        <v>2.3573593831770818E-5</v>
      </c>
      <c r="Z125">
        <f ca="1">data0!S124/Calculations!Z$2/Cal!$G124</f>
        <v>2.3485385914862373E-5</v>
      </c>
      <c r="AA125">
        <f ca="1">data0!T124/Calculations!AA$2/Cal!$G124</f>
        <v>2.3539825306243166E-5</v>
      </c>
      <c r="AB125">
        <f ca="1">data0!U124/Calculations!AB$2/Cal!$G124</f>
        <v>2.4469003713001883E-5</v>
      </c>
      <c r="AC125">
        <f ca="1">data0!V124/Calculations!AC$2/Cal!$G124</f>
        <v>2.585273441695512E-5</v>
      </c>
      <c r="AD125">
        <f ca="1">data0!W124/Calculations!AD$2/Cal!$G124</f>
        <v>3.8210364926338352E-4</v>
      </c>
      <c r="AE125">
        <f ca="1">data0!X124/Calculations!AE$2/Cal!$G124</f>
        <v>1.5075070389633212E-3</v>
      </c>
      <c r="AF125">
        <f ca="1">data0!Y124/Calculations!AF$2/Cal!$G124</f>
        <v>7.2770658964066697E-4</v>
      </c>
      <c r="AG125">
        <f ca="1">data0!Z124/Calculations!AG$2/Cal!$G124</f>
        <v>9.3176451592243289E-4</v>
      </c>
      <c r="AH125" t="e">
        <f ca="1">data0!AA124/Calculations!AH$2/Cal!$G124</f>
        <v>#DIV/0!</v>
      </c>
      <c r="AI125" t="e">
        <f ca="1">data0!AB124/Calculations!AI$2/Cal!$G124</f>
        <v>#DIV/0!</v>
      </c>
      <c r="AJ125" t="e">
        <f ca="1">data0!AC124/Calculations!AJ$2/Cal!$G124</f>
        <v>#DIV/0!</v>
      </c>
      <c r="AK125" t="e">
        <f ca="1">data0!AD124/Calculations!AK$2/Cal!$G124</f>
        <v>#DIV/0!</v>
      </c>
      <c r="AL125" t="e">
        <f ca="1">data0!AE124/Calculations!AL$2/Cal!$G124</f>
        <v>#DIV/0!</v>
      </c>
      <c r="AM125" t="e">
        <f ca="1">data0!AF124/Calculations!AM$2/Cal!$G124</f>
        <v>#DIV/0!</v>
      </c>
      <c r="AN125" t="e">
        <f ca="1">data0!AG124/Calculations!AN$2/Cal!$G124</f>
        <v>#DIV/0!</v>
      </c>
    </row>
    <row r="126" spans="1:40">
      <c r="A126">
        <f>data0!A125</f>
        <v>915</v>
      </c>
      <c r="B126" t="e">
        <f t="shared" ca="1" si="5"/>
        <v>#DIV/0!</v>
      </c>
      <c r="C126" t="e">
        <f t="shared" ca="1" si="6"/>
        <v>#DIV/0!</v>
      </c>
      <c r="D126" t="e">
        <f t="shared" ca="1" si="7"/>
        <v>#DIV/0!</v>
      </c>
      <c r="F126" t="e">
        <f t="shared" ca="1" si="8"/>
        <v>#DIV/0!</v>
      </c>
      <c r="G126" t="e">
        <f t="shared" ca="1" si="9"/>
        <v>#DIV/0!</v>
      </c>
      <c r="I126">
        <f ca="1">data0!B125/Calculations!I$2/Cal!$G125</f>
        <v>1.155454623778052E-3</v>
      </c>
      <c r="J126">
        <f ca="1">data0!C125/Calculations!J$2/Cal!$G125</f>
        <v>3.4717675411710309E-3</v>
      </c>
      <c r="K126">
        <f ca="1">data0!D125/Calculations!K$2/Cal!$G125</f>
        <v>3.0209872184218628E-3</v>
      </c>
      <c r="L126">
        <f ca="1">data0!E125/Calculations!L$2/Cal!$G125</f>
        <v>4.3599803499357543E-3</v>
      </c>
      <c r="M126">
        <f ca="1">data0!F125/Calculations!M$2/Cal!$G125</f>
        <v>3.6400079066906421E-5</v>
      </c>
      <c r="N126">
        <f ca="1">data0!G125/Calculations!N$2/Cal!$G125</f>
        <v>8.0255251037250153E-4</v>
      </c>
      <c r="O126">
        <f ca="1">data0!H125/Calculations!O$2/Cal!$G125</f>
        <v>6.1057881212547458E-4</v>
      </c>
      <c r="P126">
        <f ca="1">data0!I125/Calculations!P$2/Cal!$G125</f>
        <v>6.3205151425482276E-4</v>
      </c>
      <c r="Q126">
        <f ca="1">data0!J125/Calculations!Q$2/Cal!$G125</f>
        <v>2.1175553408374519E-5</v>
      </c>
      <c r="R126">
        <f ca="1">data0!K125/Calculations!R$2/Cal!$G125</f>
        <v>2.1251831765583425E-5</v>
      </c>
      <c r="S126">
        <f ca="1">data0!L125/Calculations!S$2/Cal!$G125</f>
        <v>2.1108320055281206E-5</v>
      </c>
      <c r="T126">
        <f ca="1">data0!M125/Calculations!T$2/Cal!$G125</f>
        <v>2.121943495804837E-5</v>
      </c>
      <c r="U126">
        <f ca="1">data0!N125/Calculations!U$2/Cal!$G125</f>
        <v>2.1097322258034437E-5</v>
      </c>
      <c r="V126">
        <f ca="1">data0!O125/Calculations!V$2/Cal!$G125</f>
        <v>2.1383954199178796E-5</v>
      </c>
      <c r="W126">
        <f ca="1">data0!P125/Calculations!W$2/Cal!$G125</f>
        <v>2.1563564414308141E-5</v>
      </c>
      <c r="X126">
        <f ca="1">data0!Q125/Calculations!X$2/Cal!$G125</f>
        <v>2.2080392927922565E-5</v>
      </c>
      <c r="Y126">
        <f ca="1">data0!R125/Calculations!Y$2/Cal!$G125</f>
        <v>2.3235668421663515E-5</v>
      </c>
      <c r="Z126">
        <f ca="1">data0!S125/Calculations!Z$2/Cal!$G125</f>
        <v>2.3148724957545288E-5</v>
      </c>
      <c r="AA126">
        <f ca="1">data0!T125/Calculations!AA$2/Cal!$G125</f>
        <v>2.3202383965002035E-5</v>
      </c>
      <c r="AB126">
        <f ca="1">data0!U125/Calculations!AB$2/Cal!$G125</f>
        <v>2.4118242680397288E-5</v>
      </c>
      <c r="AC126">
        <f ca="1">data0!V125/Calculations!AC$2/Cal!$G125</f>
        <v>2.5482137725479483E-5</v>
      </c>
      <c r="AD126">
        <f ca="1">data0!W125/Calculations!AD$2/Cal!$G125</f>
        <v>4.8423373893297707E-4</v>
      </c>
      <c r="AE126">
        <f ca="1">data0!X125/Calculations!AE$2/Cal!$G125</f>
        <v>1.365419002140692E-3</v>
      </c>
      <c r="AF126">
        <f ca="1">data0!Y125/Calculations!AF$2/Cal!$G125</f>
        <v>7.1727497919140716E-4</v>
      </c>
      <c r="AG126">
        <f ca="1">data0!Z125/Calculations!AG$2/Cal!$G125</f>
        <v>9.184077529098215E-4</v>
      </c>
      <c r="AH126" t="e">
        <f ca="1">data0!AA125/Calculations!AH$2/Cal!$G125</f>
        <v>#DIV/0!</v>
      </c>
      <c r="AI126" t="e">
        <f ca="1">data0!AB125/Calculations!AI$2/Cal!$G125</f>
        <v>#DIV/0!</v>
      </c>
      <c r="AJ126" t="e">
        <f ca="1">data0!AC125/Calculations!AJ$2/Cal!$G125</f>
        <v>#DIV/0!</v>
      </c>
      <c r="AK126" t="e">
        <f ca="1">data0!AD125/Calculations!AK$2/Cal!$G125</f>
        <v>#DIV/0!</v>
      </c>
      <c r="AL126" t="e">
        <f ca="1">data0!AE125/Calculations!AL$2/Cal!$G125</f>
        <v>#DIV/0!</v>
      </c>
      <c r="AM126" t="e">
        <f ca="1">data0!AF125/Calculations!AM$2/Cal!$G125</f>
        <v>#DIV/0!</v>
      </c>
      <c r="AN126" t="e">
        <f ca="1">data0!AG125/Calculations!AN$2/Cal!$G125</f>
        <v>#DIV/0!</v>
      </c>
    </row>
    <row r="127" spans="1:40">
      <c r="A127">
        <f>data0!A126</f>
        <v>920</v>
      </c>
      <c r="B127" t="e">
        <f t="shared" ca="1" si="5"/>
        <v>#DIV/0!</v>
      </c>
      <c r="C127" t="e">
        <f t="shared" ca="1" si="6"/>
        <v>#DIV/0!</v>
      </c>
      <c r="D127" t="e">
        <f t="shared" ca="1" si="7"/>
        <v>#DIV/0!</v>
      </c>
      <c r="F127" t="e">
        <f t="shared" ca="1" si="8"/>
        <v>#DIV/0!</v>
      </c>
      <c r="G127" t="e">
        <f t="shared" ca="1" si="9"/>
        <v>#DIV/0!</v>
      </c>
      <c r="I127">
        <f ca="1">data0!B126/Calculations!I$2/Cal!$G126</f>
        <v>1.1383210016619695E-3</v>
      </c>
      <c r="J127">
        <f ca="1">data0!C126/Calculations!J$2/Cal!$G126</f>
        <v>3.4202865466765806E-3</v>
      </c>
      <c r="K127">
        <f ca="1">data0!D126/Calculations!K$2/Cal!$G126</f>
        <v>2.9761906055971107E-3</v>
      </c>
      <c r="L127">
        <f ca="1">data0!E126/Calculations!L$2/Cal!$G126</f>
        <v>4.1288429910985979E-3</v>
      </c>
      <c r="M127">
        <f ca="1">data0!F126/Calculations!M$2/Cal!$G126</f>
        <v>3.5860321652903726E-5</v>
      </c>
      <c r="N127">
        <f ca="1">data0!G126/Calculations!N$2/Cal!$G126</f>
        <v>7.0280164310166087E-4</v>
      </c>
      <c r="O127">
        <f ca="1">data0!H126/Calculations!O$2/Cal!$G126</f>
        <v>6.4300933420302132E-4</v>
      </c>
      <c r="P127">
        <f ca="1">data0!I126/Calculations!P$2/Cal!$G126</f>
        <v>4.773873642998009E-4</v>
      </c>
      <c r="Q127">
        <f ca="1">data0!J126/Calculations!Q$2/Cal!$G126</f>
        <v>1.8775398040801861E-4</v>
      </c>
      <c r="R127">
        <f ca="1">data0!K126/Calculations!R$2/Cal!$G126</f>
        <v>2.0936699654591927E-5</v>
      </c>
      <c r="S127">
        <f ca="1">data0!L126/Calculations!S$2/Cal!$G126</f>
        <v>2.0795316003118634E-5</v>
      </c>
      <c r="T127">
        <f ca="1">data0!M126/Calculations!T$2/Cal!$G126</f>
        <v>2.0904783242086374E-5</v>
      </c>
      <c r="U127">
        <f ca="1">data0!N126/Calculations!U$2/Cal!$G126</f>
        <v>2.0784481286358331E-5</v>
      </c>
      <c r="V127">
        <f ca="1">data0!O126/Calculations!V$2/Cal!$G126</f>
        <v>2.1066862914885557E-5</v>
      </c>
      <c r="W127">
        <f ca="1">data0!P126/Calculations!W$2/Cal!$G126</f>
        <v>2.1243809785655994E-5</v>
      </c>
      <c r="X127">
        <f ca="1">data0!Q126/Calculations!X$2/Cal!$G126</f>
        <v>2.1752974524104474E-5</v>
      </c>
      <c r="Y127">
        <f ca="1">data0!R126/Calculations!Y$2/Cal!$G126</f>
        <v>2.2891119051953396E-5</v>
      </c>
      <c r="Z127">
        <f ca="1">data0!S126/Calculations!Z$2/Cal!$G126</f>
        <v>2.2805464826225849E-5</v>
      </c>
      <c r="AA127">
        <f ca="1">data0!T126/Calculations!AA$2/Cal!$G126</f>
        <v>2.2858328152798233E-5</v>
      </c>
      <c r="AB127">
        <f ca="1">data0!U126/Calculations!AB$2/Cal!$G126</f>
        <v>2.3760606086379665E-5</v>
      </c>
      <c r="AC127">
        <f ca="1">data0!V126/Calculations!AC$2/Cal!$G126</f>
        <v>2.5104276657192132E-5</v>
      </c>
      <c r="AD127">
        <f ca="1">data0!W126/Calculations!AD$2/Cal!$G126</f>
        <v>4.7705329434606007E-4</v>
      </c>
      <c r="AE127">
        <f ca="1">data0!X126/Calculations!AE$2/Cal!$G126</f>
        <v>1.3451719299222241E-3</v>
      </c>
      <c r="AF127">
        <f ca="1">data0!Y126/Calculations!AF$2/Cal!$G126</f>
        <v>7.0663888998990934E-4</v>
      </c>
      <c r="AG127">
        <f ca="1">data0!Z126/Calculations!AG$2/Cal!$G126</f>
        <v>9.0478917277433729E-4</v>
      </c>
      <c r="AH127" t="e">
        <f ca="1">data0!AA126/Calculations!AH$2/Cal!$G126</f>
        <v>#DIV/0!</v>
      </c>
      <c r="AI127" t="e">
        <f ca="1">data0!AB126/Calculations!AI$2/Cal!$G126</f>
        <v>#DIV/0!</v>
      </c>
      <c r="AJ127" t="e">
        <f ca="1">data0!AC126/Calculations!AJ$2/Cal!$G126</f>
        <v>#DIV/0!</v>
      </c>
      <c r="AK127" t="e">
        <f ca="1">data0!AD126/Calculations!AK$2/Cal!$G126</f>
        <v>#DIV/0!</v>
      </c>
      <c r="AL127" t="e">
        <f ca="1">data0!AE126/Calculations!AL$2/Cal!$G126</f>
        <v>#DIV/0!</v>
      </c>
      <c r="AM127" t="e">
        <f ca="1">data0!AF126/Calculations!AM$2/Cal!$G126</f>
        <v>#DIV/0!</v>
      </c>
      <c r="AN127" t="e">
        <f ca="1">data0!AG126/Calculations!AN$2/Cal!$G126</f>
        <v>#DIV/0!</v>
      </c>
    </row>
    <row r="128" spans="1:40">
      <c r="A128">
        <f>data0!A127</f>
        <v>925</v>
      </c>
      <c r="B128" t="e">
        <f t="shared" ca="1" si="5"/>
        <v>#DIV/0!</v>
      </c>
      <c r="C128" t="e">
        <f t="shared" ca="1" si="6"/>
        <v>#DIV/0!</v>
      </c>
      <c r="D128" t="e">
        <f t="shared" ca="1" si="7"/>
        <v>#DIV/0!</v>
      </c>
      <c r="F128" t="e">
        <f t="shared" ca="1" si="8"/>
        <v>#DIV/0!</v>
      </c>
      <c r="G128" t="e">
        <f t="shared" ca="1" si="9"/>
        <v>#DIV/0!</v>
      </c>
      <c r="I128">
        <f ca="1">data0!B127/Calculations!I$2/Cal!$G127</f>
        <v>1.122990368033932E-3</v>
      </c>
      <c r="J128">
        <f ca="1">data0!C127/Calculations!J$2/Cal!$G127</f>
        <v>3.3742229496126173E-3</v>
      </c>
      <c r="K128">
        <f ca="1">data0!D127/Calculations!K$2/Cal!$G127</f>
        <v>2.6098736413959055E-3</v>
      </c>
      <c r="L128">
        <f ca="1">data0!E127/Calculations!L$2/Cal!$G127</f>
        <v>3.810447276508359E-3</v>
      </c>
      <c r="M128">
        <f ca="1">data0!F127/Calculations!M$2/Cal!$G127</f>
        <v>3.5377363460757941E-5</v>
      </c>
      <c r="N128">
        <f ca="1">data0!G127/Calculations!N$2/Cal!$G127</f>
        <v>6.2833618851986742E-4</v>
      </c>
      <c r="O128">
        <f ca="1">data0!H127/Calculations!O$2/Cal!$G127</f>
        <v>6.9573813053465969E-4</v>
      </c>
      <c r="P128">
        <f ca="1">data0!I127/Calculations!P$2/Cal!$G127</f>
        <v>3.0714653262998607E-4</v>
      </c>
      <c r="Q128">
        <f ca="1">data0!J127/Calculations!Q$2/Cal!$G127</f>
        <v>3.9103130262171655E-4</v>
      </c>
      <c r="R128">
        <f ca="1">data0!K127/Calculations!R$2/Cal!$G127</f>
        <v>2.0654729216274281E-5</v>
      </c>
      <c r="S128">
        <f ca="1">data0!L127/Calculations!S$2/Cal!$G127</f>
        <v>2.0515249685834128E-5</v>
      </c>
      <c r="T128">
        <f ca="1">data0!M127/Calculations!T$2/Cal!$G127</f>
        <v>2.0623242646340489E-5</v>
      </c>
      <c r="U128">
        <f ca="1">data0!N127/Calculations!U$2/Cal!$G127</f>
        <v>2.0504560888434773E-5</v>
      </c>
      <c r="V128">
        <f ca="1">data0!O127/Calculations!V$2/Cal!$G127</f>
        <v>2.0783139469066091E-5</v>
      </c>
      <c r="W128">
        <f ca="1">data0!P127/Calculations!W$2/Cal!$G127</f>
        <v>2.0957703261914353E-5</v>
      </c>
      <c r="X128">
        <f ca="1">data0!Q127/Calculations!X$2/Cal!$G127</f>
        <v>2.146001069205518E-5</v>
      </c>
      <c r="Y128">
        <f ca="1">data0!R127/Calculations!Y$2/Cal!$G127</f>
        <v>2.258282696298296E-5</v>
      </c>
      <c r="Z128">
        <f ca="1">data0!S127/Calculations!Z$2/Cal!$G127</f>
        <v>2.2498326307778497E-5</v>
      </c>
      <c r="AA128">
        <f ca="1">data0!T127/Calculations!AA$2/Cal!$G127</f>
        <v>2.2550477683775553E-5</v>
      </c>
      <c r="AB128">
        <f ca="1">data0!U127/Calculations!AB$2/Cal!$G127</f>
        <v>2.3440603955031327E-5</v>
      </c>
      <c r="AC128">
        <f ca="1">data0!V127/Calculations!AC$2/Cal!$G127</f>
        <v>2.4766178293579058E-5</v>
      </c>
      <c r="AD128">
        <f ca="1">data0!W127/Calculations!AD$2/Cal!$G127</f>
        <v>3.6604433990076616E-4</v>
      </c>
      <c r="AE128">
        <f ca="1">data0!X127/Calculations!AE$2/Cal!$G127</f>
        <v>1.4051175556718909E-3</v>
      </c>
      <c r="AF128">
        <f ca="1">data0!Y127/Calculations!AF$2/Cal!$G127</f>
        <v>6.9712204727687696E-4</v>
      </c>
      <c r="AG128">
        <f ca="1">data0!Z127/Calculations!AG$2/Cal!$G127</f>
        <v>8.9260368968286611E-4</v>
      </c>
      <c r="AH128" t="e">
        <f ca="1">data0!AA127/Calculations!AH$2/Cal!$G127</f>
        <v>#DIV/0!</v>
      </c>
      <c r="AI128" t="e">
        <f ca="1">data0!AB127/Calculations!AI$2/Cal!$G127</f>
        <v>#DIV/0!</v>
      </c>
      <c r="AJ128" t="e">
        <f ca="1">data0!AC127/Calculations!AJ$2/Cal!$G127</f>
        <v>#DIV/0!</v>
      </c>
      <c r="AK128" t="e">
        <f ca="1">data0!AD127/Calculations!AK$2/Cal!$G127</f>
        <v>#DIV/0!</v>
      </c>
      <c r="AL128" t="e">
        <f ca="1">data0!AE127/Calculations!AL$2/Cal!$G127</f>
        <v>#DIV/0!</v>
      </c>
      <c r="AM128" t="e">
        <f ca="1">data0!AF127/Calculations!AM$2/Cal!$G127</f>
        <v>#DIV/0!</v>
      </c>
      <c r="AN128" t="e">
        <f ca="1">data0!AG127/Calculations!AN$2/Cal!$G127</f>
        <v>#DIV/0!</v>
      </c>
    </row>
    <row r="129" spans="1:40">
      <c r="A129">
        <f>data0!A128</f>
        <v>930</v>
      </c>
      <c r="B129" t="e">
        <f t="shared" ca="1" si="5"/>
        <v>#DIV/0!</v>
      </c>
      <c r="C129" t="e">
        <f t="shared" ca="1" si="6"/>
        <v>#DIV/0!</v>
      </c>
      <c r="D129" t="e">
        <f t="shared" ca="1" si="7"/>
        <v>#DIV/0!</v>
      </c>
      <c r="F129" t="e">
        <f t="shared" ca="1" si="8"/>
        <v>#DIV/0!</v>
      </c>
      <c r="G129" t="e">
        <f t="shared" ca="1" si="9"/>
        <v>#DIV/0!</v>
      </c>
      <c r="I129">
        <f ca="1">data0!B128/Calculations!I$2/Cal!$G128</f>
        <v>1.1083634598534702E-3</v>
      </c>
      <c r="J129">
        <f ca="1">data0!C128/Calculations!J$2/Cal!$G128</f>
        <v>3.3302738199768953E-3</v>
      </c>
      <c r="K129">
        <f ca="1">data0!D128/Calculations!K$2/Cal!$G128</f>
        <v>2.5758801333463761E-3</v>
      </c>
      <c r="L129">
        <f ca="1">data0!E128/Calculations!L$2/Cal!$G128</f>
        <v>3.5014497143335821E-3</v>
      </c>
      <c r="M129">
        <f ca="1">data0!F128/Calculations!M$2/Cal!$G128</f>
        <v>3.4916574604738393E-5</v>
      </c>
      <c r="N129">
        <f ca="1">data0!G128/Calculations!N$2/Cal!$G128</f>
        <v>5.5599846821641804E-4</v>
      </c>
      <c r="O129">
        <f ca="1">data0!H128/Calculations!O$2/Cal!$G128</f>
        <v>7.0687248310770292E-4</v>
      </c>
      <c r="P129">
        <f ca="1">data0!I128/Calculations!P$2/Cal!$G128</f>
        <v>2.4251677223075297E-4</v>
      </c>
      <c r="Q129">
        <f ca="1">data0!J128/Calculations!Q$2/Cal!$G128</f>
        <v>3.4531307171376983E-4</v>
      </c>
      <c r="R129">
        <f ca="1">data0!K128/Calculations!R$2/Cal!$G128</f>
        <v>4.0771404258018696E-5</v>
      </c>
      <c r="S129">
        <f ca="1">data0!L128/Calculations!S$2/Cal!$G128</f>
        <v>2.0248039314315719E-5</v>
      </c>
      <c r="T129">
        <f ca="1">data0!M128/Calculations!T$2/Cal!$G128</f>
        <v>2.0354625670489195E-5</v>
      </c>
      <c r="U129">
        <f ca="1">data0!N128/Calculations!U$2/Cal!$G128</f>
        <v>2.023748973810879E-5</v>
      </c>
      <c r="V129">
        <f ca="1">data0!O128/Calculations!V$2/Cal!$G128</f>
        <v>2.0512439842988287E-5</v>
      </c>
      <c r="W129">
        <f ca="1">data0!P128/Calculations!W$2/Cal!$G128</f>
        <v>2.0684729948864422E-5</v>
      </c>
      <c r="X129">
        <f ca="1">data0!Q128/Calculations!X$2/Cal!$G128</f>
        <v>2.1180494843229188E-5</v>
      </c>
      <c r="Y129">
        <f ca="1">data0!R128/Calculations!Y$2/Cal!$G128</f>
        <v>2.22886864735849E-5</v>
      </c>
      <c r="Z129">
        <f ca="1">data0!S128/Calculations!Z$2/Cal!$G128</f>
        <v>2.2205286436302057E-5</v>
      </c>
      <c r="AA129">
        <f ca="1">data0!T128/Calculations!AA$2/Cal!$G128</f>
        <v>2.2256758542547647E-5</v>
      </c>
      <c r="AB129">
        <f ca="1">data0!U128/Calculations!AB$2/Cal!$G128</f>
        <v>2.3135290951906398E-5</v>
      </c>
      <c r="AC129">
        <f ca="1">data0!V128/Calculations!AC$2/Cal!$G128</f>
        <v>2.4443599733519512E-5</v>
      </c>
      <c r="AD129">
        <f ca="1">data0!W128/Calculations!AD$2/Cal!$G128</f>
        <v>1.806383129280473E-4</v>
      </c>
      <c r="AE129">
        <f ca="1">data0!X128/Calculations!AE$2/Cal!$G128</f>
        <v>1.4253385371767811E-3</v>
      </c>
      <c r="AF129">
        <f ca="1">data0!Y128/Calculations!AF$2/Cal!$G128</f>
        <v>3.4402102914411964E-4</v>
      </c>
      <c r="AG129">
        <f ca="1">data0!Z128/Calculations!AG$2/Cal!$G128</f>
        <v>8.809775595020788E-4</v>
      </c>
      <c r="AH129" t="e">
        <f ca="1">data0!AA128/Calculations!AH$2/Cal!$G128</f>
        <v>#DIV/0!</v>
      </c>
      <c r="AI129" t="e">
        <f ca="1">data0!AB128/Calculations!AI$2/Cal!$G128</f>
        <v>#DIV/0!</v>
      </c>
      <c r="AJ129" t="e">
        <f ca="1">data0!AC128/Calculations!AJ$2/Cal!$G128</f>
        <v>#DIV/0!</v>
      </c>
      <c r="AK129" t="e">
        <f ca="1">data0!AD128/Calculations!AK$2/Cal!$G128</f>
        <v>#DIV/0!</v>
      </c>
      <c r="AL129" t="e">
        <f ca="1">data0!AE128/Calculations!AL$2/Cal!$G128</f>
        <v>#DIV/0!</v>
      </c>
      <c r="AM129" t="e">
        <f ca="1">data0!AF128/Calculations!AM$2/Cal!$G128</f>
        <v>#DIV/0!</v>
      </c>
      <c r="AN129" t="e">
        <f ca="1">data0!AG128/Calculations!AN$2/Cal!$G128</f>
        <v>#DIV/0!</v>
      </c>
    </row>
    <row r="130" spans="1:40">
      <c r="A130">
        <f>data0!A129</f>
        <v>935</v>
      </c>
      <c r="B130" t="e">
        <f t="shared" ca="1" si="5"/>
        <v>#DIV/0!</v>
      </c>
      <c r="C130" t="e">
        <f t="shared" ca="1" si="6"/>
        <v>#DIV/0!</v>
      </c>
      <c r="D130" t="e">
        <f t="shared" ca="1" si="7"/>
        <v>#DIV/0!</v>
      </c>
      <c r="F130" t="e">
        <f t="shared" ca="1" si="8"/>
        <v>#DIV/0!</v>
      </c>
      <c r="G130" t="e">
        <f t="shared" ca="1" si="9"/>
        <v>#DIV/0!</v>
      </c>
      <c r="I130">
        <f ca="1">data0!B129/Calculations!I$2/Cal!$G129</f>
        <v>1.0960343650968918E-3</v>
      </c>
      <c r="J130">
        <f ca="1">data0!C129/Calculations!J$2/Cal!$G129</f>
        <v>3.2932288767077655E-3</v>
      </c>
      <c r="K130">
        <f ca="1">data0!D129/Calculations!K$2/Cal!$G129</f>
        <v>2.5472268337781872E-3</v>
      </c>
      <c r="L130">
        <f ca="1">data0!E129/Calculations!L$2/Cal!$G129</f>
        <v>3.2060191509400942E-3</v>
      </c>
      <c r="M130">
        <f ca="1">data0!F129/Calculations!M$2/Cal!$G129</f>
        <v>3.4528173351476327E-5</v>
      </c>
      <c r="N130">
        <f ca="1">data0!G129/Calculations!N$2/Cal!$G129</f>
        <v>5.0752035271412724E-4</v>
      </c>
      <c r="O130">
        <f ca="1">data0!H129/Calculations!O$2/Cal!$G129</f>
        <v>6.5906605572796438E-4</v>
      </c>
      <c r="P130">
        <f ca="1">data0!I129/Calculations!P$2/Cal!$G129</f>
        <v>2.9977385778668281E-4</v>
      </c>
      <c r="Q130">
        <f ca="1">data0!J129/Calculations!Q$2/Cal!$G129</f>
        <v>1.6069265729975573E-4</v>
      </c>
      <c r="R130">
        <f ca="1">data0!K129/Calculations!R$2/Cal!$G129</f>
        <v>2.6206619559517627E-4</v>
      </c>
      <c r="S130">
        <f ca="1">data0!L129/Calculations!S$2/Cal!$G129</f>
        <v>2.0022806343017539E-5</v>
      </c>
      <c r="T130">
        <f ca="1">data0!M129/Calculations!T$2/Cal!$G129</f>
        <v>2.0128207065296883E-5</v>
      </c>
      <c r="U130">
        <f ca="1">data0!N129/Calculations!U$2/Cal!$G129</f>
        <v>2.0012374117056634E-5</v>
      </c>
      <c r="V130">
        <f ca="1">data0!O129/Calculations!V$2/Cal!$G129</f>
        <v>2.0284265761404746E-5</v>
      </c>
      <c r="W130">
        <f ca="1">data0!P129/Calculations!W$2/Cal!$G129</f>
        <v>2.0454639365052226E-5</v>
      </c>
      <c r="X130">
        <f ca="1">data0!Q129/Calculations!X$2/Cal!$G129</f>
        <v>2.0944889522978087E-5</v>
      </c>
      <c r="Y130">
        <f ca="1">data0!R129/Calculations!Y$2/Cal!$G129</f>
        <v>2.2040753969955787E-5</v>
      </c>
      <c r="Z130">
        <f ca="1">data0!S129/Calculations!Z$2/Cal!$G129</f>
        <v>2.1958281649076097E-5</v>
      </c>
      <c r="AA130">
        <f ca="1">data0!T129/Calculations!AA$2/Cal!$G129</f>
        <v>2.2009181195418542E-5</v>
      </c>
      <c r="AB130">
        <f ca="1">data0!U129/Calculations!AB$2/Cal!$G129</f>
        <v>2.2877941080046872E-5</v>
      </c>
      <c r="AC130">
        <f ca="1">data0!V129/Calculations!AC$2/Cal!$G129</f>
        <v>2.4171696636545995E-5</v>
      </c>
      <c r="AD130">
        <f ca="1">data0!W129/Calculations!AD$2/Cal!$G129</f>
        <v>7.6555264236005351E-5</v>
      </c>
      <c r="AE130">
        <f ca="1">data0!X129/Calculations!AE$2/Cal!$G129</f>
        <v>1.3713894365038786E-3</v>
      </c>
      <c r="AF130">
        <f ca="1">data0!Y129/Calculations!AF$2/Cal!$G129</f>
        <v>3.4019424486242357E-4</v>
      </c>
      <c r="AG130">
        <f ca="1">data0!Z129/Calculations!AG$2/Cal!$G129</f>
        <v>8.7117783567235564E-4</v>
      </c>
      <c r="AH130" t="e">
        <f ca="1">data0!AA129/Calculations!AH$2/Cal!$G129</f>
        <v>#DIV/0!</v>
      </c>
      <c r="AI130" t="e">
        <f ca="1">data0!AB129/Calculations!AI$2/Cal!$G129</f>
        <v>#DIV/0!</v>
      </c>
      <c r="AJ130" t="e">
        <f ca="1">data0!AC129/Calculations!AJ$2/Cal!$G129</f>
        <v>#DIV/0!</v>
      </c>
      <c r="AK130" t="e">
        <f ca="1">data0!AD129/Calculations!AK$2/Cal!$G129</f>
        <v>#DIV/0!</v>
      </c>
      <c r="AL130" t="e">
        <f ca="1">data0!AE129/Calculations!AL$2/Cal!$G129</f>
        <v>#DIV/0!</v>
      </c>
      <c r="AM130" t="e">
        <f ca="1">data0!AF129/Calculations!AM$2/Cal!$G129</f>
        <v>#DIV/0!</v>
      </c>
      <c r="AN130" t="e">
        <f ca="1">data0!AG129/Calculations!AN$2/Cal!$G129</f>
        <v>#DIV/0!</v>
      </c>
    </row>
    <row r="131" spans="1:40">
      <c r="A131">
        <f>data0!A130</f>
        <v>940</v>
      </c>
      <c r="B131" t="e">
        <f t="shared" ca="1" si="5"/>
        <v>#DIV/0!</v>
      </c>
      <c r="C131" t="e">
        <f t="shared" ca="1" si="6"/>
        <v>#DIV/0!</v>
      </c>
      <c r="D131" t="e">
        <f t="shared" ca="1" si="7"/>
        <v>#DIV/0!</v>
      </c>
      <c r="F131" t="e">
        <f t="shared" ca="1" si="8"/>
        <v>#DIV/0!</v>
      </c>
      <c r="G131" t="e">
        <f t="shared" ca="1" si="9"/>
        <v>#DIV/0!</v>
      </c>
      <c r="I131">
        <f ca="1">data0!B130/Calculations!I$2/Cal!$G130</f>
        <v>1.0872053000785149E-3</v>
      </c>
      <c r="J131">
        <f ca="1">data0!C130/Calculations!J$2/Cal!$G130</f>
        <v>3.2667003911066059E-3</v>
      </c>
      <c r="K131">
        <f ca="1">data0!D130/Calculations!K$2/Cal!$G130</f>
        <v>2.5267077405379005E-3</v>
      </c>
      <c r="L131">
        <f ca="1">data0!E130/Calculations!L$2/Cal!$G130</f>
        <v>3.0211833472370496E-3</v>
      </c>
      <c r="M131">
        <f ca="1">data0!F130/Calculations!M$2/Cal!$G130</f>
        <v>3.4250032905160102E-5</v>
      </c>
      <c r="N131">
        <f ca="1">data0!G130/Calculations!N$2/Cal!$G130</f>
        <v>4.6147937428114844E-4</v>
      </c>
      <c r="O131">
        <f ca="1">data0!H130/Calculations!O$2/Cal!$G130</f>
        <v>5.9432452447518238E-4</v>
      </c>
      <c r="P131">
        <f ca="1">data0!I130/Calculations!P$2/Cal!$G130</f>
        <v>3.568308639199069E-4</v>
      </c>
      <c r="Q131">
        <f ca="1">data0!J130/Calculations!Q$2/Cal!$G130</f>
        <v>3.984955085887077E-5</v>
      </c>
      <c r="R131">
        <f ca="1">data0!K130/Calculations!R$2/Cal!$G130</f>
        <v>2.1996203682103966E-4</v>
      </c>
      <c r="S131">
        <f ca="1">data0!L130/Calculations!S$2/Cal!$G130</f>
        <v>1.9861513353780619E-5</v>
      </c>
      <c r="T131">
        <f ca="1">data0!M130/Calculations!T$2/Cal!$G130</f>
        <v>1.9966065024369954E-5</v>
      </c>
      <c r="U131">
        <f ca="1">data0!N130/Calculations!U$2/Cal!$G130</f>
        <v>1.9851165164237024E-5</v>
      </c>
      <c r="V131">
        <f ca="1">data0!O130/Calculations!V$2/Cal!$G130</f>
        <v>2.0120866595319617E-5</v>
      </c>
      <c r="W131">
        <f ca="1">data0!P130/Calculations!W$2/Cal!$G130</f>
        <v>2.0289867760591148E-5</v>
      </c>
      <c r="X131">
        <f ca="1">data0!Q130/Calculations!X$2/Cal!$G130</f>
        <v>2.0776168726176476E-5</v>
      </c>
      <c r="Y131">
        <f ca="1">data0!R130/Calculations!Y$2/Cal!$G130</f>
        <v>2.1863205476905036E-5</v>
      </c>
      <c r="Z131">
        <f ca="1">data0!S130/Calculations!Z$2/Cal!$G130</f>
        <v>2.1781397508810672E-5</v>
      </c>
      <c r="AA131">
        <f ca="1">data0!T130/Calculations!AA$2/Cal!$G130</f>
        <v>2.1831887035706306E-5</v>
      </c>
      <c r="AB131">
        <f ca="1">data0!U130/Calculations!AB$2/Cal!$G130</f>
        <v>2.2693648656638715E-5</v>
      </c>
      <c r="AC131">
        <f ca="1">data0!V130/Calculations!AC$2/Cal!$G130</f>
        <v>2.3976982412243659E-5</v>
      </c>
      <c r="AD131">
        <f ca="1">data0!W130/Calculations!AD$2/Cal!$G130</f>
        <v>5.0625716360640401E-5</v>
      </c>
      <c r="AE131">
        <f ca="1">data0!X130/Calculations!AE$2/Cal!$G130</f>
        <v>1.2469803423289549E-3</v>
      </c>
      <c r="AF131">
        <f ca="1">data0!Y130/Calculations!AF$2/Cal!$G130</f>
        <v>6.7490764495862956E-4</v>
      </c>
      <c r="AG131">
        <f ca="1">data0!Z130/Calculations!AG$2/Cal!$G130</f>
        <v>8.6416009425962169E-4</v>
      </c>
      <c r="AH131" t="e">
        <f ca="1">data0!AA130/Calculations!AH$2/Cal!$G130</f>
        <v>#DIV/0!</v>
      </c>
      <c r="AI131" t="e">
        <f ca="1">data0!AB130/Calculations!AI$2/Cal!$G130</f>
        <v>#DIV/0!</v>
      </c>
      <c r="AJ131" t="e">
        <f ca="1">data0!AC130/Calculations!AJ$2/Cal!$G130</f>
        <v>#DIV/0!</v>
      </c>
      <c r="AK131" t="e">
        <f ca="1">data0!AD130/Calculations!AK$2/Cal!$G130</f>
        <v>#DIV/0!</v>
      </c>
      <c r="AL131" t="e">
        <f ca="1">data0!AE130/Calculations!AL$2/Cal!$G130</f>
        <v>#DIV/0!</v>
      </c>
      <c r="AM131" t="e">
        <f ca="1">data0!AF130/Calculations!AM$2/Cal!$G130</f>
        <v>#DIV/0!</v>
      </c>
      <c r="AN131" t="e">
        <f ca="1">data0!AG130/Calculations!AN$2/Cal!$G130</f>
        <v>#DIV/0!</v>
      </c>
    </row>
    <row r="132" spans="1:40">
      <c r="A132">
        <f>data0!A131</f>
        <v>945</v>
      </c>
      <c r="B132" t="e">
        <f t="shared" ref="B132:B163" ca="1" si="10">C132-C$2*G132/F$2</f>
        <v>#DIV/0!</v>
      </c>
      <c r="C132" t="e">
        <f t="shared" ref="C132:C163" ca="1" si="11">F132/F$2</f>
        <v>#DIV/0!</v>
      </c>
      <c r="D132" t="e">
        <f t="shared" ref="D132:D163" ca="1" si="12">C132+C$2*G132/F$2</f>
        <v>#DIV/0!</v>
      </c>
      <c r="F132" t="e">
        <f t="shared" ref="F132:F163" ca="1" si="13">AVERAGE(I132:AN132)</f>
        <v>#DIV/0!</v>
      </c>
      <c r="G132" t="e">
        <f t="shared" ref="G132:G163" ca="1" si="14">STDEV(I132:AN132)</f>
        <v>#DIV/0!</v>
      </c>
      <c r="I132">
        <f ca="1">data0!B131/Calculations!I$2/Cal!$G131</f>
        <v>1.0792594784114927E-3</v>
      </c>
      <c r="J132">
        <f ca="1">data0!C131/Calculations!J$2/Cal!$G131</f>
        <v>2.5942605179700927E-3</v>
      </c>
      <c r="K132">
        <f ca="1">data0!D131/Calculations!K$2/Cal!$G131</f>
        <v>2.5082413394731254E-3</v>
      </c>
      <c r="L132">
        <f ca="1">data0!E131/Calculations!L$2/Cal!$G131</f>
        <v>2.8728250577046621E-3</v>
      </c>
      <c r="M132">
        <f ca="1">data0!F131/Calculations!M$2/Cal!$G131</f>
        <v>3.3999717115185211E-5</v>
      </c>
      <c r="N132">
        <f ca="1">data0!G131/Calculations!N$2/Cal!$G131</f>
        <v>4.5810666002857613E-4</v>
      </c>
      <c r="O132">
        <f ca="1">data0!H131/Calculations!O$2/Cal!$G131</f>
        <v>5.1131679697147465E-4</v>
      </c>
      <c r="P132">
        <f ca="1">data0!I131/Calculations!P$2/Cal!$G131</f>
        <v>3.9358107522694013E-4</v>
      </c>
      <c r="Q132">
        <f ca="1">data0!J131/Calculations!Q$2/Cal!$G131</f>
        <v>3.9558311086021387E-5</v>
      </c>
      <c r="R132">
        <f ca="1">data0!K131/Calculations!R$2/Cal!$G131</f>
        <v>5.9551212642539576E-5</v>
      </c>
      <c r="S132">
        <f ca="1">data0!L131/Calculations!S$2/Cal!$G131</f>
        <v>7.8865423268691348E-5</v>
      </c>
      <c r="T132">
        <f ca="1">data0!M131/Calculations!T$2/Cal!$G131</f>
        <v>1.9820143373634481E-5</v>
      </c>
      <c r="U132">
        <f ca="1">data0!N131/Calculations!U$2/Cal!$G131</f>
        <v>1.9706083257198638E-5</v>
      </c>
      <c r="V132">
        <f ca="1">data0!O131/Calculations!V$2/Cal!$G131</f>
        <v>1.9973813579904032E-5</v>
      </c>
      <c r="W132">
        <f ca="1">data0!P131/Calculations!W$2/Cal!$G131</f>
        <v>2.0141579602998947E-5</v>
      </c>
      <c r="X132">
        <f ca="1">data0!Q131/Calculations!X$2/Cal!$G131</f>
        <v>2.0624326446148739E-5</v>
      </c>
      <c r="Y132">
        <f ca="1">data0!R131/Calculations!Y$2/Cal!$G131</f>
        <v>2.1703418607050372E-5</v>
      </c>
      <c r="Z132">
        <f ca="1">data0!S131/Calculations!Z$2/Cal!$G131</f>
        <v>2.162220853111618E-5</v>
      </c>
      <c r="AA132">
        <f ca="1">data0!T131/Calculations!AA$2/Cal!$G131</f>
        <v>2.1672329056152886E-5</v>
      </c>
      <c r="AB132">
        <f ca="1">data0!U131/Calculations!AB$2/Cal!$G131</f>
        <v>2.2527792506759124E-5</v>
      </c>
      <c r="AC132">
        <f ca="1">data0!V131/Calculations!AC$2/Cal!$G131</f>
        <v>2.3801747039175431E-5</v>
      </c>
      <c r="AD132">
        <f ca="1">data0!W131/Calculations!AD$2/Cal!$G131</f>
        <v>1.5076716055650516E-4</v>
      </c>
      <c r="AE132">
        <f ca="1">data0!X131/Calculations!AE$2/Cal!$G131</f>
        <v>1.0503112416618461E-3</v>
      </c>
      <c r="AF132">
        <f ca="1">data0!Y131/Calculations!AF$2/Cal!$G131</f>
        <v>6.6997509377610316E-4</v>
      </c>
      <c r="AG132">
        <f ca="1">data0!Z131/Calculations!AG$2/Cal!$G131</f>
        <v>8.5784439473143858E-4</v>
      </c>
      <c r="AH132" t="e">
        <f ca="1">data0!AA131/Calculations!AH$2/Cal!$G131</f>
        <v>#DIV/0!</v>
      </c>
      <c r="AI132" t="e">
        <f ca="1">data0!AB131/Calculations!AI$2/Cal!$G131</f>
        <v>#DIV/0!</v>
      </c>
      <c r="AJ132" t="e">
        <f ca="1">data0!AC131/Calculations!AJ$2/Cal!$G131</f>
        <v>#DIV/0!</v>
      </c>
      <c r="AK132" t="e">
        <f ca="1">data0!AD131/Calculations!AK$2/Cal!$G131</f>
        <v>#DIV/0!</v>
      </c>
      <c r="AL132" t="e">
        <f ca="1">data0!AE131/Calculations!AL$2/Cal!$G131</f>
        <v>#DIV/0!</v>
      </c>
      <c r="AM132" t="e">
        <f ca="1">data0!AF131/Calculations!AM$2/Cal!$G131</f>
        <v>#DIV/0!</v>
      </c>
      <c r="AN132" t="e">
        <f ca="1">data0!AG131/Calculations!AN$2/Cal!$G131</f>
        <v>#DIV/0!</v>
      </c>
    </row>
    <row r="133" spans="1:40">
      <c r="A133">
        <f>data0!A132</f>
        <v>950</v>
      </c>
      <c r="B133" t="e">
        <f t="shared" ca="1" si="10"/>
        <v>#DIV/0!</v>
      </c>
      <c r="C133" t="e">
        <f t="shared" ca="1" si="11"/>
        <v>#DIV/0!</v>
      </c>
      <c r="D133" t="e">
        <f t="shared" ca="1" si="12"/>
        <v>#DIV/0!</v>
      </c>
      <c r="F133" t="e">
        <f t="shared" ca="1" si="13"/>
        <v>#DIV/0!</v>
      </c>
      <c r="G133" t="e">
        <f t="shared" ca="1" si="14"/>
        <v>#DIV/0!</v>
      </c>
      <c r="I133">
        <f ca="1">data0!B132/Calculations!I$2/Cal!$G132</f>
        <v>1.0710137028007035E-3</v>
      </c>
      <c r="J133">
        <f ca="1">data0!C132/Calculations!J$2/Cal!$G132</f>
        <v>2.5744398070706187E-3</v>
      </c>
      <c r="K133">
        <f ca="1">data0!D132/Calculations!K$2/Cal!$G132</f>
        <v>2.1779431234586204E-3</v>
      </c>
      <c r="L133">
        <f ca="1">data0!E132/Calculations!L$2/Cal!$G132</f>
        <v>2.7882195606617932E-3</v>
      </c>
      <c r="M133">
        <f ca="1">data0!F132/Calculations!M$2/Cal!$G132</f>
        <v>3.3739951930102225E-5</v>
      </c>
      <c r="N133">
        <f ca="1">data0!G132/Calculations!N$2/Cal!$G132</f>
        <v>4.7527056188158734E-4</v>
      </c>
      <c r="O133">
        <f ca="1">data0!H132/Calculations!O$2/Cal!$G132</f>
        <v>4.488628967713827E-4</v>
      </c>
      <c r="P133">
        <f ca="1">data0!I132/Calculations!P$2/Cal!$G132</f>
        <v>3.7104533113917529E-4</v>
      </c>
      <c r="Q133">
        <f ca="1">data0!J132/Calculations!Q$2/Cal!$G132</f>
        <v>9.8140196198011592E-5</v>
      </c>
      <c r="R133">
        <f ca="1">data0!K132/Calculations!R$2/Cal!$G132</f>
        <v>1.9698742436230204E-5</v>
      </c>
      <c r="S133">
        <f ca="1">data0!L132/Calculations!S$2/Cal!$G132</f>
        <v>1.9565718598614261E-5</v>
      </c>
      <c r="T133">
        <f ca="1">data0!M132/Calculations!T$2/Cal!$G132</f>
        <v>1.9668713195719149E-5</v>
      </c>
      <c r="U133">
        <f ca="1">data0!N132/Calculations!U$2/Cal!$G132</f>
        <v>3.9111049046435721E-5</v>
      </c>
      <c r="V133">
        <f ca="1">data0!O132/Calculations!V$2/Cal!$G132</f>
        <v>1.982120932840926E-5</v>
      </c>
      <c r="W133">
        <f ca="1">data0!P132/Calculations!W$2/Cal!$G132</f>
        <v>1.9987693582838505E-5</v>
      </c>
      <c r="X133">
        <f ca="1">data0!Q132/Calculations!X$2/Cal!$G132</f>
        <v>2.0466752135799467E-5</v>
      </c>
      <c r="Y133">
        <f ca="1">data0!R132/Calculations!Y$2/Cal!$G132</f>
        <v>2.1537599799432236E-5</v>
      </c>
      <c r="Z133">
        <f ca="1">data0!S132/Calculations!Z$2/Cal!$G132</f>
        <v>2.1457010186025253E-5</v>
      </c>
      <c r="AA133">
        <f ca="1">data0!T132/Calculations!AA$2/Cal!$G132</f>
        <v>2.1506747779421131E-5</v>
      </c>
      <c r="AB133">
        <f ca="1">data0!U132/Calculations!AB$2/Cal!$G132</f>
        <v>2.2355675304424642E-5</v>
      </c>
      <c r="AC133">
        <f ca="1">data0!V132/Calculations!AC$2/Cal!$G132</f>
        <v>2.3619896548949781E-5</v>
      </c>
      <c r="AD133">
        <f ca="1">data0!W132/Calculations!AD$2/Cal!$G132</f>
        <v>2.7429465796367883E-4</v>
      </c>
      <c r="AE133">
        <f ca="1">data0!X132/Calculations!AE$2/Cal!$G132</f>
        <v>8.9338855624206202E-4</v>
      </c>
      <c r="AF133">
        <f ca="1">data0!Y132/Calculations!AF$2/Cal!$G132</f>
        <v>6.6485633929805462E-4</v>
      </c>
      <c r="AG133">
        <f ca="1">data0!Z132/Calculations!AG$2/Cal!$G132</f>
        <v>8.5129027820114874E-4</v>
      </c>
      <c r="AH133" t="e">
        <f ca="1">data0!AA132/Calculations!AH$2/Cal!$G132</f>
        <v>#DIV/0!</v>
      </c>
      <c r="AI133" t="e">
        <f ca="1">data0!AB132/Calculations!AI$2/Cal!$G132</f>
        <v>#DIV/0!</v>
      </c>
      <c r="AJ133" t="e">
        <f ca="1">data0!AC132/Calculations!AJ$2/Cal!$G132</f>
        <v>#DIV/0!</v>
      </c>
      <c r="AK133" t="e">
        <f ca="1">data0!AD132/Calculations!AK$2/Cal!$G132</f>
        <v>#DIV/0!</v>
      </c>
      <c r="AL133" t="e">
        <f ca="1">data0!AE132/Calculations!AL$2/Cal!$G132</f>
        <v>#DIV/0!</v>
      </c>
      <c r="AM133" t="e">
        <f ca="1">data0!AF132/Calculations!AM$2/Cal!$G132</f>
        <v>#DIV/0!</v>
      </c>
      <c r="AN133" t="e">
        <f ca="1">data0!AG132/Calculations!AN$2/Cal!$G132</f>
        <v>#DIV/0!</v>
      </c>
    </row>
    <row r="134" spans="1:40">
      <c r="A134">
        <f>data0!A133</f>
        <v>955</v>
      </c>
      <c r="B134" t="e">
        <f t="shared" ca="1" si="10"/>
        <v>#DIV/0!</v>
      </c>
      <c r="C134" t="e">
        <f t="shared" ca="1" si="11"/>
        <v>#DIV/0!</v>
      </c>
      <c r="D134" t="e">
        <f t="shared" ca="1" si="12"/>
        <v>#DIV/0!</v>
      </c>
      <c r="F134" t="e">
        <f t="shared" ca="1" si="13"/>
        <v>#DIV/0!</v>
      </c>
      <c r="G134" t="e">
        <f t="shared" ca="1" si="14"/>
        <v>#DIV/0!</v>
      </c>
      <c r="I134">
        <f ca="1">data0!B133/Calculations!I$2/Cal!$G133</f>
        <v>1.0627372600920163E-3</v>
      </c>
      <c r="J134">
        <f ca="1">data0!C133/Calculations!J$2/Cal!$G133</f>
        <v>2.5545453804031865E-3</v>
      </c>
      <c r="K134">
        <f ca="1">data0!D133/Calculations!K$2/Cal!$G133</f>
        <v>2.1611126931504487E-3</v>
      </c>
      <c r="L134">
        <f ca="1">data0!E133/Calculations!L$2/Cal!$G133</f>
        <v>2.7045005673168839E-3</v>
      </c>
      <c r="M134">
        <f ca="1">data0!F133/Calculations!M$2/Cal!$G133</f>
        <v>3.3479220644953286E-5</v>
      </c>
      <c r="N134">
        <f ca="1">data0!G133/Calculations!N$2/Cal!$G133</f>
        <v>5.1260633001966598E-4</v>
      </c>
      <c r="O134">
        <f ca="1">data0!H133/Calculations!O$2/Cal!$G133</f>
        <v>3.872993366606171E-4</v>
      </c>
      <c r="P134">
        <f ca="1">data0!I133/Calculations!P$2/Cal!$G133</f>
        <v>3.1004463083335532E-4</v>
      </c>
      <c r="Q134">
        <f ca="1">data0!J133/Calculations!Q$2/Cal!$G133</f>
        <v>1.7528724359725046E-4</v>
      </c>
      <c r="R134">
        <f ca="1">data0!K133/Calculations!R$2/Cal!$G133</f>
        <v>1.954651701392206E-5</v>
      </c>
      <c r="S134">
        <f ca="1">data0!L133/Calculations!S$2/Cal!$G133</f>
        <v>1.9414521140904554E-5</v>
      </c>
      <c r="T134">
        <f ca="1">data0!M133/Calculations!T$2/Cal!$G133</f>
        <v>1.9516719829535057E-5</v>
      </c>
      <c r="U134">
        <f ca="1">data0!N133/Calculations!U$2/Cal!$G133</f>
        <v>1.9404405841980169E-5</v>
      </c>
      <c r="V134">
        <f ca="1">data0!O133/Calculations!V$2/Cal!$G133</f>
        <v>1.9668037522115384E-5</v>
      </c>
      <c r="W134">
        <f ca="1">data0!P133/Calculations!W$2/Cal!$G133</f>
        <v>1.9833235240816767E-5</v>
      </c>
      <c r="X134">
        <f ca="1">data0!Q133/Calculations!X$2/Cal!$G133</f>
        <v>2.0308591786364266E-5</v>
      </c>
      <c r="Y134">
        <f ca="1">data0!R133/Calculations!Y$2/Cal!$G133</f>
        <v>2.1371164290384593E-5</v>
      </c>
      <c r="Z134">
        <f ca="1">data0!S133/Calculations!Z$2/Cal!$G133</f>
        <v>2.1291197447084602E-5</v>
      </c>
      <c r="AA134">
        <f ca="1">data0!T133/Calculations!AA$2/Cal!$G133</f>
        <v>2.1340550684667726E-5</v>
      </c>
      <c r="AB134">
        <f ca="1">data0!U133/Calculations!AB$2/Cal!$G133</f>
        <v>2.218291797612227E-5</v>
      </c>
      <c r="AC134">
        <f ca="1">data0!V133/Calculations!AC$2/Cal!$G133</f>
        <v>2.3437369733409236E-5</v>
      </c>
      <c r="AD134">
        <f ca="1">data0!W133/Calculations!AD$2/Cal!$G133</f>
        <v>3.7114771683612041E-4</v>
      </c>
      <c r="AE134">
        <f ca="1">data0!X133/Calculations!AE$2/Cal!$G133</f>
        <v>8.49547881160093E-4</v>
      </c>
      <c r="AF134">
        <f ca="1">data0!Y133/Calculations!AF$2/Cal!$G133</f>
        <v>6.5971854751507516E-4</v>
      </c>
      <c r="AG134">
        <f ca="1">data0!Z133/Calculations!AG$2/Cal!$G133</f>
        <v>8.4471178607021732E-4</v>
      </c>
      <c r="AH134" t="e">
        <f ca="1">data0!AA133/Calculations!AH$2/Cal!$G133</f>
        <v>#DIV/0!</v>
      </c>
      <c r="AI134" t="e">
        <f ca="1">data0!AB133/Calculations!AI$2/Cal!$G133</f>
        <v>#DIV/0!</v>
      </c>
      <c r="AJ134" t="e">
        <f ca="1">data0!AC133/Calculations!AJ$2/Cal!$G133</f>
        <v>#DIV/0!</v>
      </c>
      <c r="AK134" t="e">
        <f ca="1">data0!AD133/Calculations!AK$2/Cal!$G133</f>
        <v>#DIV/0!</v>
      </c>
      <c r="AL134" t="e">
        <f ca="1">data0!AE133/Calculations!AL$2/Cal!$G133</f>
        <v>#DIV/0!</v>
      </c>
      <c r="AM134" t="e">
        <f ca="1">data0!AF133/Calculations!AM$2/Cal!$G133</f>
        <v>#DIV/0!</v>
      </c>
      <c r="AN134" t="e">
        <f ca="1">data0!AG133/Calculations!AN$2/Cal!$G133</f>
        <v>#DIV/0!</v>
      </c>
    </row>
    <row r="135" spans="1:40">
      <c r="A135">
        <f>data0!A134</f>
        <v>960</v>
      </c>
      <c r="B135" t="e">
        <f t="shared" ca="1" si="10"/>
        <v>#DIV/0!</v>
      </c>
      <c r="C135" t="e">
        <f t="shared" ca="1" si="11"/>
        <v>#DIV/0!</v>
      </c>
      <c r="D135" t="e">
        <f t="shared" ca="1" si="12"/>
        <v>#DIV/0!</v>
      </c>
      <c r="F135" t="e">
        <f t="shared" ca="1" si="13"/>
        <v>#DIV/0!</v>
      </c>
      <c r="G135" t="e">
        <f t="shared" ca="1" si="14"/>
        <v>#DIV/0!</v>
      </c>
      <c r="I135">
        <f ca="1">data0!B134/Calculations!I$2/Cal!$G134</f>
        <v>1.0564114567911203E-3</v>
      </c>
      <c r="J135">
        <f ca="1">data0!C134/Calculations!J$2/Cal!$G134</f>
        <v>2.5393397861265313E-3</v>
      </c>
      <c r="K135">
        <f ca="1">data0!D134/Calculations!K$2/Cal!$G134</f>
        <v>1.8413562685678415E-3</v>
      </c>
      <c r="L135">
        <f ca="1">data0!E134/Calculations!L$2/Cal!$G134</f>
        <v>2.564797680015629E-3</v>
      </c>
      <c r="M135">
        <f ca="1">data0!F134/Calculations!M$2/Cal!$G134</f>
        <v>3.3279940002013434E-5</v>
      </c>
      <c r="N135">
        <f ca="1">data0!G134/Calculations!N$2/Cal!$G134</f>
        <v>5.2993731123163255E-4</v>
      </c>
      <c r="O135">
        <f ca="1">data0!H134/Calculations!O$2/Cal!$G134</f>
        <v>3.4649459337956324E-4</v>
      </c>
      <c r="P135">
        <f ca="1">data0!I134/Calculations!P$2/Cal!$G134</f>
        <v>2.6967424204763521E-4</v>
      </c>
      <c r="Q135">
        <f ca="1">data0!J134/Calculations!Q$2/Cal!$G134</f>
        <v>1.9360429724511212E-4</v>
      </c>
      <c r="R135">
        <f ca="1">data0!K134/Calculations!R$2/Cal!$G134</f>
        <v>1.9430168950773333E-5</v>
      </c>
      <c r="S135">
        <f ca="1">data0!L134/Calculations!S$2/Cal!$G134</f>
        <v>1.9298958765771667E-5</v>
      </c>
      <c r="T135">
        <f ca="1">data0!M134/Calculations!T$2/Cal!$G134</f>
        <v>1.940054913019433E-5</v>
      </c>
      <c r="U135">
        <f ca="1">data0!N134/Calculations!U$2/Cal!$G134</f>
        <v>1.9288903676829302E-5</v>
      </c>
      <c r="V135">
        <f ca="1">data0!O134/Calculations!V$2/Cal!$G134</f>
        <v>1.9550966124177595E-5</v>
      </c>
      <c r="W135">
        <f ca="1">data0!P134/Calculations!W$2/Cal!$G134</f>
        <v>1.9715180525258055E-5</v>
      </c>
      <c r="X135">
        <f ca="1">data0!Q134/Calculations!X$2/Cal!$G134</f>
        <v>2.0187707573696678E-5</v>
      </c>
      <c r="Y135">
        <f ca="1">data0!R134/Calculations!Y$2/Cal!$G134</f>
        <v>2.1243955255104882E-5</v>
      </c>
      <c r="Z135">
        <f ca="1">data0!S134/Calculations!Z$2/Cal!$G134</f>
        <v>2.1164464403887134E-5</v>
      </c>
      <c r="AA135">
        <f ca="1">data0!T134/Calculations!AA$2/Cal!$G134</f>
        <v>2.1213523872836243E-5</v>
      </c>
      <c r="AB135">
        <f ca="1">data0!U134/Calculations!AB$2/Cal!$G134</f>
        <v>2.205087708414798E-5</v>
      </c>
      <c r="AC135">
        <f ca="1">data0!V134/Calculations!AC$2/Cal!$G134</f>
        <v>2.3297861882888322E-5</v>
      </c>
      <c r="AD135">
        <f ca="1">data0!W134/Calculations!AD$2/Cal!$G134</f>
        <v>3.689385090286528E-4</v>
      </c>
      <c r="AE135">
        <f ca="1">data0!X134/Calculations!AE$2/Cal!$G134</f>
        <v>8.444910595046196E-4</v>
      </c>
      <c r="AF135">
        <f ca="1">data0!Y134/Calculations!AF$2/Cal!$G134</f>
        <v>6.5579165991806743E-4</v>
      </c>
      <c r="AG135">
        <f ca="1">data0!Z134/Calculations!AG$2/Cal!$G134</f>
        <v>8.3968375063259073E-4</v>
      </c>
      <c r="AH135" t="e">
        <f ca="1">data0!AA134/Calculations!AH$2/Cal!$G134</f>
        <v>#DIV/0!</v>
      </c>
      <c r="AI135" t="e">
        <f ca="1">data0!AB134/Calculations!AI$2/Cal!$G134</f>
        <v>#DIV/0!</v>
      </c>
      <c r="AJ135" t="e">
        <f ca="1">data0!AC134/Calculations!AJ$2/Cal!$G134</f>
        <v>#DIV/0!</v>
      </c>
      <c r="AK135" t="e">
        <f ca="1">data0!AD134/Calculations!AK$2/Cal!$G134</f>
        <v>#DIV/0!</v>
      </c>
      <c r="AL135" t="e">
        <f ca="1">data0!AE134/Calculations!AL$2/Cal!$G134</f>
        <v>#DIV/0!</v>
      </c>
      <c r="AM135" t="e">
        <f ca="1">data0!AF134/Calculations!AM$2/Cal!$G134</f>
        <v>#DIV/0!</v>
      </c>
      <c r="AN135" t="e">
        <f ca="1">data0!AG134/Calculations!AN$2/Cal!$G134</f>
        <v>#DIV/0!</v>
      </c>
    </row>
    <row r="136" spans="1:40">
      <c r="A136">
        <f>data0!A135</f>
        <v>965</v>
      </c>
      <c r="B136" t="e">
        <f t="shared" ca="1" si="10"/>
        <v>#DIV/0!</v>
      </c>
      <c r="C136" t="e">
        <f t="shared" ca="1" si="11"/>
        <v>#DIV/0!</v>
      </c>
      <c r="D136" t="e">
        <f t="shared" ca="1" si="12"/>
        <v>#DIV/0!</v>
      </c>
      <c r="F136" t="e">
        <f t="shared" ca="1" si="13"/>
        <v>#DIV/0!</v>
      </c>
      <c r="G136" t="e">
        <f t="shared" ca="1" si="14"/>
        <v>#DIV/0!</v>
      </c>
      <c r="I136">
        <f ca="1">data0!B135/Calculations!I$2/Cal!$G135</f>
        <v>1.0503695602354526E-3</v>
      </c>
      <c r="J136">
        <f ca="1">data0!C135/Calculations!J$2/Cal!$G135</f>
        <v>2.5248166302019727E-3</v>
      </c>
      <c r="K136">
        <f ca="1">data0!D135/Calculations!K$2/Cal!$G135</f>
        <v>1.8308250650057273E-3</v>
      </c>
      <c r="L136">
        <f ca="1">data0!E135/Calculations!L$2/Cal!$G135</f>
        <v>2.3657823788065815E-3</v>
      </c>
      <c r="M136">
        <f ca="1">data0!F135/Calculations!M$2/Cal!$G135</f>
        <v>3.308960322217411E-5</v>
      </c>
      <c r="N136">
        <f ca="1">data0!G135/Calculations!N$2/Cal!$G135</f>
        <v>4.8637519649646563E-4</v>
      </c>
      <c r="O136">
        <f ca="1">data0!H135/Calculations!O$2/Cal!$G135</f>
        <v>3.4451289914779447E-4</v>
      </c>
      <c r="P136">
        <f ca="1">data0!I135/Calculations!P$2/Cal!$G135</f>
        <v>2.4897962622321866E-4</v>
      </c>
      <c r="Q136">
        <f ca="1">data0!J135/Calculations!Q$2/Cal!$G135</f>
        <v>1.7324732263192415E-4</v>
      </c>
      <c r="R136">
        <f ca="1">data0!K135/Calculations!R$2/Cal!$G135</f>
        <v>3.8638085350033632E-5</v>
      </c>
      <c r="S136">
        <f ca="1">data0!L135/Calculations!S$2/Cal!$G135</f>
        <v>1.9188582915769937E-5</v>
      </c>
      <c r="T136">
        <f ca="1">data0!M135/Calculations!T$2/Cal!$G135</f>
        <v>1.9289592258026521E-5</v>
      </c>
      <c r="U136">
        <f ca="1">data0!N135/Calculations!U$2/Cal!$G135</f>
        <v>1.9178585334540933E-5</v>
      </c>
      <c r="V136">
        <f ca="1">data0!O135/Calculations!V$2/Cal!$G135</f>
        <v>1.9439148977433988E-5</v>
      </c>
      <c r="W136">
        <f ca="1">data0!P135/Calculations!W$2/Cal!$G135</f>
        <v>1.9602424192917869E-5</v>
      </c>
      <c r="X136">
        <f ca="1">data0!Q135/Calculations!X$2/Cal!$G135</f>
        <v>2.0072248734177051E-5</v>
      </c>
      <c r="Y136">
        <f ca="1">data0!R135/Calculations!Y$2/Cal!$G135</f>
        <v>2.1122455455704325E-5</v>
      </c>
      <c r="Z136">
        <f ca="1">data0!S135/Calculations!Z$2/Cal!$G135</f>
        <v>2.1043419233691031E-5</v>
      </c>
      <c r="AA136">
        <f ca="1">data0!T135/Calculations!AA$2/Cal!$G135</f>
        <v>2.1092198118560366E-5</v>
      </c>
      <c r="AB136">
        <f ca="1">data0!U135/Calculations!AB$2/Cal!$G135</f>
        <v>2.1924762285366027E-5</v>
      </c>
      <c r="AC136">
        <f ca="1">data0!V135/Calculations!AC$2/Cal!$G135</f>
        <v>2.316461524819902E-5</v>
      </c>
      <c r="AD136">
        <f ca="1">data0!W135/Calculations!AD$2/Cal!$G135</f>
        <v>2.4455230936313362E-4</v>
      </c>
      <c r="AE136">
        <f ca="1">data0!X135/Calculations!AE$2/Cal!$G135</f>
        <v>9.1267520223244504E-4</v>
      </c>
      <c r="AF136">
        <f ca="1">data0!Y135/Calculations!AF$2/Cal!$G135</f>
        <v>6.5204101394975337E-4</v>
      </c>
      <c r="AG136">
        <f ca="1">data0!Z135/Calculations!AG$2/Cal!$G135</f>
        <v>8.3488137715568124E-4</v>
      </c>
      <c r="AH136" t="e">
        <f ca="1">data0!AA135/Calculations!AH$2/Cal!$G135</f>
        <v>#DIV/0!</v>
      </c>
      <c r="AI136" t="e">
        <f ca="1">data0!AB135/Calculations!AI$2/Cal!$G135</f>
        <v>#DIV/0!</v>
      </c>
      <c r="AJ136" t="e">
        <f ca="1">data0!AC135/Calculations!AJ$2/Cal!$G135</f>
        <v>#DIV/0!</v>
      </c>
      <c r="AK136" t="e">
        <f ca="1">data0!AD135/Calculations!AK$2/Cal!$G135</f>
        <v>#DIV/0!</v>
      </c>
      <c r="AL136" t="e">
        <f ca="1">data0!AE135/Calculations!AL$2/Cal!$G135</f>
        <v>#DIV/0!</v>
      </c>
      <c r="AM136" t="e">
        <f ca="1">data0!AF135/Calculations!AM$2/Cal!$G135</f>
        <v>#DIV/0!</v>
      </c>
      <c r="AN136" t="e">
        <f ca="1">data0!AG135/Calculations!AN$2/Cal!$G135</f>
        <v>#DIV/0!</v>
      </c>
    </row>
    <row r="137" spans="1:40">
      <c r="A137">
        <f>data0!A136</f>
        <v>970</v>
      </c>
      <c r="B137" t="e">
        <f t="shared" ca="1" si="10"/>
        <v>#DIV/0!</v>
      </c>
      <c r="C137" t="e">
        <f t="shared" ca="1" si="11"/>
        <v>#DIV/0!</v>
      </c>
      <c r="D137" t="e">
        <f t="shared" ca="1" si="12"/>
        <v>#DIV/0!</v>
      </c>
      <c r="F137" t="e">
        <f t="shared" ca="1" si="13"/>
        <v>#DIV/0!</v>
      </c>
      <c r="G137" t="e">
        <f t="shared" ca="1" si="14"/>
        <v>#DIV/0!</v>
      </c>
      <c r="I137">
        <f ca="1">data0!B136/Calculations!I$2/Cal!$G136</f>
        <v>1.0450546504252678E-3</v>
      </c>
      <c r="J137">
        <f ca="1">data0!C136/Calculations!J$2/Cal!$G136</f>
        <v>2.5120409622991723E-3</v>
      </c>
      <c r="K137">
        <f ca="1">data0!D136/Calculations!K$2/Cal!$G136</f>
        <v>1.5179675419859158E-3</v>
      </c>
      <c r="L137">
        <f ca="1">data0!E136/Calculations!L$2/Cal!$G136</f>
        <v>2.1398285295407874E-3</v>
      </c>
      <c r="M137">
        <f ca="1">data0!F136/Calculations!M$2/Cal!$G136</f>
        <v>3.2922168574942675E-5</v>
      </c>
      <c r="N137">
        <f ca="1">data0!G136/Calculations!N$2/Cal!$G136</f>
        <v>4.0326177285886526E-4</v>
      </c>
      <c r="O137">
        <f ca="1">data0!H136/Calculations!O$2/Cal!$G136</f>
        <v>3.8085516343781378E-4</v>
      </c>
      <c r="P137">
        <f ca="1">data0!I136/Calculations!P$2/Cal!$G136</f>
        <v>2.0960904736921847E-4</v>
      </c>
      <c r="Q137">
        <f ca="1">data0!J136/Calculations!Q$2/Cal!$G136</f>
        <v>1.5321837904731935E-4</v>
      </c>
      <c r="R137">
        <f ca="1">data0!K136/Calculations!R$2/Cal!$G136</f>
        <v>9.6106441450684524E-5</v>
      </c>
      <c r="S137">
        <f ca="1">data0!L136/Calculations!S$2/Cal!$G136</f>
        <v>1.9091487958486796E-5</v>
      </c>
      <c r="T137">
        <f ca="1">data0!M136/Calculations!T$2/Cal!$G136</f>
        <v>1.919198618964077E-5</v>
      </c>
      <c r="U137">
        <f ca="1">data0!N136/Calculations!U$2/Cal!$G136</f>
        <v>1.9081540965397971E-5</v>
      </c>
      <c r="V137">
        <f ca="1">data0!O136/Calculations!V$2/Cal!$G136</f>
        <v>1.934078614637608E-5</v>
      </c>
      <c r="W137">
        <f ca="1">data0!P136/Calculations!W$2/Cal!$G136</f>
        <v>1.9503235183077378E-5</v>
      </c>
      <c r="X137">
        <f ca="1">data0!Q136/Calculations!X$2/Cal!$G136</f>
        <v>1.9970682394339637E-5</v>
      </c>
      <c r="Y137">
        <f ca="1">data0!R136/Calculations!Y$2/Cal!$G136</f>
        <v>2.1015575030026763E-5</v>
      </c>
      <c r="Z137">
        <f ca="1">data0!S136/Calculations!Z$2/Cal!$G136</f>
        <v>2.0936938734294315E-5</v>
      </c>
      <c r="AA137">
        <f ca="1">data0!T136/Calculations!AA$2/Cal!$G136</f>
        <v>2.0985470796156268E-5</v>
      </c>
      <c r="AB137">
        <f ca="1">data0!U136/Calculations!AB$2/Cal!$G136</f>
        <v>2.1813822156702794E-5</v>
      </c>
      <c r="AC137">
        <f ca="1">data0!V136/Calculations!AC$2/Cal!$G136</f>
        <v>2.3047401416522277E-5</v>
      </c>
      <c r="AD137">
        <f ca="1">data0!W136/Calculations!AD$2/Cal!$G136</f>
        <v>9.7325942597919728E-5</v>
      </c>
      <c r="AE137">
        <f ca="1">data0!X136/Calculations!AE$2/Cal!$G136</f>
        <v>9.4437930950267844E-4</v>
      </c>
      <c r="AF137">
        <f ca="1">data0!Y136/Calculations!AF$2/Cal!$G136</f>
        <v>6.4874166169043269E-4</v>
      </c>
      <c r="AG137">
        <f ca="1">data0!Z136/Calculations!AG$2/Cal!$G136</f>
        <v>8.3065684572429554E-4</v>
      </c>
      <c r="AH137" t="e">
        <f ca="1">data0!AA136/Calculations!AH$2/Cal!$G136</f>
        <v>#DIV/0!</v>
      </c>
      <c r="AI137" t="e">
        <f ca="1">data0!AB136/Calculations!AI$2/Cal!$G136</f>
        <v>#DIV/0!</v>
      </c>
      <c r="AJ137" t="e">
        <f ca="1">data0!AC136/Calculations!AJ$2/Cal!$G136</f>
        <v>#DIV/0!</v>
      </c>
      <c r="AK137" t="e">
        <f ca="1">data0!AD136/Calculations!AK$2/Cal!$G136</f>
        <v>#DIV/0!</v>
      </c>
      <c r="AL137" t="e">
        <f ca="1">data0!AE136/Calculations!AL$2/Cal!$G136</f>
        <v>#DIV/0!</v>
      </c>
      <c r="AM137" t="e">
        <f ca="1">data0!AF136/Calculations!AM$2/Cal!$G136</f>
        <v>#DIV/0!</v>
      </c>
      <c r="AN137" t="e">
        <f ca="1">data0!AG136/Calculations!AN$2/Cal!$G136</f>
        <v>#DIV/0!</v>
      </c>
    </row>
    <row r="138" spans="1:40">
      <c r="A138">
        <f>data0!A137</f>
        <v>975</v>
      </c>
      <c r="B138" t="e">
        <f t="shared" ca="1" si="10"/>
        <v>#DIV/0!</v>
      </c>
      <c r="C138" t="e">
        <f t="shared" ca="1" si="11"/>
        <v>#DIV/0!</v>
      </c>
      <c r="D138" t="e">
        <f t="shared" ca="1" si="12"/>
        <v>#DIV/0!</v>
      </c>
      <c r="F138" t="e">
        <f t="shared" ca="1" si="13"/>
        <v>#DIV/0!</v>
      </c>
      <c r="G138" t="e">
        <f t="shared" ca="1" si="14"/>
        <v>#DIV/0!</v>
      </c>
      <c r="I138">
        <f ca="1">data0!B137/Calculations!I$2/Cal!$G137</f>
        <v>2.0825714450123755E-3</v>
      </c>
      <c r="J138">
        <f ca="1">data0!C137/Calculations!J$2/Cal!$G137</f>
        <v>2.5029814348258204E-3</v>
      </c>
      <c r="K138">
        <f ca="1">data0!D137/Calculations!K$2/Cal!$G137</f>
        <v>1.5124930816340864E-3</v>
      </c>
      <c r="L138">
        <f ca="1">data0!E137/Calculations!L$2/Cal!$G137</f>
        <v>1.9189001802346918E-3</v>
      </c>
      <c r="M138">
        <f ca="1">data0!F137/Calculations!M$2/Cal!$G137</f>
        <v>3.2803436716997957E-5</v>
      </c>
      <c r="N138">
        <f ca="1">data0!G137/Calculations!N$2/Cal!$G137</f>
        <v>3.0135556499889452E-4</v>
      </c>
      <c r="O138">
        <f ca="1">data0!H137/Calculations!O$2/Cal!$G137</f>
        <v>4.1742979124029136E-4</v>
      </c>
      <c r="P138">
        <f ca="1">data0!I137/Calculations!P$2/Cal!$G137</f>
        <v>1.7087981631551749E-4</v>
      </c>
      <c r="Q138">
        <f ca="1">data0!J137/Calculations!Q$2/Cal!$G137</f>
        <v>1.3358258141973238E-4</v>
      </c>
      <c r="R138">
        <f ca="1">data0!K137/Calculations!R$2/Cal!$G137</f>
        <v>9.575983924166175E-5</v>
      </c>
      <c r="S138">
        <f ca="1">data0!L137/Calculations!S$2/Cal!$G137</f>
        <v>1.9022635633917702E-5</v>
      </c>
      <c r="T138">
        <f ca="1">data0!M137/Calculations!T$2/Cal!$G137</f>
        <v>1.9122771424132287E-5</v>
      </c>
      <c r="U138">
        <f ca="1">data0!N137/Calculations!U$2/Cal!$G137</f>
        <v>1.9012724514072394E-5</v>
      </c>
      <c r="V138">
        <f ca="1">data0!O137/Calculations!V$2/Cal!$G137</f>
        <v>1.9271034742605598E-5</v>
      </c>
      <c r="W138">
        <f ca="1">data0!P137/Calculations!W$2/Cal!$G137</f>
        <v>1.943289791644355E-5</v>
      </c>
      <c r="X138">
        <f ca="1">data0!Q137/Calculations!X$2/Cal!$G137</f>
        <v>1.9898659306926479E-5</v>
      </c>
      <c r="Y138">
        <f ca="1">data0!R137/Calculations!Y$2/Cal!$G137</f>
        <v>2.0939783598991118E-5</v>
      </c>
      <c r="Z138">
        <f ca="1">data0!S137/Calculations!Z$2/Cal!$G137</f>
        <v>2.0861430900418224E-5</v>
      </c>
      <c r="AA138">
        <f ca="1">data0!T137/Calculations!AA$2/Cal!$G137</f>
        <v>2.0909787934263363E-5</v>
      </c>
      <c r="AB138">
        <f ca="1">data0!U137/Calculations!AB$2/Cal!$G137</f>
        <v>2.1735151894516229E-5</v>
      </c>
      <c r="AC138">
        <f ca="1">data0!V137/Calculations!AC$2/Cal!$G137</f>
        <v>2.2964282323539312E-5</v>
      </c>
      <c r="AD138">
        <f ca="1">data0!W137/Calculations!AD$2/Cal!$G137</f>
        <v>2.424373558249568E-5</v>
      </c>
      <c r="AE138">
        <f ca="1">data0!X137/Calculations!AE$2/Cal!$G137</f>
        <v>9.4097346125891648E-4</v>
      </c>
      <c r="AF138">
        <f ca="1">data0!Y137/Calculations!AF$2/Cal!$G137</f>
        <v>6.4640201317538095E-4</v>
      </c>
      <c r="AG138">
        <f ca="1">data0!Z137/Calculations!AG$2/Cal!$G137</f>
        <v>8.2766113083440791E-4</v>
      </c>
      <c r="AH138" t="e">
        <f ca="1">data0!AA137/Calculations!AH$2/Cal!$G137</f>
        <v>#DIV/0!</v>
      </c>
      <c r="AI138" t="e">
        <f ca="1">data0!AB137/Calculations!AI$2/Cal!$G137</f>
        <v>#DIV/0!</v>
      </c>
      <c r="AJ138" t="e">
        <f ca="1">data0!AC137/Calculations!AJ$2/Cal!$G137</f>
        <v>#DIV/0!</v>
      </c>
      <c r="AK138" t="e">
        <f ca="1">data0!AD137/Calculations!AK$2/Cal!$G137</f>
        <v>#DIV/0!</v>
      </c>
      <c r="AL138" t="e">
        <f ca="1">data0!AE137/Calculations!AL$2/Cal!$G137</f>
        <v>#DIV/0!</v>
      </c>
      <c r="AM138" t="e">
        <f ca="1">data0!AF137/Calculations!AM$2/Cal!$G137</f>
        <v>#DIV/0!</v>
      </c>
      <c r="AN138" t="e">
        <f ca="1">data0!AG137/Calculations!AN$2/Cal!$G137</f>
        <v>#DIV/0!</v>
      </c>
    </row>
    <row r="139" spans="1:40">
      <c r="A139">
        <f>data0!A138</f>
        <v>980</v>
      </c>
      <c r="B139" t="e">
        <f t="shared" ca="1" si="10"/>
        <v>#DIV/0!</v>
      </c>
      <c r="C139" t="e">
        <f t="shared" ca="1" si="11"/>
        <v>#DIV/0!</v>
      </c>
      <c r="D139" t="e">
        <f t="shared" ca="1" si="12"/>
        <v>#DIV/0!</v>
      </c>
      <c r="F139" t="e">
        <f t="shared" ca="1" si="13"/>
        <v>#DIV/0!</v>
      </c>
      <c r="G139" t="e">
        <f t="shared" ca="1" si="14"/>
        <v>#DIV/0!</v>
      </c>
      <c r="I139">
        <f ca="1">data0!B138/Calculations!I$2/Cal!$G138</f>
        <v>2.0776507364398998E-3</v>
      </c>
      <c r="J139">
        <f ca="1">data0!C138/Calculations!J$2/Cal!$G138</f>
        <v>1.8728005729133591E-3</v>
      </c>
      <c r="K139">
        <f ca="1">data0!D138/Calculations!K$2/Cal!$G138</f>
        <v>1.5089193566171458E-3</v>
      </c>
      <c r="L139">
        <f ca="1">data0!E138/Calculations!L$2/Cal!$G138</f>
        <v>1.7320456104837768E-3</v>
      </c>
      <c r="M139">
        <f ca="1">data0!F138/Calculations!M$2/Cal!$G138</f>
        <v>3.2725928618706029E-5</v>
      </c>
      <c r="N139">
        <f ca="1">data0!G138/Calculations!N$2/Cal!$G138</f>
        <v>2.4051482055526804E-4</v>
      </c>
      <c r="O139">
        <f ca="1">data0!H138/Calculations!O$2/Cal!$G138</f>
        <v>4.353727340737612E-4</v>
      </c>
      <c r="P139">
        <f ca="1">data0!I138/Calculations!P$2/Cal!$G138</f>
        <v>1.5153426904510316E-4</v>
      </c>
      <c r="Q139">
        <f ca="1">data0!J138/Calculations!Q$2/Cal!$G138</f>
        <v>1.142288172713729E-4</v>
      </c>
      <c r="R139">
        <f ca="1">data0!K138/Calculations!R$2/Cal!$G138</f>
        <v>7.6426859194329822E-5</v>
      </c>
      <c r="S139">
        <f ca="1">data0!L138/Calculations!S$2/Cal!$G138</f>
        <v>1.8977688870406141E-5</v>
      </c>
      <c r="T139">
        <f ca="1">data0!M138/Calculations!T$2/Cal!$G138</f>
        <v>1.9077588059354298E-5</v>
      </c>
      <c r="U139">
        <f ca="1">data0!N138/Calculations!U$2/Cal!$G138</f>
        <v>1.8967801168596505E-5</v>
      </c>
      <c r="V139">
        <f ca="1">data0!O138/Calculations!V$2/Cal!$G138</f>
        <v>1.9225501060634915E-5</v>
      </c>
      <c r="W139">
        <f ca="1">data0!P138/Calculations!W$2/Cal!$G138</f>
        <v>1.9386981783484704E-5</v>
      </c>
      <c r="X139">
        <f ca="1">data0!Q138/Calculations!X$2/Cal!$G138</f>
        <v>1.9851642670994554E-5</v>
      </c>
      <c r="Y139">
        <f ca="1">data0!R138/Calculations!Y$2/Cal!$G138</f>
        <v>2.0890306990201484E-5</v>
      </c>
      <c r="Z139">
        <f ca="1">data0!S138/Calculations!Z$2/Cal!$G138</f>
        <v>2.0812139423714439E-5</v>
      </c>
      <c r="AA139">
        <f ca="1">data0!T138/Calculations!AA$2/Cal!$G138</f>
        <v>2.0860382199356555E-5</v>
      </c>
      <c r="AB139">
        <f ca="1">data0!U138/Calculations!AB$2/Cal!$G138</f>
        <v>2.1683795986171502E-5</v>
      </c>
      <c r="AC139">
        <f ca="1">data0!V138/Calculations!AC$2/Cal!$G138</f>
        <v>6.8730068059911738E-5</v>
      </c>
      <c r="AD139">
        <f ca="1">data0!W138/Calculations!AD$2/Cal!$G138</f>
        <v>7.2559358622038662E-5</v>
      </c>
      <c r="AE139">
        <f ca="1">data0!X138/Calculations!AE$2/Cal!$G138</f>
        <v>9.0264435387084796E-4</v>
      </c>
      <c r="AF139">
        <f ca="1">data0!Y138/Calculations!AF$2/Cal!$G138</f>
        <v>6.4487469177898168E-4</v>
      </c>
      <c r="AG139">
        <f ca="1">data0!Z138/Calculations!AG$2/Cal!$G138</f>
        <v>8.2570552963217518E-4</v>
      </c>
      <c r="AH139" t="e">
        <f ca="1">data0!AA138/Calculations!AH$2/Cal!$G138</f>
        <v>#DIV/0!</v>
      </c>
      <c r="AI139" t="e">
        <f ca="1">data0!AB138/Calculations!AI$2/Cal!$G138</f>
        <v>#DIV/0!</v>
      </c>
      <c r="AJ139" t="e">
        <f ca="1">data0!AC138/Calculations!AJ$2/Cal!$G138</f>
        <v>#DIV/0!</v>
      </c>
      <c r="AK139" t="e">
        <f ca="1">data0!AD138/Calculations!AK$2/Cal!$G138</f>
        <v>#DIV/0!</v>
      </c>
      <c r="AL139" t="e">
        <f ca="1">data0!AE138/Calculations!AL$2/Cal!$G138</f>
        <v>#DIV/0!</v>
      </c>
      <c r="AM139" t="e">
        <f ca="1">data0!AF138/Calculations!AM$2/Cal!$G138</f>
        <v>#DIV/0!</v>
      </c>
      <c r="AN139" t="e">
        <f ca="1">data0!AG138/Calculations!AN$2/Cal!$G138</f>
        <v>#DIV/0!</v>
      </c>
    </row>
    <row r="140" spans="1:40">
      <c r="A140">
        <f>data0!A139</f>
        <v>985</v>
      </c>
      <c r="B140" t="e">
        <f t="shared" ca="1" si="10"/>
        <v>#DIV/0!</v>
      </c>
      <c r="C140" t="e">
        <f t="shared" ca="1" si="11"/>
        <v>#DIV/0!</v>
      </c>
      <c r="D140" t="e">
        <f t="shared" ca="1" si="12"/>
        <v>#DIV/0!</v>
      </c>
      <c r="F140" t="e">
        <f t="shared" ca="1" si="13"/>
        <v>#DIV/0!</v>
      </c>
      <c r="G140" t="e">
        <f t="shared" ca="1" si="14"/>
        <v>#DIV/0!</v>
      </c>
      <c r="I140">
        <f ca="1">data0!B139/Calculations!I$2/Cal!$G139</f>
        <v>2.0719023373446193E-3</v>
      </c>
      <c r="J140">
        <f ca="1">data0!C139/Calculations!J$2/Cal!$G139</f>
        <v>1.8676189488173751E-3</v>
      </c>
      <c r="K140">
        <f ca="1">data0!D139/Calculations!K$2/Cal!$G139</f>
        <v>1.504744511195681E-3</v>
      </c>
      <c r="L140">
        <f ca="1">data0!E139/Calculations!L$2/Cal!$G139</f>
        <v>1.6060426617155444E-3</v>
      </c>
      <c r="M140">
        <f ca="1">data0!F139/Calculations!M$2/Cal!$G139</f>
        <v>3.2635383227623438E-5</v>
      </c>
      <c r="N140">
        <f ca="1">data0!G139/Calculations!N$2/Cal!$G139</f>
        <v>2.3984936935472095E-4</v>
      </c>
      <c r="O140">
        <f ca="1">data0!H139/Calculations!O$2/Cal!$G139</f>
        <v>3.9641440487977206E-4</v>
      </c>
      <c r="P140">
        <f ca="1">data0!I139/Calculations!P$2/Cal!$G139</f>
        <v>1.700043912909005E-4</v>
      </c>
      <c r="Q140">
        <f ca="1">data0!J139/Calculations!Q$2/Cal!$G139</f>
        <v>9.4927311087800859E-5</v>
      </c>
      <c r="R140">
        <f ca="1">data0!K139/Calculations!R$2/Cal!$G139</f>
        <v>7.6215403014259526E-5</v>
      </c>
      <c r="S140">
        <f ca="1">data0!L139/Calculations!S$2/Cal!$G139</f>
        <v>1.8925181811534404E-5</v>
      </c>
      <c r="T140">
        <f ca="1">data0!M139/Calculations!T$2/Cal!$G139</f>
        <v>1.902480460156849E-5</v>
      </c>
      <c r="U140">
        <f ca="1">data0!N139/Calculations!U$2/Cal!$G139</f>
        <v>1.8915321466804156E-5</v>
      </c>
      <c r="V140">
        <f ca="1">data0!O139/Calculations!V$2/Cal!$G139</f>
        <v>1.9172308360358141E-5</v>
      </c>
      <c r="W140">
        <f ca="1">data0!P139/Calculations!W$2/Cal!$G139</f>
        <v>1.9333342301838542E-5</v>
      </c>
      <c r="X140">
        <f ca="1">data0!Q139/Calculations!X$2/Cal!$G139</f>
        <v>1.9796717575660528E-5</v>
      </c>
      <c r="Y140">
        <f ca="1">data0!R139/Calculations!Y$2/Cal!$G139</f>
        <v>2.0832508140906739E-5</v>
      </c>
      <c r="Z140">
        <f ca="1">data0!S139/Calculations!Z$2/Cal!$G139</f>
        <v>2.075455684675103E-5</v>
      </c>
      <c r="AA140">
        <f ca="1">data0!T139/Calculations!AA$2/Cal!$G139</f>
        <v>2.0802666145325518E-5</v>
      </c>
      <c r="AB140">
        <f ca="1">data0!U139/Calculations!AB$2/Cal!$G139</f>
        <v>2.1623801728694551E-5</v>
      </c>
      <c r="AC140">
        <f ca="1">data0!V139/Calculations!AC$2/Cal!$G139</f>
        <v>4.5693270533919273E-5</v>
      </c>
      <c r="AD140">
        <f ca="1">data0!W139/Calculations!AD$2/Cal!$G139</f>
        <v>1.4471720591771093E-4</v>
      </c>
      <c r="AE140">
        <f ca="1">data0!X139/Calculations!AE$2/Cal!$G139</f>
        <v>8.2813518767063915E-4</v>
      </c>
      <c r="AF140">
        <f ca="1">data0!Y139/Calculations!AF$2/Cal!$G139</f>
        <v>6.4309046643745791E-4</v>
      </c>
      <c r="AG140">
        <f ca="1">data0!Z139/Calculations!AG$2/Cal!$G139</f>
        <v>8.2342098544182737E-4</v>
      </c>
      <c r="AH140" t="e">
        <f ca="1">data0!AA139/Calculations!AH$2/Cal!$G139</f>
        <v>#DIV/0!</v>
      </c>
      <c r="AI140" t="e">
        <f ca="1">data0!AB139/Calculations!AI$2/Cal!$G139</f>
        <v>#DIV/0!</v>
      </c>
      <c r="AJ140" t="e">
        <f ca="1">data0!AC139/Calculations!AJ$2/Cal!$G139</f>
        <v>#DIV/0!</v>
      </c>
      <c r="AK140" t="e">
        <f ca="1">data0!AD139/Calculations!AK$2/Cal!$G139</f>
        <v>#DIV/0!</v>
      </c>
      <c r="AL140" t="e">
        <f ca="1">data0!AE139/Calculations!AL$2/Cal!$G139</f>
        <v>#DIV/0!</v>
      </c>
      <c r="AM140" t="e">
        <f ca="1">data0!AF139/Calculations!AM$2/Cal!$G139</f>
        <v>#DIV/0!</v>
      </c>
      <c r="AN140" t="e">
        <f ca="1">data0!AG139/Calculations!AN$2/Cal!$G139</f>
        <v>#DIV/0!</v>
      </c>
    </row>
    <row r="141" spans="1:40">
      <c r="A141">
        <f>data0!A140</f>
        <v>990</v>
      </c>
      <c r="B141" t="e">
        <f t="shared" ca="1" si="10"/>
        <v>#DIV/0!</v>
      </c>
      <c r="C141" t="e">
        <f t="shared" ca="1" si="11"/>
        <v>#DIV/0!</v>
      </c>
      <c r="D141" t="e">
        <f t="shared" ca="1" si="12"/>
        <v>#DIV/0!</v>
      </c>
      <c r="F141" t="e">
        <f t="shared" ca="1" si="13"/>
        <v>#DIV/0!</v>
      </c>
      <c r="G141" t="e">
        <f t="shared" ca="1" si="14"/>
        <v>#DIV/0!</v>
      </c>
      <c r="I141">
        <f ca="1">data0!B140/Calculations!I$2/Cal!$G140</f>
        <v>2.0661487616260919E-3</v>
      </c>
      <c r="J141">
        <f ca="1">data0!C140/Calculations!J$2/Cal!$G140</f>
        <v>1.8624326584977509E-3</v>
      </c>
      <c r="K141">
        <f ca="1">data0!D140/Calculations!K$2/Cal!$G140</f>
        <v>1.5005659061880247E-3</v>
      </c>
      <c r="L141">
        <f ca="1">data0!E140/Calculations!L$2/Cal!$G140</f>
        <v>1.5109271911102043E-3</v>
      </c>
      <c r="M141">
        <f ca="1">data0!F140/Calculations!M$2/Cal!$G140</f>
        <v>3.2544756297425591E-5</v>
      </c>
      <c r="N141">
        <f ca="1">data0!G140/Calculations!N$2/Cal!$G140</f>
        <v>2.7904720213228106E-4</v>
      </c>
      <c r="O141">
        <f ca="1">data0!H140/Calculations!O$2/Cal!$G140</f>
        <v>3.3884021723690688E-4</v>
      </c>
      <c r="P141">
        <f ca="1">data0!I140/Calculations!P$2/Cal!$G140</f>
        <v>2.2604305661807513E-4</v>
      </c>
      <c r="Q141">
        <f ca="1">data0!J140/Calculations!Q$2/Cal!$G140</f>
        <v>5.6798220511228703E-5</v>
      </c>
      <c r="R141">
        <f ca="1">data0!K140/Calculations!R$2/Cal!$G140</f>
        <v>7.600375641091498E-5</v>
      </c>
      <c r="S141">
        <f ca="1">data0!L140/Calculations!S$2/Cal!$G140</f>
        <v>1.8872627468321921E-5</v>
      </c>
      <c r="T141">
        <f ca="1">data0!M140/Calculations!T$2/Cal!$G140</f>
        <v>1.8971973610535585E-5</v>
      </c>
      <c r="U141">
        <f ca="1">data0!N140/Calculations!U$2/Cal!$G140</f>
        <v>1.8862794505307014E-5</v>
      </c>
      <c r="V141">
        <f ca="1">data0!O140/Calculations!V$2/Cal!$G140</f>
        <v>1.9119067758297889E-5</v>
      </c>
      <c r="W141">
        <f ca="1">data0!P140/Calculations!W$2/Cal!$G140</f>
        <v>1.927965451606752E-5</v>
      </c>
      <c r="X141">
        <f ca="1">data0!Q140/Calculations!X$2/Cal!$G140</f>
        <v>1.974174301846405E-5</v>
      </c>
      <c r="Y141">
        <f ca="1">data0!R140/Calculations!Y$2/Cal!$G140</f>
        <v>2.0774657241839187E-5</v>
      </c>
      <c r="Z141">
        <f ca="1">data0!S140/Calculations!Z$2/Cal!$G140</f>
        <v>2.0696922414775197E-5</v>
      </c>
      <c r="AA141">
        <f ca="1">data0!T140/Calculations!AA$2/Cal!$G140</f>
        <v>2.0744898116081549E-5</v>
      </c>
      <c r="AB141">
        <f ca="1">data0!U140/Calculations!AB$2/Cal!$G140</f>
        <v>2.1563753444407213E-5</v>
      </c>
      <c r="AC141">
        <f ca="1">data0!V140/Calculations!AC$2/Cal!$G140</f>
        <v>2.2783191231228449E-5</v>
      </c>
      <c r="AD141">
        <f ca="1">data0!W140/Calculations!AD$2/Cal!$G140</f>
        <v>2.6457811248833599E-4</v>
      </c>
      <c r="AE141">
        <f ca="1">data0!X140/Calculations!AE$2/Cal!$G140</f>
        <v>7.1811783093113704E-4</v>
      </c>
      <c r="AF141">
        <f ca="1">data0!Y140/Calculations!AF$2/Cal!$G140</f>
        <v>6.4130463434208362E-4</v>
      </c>
      <c r="AG141">
        <f ca="1">data0!Z140/Calculations!AG$2/Cal!$G140</f>
        <v>8.2113438394398083E-4</v>
      </c>
      <c r="AH141" t="e">
        <f ca="1">data0!AA140/Calculations!AH$2/Cal!$G140</f>
        <v>#DIV/0!</v>
      </c>
      <c r="AI141" t="e">
        <f ca="1">data0!AB140/Calculations!AI$2/Cal!$G140</f>
        <v>#DIV/0!</v>
      </c>
      <c r="AJ141" t="e">
        <f ca="1">data0!AC140/Calculations!AJ$2/Cal!$G140</f>
        <v>#DIV/0!</v>
      </c>
      <c r="AK141" t="e">
        <f ca="1">data0!AD140/Calculations!AK$2/Cal!$G140</f>
        <v>#DIV/0!</v>
      </c>
      <c r="AL141" t="e">
        <f ca="1">data0!AE140/Calculations!AL$2/Cal!$G140</f>
        <v>#DIV/0!</v>
      </c>
      <c r="AM141" t="e">
        <f ca="1">data0!AF140/Calculations!AM$2/Cal!$G140</f>
        <v>#DIV/0!</v>
      </c>
      <c r="AN141" t="e">
        <f ca="1">data0!AG140/Calculations!AN$2/Cal!$G140</f>
        <v>#DIV/0!</v>
      </c>
    </row>
    <row r="142" spans="1:40">
      <c r="A142">
        <f>data0!A141</f>
        <v>995</v>
      </c>
      <c r="B142" t="e">
        <f t="shared" ca="1" si="10"/>
        <v>#DIV/0!</v>
      </c>
      <c r="C142" t="e">
        <f t="shared" ca="1" si="11"/>
        <v>#DIV/0!</v>
      </c>
      <c r="D142" t="e">
        <f t="shared" ca="1" si="12"/>
        <v>#DIV/0!</v>
      </c>
      <c r="F142" t="e">
        <f t="shared" ca="1" si="13"/>
        <v>#DIV/0!</v>
      </c>
      <c r="G142" t="e">
        <f t="shared" ca="1" si="14"/>
        <v>#DIV/0!</v>
      </c>
      <c r="I142">
        <f ca="1">data0!B141/Calculations!I$2/Cal!$G141</f>
        <v>2.0619277708408819E-3</v>
      </c>
      <c r="J142">
        <f ca="1">data0!C141/Calculations!J$2/Cal!$G141</f>
        <v>1.8586278448097923E-3</v>
      </c>
      <c r="K142">
        <f ca="1">data0!D141/Calculations!K$2/Cal!$G141</f>
        <v>1.4975003598051808E-3</v>
      </c>
      <c r="L142">
        <f ca="1">data0!E141/Calculations!L$2/Cal!$G141</f>
        <v>1.4475268629958163E-3</v>
      </c>
      <c r="M142">
        <f ca="1">data0!F141/Calculations!M$2/Cal!$G141</f>
        <v>3.2478269740896025E-5</v>
      </c>
      <c r="N142">
        <f ca="1">data0!G141/Calculations!N$2/Cal!$G141</f>
        <v>3.5804203701317154E-4</v>
      </c>
      <c r="O142">
        <f ca="1">data0!H141/Calculations!O$2/Cal!$G141</f>
        <v>2.6300398316712019E-4</v>
      </c>
      <c r="P142">
        <f ca="1">data0!I141/Calculations!P$2/Cal!$G141</f>
        <v>2.8197657939667975E-4</v>
      </c>
      <c r="Q142">
        <f ca="1">data0!J141/Calculations!Q$2/Cal!$G141</f>
        <v>5.6682185901404402E-5</v>
      </c>
      <c r="R142">
        <f ca="1">data0!K141/Calculations!R$2/Cal!$G141</f>
        <v>5.6886365879145107E-5</v>
      </c>
      <c r="S142">
        <f ca="1">data0!L141/Calculations!S$2/Cal!$G141</f>
        <v>1.8834072070900391E-5</v>
      </c>
      <c r="T142">
        <f ca="1">data0!M141/Calculations!T$2/Cal!$G141</f>
        <v>1.8933215256212492E-5</v>
      </c>
      <c r="U142">
        <f ca="1">data0!N141/Calculations!U$2/Cal!$G141</f>
        <v>1.8824259195909661E-5</v>
      </c>
      <c r="V142">
        <f ca="1">data0!O141/Calculations!V$2/Cal!$G141</f>
        <v>1.9080008901390571E-5</v>
      </c>
      <c r="W142">
        <f ca="1">data0!P141/Calculations!W$2/Cal!$G141</f>
        <v>1.9240267592160692E-5</v>
      </c>
      <c r="X142">
        <f ca="1">data0!Q141/Calculations!X$2/Cal!$G141</f>
        <v>1.9701412081547708E-5</v>
      </c>
      <c r="Y142">
        <f ca="1">data0!R141/Calculations!Y$2/Cal!$G141</f>
        <v>2.0732216136720169E-5</v>
      </c>
      <c r="Z142">
        <f ca="1">data0!S141/Calculations!Z$2/Cal!$G141</f>
        <v>2.0654640116221716E-5</v>
      </c>
      <c r="AA142">
        <f ca="1">data0!T141/Calculations!AA$2/Cal!$G141</f>
        <v>2.0702517806679627E-5</v>
      </c>
      <c r="AB142">
        <f ca="1">data0!U141/Calculations!AB$2/Cal!$G141</f>
        <v>2.1519700273467209E-5</v>
      </c>
      <c r="AC142">
        <f ca="1">data0!V141/Calculations!AC$2/Cal!$G141</f>
        <v>2.2736646838089486E-5</v>
      </c>
      <c r="AD142">
        <f ca="1">data0!W141/Calculations!AD$2/Cal!$G141</f>
        <v>3.3604784657320549E-4</v>
      </c>
      <c r="AE142">
        <f ca="1">data0!X141/Calculations!AE$2/Cal!$G141</f>
        <v>6.4498569885516324E-4</v>
      </c>
      <c r="AF142">
        <f ca="1">data0!Y141/Calculations!AF$2/Cal!$G141</f>
        <v>6.3999449588431827E-4</v>
      </c>
      <c r="AG142">
        <f ca="1">data0!Z141/Calculations!AG$2/Cal!$G141</f>
        <v>8.1945686646197778E-4</v>
      </c>
      <c r="AH142" t="e">
        <f ca="1">data0!AA141/Calculations!AH$2/Cal!$G141</f>
        <v>#DIV/0!</v>
      </c>
      <c r="AI142" t="e">
        <f ca="1">data0!AB141/Calculations!AI$2/Cal!$G141</f>
        <v>#DIV/0!</v>
      </c>
      <c r="AJ142" t="e">
        <f ca="1">data0!AC141/Calculations!AJ$2/Cal!$G141</f>
        <v>#DIV/0!</v>
      </c>
      <c r="AK142" t="e">
        <f ca="1">data0!AD141/Calculations!AK$2/Cal!$G141</f>
        <v>#DIV/0!</v>
      </c>
      <c r="AL142" t="e">
        <f ca="1">data0!AE141/Calculations!AL$2/Cal!$G141</f>
        <v>#DIV/0!</v>
      </c>
      <c r="AM142" t="e">
        <f ca="1">data0!AF141/Calculations!AM$2/Cal!$G141</f>
        <v>#DIV/0!</v>
      </c>
      <c r="AN142" t="e">
        <f ca="1">data0!AG141/Calculations!AN$2/Cal!$G141</f>
        <v>#DIV/0!</v>
      </c>
    </row>
    <row r="143" spans="1:40">
      <c r="A143">
        <f>data0!A142</f>
        <v>1000</v>
      </c>
      <c r="B143" t="e">
        <f t="shared" ca="1" si="10"/>
        <v>#DIV/0!</v>
      </c>
      <c r="C143" t="e">
        <f t="shared" ca="1" si="11"/>
        <v>#DIV/0!</v>
      </c>
      <c r="D143" t="e">
        <f t="shared" ca="1" si="12"/>
        <v>#DIV/0!</v>
      </c>
      <c r="F143" t="e">
        <f t="shared" ca="1" si="13"/>
        <v>#DIV/0!</v>
      </c>
      <c r="G143" t="e">
        <f t="shared" ca="1" si="14"/>
        <v>#DIV/0!</v>
      </c>
      <c r="I143">
        <f ca="1">data0!B142/Calculations!I$2/Cal!$G142</f>
        <v>2.0583078403374243E-3</v>
      </c>
      <c r="J143">
        <f ca="1">data0!C142/Calculations!J$2/Cal!$G142</f>
        <v>1.8553648286531892E-3</v>
      </c>
      <c r="K143">
        <f ca="1">data0!D142/Calculations!K$2/Cal!$G142</f>
        <v>1.1958970288810302E-3</v>
      </c>
      <c r="L143">
        <f ca="1">data0!E142/Calculations!L$2/Cal!$G142</f>
        <v>1.3847778502311375E-3</v>
      </c>
      <c r="M143">
        <f ca="1">data0!F142/Calculations!M$2/Cal!$G142</f>
        <v>3.2421250731308389E-5</v>
      </c>
      <c r="N143">
        <f ca="1">data0!G142/Calculations!N$2/Cal!$G142</f>
        <v>3.9712605864487664E-4</v>
      </c>
      <c r="O143">
        <f ca="1">data0!H142/Calculations!O$2/Cal!$G142</f>
        <v>2.2503621868830156E-4</v>
      </c>
      <c r="P143">
        <f ca="1">data0!I142/Calculations!P$2/Cal!$G142</f>
        <v>3.0024697470547063E-4</v>
      </c>
      <c r="Q143">
        <f ca="1">data0!J142/Calculations!Q$2/Cal!$G142</f>
        <v>9.4304458831097449E-5</v>
      </c>
      <c r="R143">
        <f ca="1">data0!K142/Calculations!R$2/Cal!$G142</f>
        <v>3.7857663160846658E-5</v>
      </c>
      <c r="S143">
        <f ca="1">data0!L142/Calculations!S$2/Cal!$G142</f>
        <v>1.8801006881635319E-5</v>
      </c>
      <c r="T143">
        <f ca="1">data0!M142/Calculations!T$2/Cal!$G142</f>
        <v>1.8899976010685215E-5</v>
      </c>
      <c r="U143">
        <f ca="1">data0!N142/Calculations!U$2/Cal!$G142</f>
        <v>1.8791211234176032E-5</v>
      </c>
      <c r="V143">
        <f ca="1">data0!O142/Calculations!V$2/Cal!$G142</f>
        <v>1.9046511944220137E-5</v>
      </c>
      <c r="W143">
        <f ca="1">data0!P142/Calculations!W$2/Cal!$G142</f>
        <v>1.9206489284047044E-5</v>
      </c>
      <c r="X143">
        <f ca="1">data0!Q142/Calculations!X$2/Cal!$G142</f>
        <v>1.966682418590765E-5</v>
      </c>
      <c r="Y143">
        <f ca="1">data0!R142/Calculations!Y$2/Cal!$G142</f>
        <v>2.0695818556427153E-5</v>
      </c>
      <c r="Z143">
        <f ca="1">data0!S142/Calculations!Z$2/Cal!$G142</f>
        <v>2.0618378728770616E-5</v>
      </c>
      <c r="AA143">
        <f ca="1">data0!T142/Calculations!AA$2/Cal!$G142</f>
        <v>2.0666172364920431E-5</v>
      </c>
      <c r="AB143">
        <f ca="1">data0!U142/Calculations!AB$2/Cal!$G142</f>
        <v>1.2889152371464211E-4</v>
      </c>
      <c r="AC143">
        <f ca="1">data0!V142/Calculations!AC$2/Cal!$G142</f>
        <v>2.2696730269430065E-5</v>
      </c>
      <c r="AD143">
        <f ca="1">data0!W142/Calculations!AD$2/Cal!$G142</f>
        <v>3.8338043017369208E-4</v>
      </c>
      <c r="AE143">
        <f ca="1">data0!X142/Calculations!AE$2/Cal!$G142</f>
        <v>6.0808373163595141E-4</v>
      </c>
      <c r="AF143">
        <f ca="1">data0!Y142/Calculations!AF$2/Cal!$G142</f>
        <v>6.3887091840965642E-4</v>
      </c>
      <c r="AG143">
        <f ca="1">data0!Z142/Calculations!AG$2/Cal!$G142</f>
        <v>8.1801822396968351E-4</v>
      </c>
      <c r="AH143" t="e">
        <f ca="1">data0!AA142/Calculations!AH$2/Cal!$G142</f>
        <v>#DIV/0!</v>
      </c>
      <c r="AI143" t="e">
        <f ca="1">data0!AB142/Calculations!AI$2/Cal!$G142</f>
        <v>#DIV/0!</v>
      </c>
      <c r="AJ143" t="e">
        <f ca="1">data0!AC142/Calculations!AJ$2/Cal!$G142</f>
        <v>#DIV/0!</v>
      </c>
      <c r="AK143" t="e">
        <f ca="1">data0!AD142/Calculations!AK$2/Cal!$G142</f>
        <v>#DIV/0!</v>
      </c>
      <c r="AL143" t="e">
        <f ca="1">data0!AE142/Calculations!AL$2/Cal!$G142</f>
        <v>#DIV/0!</v>
      </c>
      <c r="AM143" t="e">
        <f ca="1">data0!AF142/Calculations!AM$2/Cal!$G142</f>
        <v>#DIV/0!</v>
      </c>
      <c r="AN143" t="e">
        <f ca="1">data0!AG142/Calculations!AN$2/Cal!$G142</f>
        <v>#DIV/0!</v>
      </c>
    </row>
    <row r="144" spans="1:40">
      <c r="A144">
        <f>data0!A143</f>
        <v>1005</v>
      </c>
      <c r="B144" t="e">
        <f t="shared" ca="1" si="10"/>
        <v>#DIV/0!</v>
      </c>
      <c r="C144" t="e">
        <f t="shared" ca="1" si="11"/>
        <v>#DIV/0!</v>
      </c>
      <c r="D144" t="e">
        <f t="shared" ca="1" si="12"/>
        <v>#DIV/0!</v>
      </c>
      <c r="F144" t="e">
        <f t="shared" ca="1" si="13"/>
        <v>#DIV/0!</v>
      </c>
      <c r="G144" t="e">
        <f t="shared" ca="1" si="14"/>
        <v>#DIV/0!</v>
      </c>
      <c r="I144">
        <f ca="1">data0!B143/Calculations!I$2/Cal!$G143</f>
        <v>2.0560108749725589E-3</v>
      </c>
      <c r="J144">
        <f ca="1">data0!C143/Calculations!J$2/Cal!$G143</f>
        <v>1.8532943372198442E-3</v>
      </c>
      <c r="K144">
        <f ca="1">data0!D143/Calculations!K$2/Cal!$G143</f>
        <v>1.1945624694912962E-3</v>
      </c>
      <c r="L144">
        <f ca="1">data0!E143/Calculations!L$2/Cal!$G143</f>
        <v>1.3230919707994785E-3</v>
      </c>
      <c r="M144">
        <f ca="1">data0!F143/Calculations!M$2/Cal!$G143</f>
        <v>3.2385070288054947E-5</v>
      </c>
      <c r="N144">
        <f ca="1">data0!G143/Calculations!N$2/Cal!$G143</f>
        <v>3.9668288645055449E-4</v>
      </c>
      <c r="O144">
        <f ca="1">data0!H143/Calculations!O$2/Cal!$G143</f>
        <v>2.2478508987751951E-4</v>
      </c>
      <c r="P144">
        <f ca="1">data0!I143/Calculations!P$2/Cal!$G143</f>
        <v>2.6242292753719625E-4</v>
      </c>
      <c r="Q144">
        <f ca="1">data0!J143/Calculations!Q$2/Cal!$G143</f>
        <v>1.6955859769549563E-4</v>
      </c>
      <c r="R144">
        <f ca="1">data0!K143/Calculations!R$2/Cal!$G143</f>
        <v>1.8907707980889026E-5</v>
      </c>
      <c r="S144">
        <f ca="1">data0!L143/Calculations!S$2/Cal!$G143</f>
        <v>1.8780025927870582E-5</v>
      </c>
      <c r="T144">
        <f ca="1">data0!M143/Calculations!T$2/Cal!$G143</f>
        <v>1.8878884612478126E-5</v>
      </c>
      <c r="U144">
        <f ca="1">data0!N143/Calculations!U$2/Cal!$G143</f>
        <v>1.8770241211848518E-5</v>
      </c>
      <c r="V144">
        <f ca="1">data0!O143/Calculations!V$2/Cal!$G143</f>
        <v>1.9025257019470788E-5</v>
      </c>
      <c r="W144">
        <f ca="1">data0!P143/Calculations!W$2/Cal!$G143</f>
        <v>1.9185055832839434E-5</v>
      </c>
      <c r="X144">
        <f ca="1">data0!Q143/Calculations!X$2/Cal!$G143</f>
        <v>1.9644877024697535E-5</v>
      </c>
      <c r="Y144">
        <f ca="1">data0!R143/Calculations!Y$2/Cal!$G143</f>
        <v>2.0672723090583783E-5</v>
      </c>
      <c r="Z144">
        <f ca="1">data0!S143/Calculations!Z$2/Cal!$G143</f>
        <v>2.0595369681779907E-5</v>
      </c>
      <c r="AA144">
        <f ca="1">data0!T143/Calculations!AA$2/Cal!$G143</f>
        <v>2.0643109982697383E-5</v>
      </c>
      <c r="AB144">
        <f ca="1">data0!U143/Calculations!AB$2/Cal!$G143</f>
        <v>1.7166357973967222E-4</v>
      </c>
      <c r="AC144">
        <f ca="1">data0!V143/Calculations!AC$2/Cal!$G143</f>
        <v>2.267140188933896E-5</v>
      </c>
      <c r="AD144">
        <f ca="1">data0!W143/Calculations!AD$2/Cal!$G143</f>
        <v>3.5901806151514271E-4</v>
      </c>
      <c r="AE144">
        <f ca="1">data0!X143/Calculations!AE$2/Cal!$G143</f>
        <v>6.0740514156155479E-4</v>
      </c>
      <c r="AF144">
        <f ca="1">data0!Y143/Calculations!AF$2/Cal!$G143</f>
        <v>6.3815797142308421E-4</v>
      </c>
      <c r="AG144">
        <f ca="1">data0!Z143/Calculations!AG$2/Cal!$G143</f>
        <v>8.1710535783204149E-4</v>
      </c>
      <c r="AH144" t="e">
        <f ca="1">data0!AA143/Calculations!AH$2/Cal!$G143</f>
        <v>#DIV/0!</v>
      </c>
      <c r="AI144" t="e">
        <f ca="1">data0!AB143/Calculations!AI$2/Cal!$G143</f>
        <v>#DIV/0!</v>
      </c>
      <c r="AJ144" t="e">
        <f ca="1">data0!AC143/Calculations!AJ$2/Cal!$G143</f>
        <v>#DIV/0!</v>
      </c>
      <c r="AK144" t="e">
        <f ca="1">data0!AD143/Calculations!AK$2/Cal!$G143</f>
        <v>#DIV/0!</v>
      </c>
      <c r="AL144" t="e">
        <f ca="1">data0!AE143/Calculations!AL$2/Cal!$G143</f>
        <v>#DIV/0!</v>
      </c>
      <c r="AM144" t="e">
        <f ca="1">data0!AF143/Calculations!AM$2/Cal!$G143</f>
        <v>#DIV/0!</v>
      </c>
      <c r="AN144" t="e">
        <f ca="1">data0!AG143/Calculations!AN$2/Cal!$G143</f>
        <v>#DIV/0!</v>
      </c>
    </row>
    <row r="145" spans="1:40">
      <c r="A145">
        <f>data0!A144</f>
        <v>1010</v>
      </c>
      <c r="B145" t="e">
        <f t="shared" ca="1" si="10"/>
        <v>#DIV/0!</v>
      </c>
      <c r="C145" t="e">
        <f t="shared" ca="1" si="11"/>
        <v>#DIV/0!</v>
      </c>
      <c r="D145" t="e">
        <f t="shared" ca="1" si="12"/>
        <v>#DIV/0!</v>
      </c>
      <c r="F145" t="e">
        <f t="shared" ca="1" si="13"/>
        <v>#DIV/0!</v>
      </c>
      <c r="G145" t="e">
        <f t="shared" ca="1" si="14"/>
        <v>#DIV/0!</v>
      </c>
      <c r="I145">
        <f ca="1">data0!B144/Calculations!I$2/Cal!$G144</f>
        <v>2.0509248212352443E-3</v>
      </c>
      <c r="J145">
        <f ca="1">data0!C144/Calculations!J$2/Cal!$G144</f>
        <v>1.8487097532057704E-3</v>
      </c>
      <c r="K145">
        <f ca="1">data0!D144/Calculations!K$2/Cal!$G144</f>
        <v>1.1916074224210839E-3</v>
      </c>
      <c r="L145">
        <f ca="1">data0!E144/Calculations!L$2/Cal!$G144</f>
        <v>1.2598272078491301E-3</v>
      </c>
      <c r="M145">
        <f ca="1">data0!F144/Calculations!M$2/Cal!$G144</f>
        <v>3.2304957770277551E-5</v>
      </c>
      <c r="N145">
        <f ca="1">data0!G144/Calculations!N$2/Cal!$G144</f>
        <v>3.5613143735703073E-4</v>
      </c>
      <c r="O145">
        <f ca="1">data0!H144/Calculations!O$2/Cal!$G144</f>
        <v>2.6160052975144135E-4</v>
      </c>
      <c r="P145">
        <f ca="1">data0!I144/Calculations!P$2/Cal!$G144</f>
        <v>2.2437751051431333E-4</v>
      </c>
      <c r="Q145">
        <f ca="1">data0!J144/Calculations!Q$2/Cal!$G144</f>
        <v>2.4431210083194197E-4</v>
      </c>
      <c r="R145">
        <f ca="1">data0!K144/Calculations!R$2/Cal!$G144</f>
        <v>5.6582806353022217E-5</v>
      </c>
      <c r="S145">
        <f ca="1">data0!L144/Calculations!S$2/Cal!$G144</f>
        <v>1.8733568867638063E-5</v>
      </c>
      <c r="T145">
        <f ca="1">data0!M144/Calculations!T$2/Cal!$G144</f>
        <v>1.8832183000726726E-5</v>
      </c>
      <c r="U145">
        <f ca="1">data0!N144/Calculations!U$2/Cal!$G144</f>
        <v>1.8723808356542196E-5</v>
      </c>
      <c r="V145">
        <f ca="1">data0!O144/Calculations!V$2/Cal!$G144</f>
        <v>1.8978193319202887E-5</v>
      </c>
      <c r="W145">
        <f ca="1">data0!P144/Calculations!W$2/Cal!$G144</f>
        <v>1.913759683050293E-5</v>
      </c>
      <c r="X145">
        <f ca="1">data0!Q144/Calculations!X$2/Cal!$G144</f>
        <v>1.9596280540395436E-5</v>
      </c>
      <c r="Y145">
        <f ca="1">data0!R144/Calculations!Y$2/Cal!$G144</f>
        <v>2.0621583973658274E-5</v>
      </c>
      <c r="Z145">
        <f ca="1">data0!S144/Calculations!Z$2/Cal!$G144</f>
        <v>2.0544421917730366E-5</v>
      </c>
      <c r="AA145">
        <f ca="1">data0!T144/Calculations!AA$2/Cal!$G144</f>
        <v>2.0592044121151928E-5</v>
      </c>
      <c r="AB145">
        <f ca="1">data0!U144/Calculations!AB$2/Cal!$G144</f>
        <v>1.4983406262670938E-4</v>
      </c>
      <c r="AC145">
        <f ca="1">data0!V144/Calculations!AC$2/Cal!$G144</f>
        <v>9.0461274175245726E-5</v>
      </c>
      <c r="AD145">
        <f ca="1">data0!W144/Calculations!AD$2/Cal!$G144</f>
        <v>3.3425461328287541E-4</v>
      </c>
      <c r="AE145">
        <f ca="1">data0!X144/Calculations!AE$2/Cal!$G144</f>
        <v>6.0590257402754573E-4</v>
      </c>
      <c r="AF145">
        <f ca="1">data0!Y144/Calculations!AF$2/Cal!$G144</f>
        <v>6.3657932912354045E-4</v>
      </c>
      <c r="AG145">
        <f ca="1">data0!Z144/Calculations!AG$2/Cal!$G144</f>
        <v>8.1508404471080764E-4</v>
      </c>
      <c r="AH145" t="e">
        <f ca="1">data0!AA144/Calculations!AH$2/Cal!$G144</f>
        <v>#DIV/0!</v>
      </c>
      <c r="AI145" t="e">
        <f ca="1">data0!AB144/Calculations!AI$2/Cal!$G144</f>
        <v>#DIV/0!</v>
      </c>
      <c r="AJ145" t="e">
        <f ca="1">data0!AC144/Calculations!AJ$2/Cal!$G144</f>
        <v>#DIV/0!</v>
      </c>
      <c r="AK145" t="e">
        <f ca="1">data0!AD144/Calculations!AK$2/Cal!$G144</f>
        <v>#DIV/0!</v>
      </c>
      <c r="AL145" t="e">
        <f ca="1">data0!AE144/Calculations!AL$2/Cal!$G144</f>
        <v>#DIV/0!</v>
      </c>
      <c r="AM145" t="e">
        <f ca="1">data0!AF144/Calculations!AM$2/Cal!$G144</f>
        <v>#DIV/0!</v>
      </c>
      <c r="AN145" t="e">
        <f ca="1">data0!AG144/Calculations!AN$2/Cal!$G144</f>
        <v>#DIV/0!</v>
      </c>
    </row>
    <row r="146" spans="1:40">
      <c r="A146">
        <f>data0!A145</f>
        <v>1015</v>
      </c>
      <c r="B146" t="e">
        <f t="shared" ca="1" si="10"/>
        <v>#DIV/0!</v>
      </c>
      <c r="C146" t="e">
        <f t="shared" ca="1" si="11"/>
        <v>#DIV/0!</v>
      </c>
      <c r="D146" t="e">
        <f t="shared" ca="1" si="12"/>
        <v>#DIV/0!</v>
      </c>
      <c r="F146" t="e">
        <f t="shared" ca="1" si="13"/>
        <v>#DIV/0!</v>
      </c>
      <c r="G146" t="e">
        <f t="shared" ca="1" si="14"/>
        <v>#DIV/0!</v>
      </c>
      <c r="I146">
        <f ca="1">data0!B145/Calculations!I$2/Cal!$G145</f>
        <v>2.0495848396369339E-3</v>
      </c>
      <c r="J146">
        <f ca="1">data0!C145/Calculations!J$2/Cal!$G145</f>
        <v>1.8475018897949503E-3</v>
      </c>
      <c r="K146">
        <f ca="1">data0!D145/Calculations!K$2/Cal!$G145</f>
        <v>1.1908288799791955E-3</v>
      </c>
      <c r="L146">
        <f ca="1">data0!E145/Calculations!L$2/Cal!$G145</f>
        <v>1.1690751796765374E-3</v>
      </c>
      <c r="M146">
        <f ca="1">data0!F145/Calculations!M$2/Cal!$G145</f>
        <v>3.2283851170709316E-5</v>
      </c>
      <c r="N146">
        <f ca="1">data0!G145/Calculations!N$2/Cal!$G145</f>
        <v>3.1635443580281953E-4</v>
      </c>
      <c r="O146">
        <f ca="1">data0!H145/Calculations!O$2/Cal!$G145</f>
        <v>3.174502572087274E-4</v>
      </c>
      <c r="P146">
        <f ca="1">data0!I145/Calculations!P$2/Cal!$G145</f>
        <v>1.8685909669759125E-4</v>
      </c>
      <c r="Q146">
        <f ca="1">data0!J145/Calculations!Q$2/Cal!$G145</f>
        <v>2.6293343680780463E-4</v>
      </c>
      <c r="R146">
        <f ca="1">data0!K145/Calculations!R$2/Cal!$G145</f>
        <v>1.5078889747771254E-4</v>
      </c>
      <c r="S146">
        <f ca="1">data0!L145/Calculations!S$2/Cal!$G145</f>
        <v>1.8721329200297064E-5</v>
      </c>
      <c r="T146">
        <f ca="1">data0!M145/Calculations!T$2/Cal!$G145</f>
        <v>1.8819878903367471E-5</v>
      </c>
      <c r="U146">
        <f ca="1">data0!N145/Calculations!U$2/Cal!$G145</f>
        <v>1.8711575066278079E-5</v>
      </c>
      <c r="V146">
        <f ca="1">data0!O145/Calculations!V$2/Cal!$G145</f>
        <v>1.8965793825299649E-5</v>
      </c>
      <c r="W146">
        <f ca="1">data0!P145/Calculations!W$2/Cal!$G145</f>
        <v>1.912509318954874E-5</v>
      </c>
      <c r="X146">
        <f ca="1">data0!Q145/Calculations!X$2/Cal!$G145</f>
        <v>1.9583477216232807E-5</v>
      </c>
      <c r="Y146">
        <f ca="1">data0!R145/Calculations!Y$2/Cal!$G145</f>
        <v>2.0608110762565108E-5</v>
      </c>
      <c r="Z146">
        <f ca="1">data0!S145/Calculations!Z$2/Cal!$G145</f>
        <v>2.0530999120837643E-5</v>
      </c>
      <c r="AA146">
        <f ca="1">data0!T145/Calculations!AA$2/Cal!$G145</f>
        <v>1.0289295481744999E-4</v>
      </c>
      <c r="AB146">
        <f ca="1">data0!U145/Calculations!AB$2/Cal!$G145</f>
        <v>8.556352372332028E-5</v>
      </c>
      <c r="AC146">
        <f ca="1">data0!V145/Calculations!AC$2/Cal!$G145</f>
        <v>1.80804341733165E-4</v>
      </c>
      <c r="AD146">
        <f ca="1">data0!W145/Calculations!AD$2/Cal!$G145</f>
        <v>2.8631676883351237E-4</v>
      </c>
      <c r="AE146">
        <f ca="1">data0!X145/Calculations!AE$2/Cal!$G145</f>
        <v>6.0550670466599744E-4</v>
      </c>
      <c r="AF146">
        <f ca="1">data0!Y145/Calculations!AF$2/Cal!$G145</f>
        <v>6.3616341695647393E-4</v>
      </c>
      <c r="AG146">
        <f ca="1">data0!Z145/Calculations!AG$2/Cal!$G145</f>
        <v>8.1455150562908195E-4</v>
      </c>
      <c r="AH146" t="e">
        <f ca="1">data0!AA145/Calculations!AH$2/Cal!$G145</f>
        <v>#DIV/0!</v>
      </c>
      <c r="AI146" t="e">
        <f ca="1">data0!AB145/Calculations!AI$2/Cal!$G145</f>
        <v>#DIV/0!</v>
      </c>
      <c r="AJ146" t="e">
        <f ca="1">data0!AC145/Calculations!AJ$2/Cal!$G145</f>
        <v>#DIV/0!</v>
      </c>
      <c r="AK146" t="e">
        <f ca="1">data0!AD145/Calculations!AK$2/Cal!$G145</f>
        <v>#DIV/0!</v>
      </c>
      <c r="AL146" t="e">
        <f ca="1">data0!AE145/Calculations!AL$2/Cal!$G145</f>
        <v>#DIV/0!</v>
      </c>
      <c r="AM146" t="e">
        <f ca="1">data0!AF145/Calculations!AM$2/Cal!$G145</f>
        <v>#DIV/0!</v>
      </c>
      <c r="AN146" t="e">
        <f ca="1">data0!AG145/Calculations!AN$2/Cal!$G145</f>
        <v>#DIV/0!</v>
      </c>
    </row>
    <row r="147" spans="1:40">
      <c r="A147">
        <f>data0!A146</f>
        <v>1020</v>
      </c>
      <c r="B147" t="e">
        <f t="shared" ca="1" si="10"/>
        <v>#DIV/0!</v>
      </c>
      <c r="C147" t="e">
        <f t="shared" ca="1" si="11"/>
        <v>#DIV/0!</v>
      </c>
      <c r="D147" t="e">
        <f t="shared" ca="1" si="12"/>
        <v>#DIV/0!</v>
      </c>
      <c r="F147" t="e">
        <f t="shared" ca="1" si="13"/>
        <v>#DIV/0!</v>
      </c>
      <c r="G147" t="e">
        <f t="shared" ca="1" si="14"/>
        <v>#DIV/0!</v>
      </c>
      <c r="I147">
        <f ca="1">data0!B146/Calculations!I$2/Cal!$G146</f>
        <v>2.0457556339228983E-3</v>
      </c>
      <c r="J147">
        <f ca="1">data0!C146/Calculations!J$2/Cal!$G146</f>
        <v>1.8440502323391176E-3</v>
      </c>
      <c r="K147">
        <f ca="1">data0!D146/Calculations!K$2/Cal!$G146</f>
        <v>8.9145307357896568E-4</v>
      </c>
      <c r="L147">
        <f ca="1">data0!E146/Calculations!L$2/Cal!$G146</f>
        <v>1.0771302312633368E-3</v>
      </c>
      <c r="M147">
        <f ca="1">data0!F146/Calculations!M$2/Cal!$G146</f>
        <v>3.2223535781473786E-5</v>
      </c>
      <c r="N147">
        <f ca="1">data0!G146/Calculations!N$2/Cal!$G146</f>
        <v>2.7629297391116117E-4</v>
      </c>
      <c r="O147">
        <f ca="1">data0!H146/Calculations!O$2/Cal!$G146</f>
        <v>3.5413447995193462E-4</v>
      </c>
      <c r="P147">
        <f ca="1">data0!I146/Calculations!P$2/Cal!$G146</f>
        <v>1.8650999091433386E-4</v>
      </c>
      <c r="Q147">
        <f ca="1">data0!J146/Calculations!Q$2/Cal!$G146</f>
        <v>2.4369633227777705E-4</v>
      </c>
      <c r="R147">
        <f ca="1">data0!K146/Calculations!R$2/Cal!$G146</f>
        <v>2.257607761753961E-4</v>
      </c>
      <c r="S147">
        <f ca="1">data0!L146/Calculations!S$2/Cal!$G146</f>
        <v>5.6059058484977379E-5</v>
      </c>
      <c r="T147">
        <f ca="1">data0!M146/Calculations!T$2/Cal!$G146</f>
        <v>1.8784718032521551E-5</v>
      </c>
      <c r="U147">
        <f ca="1">data0!N146/Calculations!U$2/Cal!$G146</f>
        <v>1.8676616537713293E-5</v>
      </c>
      <c r="V147">
        <f ca="1">data0!O146/Calculations!V$2/Cal!$G146</f>
        <v>1.8930360344000126E-5</v>
      </c>
      <c r="W147">
        <f ca="1">data0!P146/Calculations!W$2/Cal!$G146</f>
        <v>1.9089362091861729E-5</v>
      </c>
      <c r="X147">
        <f ca="1">data0!Q146/Calculations!X$2/Cal!$G146</f>
        <v>5.864067037433415E-5</v>
      </c>
      <c r="Y147">
        <f ca="1">data0!R146/Calculations!Y$2/Cal!$G146</f>
        <v>2.0569608967488665E-5</v>
      </c>
      <c r="Z147">
        <f ca="1">data0!S146/Calculations!Z$2/Cal!$G146</f>
        <v>2.0492641392175729E-5</v>
      </c>
      <c r="AA147">
        <f ca="1">data0!T146/Calculations!AA$2/Cal!$G146</f>
        <v>1.8486130088331032E-4</v>
      </c>
      <c r="AB147">
        <f ca="1">data0!U146/Calculations!AB$2/Cal!$G146</f>
        <v>6.4052751400128278E-5</v>
      </c>
      <c r="AC147">
        <f ca="1">data0!V146/Calculations!AC$2/Cal!$G146</f>
        <v>2.4814151031275609E-4</v>
      </c>
      <c r="AD147">
        <f ca="1">data0!W146/Calculations!AD$2/Cal!$G146</f>
        <v>2.3815154380346827E-4</v>
      </c>
      <c r="AE147">
        <f ca="1">data0!X146/Calculations!AE$2/Cal!$G146</f>
        <v>5.688239189534397E-4</v>
      </c>
      <c r="AF147">
        <f ca="1">data0!Y146/Calculations!AF$2/Cal!$G146</f>
        <v>6.3497488328655204E-4</v>
      </c>
      <c r="AG147">
        <f ca="1">data0!Z146/Calculations!AG$2/Cal!$G146</f>
        <v>8.1302969242115269E-4</v>
      </c>
      <c r="AH147" t="e">
        <f ca="1">data0!AA146/Calculations!AH$2/Cal!$G146</f>
        <v>#DIV/0!</v>
      </c>
      <c r="AI147" t="e">
        <f ca="1">data0!AB146/Calculations!AI$2/Cal!$G146</f>
        <v>#DIV/0!</v>
      </c>
      <c r="AJ147" t="e">
        <f ca="1">data0!AC146/Calculations!AJ$2/Cal!$G146</f>
        <v>#DIV/0!</v>
      </c>
      <c r="AK147" t="e">
        <f ca="1">data0!AD146/Calculations!AK$2/Cal!$G146</f>
        <v>#DIV/0!</v>
      </c>
      <c r="AL147" t="e">
        <f ca="1">data0!AE146/Calculations!AL$2/Cal!$G146</f>
        <v>#DIV/0!</v>
      </c>
      <c r="AM147" t="e">
        <f ca="1">data0!AF146/Calculations!AM$2/Cal!$G146</f>
        <v>#DIV/0!</v>
      </c>
      <c r="AN147" t="e">
        <f ca="1">data0!AG146/Calculations!AN$2/Cal!$G146</f>
        <v>#DIV/0!</v>
      </c>
    </row>
    <row r="148" spans="1:40">
      <c r="A148">
        <f>data0!A147</f>
        <v>1025</v>
      </c>
      <c r="B148" t="e">
        <f t="shared" ca="1" si="10"/>
        <v>#DIV/0!</v>
      </c>
      <c r="C148" t="e">
        <f t="shared" ca="1" si="11"/>
        <v>#DIV/0!</v>
      </c>
      <c r="D148" t="e">
        <f t="shared" ca="1" si="12"/>
        <v>#DIV/0!</v>
      </c>
      <c r="F148" t="e">
        <f t="shared" ca="1" si="13"/>
        <v>#DIV/0!</v>
      </c>
      <c r="G148" t="e">
        <f t="shared" ca="1" si="14"/>
        <v>#DIV/0!</v>
      </c>
      <c r="I148">
        <f ca="1">data0!B147/Calculations!I$2/Cal!$G147</f>
        <v>2.0435945148384402E-3</v>
      </c>
      <c r="J148">
        <f ca="1">data0!C147/Calculations!J$2/Cal!$G147</f>
        <v>1.2280681037864945E-3</v>
      </c>
      <c r="K148">
        <f ca="1">data0!D147/Calculations!K$2/Cal!$G147</f>
        <v>8.9051135003277845E-4</v>
      </c>
      <c r="L148">
        <f ca="1">data0!E147/Calculations!L$2/Cal!$G147</f>
        <v>9.8632628129702435E-4</v>
      </c>
      <c r="M148">
        <f ca="1">data0!F147/Calculations!M$2/Cal!$G147</f>
        <v>3.2189495108682127E-5</v>
      </c>
      <c r="N148">
        <f ca="1">data0!G147/Calculations!N$2/Cal!$G147</f>
        <v>2.9571546326667334E-4</v>
      </c>
      <c r="O148">
        <f ca="1">data0!H147/Calculations!O$2/Cal!$G147</f>
        <v>3.9099830566989764E-4</v>
      </c>
      <c r="P148">
        <f ca="1">data0!I147/Calculations!P$2/Cal!$G147</f>
        <v>2.0494425783854141E-4</v>
      </c>
      <c r="Q148">
        <f ca="1">data0!J147/Calculations!Q$2/Cal!$G147</f>
        <v>2.247128261916247E-4</v>
      </c>
      <c r="R148">
        <f ca="1">data0!K147/Calculations!R$2/Cal!$G147</f>
        <v>2.6310932872550713E-4</v>
      </c>
      <c r="S148">
        <f ca="1">data0!L147/Calculations!S$2/Cal!$G147</f>
        <v>1.4933289873861097E-4</v>
      </c>
      <c r="T148">
        <f ca="1">data0!M147/Calculations!T$2/Cal!$G147</f>
        <v>5.6294623187116426E-5</v>
      </c>
      <c r="U148">
        <f ca="1">data0!N147/Calculations!U$2/Cal!$G147</f>
        <v>3.73137734334601E-5</v>
      </c>
      <c r="V148">
        <f ca="1">data0!O147/Calculations!V$2/Cal!$G147</f>
        <v>1.8910362470189246E-5</v>
      </c>
      <c r="W148">
        <f ca="1">data0!P147/Calculations!W$2/Cal!$G147</f>
        <v>9.5345984740515126E-5</v>
      </c>
      <c r="X148">
        <f ca="1">data0!Q147/Calculations!X$2/Cal!$G147</f>
        <v>1.1715744572448266E-4</v>
      </c>
      <c r="Y148">
        <f ca="1">data0!R147/Calculations!Y$2/Cal!$G147</f>
        <v>2.0547879405187893E-5</v>
      </c>
      <c r="Z148">
        <f ca="1">data0!S147/Calculations!Z$2/Cal!$G147</f>
        <v>2.0470993137775633E-5</v>
      </c>
      <c r="AA148">
        <f ca="1">data0!T147/Calculations!AA$2/Cal!$G147</f>
        <v>2.2570290271716473E-4</v>
      </c>
      <c r="AB148">
        <f ca="1">data0!U147/Calculations!AB$2/Cal!$G147</f>
        <v>1.066418127537094E-4</v>
      </c>
      <c r="AC148">
        <f ca="1">data0!V147/Calculations!AC$2/Cal!$G147</f>
        <v>2.9294834910404712E-4</v>
      </c>
      <c r="AD148">
        <f ca="1">data0!W147/Calculations!AD$2/Cal!$G147</f>
        <v>2.378999625110732E-4</v>
      </c>
      <c r="AE148">
        <f ca="1">data0!X147/Calculations!AE$2/Cal!$G147</f>
        <v>5.3270908167220895E-4</v>
      </c>
      <c r="AF148">
        <f ca="1">data0!Y147/Calculations!AF$2/Cal!$G147</f>
        <v>6.3430410114832044E-4</v>
      </c>
      <c r="AG148">
        <f ca="1">data0!Z147/Calculations!AG$2/Cal!$G147</f>
        <v>8.121708146767208E-4</v>
      </c>
      <c r="AH148" t="e">
        <f ca="1">data0!AA147/Calculations!AH$2/Cal!$G147</f>
        <v>#DIV/0!</v>
      </c>
      <c r="AI148" t="e">
        <f ca="1">data0!AB147/Calculations!AI$2/Cal!$G147</f>
        <v>#DIV/0!</v>
      </c>
      <c r="AJ148" t="e">
        <f ca="1">data0!AC147/Calculations!AJ$2/Cal!$G147</f>
        <v>#DIV/0!</v>
      </c>
      <c r="AK148" t="e">
        <f ca="1">data0!AD147/Calculations!AK$2/Cal!$G147</f>
        <v>#DIV/0!</v>
      </c>
      <c r="AL148" t="e">
        <f ca="1">data0!AE147/Calculations!AL$2/Cal!$G147</f>
        <v>#DIV/0!</v>
      </c>
      <c r="AM148" t="e">
        <f ca="1">data0!AF147/Calculations!AM$2/Cal!$G147</f>
        <v>#DIV/0!</v>
      </c>
      <c r="AN148" t="e">
        <f ca="1">data0!AG147/Calculations!AN$2/Cal!$G147</f>
        <v>#DIV/0!</v>
      </c>
    </row>
    <row r="149" spans="1:40">
      <c r="A149">
        <f>data0!A148</f>
        <v>1030</v>
      </c>
      <c r="B149" t="e">
        <f t="shared" ca="1" si="10"/>
        <v>#DIV/0!</v>
      </c>
      <c r="C149" t="e">
        <f t="shared" ca="1" si="11"/>
        <v>#DIV/0!</v>
      </c>
      <c r="D149" t="e">
        <f t="shared" ca="1" si="12"/>
        <v>#DIV/0!</v>
      </c>
      <c r="F149" t="e">
        <f t="shared" ca="1" si="13"/>
        <v>#DIV/0!</v>
      </c>
      <c r="G149" t="e">
        <f t="shared" ca="1" si="14"/>
        <v>#DIV/0!</v>
      </c>
      <c r="I149">
        <f ca="1">data0!B148/Calculations!I$2/Cal!$G148</f>
        <v>2.0422281790281873E-3</v>
      </c>
      <c r="J149">
        <f ca="1">data0!C148/Calculations!J$2/Cal!$G148</f>
        <v>1.2272470243524633E-3</v>
      </c>
      <c r="K149">
        <f ca="1">data0!D148/Calculations!K$2/Cal!$G148</f>
        <v>8.8991595914767298E-4</v>
      </c>
      <c r="L149">
        <f ca="1">data0!E148/Calculations!L$2/Cal!$G148</f>
        <v>8.9606075901776038E-4</v>
      </c>
      <c r="M149">
        <f ca="1">data0!F148/Calculations!M$2/Cal!$G148</f>
        <v>3.2167973393115947E-5</v>
      </c>
      <c r="N149">
        <f ca="1">data0!G148/Calculations!N$2/Cal!$G148</f>
        <v>3.1521893159178866E-4</v>
      </c>
      <c r="O149">
        <f ca="1">data0!H148/Calculations!O$2/Cal!$G148</f>
        <v>3.7213036972974528E-4</v>
      </c>
      <c r="P149">
        <f ca="1">data0!I148/Calculations!P$2/Cal!$G148</f>
        <v>2.4204490872859185E-4</v>
      </c>
      <c r="Q149">
        <f ca="1">data0!J148/Calculations!Q$2/Cal!$G148</f>
        <v>2.0584903727628441E-4</v>
      </c>
      <c r="R149">
        <f ca="1">data0!K148/Calculations!R$2/Cal!$G148</f>
        <v>2.6293341530665671E-4</v>
      </c>
      <c r="S149">
        <f ca="1">data0!L148/Calculations!S$2/Cal!$G148</f>
        <v>2.2384958795547874E-4</v>
      </c>
      <c r="T149">
        <f ca="1">data0!M148/Calculations!T$2/Cal!$G148</f>
        <v>1.5001862339755981E-4</v>
      </c>
      <c r="U149">
        <f ca="1">data0!N148/Calculations!U$2/Cal!$G148</f>
        <v>1.3051089092737918E-4</v>
      </c>
      <c r="V149">
        <f ca="1">data0!O148/Calculations!V$2/Cal!$G148</f>
        <v>1.3228403490979848E-4</v>
      </c>
      <c r="W149">
        <f ca="1">data0!P148/Calculations!W$2/Cal!$G148</f>
        <v>1.905644739016784E-4</v>
      </c>
      <c r="X149">
        <f ca="1">data0!Q148/Calculations!X$2/Cal!$G148</f>
        <v>1.3659229914603661E-4</v>
      </c>
      <c r="Y149">
        <f ca="1">data0!R148/Calculations!Y$2/Cal!$G148</f>
        <v>2.0534141208470193E-5</v>
      </c>
      <c r="Z149">
        <f ca="1">data0!S148/Calculations!Z$2/Cal!$G148</f>
        <v>8.182922538713729E-5</v>
      </c>
      <c r="AA149">
        <f ca="1">data0!T148/Calculations!AA$2/Cal!$G148</f>
        <v>2.4605672438868654E-4</v>
      </c>
      <c r="AB149">
        <f ca="1">data0!U148/Calculations!AB$2/Cal!$G148</f>
        <v>1.9182692482735243E-4</v>
      </c>
      <c r="AC149">
        <f ca="1">data0!V148/Calculations!AC$2/Cal!$G148</f>
        <v>2.927524854838284E-4</v>
      </c>
      <c r="AD149">
        <f ca="1">data0!W148/Calculations!AD$2/Cal!$G148</f>
        <v>2.8528908007715225E-4</v>
      </c>
      <c r="AE149">
        <f ca="1">data0!X148/Calculations!AE$2/Cal!$G148</f>
        <v>5.3235291537334162E-4</v>
      </c>
      <c r="AF149">
        <f ca="1">data0!Y148/Calculations!AF$2/Cal!$G148</f>
        <v>6.3388000899026445E-4</v>
      </c>
      <c r="AG149">
        <f ca="1">data0!Z148/Calculations!AG$2/Cal!$G148</f>
        <v>8.1162780183338147E-4</v>
      </c>
      <c r="AH149" t="e">
        <f ca="1">data0!AA148/Calculations!AH$2/Cal!$G148</f>
        <v>#DIV/0!</v>
      </c>
      <c r="AI149" t="e">
        <f ca="1">data0!AB148/Calculations!AI$2/Cal!$G148</f>
        <v>#DIV/0!</v>
      </c>
      <c r="AJ149" t="e">
        <f ca="1">data0!AC148/Calculations!AJ$2/Cal!$G148</f>
        <v>#DIV/0!</v>
      </c>
      <c r="AK149" t="e">
        <f ca="1">data0!AD148/Calculations!AK$2/Cal!$G148</f>
        <v>#DIV/0!</v>
      </c>
      <c r="AL149" t="e">
        <f ca="1">data0!AE148/Calculations!AL$2/Cal!$G148</f>
        <v>#DIV/0!</v>
      </c>
      <c r="AM149" t="e">
        <f ca="1">data0!AF148/Calculations!AM$2/Cal!$G148</f>
        <v>#DIV/0!</v>
      </c>
      <c r="AN149" t="e">
        <f ca="1">data0!AG148/Calculations!AN$2/Cal!$G148</f>
        <v>#DIV/0!</v>
      </c>
    </row>
    <row r="150" spans="1:40">
      <c r="A150">
        <f>data0!A149</f>
        <v>1035</v>
      </c>
      <c r="B150" t="e">
        <f t="shared" ca="1" si="10"/>
        <v>#DIV/0!</v>
      </c>
      <c r="C150" t="e">
        <f t="shared" ca="1" si="11"/>
        <v>#DIV/0!</v>
      </c>
      <c r="D150" t="e">
        <f t="shared" ca="1" si="12"/>
        <v>#DIV/0!</v>
      </c>
      <c r="F150" t="e">
        <f t="shared" ca="1" si="13"/>
        <v>#DIV/0!</v>
      </c>
      <c r="G150" t="e">
        <f t="shared" ca="1" si="14"/>
        <v>#DIV/0!</v>
      </c>
      <c r="I150">
        <f ca="1">data0!B149/Calculations!I$2/Cal!$G149</f>
        <v>2.0385696200278507E-3</v>
      </c>
      <c r="J150">
        <f ca="1">data0!C149/Calculations!J$2/Cal!$G149</f>
        <v>1.2250484670645518E-3</v>
      </c>
      <c r="K150">
        <f ca="1">data0!D149/Calculations!K$2/Cal!$G149</f>
        <v>8.8832171513747026E-4</v>
      </c>
      <c r="L150">
        <f ca="1">data0!E149/Calculations!L$2/Cal!$G149</f>
        <v>8.3482514363381424E-4</v>
      </c>
      <c r="M150">
        <f ca="1">data0!F149/Calculations!M$2/Cal!$G149</f>
        <v>3.2110345930235685E-5</v>
      </c>
      <c r="N150">
        <f ca="1">data0!G149/Calculations!N$2/Cal!$G149</f>
        <v>3.7365191514648834E-4</v>
      </c>
      <c r="O150">
        <f ca="1">data0!H149/Calculations!O$2/Cal!$G149</f>
        <v>3.5289053113837565E-4</v>
      </c>
      <c r="P150">
        <f ca="1">data0!I149/Calculations!P$2/Cal!$G149</f>
        <v>2.9736774506941772E-4</v>
      </c>
      <c r="Q150">
        <f ca="1">data0!J149/Calculations!Q$2/Cal!$G149</f>
        <v>2.054802680781255E-4</v>
      </c>
      <c r="R150">
        <f ca="1">data0!K149/Calculations!R$2/Cal!$G149</f>
        <v>2.6246238203871054E-4</v>
      </c>
      <c r="S150">
        <f ca="1">data0!L149/Calculations!S$2/Cal!$G149</f>
        <v>2.6068999715669916E-4</v>
      </c>
      <c r="T150">
        <f ca="1">data0!M149/Calculations!T$2/Cal!$G149</f>
        <v>2.4334354518190912E-4</v>
      </c>
      <c r="U150">
        <f ca="1">data0!N149/Calculations!U$2/Cal!$G149</f>
        <v>2.2333215104544741E-4</v>
      </c>
      <c r="V150">
        <f ca="1">data0!O149/Calculations!V$2/Cal!$G149</f>
        <v>2.2636638103876912E-4</v>
      </c>
      <c r="W150">
        <f ca="1">data0!P149/Calculations!W$2/Cal!$G149</f>
        <v>2.2826769985088979E-4</v>
      </c>
      <c r="X150">
        <f ca="1">data0!Q149/Calculations!X$2/Cal!$G149</f>
        <v>1.3634760024776993E-4</v>
      </c>
      <c r="Y150">
        <f ca="1">data0!R149/Calculations!Y$2/Cal!$G149</f>
        <v>4.0994710454802269E-5</v>
      </c>
      <c r="Z150">
        <f ca="1">data0!S149/Calculations!Z$2/Cal!$G149</f>
        <v>1.6336526409503374E-4</v>
      </c>
      <c r="AA150">
        <f ca="1">data0!T149/Calculations!AA$2/Cal!$G149</f>
        <v>2.0467994078538171E-4</v>
      </c>
      <c r="AB150">
        <f ca="1">data0!U149/Calculations!AB$2/Cal!$G149</f>
        <v>2.765869444218839E-4</v>
      </c>
      <c r="AC150">
        <f ca="1">data0!V149/Calculations!AC$2/Cal!$G149</f>
        <v>2.9222803270639809E-4</v>
      </c>
      <c r="AD150">
        <f ca="1">data0!W149/Calculations!AD$2/Cal!$G149</f>
        <v>3.0850949552491407E-4</v>
      </c>
      <c r="AE150">
        <f ca="1">data0!X149/Calculations!AE$2/Cal!$G149</f>
        <v>4.9597261632971579E-4</v>
      </c>
      <c r="AF150">
        <f ca="1">data0!Y149/Calculations!AF$2/Cal!$G149</f>
        <v>6.3274444175255833E-4</v>
      </c>
      <c r="AG150">
        <f ca="1">data0!Z149/Calculations!AG$2/Cal!$G149</f>
        <v>8.1017380750022432E-4</v>
      </c>
      <c r="AH150" t="e">
        <f ca="1">data0!AA149/Calculations!AH$2/Cal!$G149</f>
        <v>#DIV/0!</v>
      </c>
      <c r="AI150" t="e">
        <f ca="1">data0!AB149/Calculations!AI$2/Cal!$G149</f>
        <v>#DIV/0!</v>
      </c>
      <c r="AJ150" t="e">
        <f ca="1">data0!AC149/Calculations!AJ$2/Cal!$G149</f>
        <v>#DIV/0!</v>
      </c>
      <c r="AK150" t="e">
        <f ca="1">data0!AD149/Calculations!AK$2/Cal!$G149</f>
        <v>#DIV/0!</v>
      </c>
      <c r="AL150" t="e">
        <f ca="1">data0!AE149/Calculations!AL$2/Cal!$G149</f>
        <v>#DIV/0!</v>
      </c>
      <c r="AM150" t="e">
        <f ca="1">data0!AF149/Calculations!AM$2/Cal!$G149</f>
        <v>#DIV/0!</v>
      </c>
      <c r="AN150" t="e">
        <f ca="1">data0!AG149/Calculations!AN$2/Cal!$G149</f>
        <v>#DIV/0!</v>
      </c>
    </row>
    <row r="151" spans="1:40">
      <c r="A151">
        <f>data0!A150</f>
        <v>1040</v>
      </c>
      <c r="B151" t="e">
        <f t="shared" ca="1" si="10"/>
        <v>#DIV/0!</v>
      </c>
      <c r="C151" t="e">
        <f t="shared" ca="1" si="11"/>
        <v>#DIV/0!</v>
      </c>
      <c r="D151" t="e">
        <f t="shared" ca="1" si="12"/>
        <v>#DIV/0!</v>
      </c>
      <c r="F151" t="e">
        <f t="shared" ca="1" si="13"/>
        <v>#DIV/0!</v>
      </c>
      <c r="G151" t="e">
        <f t="shared" ca="1" si="14"/>
        <v>#DIV/0!</v>
      </c>
      <c r="I151">
        <f ca="1">data0!B150/Calculations!I$2/Cal!$G150</f>
        <v>2.0359950132436098E-3</v>
      </c>
      <c r="J151">
        <f ca="1">data0!C150/Calculations!J$2/Cal!$G150</f>
        <v>1.2235012949379086E-3</v>
      </c>
      <c r="K151">
        <f ca="1">data0!D150/Calculations!K$2/Cal!$G150</f>
        <v>8.8719981128296743E-4</v>
      </c>
      <c r="L151">
        <f ca="1">data0!E150/Calculations!L$2/Cal!$G150</f>
        <v>7.7421574993582175E-4</v>
      </c>
      <c r="M151">
        <f ca="1">data0!F150/Calculations!M$2/Cal!$G150</f>
        <v>6.4139584486296741E-5</v>
      </c>
      <c r="N151">
        <f ca="1">data0!G150/Calculations!N$2/Cal!$G150</f>
        <v>4.1246211484836421E-4</v>
      </c>
      <c r="O151">
        <f ca="1">data0!H150/Calculations!O$2/Cal!$G150</f>
        <v>3.338951218777585E-4</v>
      </c>
      <c r="P151">
        <f ca="1">data0!I150/Calculations!P$2/Cal!$G150</f>
        <v>3.5267823460670503E-4</v>
      </c>
      <c r="Q151">
        <f ca="1">data0!J150/Calculations!Q$2/Cal!$G150</f>
        <v>2.2387718807035233E-4</v>
      </c>
      <c r="R151">
        <f ca="1">data0!K150/Calculations!R$2/Cal!$G150</f>
        <v>2.4340727095921626E-4</v>
      </c>
      <c r="S151">
        <f ca="1">data0!L150/Calculations!S$2/Cal!$G150</f>
        <v>2.6036075932804251E-4</v>
      </c>
      <c r="T151">
        <f ca="1">data0!M150/Calculations!T$2/Cal!$G150</f>
        <v>2.8042639913188918E-4</v>
      </c>
      <c r="U151">
        <f ca="1">data0!N150/Calculations!U$2/Cal!$G150</f>
        <v>2.7881261324075296E-4</v>
      </c>
      <c r="V151">
        <f ca="1">data0!O150/Calculations!V$2/Cal!$G150</f>
        <v>2.6376057109960769E-4</v>
      </c>
      <c r="W151">
        <f ca="1">data0!P150/Calculations!W$2/Cal!$G150</f>
        <v>2.2797940968758833E-4</v>
      </c>
      <c r="X151">
        <f ca="1">data0!Q150/Calculations!X$2/Cal!$G150</f>
        <v>1.3617540036155358E-4</v>
      </c>
      <c r="Y151">
        <f ca="1">data0!R150/Calculations!Y$2/Cal!$G150</f>
        <v>8.1885872560195219E-5</v>
      </c>
      <c r="Z151">
        <f ca="1">data0!S150/Calculations!Z$2/Cal!$G150</f>
        <v>2.4473841844717311E-4</v>
      </c>
      <c r="AA151">
        <f ca="1">data0!T150/Calculations!AA$2/Cal!$G150</f>
        <v>1.8397929865084336E-4</v>
      </c>
      <c r="AB151">
        <f ca="1">data0!U150/Calculations!AB$2/Cal!$G150</f>
        <v>3.399847700807362E-4</v>
      </c>
      <c r="AC151">
        <f ca="1">data0!V150/Calculations!AC$2/Cal!$G150</f>
        <v>2.4695758828571307E-4</v>
      </c>
      <c r="AD151">
        <f ca="1">data0!W150/Calculations!AD$2/Cal!$G150</f>
        <v>3.5552291663777023E-4</v>
      </c>
      <c r="AE151">
        <f ca="1">data0!X150/Calculations!AE$2/Cal!$G150</f>
        <v>4.9534622886163279E-4</v>
      </c>
      <c r="AF151">
        <f ca="1">data0!Y150/Calculations!AF$2/Cal!$G150</f>
        <v>6.3194531862405571E-4</v>
      </c>
      <c r="AG151">
        <f ca="1">data0!Z150/Calculations!AG$2/Cal!$G150</f>
        <v>8.0915060036483306E-4</v>
      </c>
      <c r="AH151" t="e">
        <f ca="1">data0!AA150/Calculations!AH$2/Cal!$G150</f>
        <v>#DIV/0!</v>
      </c>
      <c r="AI151" t="e">
        <f ca="1">data0!AB150/Calculations!AI$2/Cal!$G150</f>
        <v>#DIV/0!</v>
      </c>
      <c r="AJ151" t="e">
        <f ca="1">data0!AC150/Calculations!AJ$2/Cal!$G150</f>
        <v>#DIV/0!</v>
      </c>
      <c r="AK151" t="e">
        <f ca="1">data0!AD150/Calculations!AK$2/Cal!$G150</f>
        <v>#DIV/0!</v>
      </c>
      <c r="AL151" t="e">
        <f ca="1">data0!AE150/Calculations!AL$2/Cal!$G150</f>
        <v>#DIV/0!</v>
      </c>
      <c r="AM151" t="e">
        <f ca="1">data0!AF150/Calculations!AM$2/Cal!$G150</f>
        <v>#DIV/0!</v>
      </c>
      <c r="AN151" t="e">
        <f ca="1">data0!AG150/Calculations!AN$2/Cal!$G150</f>
        <v>#DIV/0!</v>
      </c>
    </row>
    <row r="152" spans="1:40">
      <c r="A152">
        <f>data0!A151</f>
        <v>1045</v>
      </c>
      <c r="B152" t="e">
        <f t="shared" ca="1" si="10"/>
        <v>#DIV/0!</v>
      </c>
      <c r="C152" t="e">
        <f t="shared" ca="1" si="11"/>
        <v>#DIV/0!</v>
      </c>
      <c r="D152" t="e">
        <f t="shared" ca="1" si="12"/>
        <v>#DIV/0!</v>
      </c>
      <c r="F152" t="e">
        <f t="shared" ca="1" si="13"/>
        <v>#DIV/0!</v>
      </c>
      <c r="G152" t="e">
        <f t="shared" ca="1" si="14"/>
        <v>#DIV/0!</v>
      </c>
      <c r="I152">
        <f ca="1">data0!B151/Calculations!I$2/Cal!$G151</f>
        <v>2.0313272568315472E-3</v>
      </c>
      <c r="J152">
        <f ca="1">data0!C151/Calculations!J$2/Cal!$G151</f>
        <v>1.2206962752902843E-3</v>
      </c>
      <c r="K152">
        <f ca="1">data0!D151/Calculations!K$2/Cal!$G151</f>
        <v>8.8516580207324001E-4</v>
      </c>
      <c r="L152">
        <f ca="1">data0!E151/Calculations!L$2/Cal!$G151</f>
        <v>7.1302225358750842E-4</v>
      </c>
      <c r="M152">
        <f ca="1">data0!F151/Calculations!M$2/Cal!$G151</f>
        <v>6.3992536996098826E-5</v>
      </c>
      <c r="N152">
        <f ca="1">data0!G151/Calculations!N$2/Cal!$G151</f>
        <v>4.3111251912364971E-4</v>
      </c>
      <c r="O152">
        <f ca="1">data0!H151/Calculations!O$2/Cal!$G151</f>
        <v>3.3312962830534627E-4</v>
      </c>
      <c r="P152">
        <f ca="1">data0!I151/Calculations!P$2/Cal!$G151</f>
        <v>3.7038913341686967E-4</v>
      </c>
      <c r="Q152">
        <f ca="1">data0!J151/Calculations!Q$2/Cal!$G151</f>
        <v>2.4197758223765592E-4</v>
      </c>
      <c r="R152">
        <f ca="1">data0!K151/Calculations!R$2/Cal!$G151</f>
        <v>2.4284923135579285E-4</v>
      </c>
      <c r="S152">
        <f ca="1">data0!L151/Calculations!S$2/Cal!$G151</f>
        <v>2.5976385187203319E-4</v>
      </c>
      <c r="T152">
        <f ca="1">data0!M151/Calculations!T$2/Cal!$G151</f>
        <v>2.7978348885256875E-4</v>
      </c>
      <c r="U152">
        <f ca="1">data0!N151/Calculations!U$2/Cal!$G151</f>
        <v>2.967182950639955E-4</v>
      </c>
      <c r="V152">
        <f ca="1">data0!O151/Calculations!V$2/Cal!$G151</f>
        <v>2.6315586917794728E-4</v>
      </c>
      <c r="W152">
        <f ca="1">data0!P151/Calculations!W$2/Cal!$G151</f>
        <v>2.2745674025840729E-4</v>
      </c>
      <c r="X152">
        <f ca="1">data0!Q151/Calculations!X$2/Cal!$G151</f>
        <v>1.5527222990162261E-4</v>
      </c>
      <c r="Y152">
        <f ca="1">data0!R151/Calculations!Y$2/Cal!$G151</f>
        <v>1.2254721193983006E-4</v>
      </c>
      <c r="Z152">
        <f ca="1">data0!S151/Calculations!Z$2/Cal!$G151</f>
        <v>2.8487354489367602E-4</v>
      </c>
      <c r="AA152">
        <f ca="1">data0!T151/Calculations!AA$2/Cal!$G151</f>
        <v>2.2434805677271129E-4</v>
      </c>
      <c r="AB152">
        <f ca="1">data0!U151/Calculations!AB$2/Cal!$G151</f>
        <v>3.8160599779932719E-4</v>
      </c>
      <c r="AC152">
        <f ca="1">data0!V151/Calculations!AC$2/Cal!$G151</f>
        <v>2.4639140916507188E-4</v>
      </c>
      <c r="AD152">
        <f ca="1">data0!W151/Calculations!AD$2/Cal!$G151</f>
        <v>3.7835502653478612E-4</v>
      </c>
      <c r="AE152">
        <f ca="1">data0!X151/Calculations!AE$2/Cal!$G151</f>
        <v>4.5890983581574135E-4</v>
      </c>
      <c r="AF152">
        <f ca="1">data0!Y151/Calculations!AF$2/Cal!$G151</f>
        <v>6.3049651015748638E-4</v>
      </c>
      <c r="AG152">
        <f ca="1">data0!Z151/Calculations!AG$2/Cal!$G151</f>
        <v>8.0729552808881592E-4</v>
      </c>
      <c r="AH152" t="e">
        <f ca="1">data0!AA151/Calculations!AH$2/Cal!$G151</f>
        <v>#DIV/0!</v>
      </c>
      <c r="AI152" t="e">
        <f ca="1">data0!AB151/Calculations!AI$2/Cal!$G151</f>
        <v>#DIV/0!</v>
      </c>
      <c r="AJ152" t="e">
        <f ca="1">data0!AC151/Calculations!AJ$2/Cal!$G151</f>
        <v>#DIV/0!</v>
      </c>
      <c r="AK152" t="e">
        <f ca="1">data0!AD151/Calculations!AK$2/Cal!$G151</f>
        <v>#DIV/0!</v>
      </c>
      <c r="AL152" t="e">
        <f ca="1">data0!AE151/Calculations!AL$2/Cal!$G151</f>
        <v>#DIV/0!</v>
      </c>
      <c r="AM152" t="e">
        <f ca="1">data0!AF151/Calculations!AM$2/Cal!$G151</f>
        <v>#DIV/0!</v>
      </c>
      <c r="AN152" t="e">
        <f ca="1">data0!AG151/Calculations!AN$2/Cal!$G151</f>
        <v>#DIV/0!</v>
      </c>
    </row>
    <row r="153" spans="1:40">
      <c r="A153">
        <f>data0!A152</f>
        <v>1050</v>
      </c>
      <c r="B153" t="e">
        <f t="shared" ca="1" si="10"/>
        <v>#DIV/0!</v>
      </c>
      <c r="C153" t="e">
        <f t="shared" ca="1" si="11"/>
        <v>#DIV/0!</v>
      </c>
      <c r="D153" t="e">
        <f t="shared" ca="1" si="12"/>
        <v>#DIV/0!</v>
      </c>
      <c r="F153" t="e">
        <f t="shared" ca="1" si="13"/>
        <v>#DIV/0!</v>
      </c>
      <c r="G153" t="e">
        <f t="shared" ca="1" si="14"/>
        <v>#DIV/0!</v>
      </c>
      <c r="I153">
        <f ca="1">data0!B152/Calculations!I$2/Cal!$G152</f>
        <v>2.0331419302094546E-3</v>
      </c>
      <c r="J153">
        <f ca="1">data0!C152/Calculations!J$2/Cal!$G152</f>
        <v>1.2217867765996278E-3</v>
      </c>
      <c r="K153">
        <f ca="1">data0!D152/Calculations!K$2/Cal!$G152</f>
        <v>8.8595655935306975E-4</v>
      </c>
      <c r="L153">
        <f ca="1">data0!E152/Calculations!L$2/Cal!$G152</f>
        <v>6.5418763006100009E-4</v>
      </c>
      <c r="M153">
        <f ca="1">data0!F152/Calculations!M$2/Cal!$G152</f>
        <v>1.2809940864987632E-4</v>
      </c>
      <c r="N153">
        <f ca="1">data0!G152/Calculations!N$2/Cal!$G152</f>
        <v>4.3149765077031332E-4</v>
      </c>
      <c r="O153">
        <f ca="1">data0!H152/Calculations!O$2/Cal!$G152</f>
        <v>3.5195096040993416E-4</v>
      </c>
      <c r="P153">
        <f ca="1">data0!I152/Calculations!P$2/Cal!$G152</f>
        <v>3.7072001821035499E-4</v>
      </c>
      <c r="Q153">
        <f ca="1">data0!J152/Calculations!Q$2/Cal!$G152</f>
        <v>2.9808461288896706E-4</v>
      </c>
      <c r="R153">
        <f ca="1">data0!K152/Calculations!R$2/Cal!$G152</f>
        <v>2.4306617918313307E-4</v>
      </c>
      <c r="S153">
        <f ca="1">data0!L152/Calculations!S$2/Cal!$G152</f>
        <v>2.5999591026880283E-4</v>
      </c>
      <c r="T153">
        <f ca="1">data0!M152/Calculations!T$2/Cal!$G152</f>
        <v>2.8003343166561933E-4</v>
      </c>
      <c r="U153">
        <f ca="1">data0!N152/Calculations!U$2/Cal!$G152</f>
        <v>2.9698336647923879E-4</v>
      </c>
      <c r="V153">
        <f ca="1">data0!O152/Calculations!V$2/Cal!$G152</f>
        <v>2.6339095781195801E-4</v>
      </c>
      <c r="W153">
        <f ca="1">data0!P152/Calculations!W$2/Cal!$G152</f>
        <v>2.4663159719923394E-4</v>
      </c>
      <c r="X153">
        <f ca="1">data0!Q152/Calculations!X$2/Cal!$G152</f>
        <v>1.7483731733650506E-4</v>
      </c>
      <c r="Y153">
        <f ca="1">data0!R152/Calculations!Y$2/Cal!$G152</f>
        <v>2.0442781785609998E-4</v>
      </c>
      <c r="Z153">
        <f ca="1">data0!S152/Calculations!Z$2/Cal!$G152</f>
        <v>3.0549432166129586E-4</v>
      </c>
      <c r="AA153">
        <f ca="1">data0!T152/Calculations!AA$2/Cal!$G152</f>
        <v>2.8578896490048567E-4</v>
      </c>
      <c r="AB153">
        <f ca="1">data0!U152/Calculations!AB$2/Cal!$G152</f>
        <v>3.8194690310777875E-4</v>
      </c>
      <c r="AC153">
        <f ca="1">data0!V152/Calculations!AC$2/Cal!$G152</f>
        <v>2.4661152137459068E-4</v>
      </c>
      <c r="AD153">
        <f ca="1">data0!W152/Calculations!AD$2/Cal!$G152</f>
        <v>3.7869302760858701E-4</v>
      </c>
      <c r="AE153">
        <f ca="1">data0!X152/Calculations!AE$2/Cal!$G152</f>
        <v>4.5931980001974346E-4</v>
      </c>
      <c r="AF153">
        <f ca="1">data0!Y152/Calculations!AF$2/Cal!$G152</f>
        <v>6.3105976023351341E-4</v>
      </c>
      <c r="AG153">
        <f ca="1">data0!Z152/Calculations!AG$2/Cal!$G152</f>
        <v>8.0801672045110009E-4</v>
      </c>
      <c r="AH153" t="e">
        <f ca="1">data0!AA152/Calculations!AH$2/Cal!$G152</f>
        <v>#DIV/0!</v>
      </c>
      <c r="AI153" t="e">
        <f ca="1">data0!AB152/Calculations!AI$2/Cal!$G152</f>
        <v>#DIV/0!</v>
      </c>
      <c r="AJ153" t="e">
        <f ca="1">data0!AC152/Calculations!AJ$2/Cal!$G152</f>
        <v>#DIV/0!</v>
      </c>
      <c r="AK153" t="e">
        <f ca="1">data0!AD152/Calculations!AK$2/Cal!$G152</f>
        <v>#DIV/0!</v>
      </c>
      <c r="AL153" t="e">
        <f ca="1">data0!AE152/Calculations!AL$2/Cal!$G152</f>
        <v>#DIV/0!</v>
      </c>
      <c r="AM153" t="e">
        <f ca="1">data0!AF152/Calculations!AM$2/Cal!$G152</f>
        <v>#DIV/0!</v>
      </c>
      <c r="AN153" t="e">
        <f ca="1">data0!AG152/Calculations!AN$2/Cal!$G152</f>
        <v>#DIV/0!</v>
      </c>
    </row>
    <row r="154" spans="1:40">
      <c r="A154">
        <f>data0!A153</f>
        <v>1055</v>
      </c>
      <c r="B154" t="e">
        <f t="shared" ca="1" si="10"/>
        <v>#DIV/0!</v>
      </c>
      <c r="C154" t="e">
        <f t="shared" ca="1" si="11"/>
        <v>#DIV/0!</v>
      </c>
      <c r="D154" t="e">
        <f t="shared" ca="1" si="12"/>
        <v>#DIV/0!</v>
      </c>
      <c r="F154" t="e">
        <f t="shared" ca="1" si="13"/>
        <v>#DIV/0!</v>
      </c>
      <c r="G154" t="e">
        <f t="shared" ca="1" si="14"/>
        <v>#DIV/0!</v>
      </c>
      <c r="I154">
        <f ca="1">data0!B153/Calculations!I$2/Cal!$G153</f>
        <v>2.0140558507102386E-3</v>
      </c>
      <c r="J154">
        <f ca="1">data0!C153/Calculations!J$2/Cal!$G153</f>
        <v>1.2103172774944333E-3</v>
      </c>
      <c r="K154">
        <f ca="1">data0!D153/Calculations!K$2/Cal!$G153</f>
        <v>8.7763965974394008E-4</v>
      </c>
      <c r="L154">
        <f ca="1">data0!E153/Calculations!L$2/Cal!$G153</f>
        <v>5.8913314765943691E-4</v>
      </c>
      <c r="M154">
        <f ca="1">data0!F153/Calculations!M$2/Cal!$G153</f>
        <v>1.5862110330090078E-4</v>
      </c>
      <c r="N154">
        <f ca="1">data0!G153/Calculations!N$2/Cal!$G153</f>
        <v>4.2744697514164311E-4</v>
      </c>
      <c r="O154">
        <f ca="1">data0!H153/Calculations!O$2/Cal!$G153</f>
        <v>3.853467111182299E-4</v>
      </c>
      <c r="P154">
        <f ca="1">data0!I153/Calculations!P$2/Cal!$G153</f>
        <v>3.488778986232234E-4</v>
      </c>
      <c r="Q154">
        <f ca="1">data0!J153/Calculations!Q$2/Cal!$G153</f>
        <v>3.5065255467637164E-4</v>
      </c>
      <c r="R154">
        <f ca="1">data0!K153/Calculations!R$2/Cal!$G153</f>
        <v>2.5930627580390852E-4</v>
      </c>
      <c r="S154">
        <f ca="1">data0!L153/Calculations!S$2/Cal!$G153</f>
        <v>2.5755520382370479E-4</v>
      </c>
      <c r="T154">
        <f ca="1">data0!M153/Calculations!T$2/Cal!$G153</f>
        <v>2.774046233862792E-4</v>
      </c>
      <c r="U154">
        <f ca="1">data0!N153/Calculations!U$2/Cal!$G153</f>
        <v>2.9419544102339838E-4</v>
      </c>
      <c r="V154">
        <f ca="1">data0!O153/Calculations!V$2/Cal!$G153</f>
        <v>2.7955540629901035E-4</v>
      </c>
      <c r="W154">
        <f ca="1">data0!P153/Calculations!W$2/Cal!$G153</f>
        <v>2.44316347977711E-4</v>
      </c>
      <c r="X154">
        <f ca="1">data0!Q153/Calculations!X$2/Cal!$G153</f>
        <v>1.924400373475424E-4</v>
      </c>
      <c r="Y154">
        <f ca="1">data0!R153/Calculations!Y$2/Cal!$G153</f>
        <v>2.6326137657627102E-4</v>
      </c>
      <c r="Z154">
        <f ca="1">data0!S153/Calculations!Z$2/Cal!$G153</f>
        <v>2.824514011103302E-4</v>
      </c>
      <c r="AA154">
        <f ca="1">data0!T153/Calculations!AA$2/Cal!$G153</f>
        <v>3.4377174075115821E-4</v>
      </c>
      <c r="AB154">
        <f ca="1">data0!U153/Calculations!AB$2/Cal!$G153</f>
        <v>3.7836138413889725E-4</v>
      </c>
      <c r="AC154">
        <f ca="1">data0!V153/Calculations!AC$2/Cal!$G153</f>
        <v>2.8871399496565794E-4</v>
      </c>
      <c r="AD154">
        <f ca="1">data0!W153/Calculations!AD$2/Cal!$G153</f>
        <v>3.7513805433134434E-4</v>
      </c>
      <c r="AE154">
        <f ca="1">data0!X153/Calculations!AE$2/Cal!$G153</f>
        <v>4.2000733602932298E-4</v>
      </c>
      <c r="AF154">
        <f ca="1">data0!Y153/Calculations!AF$2/Cal!$G153</f>
        <v>6.2513569926481757E-4</v>
      </c>
      <c r="AG154">
        <f ca="1">data0!Z153/Calculations!AG$2/Cal!$G153</f>
        <v>8.0043147953206769E-4</v>
      </c>
      <c r="AH154" t="e">
        <f ca="1">data0!AA153/Calculations!AH$2/Cal!$G153</f>
        <v>#DIV/0!</v>
      </c>
      <c r="AI154" t="e">
        <f ca="1">data0!AB153/Calculations!AI$2/Cal!$G153</f>
        <v>#DIV/0!</v>
      </c>
      <c r="AJ154" t="e">
        <f ca="1">data0!AC153/Calculations!AJ$2/Cal!$G153</f>
        <v>#DIV/0!</v>
      </c>
      <c r="AK154" t="e">
        <f ca="1">data0!AD153/Calculations!AK$2/Cal!$G153</f>
        <v>#DIV/0!</v>
      </c>
      <c r="AL154" t="e">
        <f ca="1">data0!AE153/Calculations!AL$2/Cal!$G153</f>
        <v>#DIV/0!</v>
      </c>
      <c r="AM154" t="e">
        <f ca="1">data0!AF153/Calculations!AM$2/Cal!$G153</f>
        <v>#DIV/0!</v>
      </c>
      <c r="AN154" t="e">
        <f ca="1">data0!AG153/Calculations!AN$2/Cal!$G153</f>
        <v>#DIV/0!</v>
      </c>
    </row>
    <row r="155" spans="1:40">
      <c r="A155">
        <f>data0!A154</f>
        <v>1060</v>
      </c>
      <c r="B155" t="e">
        <f t="shared" ca="1" si="10"/>
        <v>#DIV/0!</v>
      </c>
      <c r="C155" t="e">
        <f t="shared" ca="1" si="11"/>
        <v>#DIV/0!</v>
      </c>
      <c r="D155" t="e">
        <f t="shared" ca="1" si="12"/>
        <v>#DIV/0!</v>
      </c>
      <c r="F155" t="e">
        <f t="shared" ca="1" si="13"/>
        <v>#DIV/0!</v>
      </c>
      <c r="G155" t="e">
        <f t="shared" ca="1" si="14"/>
        <v>#DIV/0!</v>
      </c>
      <c r="I155">
        <f ca="1">data0!B154/Calculations!I$2/Cal!$G154</f>
        <v>2.0133571523813583E-3</v>
      </c>
      <c r="J155">
        <f ca="1">data0!C154/Calculations!J$2/Cal!$G154</f>
        <v>1.2098974049974008E-3</v>
      </c>
      <c r="K155">
        <f ca="1">data0!D154/Calculations!K$2/Cal!$G154</f>
        <v>8.773351968049375E-4</v>
      </c>
      <c r="L155">
        <f ca="1">data0!E154/Calculations!L$2/Cal!$G154</f>
        <v>5.5948233516499215E-4</v>
      </c>
      <c r="M155">
        <f ca="1">data0!F154/Calculations!M$2/Cal!$G154</f>
        <v>2.2199250003897814E-4</v>
      </c>
      <c r="N155">
        <f ca="1">data0!G154/Calculations!N$2/Cal!$G154</f>
        <v>4.0787602308185652E-4</v>
      </c>
      <c r="O155">
        <f ca="1">data0!H154/Calculations!O$2/Cal!$G154</f>
        <v>4.2189998190034591E-4</v>
      </c>
      <c r="P155">
        <f ca="1">data0!I154/Calculations!P$2/Cal!$G154</f>
        <v>3.4875686900794962E-4</v>
      </c>
      <c r="Q155">
        <f ca="1">data0!J154/Calculations!Q$2/Cal!$G154</f>
        <v>3.8742889608572325E-4</v>
      </c>
      <c r="R155">
        <f ca="1">data0!K154/Calculations!R$2/Cal!$G154</f>
        <v>2.9624721979328315E-4</v>
      </c>
      <c r="S155">
        <f ca="1">data0!L154/Calculations!S$2/Cal!$G154</f>
        <v>2.5746585506485943E-4</v>
      </c>
      <c r="T155">
        <f ca="1">data0!M154/Calculations!T$2/Cal!$G154</f>
        <v>2.7730838864347632E-4</v>
      </c>
      <c r="U155">
        <f ca="1">data0!N154/Calculations!U$2/Cal!$G154</f>
        <v>2.9409338135959369E-4</v>
      </c>
      <c r="V155">
        <f ca="1">data0!O154/Calculations!V$2/Cal!$G154</f>
        <v>2.794584254257432E-4</v>
      </c>
      <c r="W155">
        <f ca="1">data0!P154/Calculations!W$2/Cal!$G154</f>
        <v>2.4423159192489839E-4</v>
      </c>
      <c r="X155">
        <f ca="1">data0!Q154/Calculations!X$2/Cal!$G154</f>
        <v>2.3084792955883012E-4</v>
      </c>
      <c r="Y155">
        <f ca="1">data0!R154/Calculations!Y$2/Cal!$G154</f>
        <v>3.4414546143753946E-4</v>
      </c>
      <c r="Z155">
        <f ca="1">data0!S154/Calculations!Z$2/Cal!$G154</f>
        <v>2.8235341558431994E-4</v>
      </c>
      <c r="AA155">
        <f ca="1">data0!T154/Calculations!AA$2/Cal!$G154</f>
        <v>4.0429703129158875E-4</v>
      </c>
      <c r="AB155">
        <f ca="1">data0!U154/Calculations!AB$2/Cal!$G154</f>
        <v>3.7823012637525701E-4</v>
      </c>
      <c r="AC155">
        <f ca="1">data0!V154/Calculations!AC$2/Cal!$G154</f>
        <v>3.3301596229185247E-4</v>
      </c>
      <c r="AD155">
        <f ca="1">data0!W154/Calculations!AD$2/Cal!$G154</f>
        <v>3.9844593090301357E-4</v>
      </c>
      <c r="AE155">
        <f ca="1">data0!X154/Calculations!AE$2/Cal!$G154</f>
        <v>4.5485009721129264E-4</v>
      </c>
      <c r="AF155">
        <f ca="1">data0!Y154/Calculations!AF$2/Cal!$G154</f>
        <v>6.249188327522797E-4</v>
      </c>
      <c r="AG155">
        <f ca="1">data0!Z154/Calculations!AG$2/Cal!$G154</f>
        <v>8.0015380096772428E-4</v>
      </c>
      <c r="AH155" t="e">
        <f ca="1">data0!AA154/Calculations!AH$2/Cal!$G154</f>
        <v>#DIV/0!</v>
      </c>
      <c r="AI155" t="e">
        <f ca="1">data0!AB154/Calculations!AI$2/Cal!$G154</f>
        <v>#DIV/0!</v>
      </c>
      <c r="AJ155" t="e">
        <f ca="1">data0!AC154/Calculations!AJ$2/Cal!$G154</f>
        <v>#DIV/0!</v>
      </c>
      <c r="AK155" t="e">
        <f ca="1">data0!AD154/Calculations!AK$2/Cal!$G154</f>
        <v>#DIV/0!</v>
      </c>
      <c r="AL155" t="e">
        <f ca="1">data0!AE154/Calculations!AL$2/Cal!$G154</f>
        <v>#DIV/0!</v>
      </c>
      <c r="AM155" t="e">
        <f ca="1">data0!AF154/Calculations!AM$2/Cal!$G154</f>
        <v>#DIV/0!</v>
      </c>
      <c r="AN155" t="e">
        <f ca="1">data0!AG154/Calculations!AN$2/Cal!$G154</f>
        <v>#DIV/0!</v>
      </c>
    </row>
    <row r="156" spans="1:40">
      <c r="A156">
        <f>data0!A155</f>
        <v>1065</v>
      </c>
      <c r="B156" t="e">
        <f t="shared" ca="1" si="10"/>
        <v>#DIV/0!</v>
      </c>
      <c r="C156" t="e">
        <f t="shared" ca="1" si="11"/>
        <v>#DIV/0!</v>
      </c>
      <c r="D156" t="e">
        <f t="shared" ca="1" si="12"/>
        <v>#DIV/0!</v>
      </c>
      <c r="F156" t="e">
        <f t="shared" ca="1" si="13"/>
        <v>#DIV/0!</v>
      </c>
      <c r="G156" t="e">
        <f t="shared" ca="1" si="14"/>
        <v>#DIV/0!</v>
      </c>
      <c r="I156">
        <f ca="1">data0!B155/Calculations!I$2/Cal!$G155</f>
        <v>2.0250896625212014E-3</v>
      </c>
      <c r="J156">
        <f ca="1">data0!C155/Calculations!J$2/Cal!$G155</f>
        <v>1.2169478846182234E-3</v>
      </c>
      <c r="K156">
        <f ca="1">data0!D155/Calculations!K$2/Cal!$G155</f>
        <v>8.8244772444583857E-4</v>
      </c>
      <c r="L156">
        <f ca="1">data0!E155/Calculations!L$2/Cal!$G155</f>
        <v>5.3312459717822392E-4</v>
      </c>
      <c r="M156">
        <f ca="1">data0!F155/Calculations!M$2/Cal!$G155</f>
        <v>2.8708217195798651E-4</v>
      </c>
      <c r="N156">
        <f ca="1">data0!G155/Calculations!N$2/Cal!$G155</f>
        <v>3.9071700564852863E-4</v>
      </c>
      <c r="O156">
        <f ca="1">data0!H155/Calculations!O$2/Cal!$G155</f>
        <v>4.4280890470089514E-4</v>
      </c>
      <c r="P156">
        <f ca="1">data0!I155/Calculations!P$2/Cal!$G155</f>
        <v>3.6925177992375575E-4</v>
      </c>
      <c r="Q156">
        <f ca="1">data0!J155/Calculations!Q$2/Cal!$G155</f>
        <v>4.0824307656602108E-4</v>
      </c>
      <c r="R156">
        <f ca="1">data0!K155/Calculations!R$2/Cal!$G155</f>
        <v>3.5384360789964128E-4</v>
      </c>
      <c r="S156">
        <f ca="1">data0!L155/Calculations!S$2/Cal!$G155</f>
        <v>2.7746377939486943E-4</v>
      </c>
      <c r="T156">
        <f ca="1">data0!M155/Calculations!T$2/Cal!$G155</f>
        <v>2.7892435800975341E-4</v>
      </c>
      <c r="U156">
        <f ca="1">data0!N155/Calculations!U$2/Cal!$G155</f>
        <v>2.9580716253089812E-4</v>
      </c>
      <c r="V156">
        <f ca="1">data0!O155/Calculations!V$2/Cal!$G155</f>
        <v>2.6234779674806283E-4</v>
      </c>
      <c r="W156">
        <f ca="1">data0!P155/Calculations!W$2/Cal!$G155</f>
        <v>2.4565481165784037E-4</v>
      </c>
      <c r="X156">
        <f ca="1">data0!Q155/Calculations!X$2/Cal!$G155</f>
        <v>2.9024144300731866E-4</v>
      </c>
      <c r="Y156">
        <f ca="1">data0!R155/Calculations!Y$2/Cal!$G155</f>
        <v>3.6651272900400765E-4</v>
      </c>
      <c r="Z156">
        <f ca="1">data0!S155/Calculations!Z$2/Cal!$G155</f>
        <v>3.2457003605241511E-4</v>
      </c>
      <c r="AA156">
        <f ca="1">data0!T155/Calculations!AA$2/Cal!$G155</f>
        <v>4.2698565456996302E-4</v>
      </c>
      <c r="AB156">
        <f ca="1">data0!U155/Calculations!AB$2/Cal!$G155</f>
        <v>3.5929896961434094E-4</v>
      </c>
      <c r="AC156">
        <f ca="1">data0!V155/Calculations!AC$2/Cal!$G155</f>
        <v>3.7961745180452284E-4</v>
      </c>
      <c r="AD156">
        <f ca="1">data0!W155/Calculations!AD$2/Cal!$G155</f>
        <v>4.0076780952200066E-4</v>
      </c>
      <c r="AE156">
        <f ca="1">data0!X155/Calculations!AE$2/Cal!$G155</f>
        <v>4.5750066190187837E-4</v>
      </c>
      <c r="AF156">
        <f ca="1">data0!Y155/Calculations!AF$2/Cal!$G155</f>
        <v>6.2856044523676771E-4</v>
      </c>
      <c r="AG156">
        <f ca="1">data0!Z155/Calculations!AG$2/Cal!$G155</f>
        <v>8.048165666236758E-4</v>
      </c>
      <c r="AH156" t="e">
        <f ca="1">data0!AA155/Calculations!AH$2/Cal!$G155</f>
        <v>#DIV/0!</v>
      </c>
      <c r="AI156" t="e">
        <f ca="1">data0!AB155/Calculations!AI$2/Cal!$G155</f>
        <v>#DIV/0!</v>
      </c>
      <c r="AJ156" t="e">
        <f ca="1">data0!AC155/Calculations!AJ$2/Cal!$G155</f>
        <v>#DIV/0!</v>
      </c>
      <c r="AK156" t="e">
        <f ca="1">data0!AD155/Calculations!AK$2/Cal!$G155</f>
        <v>#DIV/0!</v>
      </c>
      <c r="AL156" t="e">
        <f ca="1">data0!AE155/Calculations!AL$2/Cal!$G155</f>
        <v>#DIV/0!</v>
      </c>
      <c r="AM156" t="e">
        <f ca="1">data0!AF155/Calculations!AM$2/Cal!$G155</f>
        <v>#DIV/0!</v>
      </c>
      <c r="AN156" t="e">
        <f ca="1">data0!AG155/Calculations!AN$2/Cal!$G155</f>
        <v>#DIV/0!</v>
      </c>
    </row>
    <row r="157" spans="1:40">
      <c r="A157">
        <f>data0!A156</f>
        <v>1070</v>
      </c>
      <c r="B157" t="e">
        <f t="shared" ca="1" si="10"/>
        <v>#DIV/0!</v>
      </c>
      <c r="C157" t="e">
        <f t="shared" ca="1" si="11"/>
        <v>#DIV/0!</v>
      </c>
      <c r="D157" t="e">
        <f t="shared" ca="1" si="12"/>
        <v>#DIV/0!</v>
      </c>
      <c r="F157" t="e">
        <f t="shared" ca="1" si="13"/>
        <v>#DIV/0!</v>
      </c>
      <c r="G157" t="e">
        <f t="shared" ca="1" si="14"/>
        <v>#DIV/0!</v>
      </c>
      <c r="I157">
        <f ca="1">data0!B156/Calculations!I$2/Cal!$G156</f>
        <v>2.0581253837721747E-3</v>
      </c>
      <c r="J157">
        <f ca="1">data0!C156/Calculations!J$2/Cal!$G156</f>
        <v>1.2368002160172969E-3</v>
      </c>
      <c r="K157">
        <f ca="1">data0!D156/Calculations!K$2/Cal!$G156</f>
        <v>8.9684328311312933E-4</v>
      </c>
      <c r="L157">
        <f ca="1">data0!E156/Calculations!L$2/Cal!$G156</f>
        <v>5.1172037764998389E-4</v>
      </c>
      <c r="M157">
        <f ca="1">data0!F156/Calculations!M$2/Cal!$G156</f>
        <v>3.5660215450541836E-4</v>
      </c>
      <c r="N157">
        <f ca="1">data0!G156/Calculations!N$2/Cal!$G156</f>
        <v>3.9709085581699465E-4</v>
      </c>
      <c r="O157">
        <f ca="1">data0!H156/Calculations!O$2/Cal!$G156</f>
        <v>4.6878389552839662E-4</v>
      </c>
      <c r="P157">
        <f ca="1">data0!I156/Calculations!P$2/Cal!$G156</f>
        <v>4.1280300593212122E-4</v>
      </c>
      <c r="Q157">
        <f ca="1">data0!J156/Calculations!Q$2/Cal!$G156</f>
        <v>4.1490283328182205E-4</v>
      </c>
      <c r="R157">
        <f ca="1">data0!K156/Calculations!R$2/Cal!$G156</f>
        <v>4.1639739193224869E-4</v>
      </c>
      <c r="S157">
        <f ca="1">data0!L156/Calculations!S$2/Cal!$G156</f>
        <v>3.1958880206682836E-4</v>
      </c>
      <c r="T157">
        <f ca="1">data0!M156/Calculations!T$2/Cal!$G156</f>
        <v>2.8347451078167811E-4</v>
      </c>
      <c r="U157">
        <f ca="1">data0!N156/Calculations!U$2/Cal!$G156</f>
        <v>2.818431837475173E-4</v>
      </c>
      <c r="V157">
        <f ca="1">data0!O156/Calculations!V$2/Cal!$G156</f>
        <v>2.8567235495075336E-4</v>
      </c>
      <c r="W157">
        <f ca="1">data0!P156/Calculations!W$2/Cal!$G156</f>
        <v>2.8807180234253571E-4</v>
      </c>
      <c r="X157">
        <f ca="1">data0!Q156/Calculations!X$2/Cal!$G156</f>
        <v>3.9330163121283182E-4</v>
      </c>
      <c r="Y157">
        <f ca="1">data0!R156/Calculations!Y$2/Cal!$G156</f>
        <v>3.7249172962526187E-4</v>
      </c>
      <c r="Z157">
        <f ca="1">data0!S156/Calculations!Z$2/Cal!$G156</f>
        <v>3.9171448599954344E-4</v>
      </c>
      <c r="AA157">
        <f ca="1">data0!T156/Calculations!AA$2/Cal!$G156</f>
        <v>4.546155021462095E-4</v>
      </c>
      <c r="AB157">
        <f ca="1">data0!U156/Calculations!AB$2/Cal!$G156</f>
        <v>3.4368025503380046E-4</v>
      </c>
      <c r="AC157">
        <f ca="1">data0!V156/Calculations!AC$2/Cal!$G156</f>
        <v>4.0850494953109835E-4</v>
      </c>
      <c r="AD157">
        <f ca="1">data0!W156/Calculations!AD$2/Cal!$G156</f>
        <v>4.312647720073104E-4</v>
      </c>
      <c r="AE157">
        <f ca="1">data0!X156/Calculations!AE$2/Cal!$G156</f>
        <v>4.6496396815366654E-4</v>
      </c>
      <c r="AF157">
        <f ca="1">data0!Y156/Calculations!AF$2/Cal!$G156</f>
        <v>6.3881428635922813E-4</v>
      </c>
      <c r="AG157">
        <f ca="1">data0!Z156/Calculations!AG$2/Cal!$G156</f>
        <v>8.1794571159202439E-4</v>
      </c>
      <c r="AH157" t="e">
        <f ca="1">data0!AA156/Calculations!AH$2/Cal!$G156</f>
        <v>#DIV/0!</v>
      </c>
      <c r="AI157" t="e">
        <f ca="1">data0!AB156/Calculations!AI$2/Cal!$G156</f>
        <v>#DIV/0!</v>
      </c>
      <c r="AJ157" t="e">
        <f ca="1">data0!AC156/Calculations!AJ$2/Cal!$G156</f>
        <v>#DIV/0!</v>
      </c>
      <c r="AK157" t="e">
        <f ca="1">data0!AD156/Calculations!AK$2/Cal!$G156</f>
        <v>#DIV/0!</v>
      </c>
      <c r="AL157" t="e">
        <f ca="1">data0!AE156/Calculations!AL$2/Cal!$G156</f>
        <v>#DIV/0!</v>
      </c>
      <c r="AM157" t="e">
        <f ca="1">data0!AF156/Calculations!AM$2/Cal!$G156</f>
        <v>#DIV/0!</v>
      </c>
      <c r="AN157" t="e">
        <f ca="1">data0!AG156/Calculations!AN$2/Cal!$G156</f>
        <v>#DIV/0!</v>
      </c>
    </row>
    <row r="158" spans="1:40">
      <c r="A158">
        <f>data0!A157</f>
        <v>1075</v>
      </c>
      <c r="B158" t="e">
        <f t="shared" ca="1" si="10"/>
        <v>#DIV/0!</v>
      </c>
      <c r="C158" t="e">
        <f t="shared" ca="1" si="11"/>
        <v>#DIV/0!</v>
      </c>
      <c r="D158" t="e">
        <f t="shared" ca="1" si="12"/>
        <v>#DIV/0!</v>
      </c>
      <c r="F158" t="e">
        <f t="shared" ca="1" si="13"/>
        <v>#DIV/0!</v>
      </c>
      <c r="G158" t="e">
        <f t="shared" ca="1" si="14"/>
        <v>#DIV/0!</v>
      </c>
      <c r="I158">
        <f ca="1">data0!B157/Calculations!I$2/Cal!$G157</f>
        <v>2.0810032914395466E-3</v>
      </c>
      <c r="J158">
        <f ca="1">data0!C157/Calculations!J$2/Cal!$G157</f>
        <v>1.2505483585591129E-3</v>
      </c>
      <c r="K158">
        <f ca="1">data0!D157/Calculations!K$2/Cal!$G157</f>
        <v>9.0681249975315716E-4</v>
      </c>
      <c r="L158">
        <f ca="1">data0!E157/Calculations!L$2/Cal!$G157</f>
        <v>5.1740860813569525E-4</v>
      </c>
      <c r="M158">
        <f ca="1">data0!F157/Calculations!M$2/Cal!$G157</f>
        <v>3.9334484104592784E-4</v>
      </c>
      <c r="N158">
        <f ca="1">data0!G157/Calculations!N$2/Cal!$G157</f>
        <v>4.0150487646246604E-4</v>
      </c>
      <c r="O158">
        <f ca="1">data0!H157/Calculations!O$2/Cal!$G157</f>
        <v>4.7399484854535669E-4</v>
      </c>
      <c r="P158">
        <f ca="1">data0!I157/Calculations!P$2/Cal!$G157</f>
        <v>4.5533637612720662E-4</v>
      </c>
      <c r="Q158">
        <f ca="1">data0!J157/Calculations!Q$2/Cal!$G157</f>
        <v>4.0044599488946853E-4</v>
      </c>
      <c r="R158">
        <f ca="1">data0!K157/Calculations!R$2/Cal!$G157</f>
        <v>4.5930111153896747E-4</v>
      </c>
      <c r="S158">
        <f ca="1">data0!L157/Calculations!S$2/Cal!$G157</f>
        <v>3.801662498559566E-4</v>
      </c>
      <c r="T158">
        <f ca="1">data0!M157/Calculations!T$2/Cal!$G157</f>
        <v>3.2484234465060373E-4</v>
      </c>
      <c r="U158">
        <f ca="1">data0!N157/Calculations!U$2/Cal!$G157</f>
        <v>3.0397453023971833E-4</v>
      </c>
      <c r="V158">
        <f ca="1">data0!O157/Calculations!V$2/Cal!$G157</f>
        <v>3.0810438181971556E-4</v>
      </c>
      <c r="W158">
        <f ca="1">data0!P157/Calculations!W$2/Cal!$G157</f>
        <v>3.6894705337476181E-4</v>
      </c>
      <c r="X158">
        <f ca="1">data0!Q157/Calculations!X$2/Cal!$G157</f>
        <v>4.3744088047237712E-4</v>
      </c>
      <c r="Y158">
        <f ca="1">data0!R157/Calculations!Y$2/Cal!$G157</f>
        <v>3.55708294049286E-4</v>
      </c>
      <c r="Z158">
        <f ca="1">data0!S157/Calculations!Z$2/Cal!$G157</f>
        <v>4.5860590707315043E-4</v>
      </c>
      <c r="AA158">
        <f ca="1">data0!T157/Calculations!AA$2/Cal!$G157</f>
        <v>4.8056300259337423E-4</v>
      </c>
      <c r="AB158">
        <f ca="1">data0!U157/Calculations!AB$2/Cal!$G157</f>
        <v>3.6921937443866302E-4</v>
      </c>
      <c r="AC158">
        <f ca="1">data0!V157/Calculations!AC$2/Cal!$G157</f>
        <v>4.3599283712424005E-4</v>
      </c>
      <c r="AD158">
        <f ca="1">data0!W157/Calculations!AD$2/Cal!$G157</f>
        <v>4.3605866635017606E-4</v>
      </c>
      <c r="AE158">
        <f ca="1">data0!X157/Calculations!AE$2/Cal!$G157</f>
        <v>5.0629649186664588E-4</v>
      </c>
      <c r="AF158">
        <f ca="1">data0!Y157/Calculations!AF$2/Cal!$G157</f>
        <v>6.4591527951307506E-4</v>
      </c>
      <c r="AG158">
        <f ca="1">data0!Z157/Calculations!AG$2/Cal!$G157</f>
        <v>8.2703791103442572E-4</v>
      </c>
      <c r="AH158" t="e">
        <f ca="1">data0!AA157/Calculations!AH$2/Cal!$G157</f>
        <v>#DIV/0!</v>
      </c>
      <c r="AI158" t="e">
        <f ca="1">data0!AB157/Calculations!AI$2/Cal!$G157</f>
        <v>#DIV/0!</v>
      </c>
      <c r="AJ158" t="e">
        <f ca="1">data0!AC157/Calculations!AJ$2/Cal!$G157</f>
        <v>#DIV/0!</v>
      </c>
      <c r="AK158" t="e">
        <f ca="1">data0!AD157/Calculations!AK$2/Cal!$G157</f>
        <v>#DIV/0!</v>
      </c>
      <c r="AL158" t="e">
        <f ca="1">data0!AE157/Calculations!AL$2/Cal!$G157</f>
        <v>#DIV/0!</v>
      </c>
      <c r="AM158" t="e">
        <f ca="1">data0!AF157/Calculations!AM$2/Cal!$G157</f>
        <v>#DIV/0!</v>
      </c>
      <c r="AN158" t="e">
        <f ca="1">data0!AG157/Calculations!AN$2/Cal!$G157</f>
        <v>#DIV/0!</v>
      </c>
    </row>
    <row r="159" spans="1:40">
      <c r="A159">
        <f>data0!A158</f>
        <v>1080</v>
      </c>
      <c r="B159" t="e">
        <f t="shared" ca="1" si="10"/>
        <v>#DIV/0!</v>
      </c>
      <c r="C159" t="e">
        <f t="shared" ca="1" si="11"/>
        <v>#DIV/0!</v>
      </c>
      <c r="D159" t="e">
        <f t="shared" ca="1" si="12"/>
        <v>#DIV/0!</v>
      </c>
      <c r="F159" t="e">
        <f t="shared" ca="1" si="13"/>
        <v>#DIV/0!</v>
      </c>
      <c r="G159" t="e">
        <f t="shared" ca="1" si="14"/>
        <v>#DIV/0!</v>
      </c>
      <c r="I159">
        <f ca="1">data0!B158/Calculations!I$2/Cal!$G158</f>
        <v>2.1039759083940025E-3</v>
      </c>
      <c r="J159">
        <f ca="1">data0!C158/Calculations!J$2/Cal!$G158</f>
        <v>1.2643534152557455E-3</v>
      </c>
      <c r="K159">
        <f ca="1">data0!D158/Calculations!K$2/Cal!$G158</f>
        <v>9.1682298666206127E-4</v>
      </c>
      <c r="L159">
        <f ca="1">data0!E158/Calculations!L$2/Cal!$G158</f>
        <v>4.9234857263490877E-4</v>
      </c>
      <c r="M159">
        <f ca="1">data0!F158/Calculations!M$2/Cal!$G158</f>
        <v>4.3082763961323445E-4</v>
      </c>
      <c r="N159">
        <f ca="1">data0!G158/Calculations!N$2/Cal!$G158</f>
        <v>4.2623402666574399E-4</v>
      </c>
      <c r="O159">
        <f ca="1">data0!H158/Calculations!O$2/Cal!$G158</f>
        <v>4.6005828026059821E-4</v>
      </c>
      <c r="P159">
        <f ca="1">data0!I158/Calculations!P$2/Cal!$G158</f>
        <v>4.987265007348169E-4</v>
      </c>
      <c r="Q159">
        <f ca="1">data0!J158/Calculations!Q$2/Cal!$G158</f>
        <v>4.241459594407287E-4</v>
      </c>
      <c r="R159">
        <f ca="1">data0!K158/Calculations!R$2/Cal!$G158</f>
        <v>4.6437142956563506E-4</v>
      </c>
      <c r="S159">
        <f ca="1">data0!L158/Calculations!S$2/Cal!$G158</f>
        <v>4.6123557102847233E-4</v>
      </c>
      <c r="T159">
        <f ca="1">data0!M158/Calculations!T$2/Cal!$G158</f>
        <v>3.8638628170481243E-4</v>
      </c>
      <c r="U159">
        <f ca="1">data0!N158/Calculations!U$2/Cal!$G158</f>
        <v>3.6495458815249401E-4</v>
      </c>
      <c r="V159">
        <f ca="1">data0!O158/Calculations!V$2/Cal!$G158</f>
        <v>3.8938202489849106E-4</v>
      </c>
      <c r="W159">
        <f ca="1">data0!P158/Calculations!W$2/Cal!$G158</f>
        <v>4.5155043913388881E-4</v>
      </c>
      <c r="X159">
        <f ca="1">data0!Q158/Calculations!X$2/Cal!$G158</f>
        <v>4.6237305351227309E-4</v>
      </c>
      <c r="Y159">
        <f ca="1">data0!R158/Calculations!Y$2/Cal!$G158</f>
        <v>4.0194502864204567E-4</v>
      </c>
      <c r="Z159">
        <f ca="1">data0!S158/Calculations!Z$2/Cal!$G158</f>
        <v>5.0582023327351957E-4</v>
      </c>
      <c r="AA159">
        <f ca="1">data0!T158/Calculations!AA$2/Cal!$G158</f>
        <v>4.6474333956514048E-4</v>
      </c>
      <c r="AB159">
        <f ca="1">data0!U158/Calculations!AB$2/Cal!$G158</f>
        <v>3.9525380421507375E-4</v>
      </c>
      <c r="AC159">
        <f ca="1">data0!V158/Calculations!AC$2/Cal!$G158</f>
        <v>4.4080585038728636E-4</v>
      </c>
      <c r="AD159">
        <f ca="1">data0!W158/Calculations!AD$2/Cal!$G158</f>
        <v>4.408724063153848E-4</v>
      </c>
      <c r="AE159">
        <f ca="1">data0!X158/Calculations!AE$2/Cal!$G158</f>
        <v>4.7532234672388704E-4</v>
      </c>
      <c r="AF159">
        <f ca="1">data0!Y158/Calculations!AF$2/Cal!$G158</f>
        <v>6.5304566914884516E-4</v>
      </c>
      <c r="AG159">
        <f ca="1">data0!Z158/Calculations!AG$2/Cal!$G158</f>
        <v>8.3616775009578742E-4</v>
      </c>
      <c r="AH159" t="e">
        <f ca="1">data0!AA158/Calculations!AH$2/Cal!$G158</f>
        <v>#DIV/0!</v>
      </c>
      <c r="AI159" t="e">
        <f ca="1">data0!AB158/Calculations!AI$2/Cal!$G158</f>
        <v>#DIV/0!</v>
      </c>
      <c r="AJ159" t="e">
        <f ca="1">data0!AC158/Calculations!AJ$2/Cal!$G158</f>
        <v>#DIV/0!</v>
      </c>
      <c r="AK159" t="e">
        <f ca="1">data0!AD158/Calculations!AK$2/Cal!$G158</f>
        <v>#DIV/0!</v>
      </c>
      <c r="AL159" t="e">
        <f ca="1">data0!AE158/Calculations!AL$2/Cal!$G158</f>
        <v>#DIV/0!</v>
      </c>
      <c r="AM159" t="e">
        <f ca="1">data0!AF158/Calculations!AM$2/Cal!$G158</f>
        <v>#DIV/0!</v>
      </c>
      <c r="AN159" t="e">
        <f ca="1">data0!AG158/Calculations!AN$2/Cal!$G158</f>
        <v>#DIV/0!</v>
      </c>
    </row>
    <row r="160" spans="1:40">
      <c r="A160">
        <f>data0!A159</f>
        <v>1085</v>
      </c>
      <c r="B160" t="e">
        <f t="shared" ca="1" si="10"/>
        <v>#DIV/0!</v>
      </c>
      <c r="C160" t="e">
        <f t="shared" ca="1" si="11"/>
        <v>#DIV/0!</v>
      </c>
      <c r="D160" t="e">
        <f t="shared" ca="1" si="12"/>
        <v>#DIV/0!</v>
      </c>
      <c r="F160" t="e">
        <f t="shared" ca="1" si="13"/>
        <v>#DIV/0!</v>
      </c>
      <c r="G160" t="e">
        <f t="shared" ca="1" si="14"/>
        <v>#DIV/0!</v>
      </c>
      <c r="I160">
        <f ca="1">data0!B159/Calculations!I$2/Cal!$G159</f>
        <v>2.1113240429336856E-3</v>
      </c>
      <c r="J160">
        <f ca="1">data0!C159/Calculations!J$2/Cal!$G159</f>
        <v>1.2687691687650615E-3</v>
      </c>
      <c r="K160">
        <f ca="1">data0!D159/Calculations!K$2/Cal!$G159</f>
        <v>9.2002499036761178E-4</v>
      </c>
      <c r="L160">
        <f ca="1">data0!E159/Calculations!L$2/Cal!$G159</f>
        <v>4.9406809971585511E-4</v>
      </c>
      <c r="M160">
        <f ca="1">data0!F159/Calculations!M$2/Cal!$G159</f>
        <v>4.6558863352076912E-4</v>
      </c>
      <c r="N160">
        <f ca="1">data0!G159/Calculations!N$2/Cal!$G159</f>
        <v>4.6845813530451232E-4</v>
      </c>
      <c r="O160">
        <f ca="1">data0!H159/Calculations!O$2/Cal!$G159</f>
        <v>4.6166503351569157E-4</v>
      </c>
      <c r="P160">
        <f ca="1">data0!I159/Calculations!P$2/Cal!$G159</f>
        <v>5.1971708215409391E-4</v>
      </c>
      <c r="Q160">
        <f ca="1">data0!J159/Calculations!Q$2/Cal!$G159</f>
        <v>4.8366736864161541E-4</v>
      </c>
      <c r="R160">
        <f ca="1">data0!K159/Calculations!R$2/Cal!$G159</f>
        <v>4.6599324649196946E-4</v>
      </c>
      <c r="S160">
        <f ca="1">data0!L159/Calculations!S$2/Cal!$G159</f>
        <v>5.0141696916362454E-4</v>
      </c>
      <c r="T160">
        <f ca="1">data0!M159/Calculations!T$2/Cal!$G159</f>
        <v>4.6528287509030601E-4</v>
      </c>
      <c r="U160">
        <f ca="1">data0!N159/Calculations!U$2/Cal!$G159</f>
        <v>4.4333006638781758E-4</v>
      </c>
      <c r="V160">
        <f ca="1">data0!O159/Calculations!V$2/Cal!$G159</f>
        <v>4.6889032202148849E-4</v>
      </c>
      <c r="W160">
        <f ca="1">data0!P159/Calculations!W$2/Cal!$G159</f>
        <v>5.1223105792740629E-4</v>
      </c>
      <c r="X160">
        <f ca="1">data0!Q159/Calculations!X$2/Cal!$G159</f>
        <v>4.4381450625410532E-4</v>
      </c>
      <c r="Y160">
        <f ca="1">data0!R159/Calculations!Y$2/Cal!$G159</f>
        <v>4.6703547086808728E-4</v>
      </c>
      <c r="Z160">
        <f ca="1">data0!S159/Calculations!Z$2/Cal!$G159</f>
        <v>5.2873625882176515E-4</v>
      </c>
      <c r="AA160">
        <f ca="1">data0!T159/Calculations!AA$2/Cal!$G159</f>
        <v>4.4516798202356246E-4</v>
      </c>
      <c r="AB160">
        <f ca="1">data0!U159/Calculations!AB$2/Cal!$G159</f>
        <v>4.6273992535344523E-4</v>
      </c>
      <c r="AC160">
        <f ca="1">data0!V159/Calculations!AC$2/Cal!$G159</f>
        <v>4.8890802970974793E-4</v>
      </c>
      <c r="AD160">
        <f ca="1">data0!W159/Calculations!AD$2/Cal!$G159</f>
        <v>4.4241215291776487E-4</v>
      </c>
      <c r="AE160">
        <f ca="1">data0!X159/Calculations!AE$2/Cal!$G159</f>
        <v>4.7698240972152427E-4</v>
      </c>
      <c r="AF160">
        <f ca="1">data0!Y159/Calculations!AF$2/Cal!$G159</f>
        <v>6.5532643073851855E-4</v>
      </c>
      <c r="AG160">
        <f ca="1">data0!Z159/Calculations!AG$2/Cal!$G159</f>
        <v>8.3908806543824682E-4</v>
      </c>
      <c r="AH160" t="e">
        <f ca="1">data0!AA159/Calculations!AH$2/Cal!$G159</f>
        <v>#DIV/0!</v>
      </c>
      <c r="AI160" t="e">
        <f ca="1">data0!AB159/Calculations!AI$2/Cal!$G159</f>
        <v>#DIV/0!</v>
      </c>
      <c r="AJ160" t="e">
        <f ca="1">data0!AC159/Calculations!AJ$2/Cal!$G159</f>
        <v>#DIV/0!</v>
      </c>
      <c r="AK160" t="e">
        <f ca="1">data0!AD159/Calculations!AK$2/Cal!$G159</f>
        <v>#DIV/0!</v>
      </c>
      <c r="AL160" t="e">
        <f ca="1">data0!AE159/Calculations!AL$2/Cal!$G159</f>
        <v>#DIV/0!</v>
      </c>
      <c r="AM160" t="e">
        <f ca="1">data0!AF159/Calculations!AM$2/Cal!$G159</f>
        <v>#DIV/0!</v>
      </c>
      <c r="AN160" t="e">
        <f ca="1">data0!AG159/Calculations!AN$2/Cal!$G159</f>
        <v>#DIV/0!</v>
      </c>
    </row>
    <row r="161" spans="1:40">
      <c r="A161">
        <f>data0!A160</f>
        <v>1090</v>
      </c>
      <c r="B161" t="e">
        <f t="shared" ca="1" si="10"/>
        <v>#DIV/0!</v>
      </c>
      <c r="C161" t="e">
        <f t="shared" ca="1" si="11"/>
        <v>#DIV/0!</v>
      </c>
      <c r="D161" t="e">
        <f t="shared" ca="1" si="12"/>
        <v>#DIV/0!</v>
      </c>
      <c r="F161" t="e">
        <f t="shared" ca="1" si="13"/>
        <v>#DIV/0!</v>
      </c>
      <c r="G161" t="e">
        <f t="shared" ca="1" si="14"/>
        <v>#DIV/0!</v>
      </c>
      <c r="I161">
        <f ca="1">data0!B160/Calculations!I$2/Cal!$G160</f>
        <v>2.119613574490151E-3</v>
      </c>
      <c r="J161">
        <f ca="1">data0!C160/Calculations!J$2/Cal!$G160</f>
        <v>1.27375064098272E-3</v>
      </c>
      <c r="K161">
        <f ca="1">data0!D160/Calculations!K$2/Cal!$G160</f>
        <v>9.2363721475160175E-4</v>
      </c>
      <c r="L161">
        <f ca="1">data0!E160/Calculations!L$2/Cal!$G160</f>
        <v>4.6500742862283718E-4</v>
      </c>
      <c r="M161">
        <f ca="1">data0!F160/Calculations!M$2/Cal!$G160</f>
        <v>5.0080353933103152E-4</v>
      </c>
      <c r="N161">
        <f ca="1">data0!G160/Calculations!N$2/Cal!$G160</f>
        <v>4.9074511858384804E-4</v>
      </c>
      <c r="O161">
        <f ca="1">data0!H160/Calculations!O$2/Cal!$G160</f>
        <v>4.441660674338896E-4</v>
      </c>
      <c r="P161">
        <f ca="1">data0!I160/Calculations!P$2/Cal!$G160</f>
        <v>5.4108196239254858E-4</v>
      </c>
      <c r="Q161">
        <f ca="1">data0!J160/Calculations!Q$2/Cal!$G160</f>
        <v>5.2441166054985897E-4</v>
      </c>
      <c r="R161">
        <f ca="1">data0!K160/Calculations!R$2/Cal!$G160</f>
        <v>4.6782284045449903E-4</v>
      </c>
      <c r="S161">
        <f ca="1">data0!L160/Calculations!S$2/Cal!$G160</f>
        <v>5.0338564460344654E-4</v>
      </c>
      <c r="T161">
        <f ca="1">data0!M160/Calculations!T$2/Cal!$G160</f>
        <v>5.2549838522185117E-4</v>
      </c>
      <c r="U161">
        <f ca="1">data0!N160/Calculations!U$2/Cal!$G160</f>
        <v>5.2247426950909677E-4</v>
      </c>
      <c r="V161">
        <f ca="1">data0!O160/Calculations!V$2/Cal!$G160</f>
        <v>5.2957269708373087E-4</v>
      </c>
      <c r="W161">
        <f ca="1">data0!P160/Calculations!W$2/Cal!$G160</f>
        <v>4.9446364754719338E-4</v>
      </c>
      <c r="X161">
        <f ca="1">data0!Q160/Calculations!X$2/Cal!$G160</f>
        <v>4.4555702150993431E-4</v>
      </c>
      <c r="Y161">
        <f ca="1">data0!R160/Calculations!Y$2/Cal!$G160</f>
        <v>5.3280585436744476E-4</v>
      </c>
      <c r="Z161">
        <f ca="1">data0!S160/Calculations!Z$2/Cal!$G160</f>
        <v>5.5204468209616548E-4</v>
      </c>
      <c r="AA161">
        <f ca="1">data0!T160/Calculations!AA$2/Cal!$G160</f>
        <v>4.2563410800618943E-4</v>
      </c>
      <c r="AB161">
        <f ca="1">data0!U160/Calculations!AB$2/Cal!$G160</f>
        <v>4.8667849380262969E-4</v>
      </c>
      <c r="AC161">
        <f ca="1">data0!V160/Calculations!AC$2/Cal!$G160</f>
        <v>5.1420033256350151E-4</v>
      </c>
      <c r="AD161">
        <f ca="1">data0!W160/Calculations!AD$2/Cal!$G160</f>
        <v>4.9349906377981606E-4</v>
      </c>
      <c r="AE161">
        <f ca="1">data0!X160/Calculations!AE$2/Cal!$G160</f>
        <v>4.7885514960268976E-4</v>
      </c>
      <c r="AF161">
        <f ca="1">data0!Y160/Calculations!AF$2/Cal!$G160</f>
        <v>6.578993892313534E-4</v>
      </c>
      <c r="AG161">
        <f ca="1">data0!Z160/Calculations!AG$2/Cal!$G160</f>
        <v>8.4238251330871164E-4</v>
      </c>
      <c r="AH161" t="e">
        <f ca="1">data0!AA160/Calculations!AH$2/Cal!$G160</f>
        <v>#DIV/0!</v>
      </c>
      <c r="AI161" t="e">
        <f ca="1">data0!AB160/Calculations!AI$2/Cal!$G160</f>
        <v>#DIV/0!</v>
      </c>
      <c r="AJ161" t="e">
        <f ca="1">data0!AC160/Calculations!AJ$2/Cal!$G160</f>
        <v>#DIV/0!</v>
      </c>
      <c r="AK161" t="e">
        <f ca="1">data0!AD160/Calculations!AK$2/Cal!$G160</f>
        <v>#DIV/0!</v>
      </c>
      <c r="AL161" t="e">
        <f ca="1">data0!AE160/Calculations!AL$2/Cal!$G160</f>
        <v>#DIV/0!</v>
      </c>
      <c r="AM161" t="e">
        <f ca="1">data0!AF160/Calculations!AM$2/Cal!$G160</f>
        <v>#DIV/0!</v>
      </c>
      <c r="AN161" t="e">
        <f ca="1">data0!AG160/Calculations!AN$2/Cal!$G160</f>
        <v>#DIV/0!</v>
      </c>
    </row>
    <row r="162" spans="1:40">
      <c r="A162">
        <f>data0!A161</f>
        <v>1095</v>
      </c>
      <c r="B162" t="e">
        <f t="shared" ca="1" si="10"/>
        <v>#DIV/0!</v>
      </c>
      <c r="C162" t="e">
        <f t="shared" ca="1" si="11"/>
        <v>#DIV/0!</v>
      </c>
      <c r="D162" t="e">
        <f t="shared" ca="1" si="12"/>
        <v>#DIV/0!</v>
      </c>
      <c r="F162" t="e">
        <f t="shared" ca="1" si="13"/>
        <v>#DIV/0!</v>
      </c>
      <c r="G162" t="e">
        <f t="shared" ca="1" si="14"/>
        <v>#DIV/0!</v>
      </c>
      <c r="I162">
        <f ca="1">data0!B161/Calculations!I$2/Cal!$G161</f>
        <v>2.1328170917602964E-3</v>
      </c>
      <c r="J162">
        <f ca="1">data0!C161/Calculations!J$2/Cal!$G161</f>
        <v>1.281685100729761E-3</v>
      </c>
      <c r="K162">
        <f ca="1">data0!D161/Calculations!K$2/Cal!$G161</f>
        <v>9.2939074457566641E-4</v>
      </c>
      <c r="L162">
        <f ca="1">data0!E161/Calculations!L$2/Cal!$G161</f>
        <v>4.6790405737085991E-4</v>
      </c>
      <c r="M162">
        <f ca="1">data0!F161/Calculations!M$2/Cal!$G161</f>
        <v>5.375180240067088E-4</v>
      </c>
      <c r="N162">
        <f ca="1">data0!G161/Calculations!N$2/Cal!$G161</f>
        <v>5.1437715749036623E-4</v>
      </c>
      <c r="O162">
        <f ca="1">data0!H161/Calculations!O$2/Cal!$G161</f>
        <v>4.4693287097428801E-4</v>
      </c>
      <c r="P162">
        <f ca="1">data0!I161/Calculations!P$2/Cal!$G161</f>
        <v>5.4445247535821141E-4</v>
      </c>
      <c r="Q162">
        <f ca="1">data0!J161/Calculations!Q$2/Cal!$G161</f>
        <v>5.6676561164046451E-4</v>
      </c>
      <c r="R162">
        <f ca="1">data0!K161/Calculations!R$2/Cal!$G161</f>
        <v>5.0996508771746169E-4</v>
      </c>
      <c r="S162">
        <f ca="1">data0!L161/Calculations!S$2/Cal!$G161</f>
        <v>5.0652133930367675E-4</v>
      </c>
      <c r="T162">
        <f ca="1">data0!M161/Calculations!T$2/Cal!$G161</f>
        <v>5.2877182481867911E-4</v>
      </c>
      <c r="U162">
        <f ca="1">data0!N161/Calculations!U$2/Cal!$G161</f>
        <v>5.4520030952317242E-4</v>
      </c>
      <c r="V162">
        <f ca="1">data0!O161/Calculations!V$2/Cal!$G161</f>
        <v>5.3287151642320615E-4</v>
      </c>
      <c r="W162">
        <f ca="1">data0!P161/Calculations!W$2/Cal!$G161</f>
        <v>4.9754376525752589E-4</v>
      </c>
      <c r="X162">
        <f ca="1">data0!Q161/Calculations!X$2/Cal!$G161</f>
        <v>5.0946873274970662E-4</v>
      </c>
      <c r="Y162">
        <f ca="1">data0!R161/Calculations!Y$2/Cal!$G161</f>
        <v>5.7901479546912469E-4</v>
      </c>
      <c r="Z162">
        <f ca="1">data0!S161/Calculations!Z$2/Cal!$G161</f>
        <v>5.5548348414087383E-4</v>
      </c>
      <c r="AA162">
        <f ca="1">data0!T161/Calculations!AA$2/Cal!$G161</f>
        <v>4.2828547208663241E-4</v>
      </c>
      <c r="AB162">
        <f ca="1">data0!U161/Calculations!AB$2/Cal!$G161</f>
        <v>5.119696649171447E-4</v>
      </c>
      <c r="AC162">
        <f ca="1">data0!V161/Calculations!AC$2/Cal!$G161</f>
        <v>5.4092172823560624E-4</v>
      </c>
      <c r="AD162">
        <f ca="1">data0!W161/Calculations!AD$2/Cal!$G161</f>
        <v>5.214018291163665E-4</v>
      </c>
      <c r="AE162">
        <f ca="1">data0!X161/Calculations!AE$2/Cal!$G161</f>
        <v>5.1890250043981222E-4</v>
      </c>
      <c r="AF162">
        <f ca="1">data0!Y161/Calculations!AF$2/Cal!$G161</f>
        <v>6.6199758243613307E-4</v>
      </c>
      <c r="AG162">
        <f ca="1">data0!Z161/Calculations!AG$2/Cal!$G161</f>
        <v>8.4762989056483024E-4</v>
      </c>
      <c r="AH162" t="e">
        <f ca="1">data0!AA161/Calculations!AH$2/Cal!$G161</f>
        <v>#DIV/0!</v>
      </c>
      <c r="AI162" t="e">
        <f ca="1">data0!AB161/Calculations!AI$2/Cal!$G161</f>
        <v>#DIV/0!</v>
      </c>
      <c r="AJ162" t="e">
        <f ca="1">data0!AC161/Calculations!AJ$2/Cal!$G161</f>
        <v>#DIV/0!</v>
      </c>
      <c r="AK162" t="e">
        <f ca="1">data0!AD161/Calculations!AK$2/Cal!$G161</f>
        <v>#DIV/0!</v>
      </c>
      <c r="AL162" t="e">
        <f ca="1">data0!AE161/Calculations!AL$2/Cal!$G161</f>
        <v>#DIV/0!</v>
      </c>
      <c r="AM162" t="e">
        <f ca="1">data0!AF161/Calculations!AM$2/Cal!$G161</f>
        <v>#DIV/0!</v>
      </c>
      <c r="AN162" t="e">
        <f ca="1">data0!AG161/Calculations!AN$2/Cal!$G161</f>
        <v>#DIV/0!</v>
      </c>
    </row>
    <row r="163" spans="1:40">
      <c r="A163">
        <f>data0!A162</f>
        <v>1100</v>
      </c>
      <c r="B163" t="e">
        <f t="shared" ca="1" si="10"/>
        <v>#DIV/0!</v>
      </c>
      <c r="C163" t="e">
        <f t="shared" ca="1" si="11"/>
        <v>#DIV/0!</v>
      </c>
      <c r="D163" t="e">
        <f t="shared" ca="1" si="12"/>
        <v>#DIV/0!</v>
      </c>
      <c r="F163" t="e">
        <f t="shared" ca="1" si="13"/>
        <v>#DIV/0!</v>
      </c>
      <c r="G163" t="e">
        <f t="shared" ca="1" si="14"/>
        <v>#DIV/0!</v>
      </c>
      <c r="I163">
        <f ca="1">data0!B162/Calculations!I$2/Cal!$G162</f>
        <v>2.1661728211277661E-3</v>
      </c>
      <c r="J163">
        <f ca="1">data0!C162/Calculations!J$2/Cal!$G162</f>
        <v>1.3017297363056019E-3</v>
      </c>
      <c r="K163">
        <f ca="1">data0!D162/Calculations!K$2/Cal!$G162</f>
        <v>9.4392574913487661E-4</v>
      </c>
      <c r="L163">
        <f ca="1">data0!E162/Calculations!L$2/Cal!$G162</f>
        <v>4.7522174118345642E-4</v>
      </c>
      <c r="M163">
        <f ca="1">data0!F162/Calculations!M$2/Cal!$G162</f>
        <v>5.8004472782131943E-4</v>
      </c>
      <c r="N163">
        <f ca="1">data0!G162/Calculations!N$2/Cal!$G162</f>
        <v>5.4331851150988847E-4</v>
      </c>
      <c r="O163">
        <f ca="1">data0!H162/Calculations!O$2/Cal!$G162</f>
        <v>4.736583431679988E-4</v>
      </c>
      <c r="P163">
        <f ca="1">data0!I162/Calculations!P$2/Cal!$G162</f>
        <v>5.3321848998305783E-4</v>
      </c>
      <c r="Q163">
        <f ca="1">data0!J162/Calculations!Q$2/Cal!$G162</f>
        <v>5.9547870822711224E-4</v>
      </c>
      <c r="R163">
        <f ca="1">data0!K162/Calculations!R$2/Cal!$G162</f>
        <v>5.577821556400314E-4</v>
      </c>
      <c r="S163">
        <f ca="1">data0!L162/Calculations!S$2/Cal!$G162</f>
        <v>5.1444296970411458E-4</v>
      </c>
      <c r="T163">
        <f ca="1">data0!M162/Calculations!T$2/Cal!$G162</f>
        <v>5.1715101470287443E-4</v>
      </c>
      <c r="U163">
        <f ca="1">data0!N162/Calculations!U$2/Cal!$G162</f>
        <v>5.3395089367712844E-4</v>
      </c>
      <c r="V163">
        <f ca="1">data0!O162/Calculations!V$2/Cal!$G162</f>
        <v>5.2116060744919175E-4</v>
      </c>
      <c r="W163">
        <f ca="1">data0!P162/Calculations!W$2/Cal!$G162</f>
        <v>5.0532499283982395E-4</v>
      </c>
      <c r="X163">
        <f ca="1">data0!Q162/Calculations!X$2/Cal!$G162</f>
        <v>5.5883137169772845E-4</v>
      </c>
      <c r="Y163">
        <f ca="1">data0!R162/Calculations!Y$2/Cal!$G162</f>
        <v>6.0985054666964987E-4</v>
      </c>
      <c r="Z163">
        <f ca="1">data0!S162/Calculations!Z$2/Cal!$G162</f>
        <v>5.4247197024907725E-4</v>
      </c>
      <c r="AA163">
        <f ca="1">data0!T162/Calculations!AA$2/Cal!$G162</f>
        <v>4.7848190036291834E-4</v>
      </c>
      <c r="AB163">
        <f ca="1">data0!U162/Calculations!AB$2/Cal!$G162</f>
        <v>5.4258417535567934E-4</v>
      </c>
      <c r="AC163">
        <f ca="1">data0!V162/Calculations!AC$2/Cal!$G162</f>
        <v>5.2549521215528115E-4</v>
      </c>
      <c r="AD163">
        <f ca="1">data0!W162/Calculations!AD$2/Cal!$G162</f>
        <v>5.7999009689013704E-4</v>
      </c>
      <c r="AE163">
        <f ca="1">data0!X162/Calculations!AE$2/Cal!$G162</f>
        <v>5.2701776331895986E-4</v>
      </c>
      <c r="AF163">
        <f ca="1">data0!Y162/Calculations!AF$2/Cal!$G162</f>
        <v>6.7235074975037024E-4</v>
      </c>
      <c r="AG163">
        <f ca="1">data0!Z162/Calculations!AG$2/Cal!$G162</f>
        <v>8.6088621401736009E-4</v>
      </c>
      <c r="AH163" t="e">
        <f ca="1">data0!AA162/Calculations!AH$2/Cal!$G162</f>
        <v>#DIV/0!</v>
      </c>
      <c r="AI163" t="e">
        <f ca="1">data0!AB162/Calculations!AI$2/Cal!$G162</f>
        <v>#DIV/0!</v>
      </c>
      <c r="AJ163" t="e">
        <f ca="1">data0!AC162/Calculations!AJ$2/Cal!$G162</f>
        <v>#DIV/0!</v>
      </c>
      <c r="AK163" t="e">
        <f ca="1">data0!AD162/Calculations!AK$2/Cal!$G162</f>
        <v>#DIV/0!</v>
      </c>
      <c r="AL163" t="e">
        <f ca="1">data0!AE162/Calculations!AL$2/Cal!$G162</f>
        <v>#DIV/0!</v>
      </c>
      <c r="AM163" t="e">
        <f ca="1">data0!AF162/Calculations!AM$2/Cal!$G162</f>
        <v>#DIV/0!</v>
      </c>
      <c r="AN163" t="e">
        <f ca="1">data0!AG162/Calculations!AN$2/Cal!$G162</f>
        <v>#DIV/0!</v>
      </c>
    </row>
    <row r="164" spans="1:40">
      <c r="B164" s="66" t="s">
        <v>25</v>
      </c>
      <c r="C164" s="66"/>
      <c r="D164" s="66"/>
      <c r="F164" s="23" t="s">
        <v>3</v>
      </c>
      <c r="G164" s="23" t="s">
        <v>24</v>
      </c>
    </row>
    <row r="165" spans="1:40">
      <c r="A165" s="4">
        <v>0.5</v>
      </c>
      <c r="B165" s="26" t="e">
        <f ca="1">MAX(B3:B163)/2</f>
        <v>#DIV/0!</v>
      </c>
      <c r="C165" s="26" t="e">
        <f t="shared" ref="C165:D165" ca="1" si="15">MAX(C3:C163)/2</f>
        <v>#DIV/0!</v>
      </c>
      <c r="D165" s="26" t="e">
        <f t="shared" ca="1" si="15"/>
        <v>#DIV/0!</v>
      </c>
      <c r="E165" s="26"/>
      <c r="F165" t="e">
        <f t="shared" ref="F165:F172" ca="1" si="16">AVERAGE(I165:AN165)</f>
        <v>#REF!</v>
      </c>
      <c r="G165" t="e">
        <f t="shared" ref="G165:G172" ca="1" si="17">STDEV(I165:AN165)</f>
        <v>#REF!</v>
      </c>
      <c r="H165" s="26"/>
      <c r="I165" s="26">
        <f t="shared" ref="I165:AN165" ca="1" si="18">MAX(I3:I163)*$A165</f>
        <v>1.4688691773012835E-2</v>
      </c>
      <c r="J165" s="26">
        <f t="shared" ca="1" si="18"/>
        <v>1.2775478015554112E-2</v>
      </c>
      <c r="K165" s="26">
        <f t="shared" ca="1" si="18"/>
        <v>1.3476785350043038E-2</v>
      </c>
      <c r="L165" s="26">
        <f t="shared" ca="1" si="18"/>
        <v>1.3046043425375659E-2</v>
      </c>
      <c r="M165" s="26">
        <f t="shared" ca="1" si="18"/>
        <v>2.3211173870308771E-2</v>
      </c>
      <c r="N165" s="26">
        <f t="shared" ca="1" si="18"/>
        <v>1.9361430279265922E-2</v>
      </c>
      <c r="O165" s="26">
        <f t="shared" ca="1" si="18"/>
        <v>2.0072546811674516E-2</v>
      </c>
      <c r="P165" s="26">
        <f t="shared" ca="1" si="18"/>
        <v>2.110979765016386E-2</v>
      </c>
      <c r="Q165" s="26">
        <f t="shared" ca="1" si="18"/>
        <v>2.2110595847181669E-2</v>
      </c>
      <c r="R165" s="26">
        <f t="shared" ca="1" si="18"/>
        <v>2.1973234970088403E-2</v>
      </c>
      <c r="S165" s="26">
        <f t="shared" ca="1" si="18"/>
        <v>2.188458069419073E-2</v>
      </c>
      <c r="T165" s="26">
        <f t="shared" ca="1" si="18"/>
        <v>2.1972493983142091E-2</v>
      </c>
      <c r="U165" s="26" t="e">
        <f t="shared" ca="1" si="18"/>
        <v>#REF!</v>
      </c>
      <c r="V165" s="26">
        <f t="shared" ca="1" si="18"/>
        <v>2.215520844066745E-2</v>
      </c>
      <c r="W165" s="26">
        <f t="shared" ca="1" si="18"/>
        <v>2.2204349025587888E-2</v>
      </c>
      <c r="X165" s="26">
        <f t="shared" ca="1" si="18"/>
        <v>2.3279773756325259E-2</v>
      </c>
      <c r="Y165" s="26">
        <f t="shared" ca="1" si="18"/>
        <v>2.4154267813253669E-2</v>
      </c>
      <c r="Z165" s="26">
        <f t="shared" ca="1" si="18"/>
        <v>2.3221563918030302E-2</v>
      </c>
      <c r="AA165" s="26">
        <f t="shared" ca="1" si="18"/>
        <v>2.2306925744596806E-2</v>
      </c>
      <c r="AB165" s="26">
        <f t="shared" ca="1" si="18"/>
        <v>2.1408484774980873E-2</v>
      </c>
      <c r="AC165" s="26">
        <f t="shared" ca="1" si="18"/>
        <v>2.1409758890829449E-2</v>
      </c>
      <c r="AD165" s="26">
        <f t="shared" ca="1" si="18"/>
        <v>2.08147227936126E-2</v>
      </c>
      <c r="AE165" s="26" t="e">
        <f t="shared" ca="1" si="18"/>
        <v>#REF!</v>
      </c>
      <c r="AF165" s="26">
        <f t="shared" ca="1" si="18"/>
        <v>1.8932321227165722E-2</v>
      </c>
      <c r="AG165" s="26">
        <f t="shared" ca="1" si="18"/>
        <v>1.7352279601989561E-2</v>
      </c>
      <c r="AH165" s="26" t="e">
        <f t="shared" ca="1" si="18"/>
        <v>#DIV/0!</v>
      </c>
      <c r="AI165" s="26" t="e">
        <f t="shared" ca="1" si="18"/>
        <v>#DIV/0!</v>
      </c>
      <c r="AJ165" s="26" t="e">
        <f t="shared" ca="1" si="18"/>
        <v>#DIV/0!</v>
      </c>
      <c r="AK165" s="26" t="e">
        <f t="shared" ca="1" si="18"/>
        <v>#DIV/0!</v>
      </c>
      <c r="AL165" s="26" t="e">
        <f t="shared" ca="1" si="18"/>
        <v>#DIV/0!</v>
      </c>
      <c r="AM165" s="26" t="e">
        <f t="shared" ca="1" si="18"/>
        <v>#DIV/0!</v>
      </c>
      <c r="AN165" s="26" t="e">
        <f t="shared" ca="1" si="18"/>
        <v>#DIV/0!</v>
      </c>
    </row>
    <row r="166" spans="1:40">
      <c r="A166" s="7" t="s">
        <v>9</v>
      </c>
      <c r="B166" t="e">
        <f ca="1">C166-3*G166</f>
        <v>#VALUE!</v>
      </c>
      <c r="C166" t="e">
        <f ca="1">F166</f>
        <v>#VALUE!</v>
      </c>
      <c r="D166" t="e">
        <f ca="1">C166+3*G166</f>
        <v>#VALUE!</v>
      </c>
      <c r="F166" t="e">
        <f t="shared" ca="1" si="16"/>
        <v>#VALUE!</v>
      </c>
      <c r="G166" t="e">
        <f t="shared" ca="1" si="17"/>
        <v>#VALUE!</v>
      </c>
      <c r="I166" t="e">
        <f t="shared" ref="I166:AN166" ca="1" si="19">transition($A3:$A163,I3:I163,I165)</f>
        <v>#VALUE!</v>
      </c>
      <c r="J166" t="e">
        <f t="shared" ca="1" si="19"/>
        <v>#VALUE!</v>
      </c>
      <c r="K166">
        <f t="shared" ca="1" si="19"/>
        <v>471.58562047673166</v>
      </c>
      <c r="L166">
        <f t="shared" ca="1" si="19"/>
        <v>476.70854988403801</v>
      </c>
      <c r="M166">
        <f t="shared" ca="1" si="19"/>
        <v>472.60533284758804</v>
      </c>
      <c r="N166">
        <f t="shared" ca="1" si="19"/>
        <v>477.8857490410054</v>
      </c>
      <c r="O166">
        <f t="shared" ca="1" si="19"/>
        <v>489.42295603070562</v>
      </c>
      <c r="P166">
        <f t="shared" ca="1" si="19"/>
        <v>492.68065474598245</v>
      </c>
      <c r="Q166">
        <f t="shared" ca="1" si="19"/>
        <v>498.02379297062384</v>
      </c>
      <c r="R166">
        <f t="shared" ca="1" si="19"/>
        <v>488.04282012578977</v>
      </c>
      <c r="S166">
        <f t="shared" ca="1" si="19"/>
        <v>472.53188872582069</v>
      </c>
      <c r="T166">
        <f t="shared" ca="1" si="19"/>
        <v>471.91588155240527</v>
      </c>
      <c r="U166" t="e">
        <f t="shared" ca="1" si="19"/>
        <v>#VALUE!</v>
      </c>
      <c r="V166">
        <f t="shared" ca="1" si="19"/>
        <v>472.07269517241764</v>
      </c>
      <c r="W166">
        <f t="shared" ca="1" si="19"/>
        <v>473.03767862963167</v>
      </c>
      <c r="X166">
        <f t="shared" ca="1" si="19"/>
        <v>489.76672204508617</v>
      </c>
      <c r="Y166">
        <f t="shared" ca="1" si="19"/>
        <v>497.09165454822119</v>
      </c>
      <c r="Z166">
        <f t="shared" ca="1" si="19"/>
        <v>491.98504446744369</v>
      </c>
      <c r="AA166">
        <f t="shared" ca="1" si="19"/>
        <v>488.84750628948723</v>
      </c>
      <c r="AB166">
        <f t="shared" ca="1" si="19"/>
        <v>477.74732776261317</v>
      </c>
      <c r="AC166">
        <f t="shared" ca="1" si="19"/>
        <v>473.5195099188532</v>
      </c>
      <c r="AD166">
        <f t="shared" ca="1" si="19"/>
        <v>476.49170215744721</v>
      </c>
      <c r="AE166" t="e">
        <f t="shared" ca="1" si="19"/>
        <v>#VALUE!</v>
      </c>
      <c r="AF166">
        <f t="shared" ca="1" si="19"/>
        <v>468.73999898691363</v>
      </c>
      <c r="AG166" t="e">
        <f t="shared" ca="1" si="19"/>
        <v>#VALUE!</v>
      </c>
      <c r="AH166" t="e">
        <f t="shared" ca="1" si="19"/>
        <v>#VALUE!</v>
      </c>
      <c r="AI166" t="e">
        <f t="shared" ca="1" si="19"/>
        <v>#VALUE!</v>
      </c>
      <c r="AJ166" t="e">
        <f t="shared" ca="1" si="19"/>
        <v>#VALUE!</v>
      </c>
      <c r="AK166" t="e">
        <f t="shared" ca="1" si="19"/>
        <v>#VALUE!</v>
      </c>
      <c r="AL166" t="e">
        <f t="shared" ca="1" si="19"/>
        <v>#VALUE!</v>
      </c>
      <c r="AM166" t="e">
        <f t="shared" ca="1" si="19"/>
        <v>#VALUE!</v>
      </c>
      <c r="AN166" t="e">
        <f t="shared" ca="1" si="19"/>
        <v>#VALUE!</v>
      </c>
    </row>
    <row r="167" spans="1:40">
      <c r="A167" s="7" t="s">
        <v>10</v>
      </c>
      <c r="B167" t="e">
        <f t="shared" ref="B167:B172" ca="1" si="20">C167-3*G167</f>
        <v>#VALUE!</v>
      </c>
      <c r="C167" t="e">
        <f t="shared" ref="C167:C172" ca="1" si="21">F167</f>
        <v>#VALUE!</v>
      </c>
      <c r="D167" t="e">
        <f t="shared" ref="D167:D172" ca="1" si="22">C167+3*G167</f>
        <v>#VALUE!</v>
      </c>
      <c r="F167" t="e">
        <f t="shared" ca="1" si="16"/>
        <v>#VALUE!</v>
      </c>
      <c r="G167" t="e">
        <f t="shared" ca="1" si="17"/>
        <v>#VALUE!</v>
      </c>
      <c r="I167">
        <f t="shared" ref="I167:AN167" ca="1" si="23">transition($A3:$A163,I3:I163,-I165)</f>
        <v>579.69132461955996</v>
      </c>
      <c r="J167">
        <f t="shared" ca="1" si="23"/>
        <v>581.60058468987472</v>
      </c>
      <c r="K167">
        <f t="shared" ca="1" si="23"/>
        <v>584.20188613521236</v>
      </c>
      <c r="L167">
        <f t="shared" ca="1" si="23"/>
        <v>578.79278444565148</v>
      </c>
      <c r="M167">
        <f t="shared" ca="1" si="23"/>
        <v>577.71306175548011</v>
      </c>
      <c r="N167">
        <f t="shared" ca="1" si="23"/>
        <v>580.5441551317856</v>
      </c>
      <c r="O167">
        <f t="shared" ca="1" si="23"/>
        <v>578.78181327472737</v>
      </c>
      <c r="P167">
        <f t="shared" ca="1" si="23"/>
        <v>579.30757552827822</v>
      </c>
      <c r="Q167">
        <f t="shared" ca="1" si="23"/>
        <v>578.22868362556858</v>
      </c>
      <c r="R167">
        <f t="shared" ca="1" si="23"/>
        <v>577.04808666440238</v>
      </c>
      <c r="S167">
        <f t="shared" ca="1" si="23"/>
        <v>577.24919920623495</v>
      </c>
      <c r="T167">
        <f t="shared" ca="1" si="23"/>
        <v>577.74570731656388</v>
      </c>
      <c r="U167" t="e">
        <f t="shared" ca="1" si="23"/>
        <v>#VALUE!</v>
      </c>
      <c r="V167">
        <f t="shared" ca="1" si="23"/>
        <v>577.61315697159966</v>
      </c>
      <c r="W167">
        <f t="shared" ca="1" si="23"/>
        <v>576.88158175675539</v>
      </c>
      <c r="X167">
        <f t="shared" ca="1" si="23"/>
        <v>575.8348567944181</v>
      </c>
      <c r="Y167">
        <f t="shared" ca="1" si="23"/>
        <v>577.41123840858336</v>
      </c>
      <c r="Z167">
        <f t="shared" ca="1" si="23"/>
        <v>578.54350186902991</v>
      </c>
      <c r="AA167">
        <f t="shared" ca="1" si="23"/>
        <v>577.4920436875509</v>
      </c>
      <c r="AB167">
        <f t="shared" ca="1" si="23"/>
        <v>579.92961995666519</v>
      </c>
      <c r="AC167">
        <f t="shared" ca="1" si="23"/>
        <v>577.78217261263615</v>
      </c>
      <c r="AD167">
        <f t="shared" ca="1" si="23"/>
        <v>574.0115090745453</v>
      </c>
      <c r="AE167" t="e">
        <f t="shared" ca="1" si="23"/>
        <v>#VALUE!</v>
      </c>
      <c r="AF167">
        <f t="shared" ca="1" si="23"/>
        <v>576.60451900018177</v>
      </c>
      <c r="AG167">
        <f t="shared" ca="1" si="23"/>
        <v>578.68353315390561</v>
      </c>
      <c r="AH167" t="e">
        <f t="shared" ca="1" si="23"/>
        <v>#VALUE!</v>
      </c>
      <c r="AI167" t="e">
        <f t="shared" ca="1" si="23"/>
        <v>#VALUE!</v>
      </c>
      <c r="AJ167" t="e">
        <f t="shared" ca="1" si="23"/>
        <v>#VALUE!</v>
      </c>
      <c r="AK167" t="e">
        <f t="shared" ca="1" si="23"/>
        <v>#VALUE!</v>
      </c>
      <c r="AL167" t="e">
        <f t="shared" ca="1" si="23"/>
        <v>#VALUE!</v>
      </c>
      <c r="AM167" t="e">
        <f t="shared" ca="1" si="23"/>
        <v>#VALUE!</v>
      </c>
      <c r="AN167" t="e">
        <f t="shared" ca="1" si="23"/>
        <v>#VALUE!</v>
      </c>
    </row>
    <row r="168" spans="1:40">
      <c r="A168" t="s">
        <v>11</v>
      </c>
      <c r="B168" t="e">
        <f t="shared" ca="1" si="20"/>
        <v>#VALUE!</v>
      </c>
      <c r="C168" t="e">
        <f t="shared" ca="1" si="21"/>
        <v>#VALUE!</v>
      </c>
      <c r="D168" t="e">
        <f t="shared" ca="1" si="22"/>
        <v>#VALUE!</v>
      </c>
      <c r="F168" t="e">
        <f t="shared" ca="1" si="16"/>
        <v>#VALUE!</v>
      </c>
      <c r="G168" t="e">
        <f t="shared" ca="1" si="17"/>
        <v>#VALUE!</v>
      </c>
      <c r="I168" t="e">
        <f t="shared" ref="I168:AN168" ca="1" si="24">(I167+I166)/2</f>
        <v>#VALUE!</v>
      </c>
      <c r="J168" t="e">
        <f t="shared" ca="1" si="24"/>
        <v>#VALUE!</v>
      </c>
      <c r="K168">
        <f t="shared" ca="1" si="24"/>
        <v>527.89375330597204</v>
      </c>
      <c r="L168">
        <f t="shared" ca="1" si="24"/>
        <v>527.7506671648448</v>
      </c>
      <c r="M168">
        <f t="shared" ca="1" si="24"/>
        <v>525.15919730153405</v>
      </c>
      <c r="N168">
        <f t="shared" ca="1" si="24"/>
        <v>529.21495208639544</v>
      </c>
      <c r="O168">
        <f t="shared" ca="1" si="24"/>
        <v>534.10238465271652</v>
      </c>
      <c r="P168">
        <f t="shared" ca="1" si="24"/>
        <v>535.99411513713039</v>
      </c>
      <c r="Q168">
        <f t="shared" ca="1" si="24"/>
        <v>538.12623829809627</v>
      </c>
      <c r="R168">
        <f t="shared" ca="1" si="24"/>
        <v>532.54545339509605</v>
      </c>
      <c r="S168">
        <f t="shared" ca="1" si="24"/>
        <v>524.89054396602785</v>
      </c>
      <c r="T168">
        <f t="shared" ca="1" si="24"/>
        <v>524.83079443448457</v>
      </c>
      <c r="U168" t="e">
        <f t="shared" ca="1" si="24"/>
        <v>#VALUE!</v>
      </c>
      <c r="V168">
        <f t="shared" ca="1" si="24"/>
        <v>524.84292607200859</v>
      </c>
      <c r="W168">
        <f t="shared" ca="1" si="24"/>
        <v>524.95963019319356</v>
      </c>
      <c r="X168">
        <f t="shared" ca="1" si="24"/>
        <v>532.80078941975216</v>
      </c>
      <c r="Y168">
        <f t="shared" ca="1" si="24"/>
        <v>537.25144647840227</v>
      </c>
      <c r="Z168">
        <f t="shared" ca="1" si="24"/>
        <v>535.26427316823674</v>
      </c>
      <c r="AA168">
        <f t="shared" ca="1" si="24"/>
        <v>533.16977498851907</v>
      </c>
      <c r="AB168">
        <f t="shared" ca="1" si="24"/>
        <v>528.83847385963918</v>
      </c>
      <c r="AC168">
        <f t="shared" ca="1" si="24"/>
        <v>525.6508412657447</v>
      </c>
      <c r="AD168">
        <f t="shared" ca="1" si="24"/>
        <v>525.25160561599625</v>
      </c>
      <c r="AE168" t="e">
        <f t="shared" ca="1" si="24"/>
        <v>#VALUE!</v>
      </c>
      <c r="AF168">
        <f t="shared" ca="1" si="24"/>
        <v>522.67225899354776</v>
      </c>
      <c r="AG168" t="e">
        <f t="shared" ca="1" si="24"/>
        <v>#VALUE!</v>
      </c>
      <c r="AH168" t="e">
        <f t="shared" ca="1" si="24"/>
        <v>#VALUE!</v>
      </c>
      <c r="AI168" t="e">
        <f t="shared" ca="1" si="24"/>
        <v>#VALUE!</v>
      </c>
      <c r="AJ168" t="e">
        <f t="shared" ca="1" si="24"/>
        <v>#VALUE!</v>
      </c>
      <c r="AK168" t="e">
        <f t="shared" ca="1" si="24"/>
        <v>#VALUE!</v>
      </c>
      <c r="AL168" t="e">
        <f t="shared" ca="1" si="24"/>
        <v>#VALUE!</v>
      </c>
      <c r="AM168" t="e">
        <f t="shared" ca="1" si="24"/>
        <v>#VALUE!</v>
      </c>
      <c r="AN168" t="e">
        <f t="shared" ca="1" si="24"/>
        <v>#VALUE!</v>
      </c>
    </row>
    <row r="169" spans="1:40">
      <c r="A169" t="s">
        <v>12</v>
      </c>
      <c r="B169" t="e">
        <f t="shared" ca="1" si="20"/>
        <v>#VALUE!</v>
      </c>
      <c r="C169" t="e">
        <f t="shared" ca="1" si="21"/>
        <v>#VALUE!</v>
      </c>
      <c r="D169" t="e">
        <f t="shared" ca="1" si="22"/>
        <v>#VALUE!</v>
      </c>
      <c r="F169" t="e">
        <f t="shared" ca="1" si="16"/>
        <v>#VALUE!</v>
      </c>
      <c r="G169" t="e">
        <f t="shared" ca="1" si="17"/>
        <v>#VALUE!</v>
      </c>
      <c r="I169" t="e">
        <f t="shared" ref="I169:AN169" ca="1" si="25">I167-I166</f>
        <v>#VALUE!</v>
      </c>
      <c r="J169" t="e">
        <f t="shared" ca="1" si="25"/>
        <v>#VALUE!</v>
      </c>
      <c r="K169">
        <f t="shared" ca="1" si="25"/>
        <v>112.6162656584807</v>
      </c>
      <c r="L169">
        <f t="shared" ca="1" si="25"/>
        <v>102.08423456161347</v>
      </c>
      <c r="M169">
        <f t="shared" ca="1" si="25"/>
        <v>105.10772890789207</v>
      </c>
      <c r="N169">
        <f t="shared" ca="1" si="25"/>
        <v>102.6584060907802</v>
      </c>
      <c r="O169">
        <f t="shared" ca="1" si="25"/>
        <v>89.358857244021749</v>
      </c>
      <c r="P169">
        <f t="shared" ca="1" si="25"/>
        <v>86.62692078229577</v>
      </c>
      <c r="Q169">
        <f t="shared" ca="1" si="25"/>
        <v>80.204890654944734</v>
      </c>
      <c r="R169">
        <f t="shared" ca="1" si="25"/>
        <v>89.005266538612602</v>
      </c>
      <c r="S169">
        <f t="shared" ca="1" si="25"/>
        <v>104.71731048041426</v>
      </c>
      <c r="T169">
        <f t="shared" ca="1" si="25"/>
        <v>105.82982576415861</v>
      </c>
      <c r="U169" t="e">
        <f t="shared" ca="1" si="25"/>
        <v>#VALUE!</v>
      </c>
      <c r="V169">
        <f t="shared" ca="1" si="25"/>
        <v>105.54046179918203</v>
      </c>
      <c r="W169">
        <f t="shared" ca="1" si="25"/>
        <v>103.84390312712372</v>
      </c>
      <c r="X169">
        <f t="shared" ca="1" si="25"/>
        <v>86.068134749331932</v>
      </c>
      <c r="Y169">
        <f t="shared" ca="1" si="25"/>
        <v>80.319583860362172</v>
      </c>
      <c r="Z169">
        <f t="shared" ca="1" si="25"/>
        <v>86.558457401586224</v>
      </c>
      <c r="AA169">
        <f t="shared" ca="1" si="25"/>
        <v>88.644537398063676</v>
      </c>
      <c r="AB169">
        <f t="shared" ca="1" si="25"/>
        <v>102.18229219405202</v>
      </c>
      <c r="AC169">
        <f t="shared" ca="1" si="25"/>
        <v>104.26266269378294</v>
      </c>
      <c r="AD169">
        <f t="shared" ca="1" si="25"/>
        <v>97.519806917098094</v>
      </c>
      <c r="AE169" t="e">
        <f t="shared" ca="1" si="25"/>
        <v>#VALUE!</v>
      </c>
      <c r="AF169">
        <f t="shared" ca="1" si="25"/>
        <v>107.86452001326813</v>
      </c>
      <c r="AG169" t="e">
        <f t="shared" ca="1" si="25"/>
        <v>#VALUE!</v>
      </c>
      <c r="AH169" t="e">
        <f t="shared" ca="1" si="25"/>
        <v>#VALUE!</v>
      </c>
      <c r="AI169" t="e">
        <f t="shared" ca="1" si="25"/>
        <v>#VALUE!</v>
      </c>
      <c r="AJ169" t="e">
        <f t="shared" ca="1" si="25"/>
        <v>#VALUE!</v>
      </c>
      <c r="AK169" t="e">
        <f t="shared" ca="1" si="25"/>
        <v>#VALUE!</v>
      </c>
      <c r="AL169" t="e">
        <f t="shared" ca="1" si="25"/>
        <v>#VALUE!</v>
      </c>
      <c r="AM169" t="e">
        <f t="shared" ca="1" si="25"/>
        <v>#VALUE!</v>
      </c>
      <c r="AN169" t="e">
        <f t="shared" ca="1" si="25"/>
        <v>#VALUE!</v>
      </c>
    </row>
    <row r="170" spans="1:40">
      <c r="A170" t="s">
        <v>14</v>
      </c>
      <c r="B170" t="e">
        <f t="shared" ca="1" si="20"/>
        <v>#REF!</v>
      </c>
      <c r="C170" t="e">
        <f t="shared" ca="1" si="21"/>
        <v>#REF!</v>
      </c>
      <c r="D170" t="e">
        <f t="shared" ca="1" si="22"/>
        <v>#REF!</v>
      </c>
      <c r="F170" t="e">
        <f t="shared" ca="1" si="16"/>
        <v>#REF!</v>
      </c>
      <c r="G170" t="e">
        <f t="shared" ca="1" si="17"/>
        <v>#REF!</v>
      </c>
      <c r="I170">
        <f t="shared" ref="I170:AN170" ca="1" si="26">SUM(I3:I163)</f>
        <v>1.5281317129432577</v>
      </c>
      <c r="J170">
        <f t="shared" ca="1" si="26"/>
        <v>1.3145883796788895</v>
      </c>
      <c r="K170">
        <f t="shared" ca="1" si="26"/>
        <v>1.1668946028837981</v>
      </c>
      <c r="L170">
        <f t="shared" ca="1" si="26"/>
        <v>1.0650068185633041</v>
      </c>
      <c r="M170">
        <f t="shared" ca="1" si="26"/>
        <v>1.1947832914876402</v>
      </c>
      <c r="N170">
        <f t="shared" ca="1" si="26"/>
        <v>1.1446576705543801</v>
      </c>
      <c r="O170">
        <f t="shared" ca="1" si="26"/>
        <v>1.1423083164709751</v>
      </c>
      <c r="P170">
        <f t="shared" ca="1" si="26"/>
        <v>1.1592209626847307</v>
      </c>
      <c r="Q170">
        <f t="shared" ca="1" si="26"/>
        <v>1.1569467393285615</v>
      </c>
      <c r="R170">
        <f t="shared" ca="1" si="26"/>
        <v>1.1593123260663381</v>
      </c>
      <c r="S170">
        <f t="shared" ca="1" si="26"/>
        <v>1.165707432819669</v>
      </c>
      <c r="T170">
        <f t="shared" ca="1" si="26"/>
        <v>1.1702796784579252</v>
      </c>
      <c r="U170" t="e">
        <f t="shared" ca="1" si="26"/>
        <v>#REF!</v>
      </c>
      <c r="V170">
        <f t="shared" ca="1" si="26"/>
        <v>1.1729375508538591</v>
      </c>
      <c r="W170">
        <f t="shared" ca="1" si="26"/>
        <v>1.1691666952311295</v>
      </c>
      <c r="X170">
        <f t="shared" ca="1" si="26"/>
        <v>1.177629484849074</v>
      </c>
      <c r="Y170">
        <f t="shared" ca="1" si="26"/>
        <v>1.1777230298766934</v>
      </c>
      <c r="Z170">
        <f t="shared" ca="1" si="26"/>
        <v>1.1787678527180976</v>
      </c>
      <c r="AA170">
        <f t="shared" ca="1" si="26"/>
        <v>1.1625416793713994</v>
      </c>
      <c r="AB170">
        <f t="shared" ca="1" si="26"/>
        <v>1.1607798798971887</v>
      </c>
      <c r="AC170">
        <f t="shared" ca="1" si="26"/>
        <v>1.1599022244675938</v>
      </c>
      <c r="AD170">
        <f t="shared" ca="1" si="26"/>
        <v>1.1509478603672583</v>
      </c>
      <c r="AE170" t="e">
        <f t="shared" ca="1" si="26"/>
        <v>#REF!</v>
      </c>
      <c r="AF170">
        <f t="shared" ca="1" si="26"/>
        <v>1.2180956321596879</v>
      </c>
      <c r="AG170">
        <f t="shared" ca="1" si="26"/>
        <v>1.3012124261798599</v>
      </c>
      <c r="AH170" t="e">
        <f t="shared" ca="1" si="26"/>
        <v>#DIV/0!</v>
      </c>
      <c r="AI170" t="e">
        <f t="shared" ca="1" si="26"/>
        <v>#DIV/0!</v>
      </c>
      <c r="AJ170" t="e">
        <f t="shared" ca="1" si="26"/>
        <v>#DIV/0!</v>
      </c>
      <c r="AK170" t="e">
        <f t="shared" ca="1" si="26"/>
        <v>#DIV/0!</v>
      </c>
      <c r="AL170" t="e">
        <f t="shared" ca="1" si="26"/>
        <v>#DIV/0!</v>
      </c>
      <c r="AM170" t="e">
        <f t="shared" ca="1" si="26"/>
        <v>#DIV/0!</v>
      </c>
      <c r="AN170" t="e">
        <f t="shared" ca="1" si="26"/>
        <v>#DIV/0!</v>
      </c>
    </row>
    <row r="171" spans="1:40">
      <c r="A171" t="s">
        <v>15</v>
      </c>
      <c r="B171" t="e">
        <f t="shared" ca="1" si="20"/>
        <v>#DIV/0!</v>
      </c>
      <c r="C171" t="e">
        <f t="shared" ca="1" si="21"/>
        <v>#DIV/0!</v>
      </c>
      <c r="D171" t="e">
        <f t="shared" ca="1" si="22"/>
        <v>#DIV/0!</v>
      </c>
      <c r="F171" t="e">
        <f t="shared" ca="1" si="16"/>
        <v>#DIV/0!</v>
      </c>
      <c r="G171" t="e">
        <f t="shared" ca="1" si="17"/>
        <v>#DIV/0!</v>
      </c>
      <c r="I171">
        <f t="shared" ref="I171:AN171" ca="1" si="27">SUM(I90:I163)</f>
        <v>0.16864224982065235</v>
      </c>
      <c r="J171">
        <f t="shared" ca="1" si="27"/>
        <v>0.27089358785600015</v>
      </c>
      <c r="K171">
        <f t="shared" ca="1" si="27"/>
        <v>0.26526191866252746</v>
      </c>
      <c r="L171">
        <f t="shared" ca="1" si="27"/>
        <v>0.30918805180598702</v>
      </c>
      <c r="M171">
        <f t="shared" ca="1" si="27"/>
        <v>2.510427004609242E-2</v>
      </c>
      <c r="N171">
        <f t="shared" ca="1" si="27"/>
        <v>0.11175044410281887</v>
      </c>
      <c r="O171">
        <f t="shared" ca="1" si="27"/>
        <v>0.1108248093695675</v>
      </c>
      <c r="P171">
        <f t="shared" ca="1" si="27"/>
        <v>9.5661302241523569E-2</v>
      </c>
      <c r="Q171">
        <f t="shared" ca="1" si="27"/>
        <v>8.0327666753544025E-2</v>
      </c>
      <c r="R171">
        <f t="shared" ca="1" si="27"/>
        <v>7.0723771934624091E-2</v>
      </c>
      <c r="S171">
        <f t="shared" ca="1" si="27"/>
        <v>5.809889734709392E-2</v>
      </c>
      <c r="T171">
        <f t="shared" ca="1" si="27"/>
        <v>5.3689623270742969E-2</v>
      </c>
      <c r="U171">
        <f t="shared" ca="1" si="27"/>
        <v>5.4246309828794546E-2</v>
      </c>
      <c r="V171">
        <f t="shared" ca="1" si="27"/>
        <v>4.9849898690816838E-2</v>
      </c>
      <c r="W171">
        <f t="shared" ca="1" si="27"/>
        <v>5.1109902420107461E-2</v>
      </c>
      <c r="X171">
        <f t="shared" ca="1" si="27"/>
        <v>4.4350417231164445E-2</v>
      </c>
      <c r="Y171">
        <f t="shared" ca="1" si="27"/>
        <v>4.0596217955276452E-2</v>
      </c>
      <c r="Z171">
        <f t="shared" ca="1" si="27"/>
        <v>5.1204886864991896E-2</v>
      </c>
      <c r="AA171">
        <f t="shared" ca="1" si="27"/>
        <v>6.144151680330575E-2</v>
      </c>
      <c r="AB171">
        <f t="shared" ca="1" si="27"/>
        <v>6.5762558992279396E-2</v>
      </c>
      <c r="AC171">
        <f t="shared" ca="1" si="27"/>
        <v>6.9311591612479365E-2</v>
      </c>
      <c r="AD171">
        <f t="shared" ca="1" si="27"/>
        <v>9.5886392920992172E-2</v>
      </c>
      <c r="AE171">
        <f t="shared" ca="1" si="27"/>
        <v>0.16302812492662697</v>
      </c>
      <c r="AF171">
        <f t="shared" ca="1" si="27"/>
        <v>0.11762030703082257</v>
      </c>
      <c r="AG171">
        <f t="shared" ca="1" si="27"/>
        <v>0.13714581277036528</v>
      </c>
      <c r="AH171" t="e">
        <f t="shared" ca="1" si="27"/>
        <v>#DIV/0!</v>
      </c>
      <c r="AI171" t="e">
        <f t="shared" ca="1" si="27"/>
        <v>#DIV/0!</v>
      </c>
      <c r="AJ171" t="e">
        <f t="shared" ca="1" si="27"/>
        <v>#DIV/0!</v>
      </c>
      <c r="AK171" t="e">
        <f t="shared" ca="1" si="27"/>
        <v>#DIV/0!</v>
      </c>
      <c r="AL171" t="e">
        <f t="shared" ca="1" si="27"/>
        <v>#DIV/0!</v>
      </c>
      <c r="AM171" t="e">
        <f t="shared" ca="1" si="27"/>
        <v>#DIV/0!</v>
      </c>
      <c r="AN171" t="e">
        <f t="shared" ca="1" si="27"/>
        <v>#DIV/0!</v>
      </c>
    </row>
    <row r="172" spans="1:40">
      <c r="A172" t="s">
        <v>13</v>
      </c>
      <c r="B172" s="2" t="e">
        <f t="shared" ca="1" si="20"/>
        <v>#REF!</v>
      </c>
      <c r="C172" s="2" t="e">
        <f t="shared" ca="1" si="21"/>
        <v>#REF!</v>
      </c>
      <c r="D172" s="2" t="e">
        <f t="shared" ca="1" si="22"/>
        <v>#REF!</v>
      </c>
      <c r="E172" s="2"/>
      <c r="F172" s="2" t="e">
        <f t="shared" ca="1" si="16"/>
        <v>#REF!</v>
      </c>
      <c r="G172" s="2" t="e">
        <f t="shared" ca="1" si="17"/>
        <v>#REF!</v>
      </c>
      <c r="H172" s="2"/>
      <c r="I172" s="2">
        <f t="shared" ref="I172:AN172" ca="1" si="28">I171/I170</f>
        <v>0.1103584516912086</v>
      </c>
      <c r="J172" s="2">
        <f t="shared" ca="1" si="28"/>
        <v>0.20606723141898645</v>
      </c>
      <c r="K172" s="2">
        <f t="shared" ca="1" si="28"/>
        <v>0.22732294588300775</v>
      </c>
      <c r="L172" s="2">
        <f t="shared" ca="1" si="28"/>
        <v>0.29031556081780036</v>
      </c>
      <c r="M172" s="2">
        <f t="shared" ca="1" si="28"/>
        <v>2.1011567725252308E-2</v>
      </c>
      <c r="N172" s="2">
        <f t="shared" ca="1" si="28"/>
        <v>9.7627829680026479E-2</v>
      </c>
      <c r="O172" s="2">
        <f t="shared" ca="1" si="28"/>
        <v>9.701829862531991E-2</v>
      </c>
      <c r="P172" s="2">
        <f t="shared" ca="1" si="28"/>
        <v>8.25220603498871E-2</v>
      </c>
      <c r="Q172" s="2">
        <f t="shared" ca="1" si="28"/>
        <v>6.9430738704672354E-2</v>
      </c>
      <c r="R172" s="2">
        <f t="shared" ca="1" si="28"/>
        <v>6.1004933997895874E-2</v>
      </c>
      <c r="S172" s="2">
        <f t="shared" ca="1" si="28"/>
        <v>4.9840033366315185E-2</v>
      </c>
      <c r="T172" s="2">
        <f t="shared" ca="1" si="28"/>
        <v>4.5877600251496856E-2</v>
      </c>
      <c r="U172" s="2" t="e">
        <f t="shared" ca="1" si="28"/>
        <v>#REF!</v>
      </c>
      <c r="V172" s="2">
        <f t="shared" ca="1" si="28"/>
        <v>4.2500044997730517E-2</v>
      </c>
      <c r="W172" s="2">
        <f t="shared" ca="1" si="28"/>
        <v>4.3714812120955668E-2</v>
      </c>
      <c r="X172" s="2">
        <f t="shared" ca="1" si="28"/>
        <v>3.766075646182418E-2</v>
      </c>
      <c r="Y172" s="2">
        <f t="shared" ca="1" si="28"/>
        <v>3.4470089253096158E-2</v>
      </c>
      <c r="Z172" s="2">
        <f t="shared" ca="1" si="28"/>
        <v>4.3439330947921219E-2</v>
      </c>
      <c r="AA172" s="2">
        <f t="shared" ca="1" si="28"/>
        <v>5.2851022800772127E-2</v>
      </c>
      <c r="AB172" s="2">
        <f t="shared" ca="1" si="28"/>
        <v>5.6653772288079329E-2</v>
      </c>
      <c r="AC172" s="2">
        <f t="shared" ca="1" si="28"/>
        <v>5.9756408902736646E-2</v>
      </c>
      <c r="AD172" s="2">
        <f t="shared" ca="1" si="28"/>
        <v>8.3310805139683378E-2</v>
      </c>
      <c r="AE172" s="2" t="e">
        <f t="shared" ca="1" si="28"/>
        <v>#REF!</v>
      </c>
      <c r="AF172" s="2">
        <f t="shared" ca="1" si="28"/>
        <v>9.6560815034104797E-2</v>
      </c>
      <c r="AG172" s="2">
        <f t="shared" ca="1" si="28"/>
        <v>0.1053984806869715</v>
      </c>
      <c r="AH172" s="2" t="e">
        <f t="shared" ca="1" si="28"/>
        <v>#DIV/0!</v>
      </c>
      <c r="AI172" s="2" t="e">
        <f t="shared" ca="1" si="28"/>
        <v>#DIV/0!</v>
      </c>
      <c r="AJ172" s="2" t="e">
        <f t="shared" ca="1" si="28"/>
        <v>#DIV/0!</v>
      </c>
      <c r="AK172" s="2" t="e">
        <f t="shared" ca="1" si="28"/>
        <v>#DIV/0!</v>
      </c>
      <c r="AL172" s="2" t="e">
        <f t="shared" ca="1" si="28"/>
        <v>#DIV/0!</v>
      </c>
      <c r="AM172" s="2" t="e">
        <f t="shared" ca="1" si="28"/>
        <v>#DIV/0!</v>
      </c>
      <c r="AN172" s="2" t="e">
        <f t="shared" ca="1" si="28"/>
        <v>#DIV/0!</v>
      </c>
    </row>
    <row r="174" spans="1:40">
      <c r="I174" s="67" t="s">
        <v>39</v>
      </c>
      <c r="J174" s="68"/>
      <c r="K174" s="67" t="s">
        <v>38</v>
      </c>
      <c r="L174" s="68"/>
      <c r="M174" s="67" t="s">
        <v>37</v>
      </c>
      <c r="N174" s="68"/>
    </row>
    <row r="175" spans="1:40">
      <c r="I175" s="40">
        <v>8</v>
      </c>
      <c r="J175" s="41"/>
      <c r="K175" s="40">
        <f>I175</f>
        <v>8</v>
      </c>
      <c r="L175" s="41"/>
      <c r="M175" s="40">
        <f>K175</f>
        <v>8</v>
      </c>
      <c r="N175" s="41"/>
    </row>
    <row r="176" spans="1:40">
      <c r="I176" s="42" t="e">
        <f ca="1">MIN(I168:AN168)</f>
        <v>#VALUE!</v>
      </c>
      <c r="J176" s="41" t="e">
        <f ca="1">histogram(I$168:AN$168,I$176:I$183,I176)</f>
        <v>#VALUE!</v>
      </c>
      <c r="K176" s="42" t="e">
        <f ca="1">MIN(I169:AN169)</f>
        <v>#VALUE!</v>
      </c>
      <c r="L176" s="41" t="e">
        <f t="shared" ref="L176:L183" ca="1" si="29">histogram(I$169:AN$169,K$176:K$183,K176)</f>
        <v>#VALUE!</v>
      </c>
      <c r="M176" s="45" t="e">
        <f ca="1">MIN(I172:AN172)</f>
        <v>#REF!</v>
      </c>
      <c r="N176" s="41" t="e">
        <f t="shared" ref="N176:N183" ca="1" si="30">histogram(I$172:AN$172,M$176:M$183,M176)</f>
        <v>#VALUE!</v>
      </c>
    </row>
    <row r="177" spans="9:14">
      <c r="I177" s="42" t="e">
        <f t="shared" ref="I177:I182" ca="1" si="31">I176+(I$183-I$176)/(I$175-1)</f>
        <v>#VALUE!</v>
      </c>
      <c r="J177" s="41" t="e">
        <f t="shared" ref="J177:J183" ca="1" si="32">histogram(I$168:AN$168,I$176:I$183,I177)</f>
        <v>#VALUE!</v>
      </c>
      <c r="K177" s="42" t="e">
        <f t="shared" ref="K177:K182" ca="1" si="33">K176+(K$183-K$176)/(K$175-1)</f>
        <v>#VALUE!</v>
      </c>
      <c r="L177" s="41" t="e">
        <f t="shared" ca="1" si="29"/>
        <v>#VALUE!</v>
      </c>
      <c r="M177" s="45" t="e">
        <f t="shared" ref="M177:M182" ca="1" si="34">M176+(M$183-M$176)/(M$175-1)</f>
        <v>#REF!</v>
      </c>
      <c r="N177" s="41" t="e">
        <f t="shared" ca="1" si="30"/>
        <v>#VALUE!</v>
      </c>
    </row>
    <row r="178" spans="9:14">
      <c r="I178" s="42" t="e">
        <f t="shared" ca="1" si="31"/>
        <v>#VALUE!</v>
      </c>
      <c r="J178" s="41" t="e">
        <f t="shared" ca="1" si="32"/>
        <v>#VALUE!</v>
      </c>
      <c r="K178" s="42" t="e">
        <f t="shared" ca="1" si="33"/>
        <v>#VALUE!</v>
      </c>
      <c r="L178" s="41" t="e">
        <f t="shared" ca="1" si="29"/>
        <v>#VALUE!</v>
      </c>
      <c r="M178" s="45" t="e">
        <f t="shared" ca="1" si="34"/>
        <v>#REF!</v>
      </c>
      <c r="N178" s="41" t="e">
        <f t="shared" ca="1" si="30"/>
        <v>#VALUE!</v>
      </c>
    </row>
    <row r="179" spans="9:14">
      <c r="I179" s="42" t="e">
        <f t="shared" ca="1" si="31"/>
        <v>#VALUE!</v>
      </c>
      <c r="J179" s="41" t="e">
        <f t="shared" ca="1" si="32"/>
        <v>#VALUE!</v>
      </c>
      <c r="K179" s="42" t="e">
        <f t="shared" ca="1" si="33"/>
        <v>#VALUE!</v>
      </c>
      <c r="L179" s="41" t="e">
        <f t="shared" ca="1" si="29"/>
        <v>#VALUE!</v>
      </c>
      <c r="M179" s="45" t="e">
        <f t="shared" ca="1" si="34"/>
        <v>#REF!</v>
      </c>
      <c r="N179" s="41" t="e">
        <f t="shared" ca="1" si="30"/>
        <v>#VALUE!</v>
      </c>
    </row>
    <row r="180" spans="9:14">
      <c r="I180" s="42" t="e">
        <f t="shared" ca="1" si="31"/>
        <v>#VALUE!</v>
      </c>
      <c r="J180" s="41" t="e">
        <f t="shared" ca="1" si="32"/>
        <v>#VALUE!</v>
      </c>
      <c r="K180" s="42" t="e">
        <f t="shared" ca="1" si="33"/>
        <v>#VALUE!</v>
      </c>
      <c r="L180" s="41" t="e">
        <f t="shared" ca="1" si="29"/>
        <v>#VALUE!</v>
      </c>
      <c r="M180" s="45" t="e">
        <f t="shared" ca="1" si="34"/>
        <v>#REF!</v>
      </c>
      <c r="N180" s="41" t="e">
        <f t="shared" ca="1" si="30"/>
        <v>#VALUE!</v>
      </c>
    </row>
    <row r="181" spans="9:14">
      <c r="I181" s="42" t="e">
        <f t="shared" ca="1" si="31"/>
        <v>#VALUE!</v>
      </c>
      <c r="J181" s="41" t="e">
        <f t="shared" ca="1" si="32"/>
        <v>#VALUE!</v>
      </c>
      <c r="K181" s="42" t="e">
        <f t="shared" ca="1" si="33"/>
        <v>#VALUE!</v>
      </c>
      <c r="L181" s="41" t="e">
        <f t="shared" ca="1" si="29"/>
        <v>#VALUE!</v>
      </c>
      <c r="M181" s="45" t="e">
        <f t="shared" ca="1" si="34"/>
        <v>#REF!</v>
      </c>
      <c r="N181" s="41" t="e">
        <f t="shared" ca="1" si="30"/>
        <v>#VALUE!</v>
      </c>
    </row>
    <row r="182" spans="9:14">
      <c r="I182" s="42" t="e">
        <f t="shared" ca="1" si="31"/>
        <v>#VALUE!</v>
      </c>
      <c r="J182" s="41" t="e">
        <f t="shared" ca="1" si="32"/>
        <v>#VALUE!</v>
      </c>
      <c r="K182" s="42" t="e">
        <f t="shared" ca="1" si="33"/>
        <v>#VALUE!</v>
      </c>
      <c r="L182" s="41" t="e">
        <f t="shared" ca="1" si="29"/>
        <v>#VALUE!</v>
      </c>
      <c r="M182" s="45" t="e">
        <f t="shared" ca="1" si="34"/>
        <v>#REF!</v>
      </c>
      <c r="N182" s="41" t="e">
        <f t="shared" ca="1" si="30"/>
        <v>#VALUE!</v>
      </c>
    </row>
    <row r="183" spans="9:14">
      <c r="I183" s="43" t="e">
        <f ca="1">MAX(I168:AN168)</f>
        <v>#VALUE!</v>
      </c>
      <c r="J183" s="44" t="e">
        <f t="shared" ca="1" si="32"/>
        <v>#VALUE!</v>
      </c>
      <c r="K183" s="43" t="e">
        <f ca="1">MAX(I169:AN169)</f>
        <v>#VALUE!</v>
      </c>
      <c r="L183" s="44" t="e">
        <f t="shared" ca="1" si="29"/>
        <v>#VALUE!</v>
      </c>
      <c r="M183" s="46" t="e">
        <f ca="1">MAX(I172:AN172)</f>
        <v>#REF!</v>
      </c>
      <c r="N183" s="44" t="e">
        <f t="shared" ca="1" si="30"/>
        <v>#VALUE!</v>
      </c>
    </row>
  </sheetData>
  <mergeCells count="4">
    <mergeCell ref="B164:D164"/>
    <mergeCell ref="I174:J174"/>
    <mergeCell ref="K174:L174"/>
    <mergeCell ref="M174:N174"/>
  </mergeCells>
  <conditionalFormatting sqref="I168:AN168">
    <cfRule type="top10" dxfId="5" priority="5" percent="1" bottom="1" rank="10"/>
    <cfRule type="top10" dxfId="4" priority="6" percent="1" rank="10"/>
  </conditionalFormatting>
  <conditionalFormatting sqref="I169:AN169">
    <cfRule type="top10" dxfId="3" priority="3" percent="1" bottom="1" rank="10"/>
    <cfRule type="top10" dxfId="2" priority="4" percent="1" rank="10"/>
  </conditionalFormatting>
  <conditionalFormatting sqref="I172:AN172">
    <cfRule type="top10" dxfId="1" priority="1" percent="1" bottom="1" rank="10"/>
    <cfRule type="top10" dxfId="0" priority="2" percent="1" rank="10"/>
  </conditionalFormatting>
  <pageMargins left="0.7" right="0.7" top="0.75" bottom="0.75" header="0.3" footer="0.3"/>
  <ignoredErrors>
    <ignoredError sqref="J177:J182 L177:L18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L1:AX165"/>
  <sheetViews>
    <sheetView topLeftCell="A2" zoomScale="80" zoomScaleNormal="80" workbookViewId="0">
      <pane ySplit="6240" topLeftCell="A158"/>
      <selection activeCell="F23" sqref="F23"/>
      <selection pane="bottomLeft" activeCell="O165" sqref="N6:O165"/>
    </sheetView>
  </sheetViews>
  <sheetFormatPr defaultRowHeight="15"/>
  <sheetData>
    <row r="1" spans="12:50">
      <c r="O1">
        <f>data1!B1</f>
        <v>0</v>
      </c>
      <c r="P1">
        <f>data1!C1</f>
        <v>1</v>
      </c>
      <c r="Q1">
        <f>data1!D1</f>
        <v>2</v>
      </c>
      <c r="R1">
        <f>data1!E1</f>
        <v>3</v>
      </c>
      <c r="S1">
        <f>data1!F1</f>
        <v>4</v>
      </c>
      <c r="T1">
        <f>data1!G1</f>
        <v>5</v>
      </c>
      <c r="U1">
        <f>data1!H1</f>
        <v>6</v>
      </c>
      <c r="V1">
        <f>data1!I1</f>
        <v>7</v>
      </c>
      <c r="W1">
        <f>data1!J1</f>
        <v>8</v>
      </c>
      <c r="X1">
        <f>data1!K1</f>
        <v>9</v>
      </c>
      <c r="Y1">
        <f>data1!L1</f>
        <v>10</v>
      </c>
      <c r="Z1">
        <f>data1!M1</f>
        <v>11</v>
      </c>
      <c r="AA1">
        <f>data1!N1</f>
        <v>12</v>
      </c>
      <c r="AB1">
        <f>data1!O1</f>
        <v>13</v>
      </c>
      <c r="AC1">
        <f>data1!P1</f>
        <v>14</v>
      </c>
      <c r="AD1">
        <f>data1!Q1</f>
        <v>15</v>
      </c>
      <c r="AE1">
        <f>data1!R1</f>
        <v>16</v>
      </c>
      <c r="AF1">
        <f>data1!S1</f>
        <v>17</v>
      </c>
      <c r="AG1">
        <f>data1!T1</f>
        <v>18</v>
      </c>
      <c r="AH1">
        <f>data1!U1</f>
        <v>19</v>
      </c>
      <c r="AI1">
        <f>data1!V1</f>
        <v>20</v>
      </c>
      <c r="AJ1">
        <f>data1!W1</f>
        <v>21</v>
      </c>
      <c r="AK1">
        <f>data1!X1</f>
        <v>22</v>
      </c>
      <c r="AL1">
        <f>data1!Y1</f>
        <v>23</v>
      </c>
      <c r="AM1">
        <f>data1!Z1</f>
        <v>24</v>
      </c>
      <c r="AN1">
        <f>data1!AA1</f>
        <v>25</v>
      </c>
      <c r="AO1">
        <f>data1!AB1</f>
        <v>26</v>
      </c>
      <c r="AP1">
        <f>data1!AC1</f>
        <v>27</v>
      </c>
      <c r="AQ1">
        <f>data1!AD1</f>
        <v>28</v>
      </c>
      <c r="AR1">
        <f>data1!AE1</f>
        <v>29</v>
      </c>
      <c r="AS1">
        <f>data1!AF1</f>
        <v>30</v>
      </c>
      <c r="AT1">
        <f>data1!AG1</f>
        <v>31</v>
      </c>
      <c r="AU1">
        <f>data1!AH1</f>
        <v>32</v>
      </c>
      <c r="AV1">
        <f>data1!AI1</f>
        <v>33</v>
      </c>
      <c r="AW1">
        <f>data1!AJ1</f>
        <v>34</v>
      </c>
      <c r="AX1">
        <f>data1!AK1</f>
        <v>35</v>
      </c>
    </row>
    <row r="2" spans="12:50">
      <c r="M2">
        <f ca="1">MAX(M6:M165)</f>
        <v>3.423725949464837E-2</v>
      </c>
      <c r="N2" t="s">
        <v>29</v>
      </c>
      <c r="O2">
        <f>MIN(data1!B2:B162)</f>
        <v>0.11023622047244094</v>
      </c>
      <c r="P2">
        <f>MIN(data1!C2:C162)</f>
        <v>0.10236220472440945</v>
      </c>
      <c r="Q2">
        <f>MIN(data1!D2:D162)</f>
        <v>0.11023622047244094</v>
      </c>
      <c r="R2">
        <f>MIN(data1!E2:E162)</f>
        <v>0.11811023622047244</v>
      </c>
      <c r="S2">
        <f>MIN(data1!F2:F162)</f>
        <v>0.11811023622047244</v>
      </c>
      <c r="T2">
        <f>MIN(data1!G2:G162)</f>
        <v>0.11023622047244094</v>
      </c>
      <c r="U2">
        <f>MIN(data1!H2:H162)</f>
        <v>0.11811023622047244</v>
      </c>
      <c r="V2">
        <f>MIN(data1!I2:I162)</f>
        <v>0</v>
      </c>
      <c r="W2">
        <f>MIN(data1!J2:J162)</f>
        <v>0.11811023622047244</v>
      </c>
      <c r="X2">
        <f>MIN(data1!K2:K162)</f>
        <v>0.11023622047244094</v>
      </c>
      <c r="Y2">
        <f>MIN(data1!L2:L162)</f>
        <v>0</v>
      </c>
      <c r="Z2">
        <f>MIN(data1!M2:M162)</f>
        <v>0</v>
      </c>
      <c r="AA2">
        <f>MIN(data1!N2:N162)</f>
        <v>0</v>
      </c>
      <c r="AB2">
        <f>MIN(data1!O2:O162)</f>
        <v>0</v>
      </c>
      <c r="AC2">
        <f>MIN(data1!P2:P162)</f>
        <v>0</v>
      </c>
      <c r="AD2">
        <f>MIN(data1!Q2:Q162)</f>
        <v>0</v>
      </c>
      <c r="AE2">
        <f>MIN(data1!R2:R162)</f>
        <v>0</v>
      </c>
      <c r="AF2">
        <f>MIN(data1!S2:S162)</f>
        <v>0</v>
      </c>
      <c r="AG2">
        <f>MIN(data1!T2:T162)</f>
        <v>0</v>
      </c>
      <c r="AH2">
        <f>MIN(data1!U2:U162)</f>
        <v>0</v>
      </c>
      <c r="AI2">
        <f>MIN(data1!V2:V162)</f>
        <v>0</v>
      </c>
      <c r="AJ2">
        <f>MIN(data1!W2:W162)</f>
        <v>0</v>
      </c>
      <c r="AK2">
        <f>MIN(data1!X2:X162)</f>
        <v>0</v>
      </c>
      <c r="AL2">
        <f>MIN(data1!Y2:Y162)</f>
        <v>0</v>
      </c>
      <c r="AM2">
        <f>MIN(data1!Z2:Z162)</f>
        <v>0</v>
      </c>
      <c r="AN2">
        <f>MIN(data1!AA2:AA162)</f>
        <v>0</v>
      </c>
      <c r="AO2">
        <f>MIN(data1!AB2:AB162)</f>
        <v>0</v>
      </c>
      <c r="AP2">
        <f>MIN(data1!AC2:AC162)</f>
        <v>0</v>
      </c>
      <c r="AQ2">
        <f>MIN(data1!AD2:AD162)</f>
        <v>0</v>
      </c>
      <c r="AR2">
        <f>MIN(data1!AE2:AE162)</f>
        <v>0</v>
      </c>
      <c r="AS2">
        <f>MIN(data1!AF2:AF162)</f>
        <v>0</v>
      </c>
      <c r="AT2">
        <f>MIN(data1!AG2:AG162)</f>
        <v>0</v>
      </c>
      <c r="AU2">
        <f>MIN(data1!AH2:AH162)</f>
        <v>0</v>
      </c>
      <c r="AV2">
        <f>MIN(data1!AI2:AI162)</f>
        <v>0</v>
      </c>
      <c r="AW2">
        <f>MIN(data1!AJ2:AJ162)</f>
        <v>0</v>
      </c>
      <c r="AX2">
        <f>MIN(data1!AK2:AK162)</f>
        <v>0</v>
      </c>
    </row>
    <row r="3" spans="12:50">
      <c r="N3" t="s">
        <v>30</v>
      </c>
      <c r="O3">
        <f>COUNT(data1!B2:B162)</f>
        <v>161</v>
      </c>
      <c r="P3">
        <f>COUNT(data1!C2:C162)</f>
        <v>161</v>
      </c>
      <c r="Q3">
        <f>COUNT(data1!D2:D162)</f>
        <v>161</v>
      </c>
      <c r="R3">
        <f>COUNT(data1!E2:E162)</f>
        <v>161</v>
      </c>
      <c r="S3">
        <f>COUNT(data1!F2:F162)</f>
        <v>161</v>
      </c>
      <c r="T3">
        <f>COUNT(data1!G2:G162)</f>
        <v>161</v>
      </c>
      <c r="U3">
        <f>COUNT(data1!H2:H162)</f>
        <v>161</v>
      </c>
      <c r="V3">
        <f>COUNT(data1!I2:I162)</f>
        <v>0</v>
      </c>
      <c r="W3">
        <f>COUNT(data1!J2:J162)</f>
        <v>161</v>
      </c>
      <c r="X3">
        <f>COUNT(data1!K2:K162)</f>
        <v>161</v>
      </c>
      <c r="Y3">
        <f>COUNT(data1!L2:L162)</f>
        <v>0</v>
      </c>
      <c r="Z3">
        <f>COUNT(data1!M2:M162)</f>
        <v>0</v>
      </c>
      <c r="AA3">
        <f>COUNT(data1!N2:N162)</f>
        <v>0</v>
      </c>
      <c r="AB3">
        <f>COUNT(data1!O2:O162)</f>
        <v>0</v>
      </c>
      <c r="AC3">
        <f>COUNT(data1!P2:P162)</f>
        <v>0</v>
      </c>
      <c r="AD3">
        <f>COUNT(data1!Q2:Q162)</f>
        <v>0</v>
      </c>
      <c r="AE3">
        <f>COUNT(data1!R2:R162)</f>
        <v>0</v>
      </c>
      <c r="AF3">
        <f>COUNT(data1!S2:S162)</f>
        <v>0</v>
      </c>
      <c r="AG3">
        <f>COUNT(data1!T2:T162)</f>
        <v>0</v>
      </c>
      <c r="AH3">
        <f>COUNT(data1!U2:U162)</f>
        <v>0</v>
      </c>
      <c r="AI3">
        <f>COUNT(data1!V2:V162)</f>
        <v>0</v>
      </c>
      <c r="AJ3">
        <f>COUNT(data1!W2:W162)</f>
        <v>0</v>
      </c>
      <c r="AK3">
        <f>COUNT(data1!X2:X162)</f>
        <v>0</v>
      </c>
      <c r="AL3">
        <f>COUNT(data1!Y2:Y162)</f>
        <v>0</v>
      </c>
      <c r="AM3">
        <f>COUNT(data1!Z2:Z162)</f>
        <v>0</v>
      </c>
      <c r="AN3">
        <f>COUNT(data1!AA2:AA162)</f>
        <v>0</v>
      </c>
      <c r="AO3">
        <f>COUNT(data1!AB2:AB162)</f>
        <v>0</v>
      </c>
      <c r="AP3">
        <f>COUNT(data1!AC2:AC162)</f>
        <v>0</v>
      </c>
      <c r="AQ3">
        <f>COUNT(data1!AD2:AD162)</f>
        <v>0</v>
      </c>
      <c r="AR3">
        <f>COUNT(data1!AE2:AE162)</f>
        <v>0</v>
      </c>
      <c r="AS3">
        <f>COUNT(data1!AF2:AF162)</f>
        <v>0</v>
      </c>
      <c r="AT3">
        <f>COUNT(data1!AG2:AG162)</f>
        <v>0</v>
      </c>
      <c r="AU3">
        <f>COUNT(data1!AH2:AH162)</f>
        <v>0</v>
      </c>
      <c r="AV3">
        <f>COUNT(data1!AI2:AI162)</f>
        <v>0</v>
      </c>
      <c r="AW3">
        <f>COUNT(data1!AJ2:AJ162)</f>
        <v>0</v>
      </c>
      <c r="AX3">
        <f>COUNT(data1!AK2:AK162)</f>
        <v>0</v>
      </c>
    </row>
    <row r="4" spans="12:50">
      <c r="N4" t="s">
        <v>31</v>
      </c>
      <c r="O4">
        <f>SUM(data1!B2:B162)-O2*O3</f>
        <v>0.74015748031494155</v>
      </c>
      <c r="P4">
        <f>SUM(data1!C2:C162)-P2*P3</f>
        <v>1.3700787401574601</v>
      </c>
      <c r="Q4">
        <f>SUM(data1!D2:D162)-Q2*Q3</f>
        <v>1.1889763779527556</v>
      </c>
      <c r="R4">
        <f>SUM(data1!E2:E162)-R2*R3</f>
        <v>0.90551181102361511</v>
      </c>
      <c r="S4">
        <f>SUM(data1!F2:F162)-S2*S3</f>
        <v>1.0629921259842483</v>
      </c>
      <c r="T4">
        <f>SUM(data1!G2:G162)-T2*T3</f>
        <v>1.448818897637814</v>
      </c>
      <c r="U4">
        <f>SUM(data1!H2:H162)-U2*U3</f>
        <v>0.70078740157480368</v>
      </c>
      <c r="V4">
        <f>SUM(data1!I2:I162)-V2*V3</f>
        <v>0</v>
      </c>
      <c r="W4">
        <f>SUM(data1!J2:J162)-W2*W3</f>
        <v>0.51968503937008848</v>
      </c>
      <c r="X4">
        <f>SUM(data1!K2:K162)-X2*X3</f>
        <v>0.50393700787398998</v>
      </c>
      <c r="Y4">
        <f>SUM(data1!L2:L162)-Y2*Y3</f>
        <v>0</v>
      </c>
      <c r="Z4">
        <f>SUM(data1!M2:M162)-Z2*Z3</f>
        <v>0</v>
      </c>
      <c r="AA4">
        <f>SUM(data1!N2:N162)-AA2*AA3</f>
        <v>0</v>
      </c>
      <c r="AB4">
        <f>SUM(data1!O2:O162)-AB2*AB3</f>
        <v>0</v>
      </c>
      <c r="AC4">
        <f>SUM(data1!P2:P162)-AC2*AC3</f>
        <v>0</v>
      </c>
      <c r="AD4">
        <f>SUM(data1!Q2:Q162)-AD2*AD3</f>
        <v>0</v>
      </c>
      <c r="AE4">
        <f>SUM(data1!R2:R162)-AE2*AE3</f>
        <v>0</v>
      </c>
      <c r="AF4">
        <f>SUM(data1!S2:S162)-AF2*AF3</f>
        <v>0</v>
      </c>
      <c r="AG4">
        <f>SUM(data1!T2:T162)-AG2*AG3</f>
        <v>0</v>
      </c>
      <c r="AH4">
        <f>SUM(data1!U2:U162)-AH2*AH3</f>
        <v>0</v>
      </c>
      <c r="AI4">
        <f>SUM(data1!V2:V162)-AI2*AI3</f>
        <v>0</v>
      </c>
      <c r="AJ4">
        <f>SUM(data1!W2:W162)-AJ2*AJ3</f>
        <v>0</v>
      </c>
      <c r="AK4">
        <f>SUM(data1!X2:X162)-AK2*AK3</f>
        <v>0</v>
      </c>
      <c r="AL4">
        <f>SUM(data1!Y2:Y162)-AL2*AL3</f>
        <v>0</v>
      </c>
      <c r="AM4">
        <f>SUM(data1!Z2:Z162)-AM2*AM3</f>
        <v>0</v>
      </c>
      <c r="AN4">
        <f>SUM(data1!AA2:AA162)-AN2*AN3</f>
        <v>0</v>
      </c>
      <c r="AO4">
        <f>SUM(data1!AB2:AB162)-AO2*AO3</f>
        <v>0</v>
      </c>
      <c r="AP4">
        <f>SUM(data1!AC2:AC162)-AP2*AP3</f>
        <v>0</v>
      </c>
      <c r="AQ4">
        <f>SUM(data1!AD2:AD162)-AQ2*AQ3</f>
        <v>0</v>
      </c>
      <c r="AR4">
        <f>SUM(data1!AE2:AE162)-AR2*AR3</f>
        <v>0</v>
      </c>
      <c r="AS4">
        <f>SUM(data1!AF2:AF162)-AS2*AS3</f>
        <v>0</v>
      </c>
      <c r="AT4">
        <f>SUM(data1!AG2:AG162)-AT2*AT3</f>
        <v>0</v>
      </c>
      <c r="AU4">
        <f>SUM(data1!AH2:AH162)-AU2*AU3</f>
        <v>0</v>
      </c>
      <c r="AV4">
        <f>SUM(data1!AI2:AI162)-AV2*AV3</f>
        <v>0</v>
      </c>
      <c r="AW4">
        <f>SUM(data1!AJ2:AJ162)-AW2*AW3</f>
        <v>0</v>
      </c>
      <c r="AX4">
        <f>SUM(data1!AK2:AK162)-AX2*AX3</f>
        <v>0</v>
      </c>
    </row>
    <row r="5" spans="12:50">
      <c r="L5">
        <f t="shared" ref="L5:L36" ca="1" si="0">M5/M$2</f>
        <v>0</v>
      </c>
      <c r="M5">
        <f ca="1">AVERAGE(O5:AX5)</f>
        <v>0</v>
      </c>
      <c r="N5">
        <f>data1!A2</f>
        <v>300</v>
      </c>
      <c r="O5">
        <f ca="1">(data1!B2-O$2)/O$4/Cal!$G2</f>
        <v>0</v>
      </c>
      <c r="P5">
        <f ca="1">(data1!C2-P$2)/P$4/Cal!$G2</f>
        <v>0</v>
      </c>
      <c r="Q5">
        <f ca="1">(data1!D2-Q$2)/Q$4/Cal!$G2</f>
        <v>0</v>
      </c>
      <c r="R5">
        <f ca="1">(data1!E2-R$2)/R$4/Cal!$G2</f>
        <v>0</v>
      </c>
      <c r="S5">
        <f ca="1">(data1!F2-S$2)/S$4/Cal!$G2</f>
        <v>0</v>
      </c>
      <c r="T5">
        <f ca="1">(data1!G2-T$2)/T$4/Cal!$G2</f>
        <v>0</v>
      </c>
      <c r="U5">
        <f ca="1">(data1!H2-U$2)/U$4/Cal!$G2</f>
        <v>0</v>
      </c>
      <c r="W5">
        <f ca="1">(data1!J2-W$2)/W$4/Cal!$G2</f>
        <v>0</v>
      </c>
      <c r="X5">
        <f ca="1">(data1!K2-X$2)/X$4/Cal!$G2</f>
        <v>0</v>
      </c>
    </row>
    <row r="6" spans="12:50">
      <c r="L6">
        <f t="shared" ca="1" si="0"/>
        <v>0</v>
      </c>
      <c r="M6">
        <f ca="1">AVERAGE(O6:AX6)</f>
        <v>0</v>
      </c>
      <c r="N6">
        <f>data1!A3</f>
        <v>305</v>
      </c>
      <c r="O6">
        <f ca="1">(data1!B3-O$2)/O$4/Cal!$G3</f>
        <v>0</v>
      </c>
      <c r="P6">
        <f ca="1">(data1!C3-P$2)/P$4/Cal!$G3</f>
        <v>0</v>
      </c>
      <c r="Q6">
        <f ca="1">(data1!D3-Q$2)/Q$4/Cal!$G3</f>
        <v>0</v>
      </c>
      <c r="R6">
        <f ca="1">(data1!E3-R$2)/R$4/Cal!$G3</f>
        <v>0</v>
      </c>
      <c r="S6">
        <f ca="1">(data1!F3-S$2)/S$4/Cal!$G3</f>
        <v>0</v>
      </c>
      <c r="T6">
        <f ca="1">(data1!G3-T$2)/T$4/Cal!$G3</f>
        <v>0</v>
      </c>
      <c r="U6">
        <f ca="1">(data1!H3-U$2)/U$4/Cal!$G3</f>
        <v>0</v>
      </c>
      <c r="W6">
        <f ca="1">(data1!J3-W$2)/W$4/Cal!$G3</f>
        <v>0</v>
      </c>
      <c r="X6">
        <f ca="1">(data1!K3-X$2)/X$4/Cal!$G3</f>
        <v>0</v>
      </c>
    </row>
    <row r="7" spans="12:50">
      <c r="L7">
        <f t="shared" ca="1" si="0"/>
        <v>0</v>
      </c>
      <c r="M7">
        <f t="shared" ref="M7:M70" ca="1" si="1">AVERAGE(O7:AX7)</f>
        <v>0</v>
      </c>
      <c r="N7">
        <f>data1!A4</f>
        <v>310</v>
      </c>
      <c r="O7">
        <f ca="1">(data1!B4-O$2)/O$4/Cal!$G4</f>
        <v>0</v>
      </c>
      <c r="P7">
        <f ca="1">(data1!C4-P$2)/P$4/Cal!$G4</f>
        <v>0</v>
      </c>
      <c r="Q7">
        <f ca="1">(data1!D4-Q$2)/Q$4/Cal!$G4</f>
        <v>0</v>
      </c>
      <c r="R7">
        <f ca="1">(data1!E4-R$2)/R$4/Cal!$G4</f>
        <v>0</v>
      </c>
      <c r="S7">
        <f ca="1">(data1!F4-S$2)/S$4/Cal!$G4</f>
        <v>0</v>
      </c>
      <c r="T7">
        <f ca="1">(data1!G4-T$2)/T$4/Cal!$G4</f>
        <v>0</v>
      </c>
      <c r="U7">
        <f ca="1">(data1!H4-U$2)/U$4/Cal!$G4</f>
        <v>0</v>
      </c>
      <c r="W7">
        <f ca="1">(data1!J4-W$2)/W$4/Cal!$G4</f>
        <v>0</v>
      </c>
      <c r="X7">
        <f ca="1">(data1!K4-X$2)/X$4/Cal!$G4</f>
        <v>0</v>
      </c>
    </row>
    <row r="8" spans="12:50">
      <c r="L8">
        <f t="shared" ca="1" si="0"/>
        <v>0</v>
      </c>
      <c r="M8">
        <f t="shared" ca="1" si="1"/>
        <v>0</v>
      </c>
      <c r="N8">
        <f>data1!A5</f>
        <v>315</v>
      </c>
      <c r="O8">
        <f ca="1">(data1!B5-O$2)/O$4/Cal!$G5</f>
        <v>0</v>
      </c>
      <c r="P8">
        <f ca="1">(data1!C5-P$2)/P$4/Cal!$G5</f>
        <v>0</v>
      </c>
      <c r="Q8">
        <f ca="1">(data1!D5-Q$2)/Q$4/Cal!$G5</f>
        <v>0</v>
      </c>
      <c r="R8">
        <f ca="1">(data1!E5-R$2)/R$4/Cal!$G5</f>
        <v>0</v>
      </c>
      <c r="S8">
        <f ca="1">(data1!F5-S$2)/S$4/Cal!$G5</f>
        <v>0</v>
      </c>
      <c r="T8">
        <f ca="1">(data1!G5-T$2)/T$4/Cal!$G5</f>
        <v>0</v>
      </c>
      <c r="U8">
        <f ca="1">(data1!H5-U$2)/U$4/Cal!$G5</f>
        <v>0</v>
      </c>
      <c r="W8">
        <f ca="1">(data1!J5-W$2)/W$4/Cal!$G5</f>
        <v>0</v>
      </c>
      <c r="X8">
        <f ca="1">(data1!K5-X$2)/X$4/Cal!$G5</f>
        <v>0</v>
      </c>
    </row>
    <row r="9" spans="12:50">
      <c r="L9">
        <f t="shared" ca="1" si="0"/>
        <v>0</v>
      </c>
      <c r="M9">
        <f t="shared" ca="1" si="1"/>
        <v>0</v>
      </c>
      <c r="N9">
        <f>data1!A6</f>
        <v>320</v>
      </c>
      <c r="O9">
        <f ca="1">(data1!B6-O$2)/O$4/Cal!$G6</f>
        <v>0</v>
      </c>
      <c r="P9">
        <f ca="1">(data1!C6-P$2)/P$4/Cal!$G6</f>
        <v>0</v>
      </c>
      <c r="Q9">
        <f ca="1">(data1!D6-Q$2)/Q$4/Cal!$G6</f>
        <v>0</v>
      </c>
      <c r="R9">
        <f ca="1">(data1!E6-R$2)/R$4/Cal!$G6</f>
        <v>0</v>
      </c>
      <c r="S9">
        <f ca="1">(data1!F6-S$2)/S$4/Cal!$G6</f>
        <v>0</v>
      </c>
      <c r="T9">
        <f ca="1">(data1!G6-T$2)/T$4/Cal!$G6</f>
        <v>0</v>
      </c>
      <c r="U9">
        <f ca="1">(data1!H6-U$2)/U$4/Cal!$G6</f>
        <v>0</v>
      </c>
      <c r="W9">
        <f ca="1">(data1!J6-W$2)/W$4/Cal!$G6</f>
        <v>0</v>
      </c>
      <c r="X9">
        <f ca="1">(data1!K6-X$2)/X$4/Cal!$G6</f>
        <v>0</v>
      </c>
    </row>
    <row r="10" spans="12:50">
      <c r="L10">
        <f t="shared" ca="1" si="0"/>
        <v>0</v>
      </c>
      <c r="M10">
        <f t="shared" ca="1" si="1"/>
        <v>0</v>
      </c>
      <c r="N10">
        <f>data1!A7</f>
        <v>325</v>
      </c>
      <c r="O10">
        <f ca="1">(data1!B7-O$2)/O$4/Cal!$G7</f>
        <v>0</v>
      </c>
      <c r="P10">
        <f ca="1">(data1!C7-P$2)/P$4/Cal!$G7</f>
        <v>0</v>
      </c>
      <c r="Q10">
        <f ca="1">(data1!D7-Q$2)/Q$4/Cal!$G7</f>
        <v>0</v>
      </c>
      <c r="R10">
        <f ca="1">(data1!E7-R$2)/R$4/Cal!$G7</f>
        <v>0</v>
      </c>
      <c r="S10">
        <f ca="1">(data1!F7-S$2)/S$4/Cal!$G7</f>
        <v>0</v>
      </c>
      <c r="T10">
        <f ca="1">(data1!G7-T$2)/T$4/Cal!$G7</f>
        <v>0</v>
      </c>
      <c r="U10">
        <f ca="1">(data1!H7-U$2)/U$4/Cal!$G7</f>
        <v>0</v>
      </c>
      <c r="W10">
        <f ca="1">(data1!J7-W$2)/W$4/Cal!$G7</f>
        <v>0</v>
      </c>
      <c r="X10">
        <f ca="1">(data1!K7-X$2)/X$4/Cal!$G7</f>
        <v>0</v>
      </c>
    </row>
    <row r="11" spans="12:50">
      <c r="L11">
        <f t="shared" ca="1" si="0"/>
        <v>0</v>
      </c>
      <c r="M11">
        <f t="shared" ca="1" si="1"/>
        <v>0</v>
      </c>
      <c r="N11">
        <f>data1!A8</f>
        <v>330</v>
      </c>
      <c r="O11">
        <f ca="1">(data1!B8-O$2)/O$4/Cal!$G8</f>
        <v>0</v>
      </c>
      <c r="P11">
        <f ca="1">(data1!C8-P$2)/P$4/Cal!$G8</f>
        <v>0</v>
      </c>
      <c r="Q11">
        <f ca="1">(data1!D8-Q$2)/Q$4/Cal!$G8</f>
        <v>0</v>
      </c>
      <c r="R11">
        <f ca="1">(data1!E8-R$2)/R$4/Cal!$G8</f>
        <v>0</v>
      </c>
      <c r="S11">
        <f ca="1">(data1!F8-S$2)/S$4/Cal!$G8</f>
        <v>0</v>
      </c>
      <c r="T11">
        <f ca="1">(data1!G8-T$2)/T$4/Cal!$G8</f>
        <v>0</v>
      </c>
      <c r="U11">
        <f ca="1">(data1!H8-U$2)/U$4/Cal!$G8</f>
        <v>0</v>
      </c>
      <c r="W11">
        <f ca="1">(data1!J8-W$2)/W$4/Cal!$G8</f>
        <v>0</v>
      </c>
      <c r="X11">
        <f ca="1">(data1!K8-X$2)/X$4/Cal!$G8</f>
        <v>0</v>
      </c>
    </row>
    <row r="12" spans="12:50">
      <c r="L12">
        <f t="shared" ca="1" si="0"/>
        <v>0</v>
      </c>
      <c r="M12">
        <f t="shared" ca="1" si="1"/>
        <v>0</v>
      </c>
      <c r="N12">
        <f>data1!A9</f>
        <v>335</v>
      </c>
      <c r="O12">
        <f ca="1">(data1!B9-O$2)/O$4/Cal!$G9</f>
        <v>0</v>
      </c>
      <c r="P12">
        <f ca="1">(data1!C9-P$2)/P$4/Cal!$G9</f>
        <v>0</v>
      </c>
      <c r="Q12">
        <f ca="1">(data1!D9-Q$2)/Q$4/Cal!$G9</f>
        <v>0</v>
      </c>
      <c r="R12">
        <f ca="1">(data1!E9-R$2)/R$4/Cal!$G9</f>
        <v>0</v>
      </c>
      <c r="S12">
        <f ca="1">(data1!F9-S$2)/S$4/Cal!$G9</f>
        <v>0</v>
      </c>
      <c r="T12">
        <f ca="1">(data1!G9-T$2)/T$4/Cal!$G9</f>
        <v>0</v>
      </c>
      <c r="U12">
        <f ca="1">(data1!H9-U$2)/U$4/Cal!$G9</f>
        <v>0</v>
      </c>
      <c r="W12">
        <f ca="1">(data1!J9-W$2)/W$4/Cal!$G9</f>
        <v>0</v>
      </c>
      <c r="X12">
        <f ca="1">(data1!K9-X$2)/X$4/Cal!$G9</f>
        <v>0</v>
      </c>
    </row>
    <row r="13" spans="12:50">
      <c r="L13">
        <f t="shared" ca="1" si="0"/>
        <v>0</v>
      </c>
      <c r="M13">
        <f t="shared" ca="1" si="1"/>
        <v>0</v>
      </c>
      <c r="N13">
        <f>data1!A10</f>
        <v>340</v>
      </c>
      <c r="O13">
        <f ca="1">(data1!B10-O$2)/O$4/Cal!$G10</f>
        <v>0</v>
      </c>
      <c r="P13">
        <f ca="1">(data1!C10-P$2)/P$4/Cal!$G10</f>
        <v>0</v>
      </c>
      <c r="Q13">
        <f ca="1">(data1!D10-Q$2)/Q$4/Cal!$G10</f>
        <v>0</v>
      </c>
      <c r="R13">
        <f ca="1">(data1!E10-R$2)/R$4/Cal!$G10</f>
        <v>0</v>
      </c>
      <c r="S13">
        <f ca="1">(data1!F10-S$2)/S$4/Cal!$G10</f>
        <v>0</v>
      </c>
      <c r="T13">
        <f ca="1">(data1!G10-T$2)/T$4/Cal!$G10</f>
        <v>0</v>
      </c>
      <c r="U13">
        <f ca="1">(data1!H10-U$2)/U$4/Cal!$G10</f>
        <v>0</v>
      </c>
      <c r="W13">
        <f ca="1">(data1!J10-W$2)/W$4/Cal!$G10</f>
        <v>0</v>
      </c>
      <c r="X13">
        <f ca="1">(data1!K10-X$2)/X$4/Cal!$G10</f>
        <v>0</v>
      </c>
    </row>
    <row r="14" spans="12:50">
      <c r="L14">
        <f t="shared" ca="1" si="0"/>
        <v>0.17637648083191332</v>
      </c>
      <c r="M14">
        <f t="shared" ca="1" si="1"/>
        <v>6.0386473429950901E-3</v>
      </c>
      <c r="N14">
        <f>data1!A11</f>
        <v>345</v>
      </c>
      <c r="O14">
        <f ca="1">(data1!B11-O$2)/O$4/Cal!$G11</f>
        <v>0</v>
      </c>
      <c r="P14">
        <f ca="1">(data1!C11-P$2)/P$4/Cal!$G11</f>
        <v>0</v>
      </c>
      <c r="Q14">
        <f ca="1">(data1!D11-Q$2)/Q$4/Cal!$G11</f>
        <v>0</v>
      </c>
      <c r="R14">
        <f ca="1">(data1!E11-R$2)/R$4/Cal!$G11</f>
        <v>0</v>
      </c>
      <c r="S14">
        <f ca="1">(data1!F11-S$2)/S$4/Cal!$G11</f>
        <v>0</v>
      </c>
      <c r="T14">
        <f ca="1">(data1!G11-T$2)/T$4/Cal!$G11</f>
        <v>5.4347826086955812E-2</v>
      </c>
      <c r="U14">
        <f ca="1">(data1!H11-U$2)/U$4/Cal!$G11</f>
        <v>0</v>
      </c>
      <c r="W14">
        <f ca="1">(data1!J11-W$2)/W$4/Cal!$G11</f>
        <v>0</v>
      </c>
      <c r="X14">
        <f ca="1">(data1!K11-X$2)/X$4/Cal!$G11</f>
        <v>0</v>
      </c>
    </row>
    <row r="15" spans="12:50">
      <c r="L15">
        <f t="shared" ca="1" si="0"/>
        <v>0</v>
      </c>
      <c r="M15">
        <f t="shared" ca="1" si="1"/>
        <v>0</v>
      </c>
      <c r="N15">
        <f>data1!A12</f>
        <v>350</v>
      </c>
      <c r="O15">
        <f ca="1">(data1!B12-O$2)/O$4/Cal!$G12</f>
        <v>0</v>
      </c>
      <c r="P15">
        <f ca="1">(data1!C12-P$2)/P$4/Cal!$G12</f>
        <v>0</v>
      </c>
      <c r="Q15">
        <f ca="1">(data1!D12-Q$2)/Q$4/Cal!$G12</f>
        <v>0</v>
      </c>
      <c r="R15">
        <f ca="1">(data1!E12-R$2)/R$4/Cal!$G12</f>
        <v>0</v>
      </c>
      <c r="S15">
        <f ca="1">(data1!F12-S$2)/S$4/Cal!$G12</f>
        <v>0</v>
      </c>
      <c r="T15">
        <f ca="1">(data1!G12-T$2)/T$4/Cal!$G12</f>
        <v>0</v>
      </c>
      <c r="U15">
        <f ca="1">(data1!H12-U$2)/U$4/Cal!$G12</f>
        <v>0</v>
      </c>
      <c r="W15">
        <f ca="1">(data1!J12-W$2)/W$4/Cal!$G12</f>
        <v>0</v>
      </c>
      <c r="X15">
        <f ca="1">(data1!K12-X$2)/X$4/Cal!$G12</f>
        <v>0</v>
      </c>
    </row>
    <row r="16" spans="12:50">
      <c r="L16">
        <f t="shared" ca="1" si="0"/>
        <v>0</v>
      </c>
      <c r="M16">
        <f t="shared" ca="1" si="1"/>
        <v>0</v>
      </c>
      <c r="N16">
        <f>data1!A13</f>
        <v>355</v>
      </c>
      <c r="O16">
        <f ca="1">(data1!B13-O$2)/O$4/Cal!$G13</f>
        <v>0</v>
      </c>
      <c r="P16">
        <f ca="1">(data1!C13-P$2)/P$4/Cal!$G13</f>
        <v>0</v>
      </c>
      <c r="Q16">
        <f ca="1">(data1!D13-Q$2)/Q$4/Cal!$G13</f>
        <v>0</v>
      </c>
      <c r="R16">
        <f ca="1">(data1!E13-R$2)/R$4/Cal!$G13</f>
        <v>0</v>
      </c>
      <c r="S16">
        <f ca="1">(data1!F13-S$2)/S$4/Cal!$G13</f>
        <v>0</v>
      </c>
      <c r="T16">
        <f ca="1">(data1!G13-T$2)/T$4/Cal!$G13</f>
        <v>0</v>
      </c>
      <c r="U16">
        <f ca="1">(data1!H13-U$2)/U$4/Cal!$G13</f>
        <v>0</v>
      </c>
      <c r="W16">
        <f ca="1">(data1!J13-W$2)/W$4/Cal!$G13</f>
        <v>0</v>
      </c>
      <c r="X16">
        <f ca="1">(data1!K13-X$2)/X$4/Cal!$G13</f>
        <v>0</v>
      </c>
    </row>
    <row r="17" spans="12:24">
      <c r="L17">
        <f t="shared" ca="1" si="0"/>
        <v>0</v>
      </c>
      <c r="M17">
        <f t="shared" ca="1" si="1"/>
        <v>0</v>
      </c>
      <c r="N17">
        <f>data1!A14</f>
        <v>360</v>
      </c>
      <c r="O17">
        <f ca="1">(data1!B14-O$2)/O$4/Cal!$G14</f>
        <v>0</v>
      </c>
      <c r="P17">
        <f ca="1">(data1!C14-P$2)/P$4/Cal!$G14</f>
        <v>0</v>
      </c>
      <c r="Q17">
        <f ca="1">(data1!D14-Q$2)/Q$4/Cal!$G14</f>
        <v>0</v>
      </c>
      <c r="R17">
        <f ca="1">(data1!E14-R$2)/R$4/Cal!$G14</f>
        <v>0</v>
      </c>
      <c r="S17">
        <f ca="1">(data1!F14-S$2)/S$4/Cal!$G14</f>
        <v>0</v>
      </c>
      <c r="T17">
        <f ca="1">(data1!G14-T$2)/T$4/Cal!$G14</f>
        <v>0</v>
      </c>
      <c r="U17">
        <f ca="1">(data1!H14-U$2)/U$4/Cal!$G14</f>
        <v>0</v>
      </c>
      <c r="W17">
        <f ca="1">(data1!J14-W$2)/W$4/Cal!$G14</f>
        <v>0</v>
      </c>
      <c r="X17">
        <f ca="1">(data1!K14-X$2)/X$4/Cal!$G14</f>
        <v>0</v>
      </c>
    </row>
    <row r="18" spans="12:24">
      <c r="L18">
        <f t="shared" ca="1" si="0"/>
        <v>0</v>
      </c>
      <c r="M18">
        <f t="shared" ca="1" si="1"/>
        <v>0</v>
      </c>
      <c r="N18">
        <f>data1!A15</f>
        <v>365</v>
      </c>
      <c r="O18">
        <f ca="1">(data1!B15-O$2)/O$4/Cal!$G15</f>
        <v>0</v>
      </c>
      <c r="P18">
        <f ca="1">(data1!C15-P$2)/P$4/Cal!$G15</f>
        <v>0</v>
      </c>
      <c r="Q18">
        <f ca="1">(data1!D15-Q$2)/Q$4/Cal!$G15</f>
        <v>0</v>
      </c>
      <c r="R18">
        <f ca="1">(data1!E15-R$2)/R$4/Cal!$G15</f>
        <v>0</v>
      </c>
      <c r="S18">
        <f ca="1">(data1!F15-S$2)/S$4/Cal!$G15</f>
        <v>0</v>
      </c>
      <c r="T18">
        <f ca="1">(data1!G15-T$2)/T$4/Cal!$G15</f>
        <v>0</v>
      </c>
      <c r="U18">
        <f ca="1">(data1!H15-U$2)/U$4/Cal!$G15</f>
        <v>0</v>
      </c>
      <c r="W18">
        <f ca="1">(data1!J15-W$2)/W$4/Cal!$G15</f>
        <v>0</v>
      </c>
      <c r="X18">
        <f ca="1">(data1!K15-X$2)/X$4/Cal!$G15</f>
        <v>0</v>
      </c>
    </row>
    <row r="19" spans="12:24">
      <c r="L19">
        <f t="shared" ca="1" si="0"/>
        <v>0.14692829374723804</v>
      </c>
      <c r="M19">
        <f t="shared" ca="1" si="1"/>
        <v>5.0304221201301104E-3</v>
      </c>
      <c r="N19">
        <f>data1!A16</f>
        <v>370</v>
      </c>
      <c r="O19">
        <f ca="1">(data1!B16-O$2)/O$4/Cal!$G16</f>
        <v>0</v>
      </c>
      <c r="P19">
        <f ca="1">(data1!C16-P$2)/P$4/Cal!$G16</f>
        <v>4.5273799081170997E-2</v>
      </c>
      <c r="Q19">
        <f ca="1">(data1!D16-Q$2)/Q$4/Cal!$G16</f>
        <v>0</v>
      </c>
      <c r="R19">
        <f ca="1">(data1!E16-R$2)/R$4/Cal!$G16</f>
        <v>0</v>
      </c>
      <c r="S19">
        <f ca="1">(data1!F16-S$2)/S$4/Cal!$G16</f>
        <v>0</v>
      </c>
      <c r="T19">
        <f ca="1">(data1!G16-T$2)/T$4/Cal!$G16</f>
        <v>0</v>
      </c>
      <c r="U19">
        <f ca="1">(data1!H16-U$2)/U$4/Cal!$G16</f>
        <v>0</v>
      </c>
      <c r="W19">
        <f ca="1">(data1!J16-W$2)/W$4/Cal!$G16</f>
        <v>0</v>
      </c>
      <c r="X19">
        <f ca="1">(data1!K16-X$2)/X$4/Cal!$G16</f>
        <v>0</v>
      </c>
    </row>
    <row r="20" spans="12:24">
      <c r="L20">
        <f t="shared" ca="1" si="0"/>
        <v>0</v>
      </c>
      <c r="M20">
        <f t="shared" ca="1" si="1"/>
        <v>0</v>
      </c>
      <c r="N20">
        <f>data1!A17</f>
        <v>375</v>
      </c>
      <c r="O20">
        <f ca="1">(data1!B17-O$2)/O$4/Cal!$G17</f>
        <v>0</v>
      </c>
      <c r="P20">
        <f ca="1">(data1!C17-P$2)/P$4/Cal!$G17</f>
        <v>0</v>
      </c>
      <c r="Q20">
        <f ca="1">(data1!D17-Q$2)/Q$4/Cal!$G17</f>
        <v>0</v>
      </c>
      <c r="R20">
        <f ca="1">(data1!E17-R$2)/R$4/Cal!$G17</f>
        <v>0</v>
      </c>
      <c r="S20">
        <f ca="1">(data1!F17-S$2)/S$4/Cal!$G17</f>
        <v>0</v>
      </c>
      <c r="T20">
        <f ca="1">(data1!G17-T$2)/T$4/Cal!$G17</f>
        <v>0</v>
      </c>
      <c r="U20">
        <f ca="1">(data1!H17-U$2)/U$4/Cal!$G17</f>
        <v>0</v>
      </c>
      <c r="W20">
        <f ca="1">(data1!J17-W$2)/W$4/Cal!$G17</f>
        <v>0</v>
      </c>
      <c r="X20">
        <f ca="1">(data1!K17-X$2)/X$4/Cal!$G17</f>
        <v>0</v>
      </c>
    </row>
    <row r="21" spans="12:24">
      <c r="L21">
        <f t="shared" ca="1" si="0"/>
        <v>0</v>
      </c>
      <c r="M21">
        <f t="shared" ca="1" si="1"/>
        <v>0</v>
      </c>
      <c r="N21">
        <f>data1!A18</f>
        <v>380</v>
      </c>
      <c r="O21">
        <f ca="1">(data1!B18-O$2)/O$4/Cal!$G18</f>
        <v>0</v>
      </c>
      <c r="P21">
        <f ca="1">(data1!C18-P$2)/P$4/Cal!$G18</f>
        <v>0</v>
      </c>
      <c r="Q21">
        <f ca="1">(data1!D18-Q$2)/Q$4/Cal!$G18</f>
        <v>0</v>
      </c>
      <c r="R21">
        <f ca="1">(data1!E18-R$2)/R$4/Cal!$G18</f>
        <v>0</v>
      </c>
      <c r="S21">
        <f ca="1">(data1!F18-S$2)/S$4/Cal!$G18</f>
        <v>0</v>
      </c>
      <c r="T21">
        <f ca="1">(data1!G18-T$2)/T$4/Cal!$G18</f>
        <v>0</v>
      </c>
      <c r="U21">
        <f ca="1">(data1!H18-U$2)/U$4/Cal!$G18</f>
        <v>0</v>
      </c>
      <c r="W21">
        <f ca="1">(data1!J18-W$2)/W$4/Cal!$G18</f>
        <v>0</v>
      </c>
      <c r="X21">
        <f ca="1">(data1!K18-X$2)/X$4/Cal!$G18</f>
        <v>0</v>
      </c>
    </row>
    <row r="22" spans="12:24">
      <c r="L22">
        <f t="shared" ca="1" si="0"/>
        <v>0</v>
      </c>
      <c r="M22">
        <f t="shared" ca="1" si="1"/>
        <v>0</v>
      </c>
      <c r="N22">
        <f>data1!A19</f>
        <v>385</v>
      </c>
      <c r="O22">
        <f ca="1">(data1!B19-O$2)/O$4/Cal!$G19</f>
        <v>0</v>
      </c>
      <c r="P22">
        <f ca="1">(data1!C19-P$2)/P$4/Cal!$G19</f>
        <v>0</v>
      </c>
      <c r="Q22">
        <f ca="1">(data1!D19-Q$2)/Q$4/Cal!$G19</f>
        <v>0</v>
      </c>
      <c r="R22">
        <f ca="1">(data1!E19-R$2)/R$4/Cal!$G19</f>
        <v>0</v>
      </c>
      <c r="S22">
        <f ca="1">(data1!F19-S$2)/S$4/Cal!$G19</f>
        <v>0</v>
      </c>
      <c r="T22">
        <f ca="1">(data1!G19-T$2)/T$4/Cal!$G19</f>
        <v>0</v>
      </c>
      <c r="U22">
        <f ca="1">(data1!H19-U$2)/U$4/Cal!$G19</f>
        <v>0</v>
      </c>
      <c r="W22">
        <f ca="1">(data1!J19-W$2)/W$4/Cal!$G19</f>
        <v>0</v>
      </c>
      <c r="X22">
        <f ca="1">(data1!K19-X$2)/X$4/Cal!$G19</f>
        <v>0</v>
      </c>
    </row>
    <row r="23" spans="12:24">
      <c r="L23">
        <f t="shared" ca="1" si="0"/>
        <v>0</v>
      </c>
      <c r="M23">
        <f t="shared" ca="1" si="1"/>
        <v>0</v>
      </c>
      <c r="N23">
        <f>data1!A20</f>
        <v>390</v>
      </c>
      <c r="O23">
        <f ca="1">(data1!B20-O$2)/O$4/Cal!$G20</f>
        <v>0</v>
      </c>
      <c r="P23">
        <f ca="1">(data1!C20-P$2)/P$4/Cal!$G20</f>
        <v>0</v>
      </c>
      <c r="Q23">
        <f ca="1">(data1!D20-Q$2)/Q$4/Cal!$G20</f>
        <v>0</v>
      </c>
      <c r="R23">
        <f ca="1">(data1!E20-R$2)/R$4/Cal!$G20</f>
        <v>0</v>
      </c>
      <c r="S23">
        <f ca="1">(data1!F20-S$2)/S$4/Cal!$G20</f>
        <v>0</v>
      </c>
      <c r="T23">
        <f ca="1">(data1!G20-T$2)/T$4/Cal!$G20</f>
        <v>0</v>
      </c>
      <c r="U23">
        <f ca="1">(data1!H20-U$2)/U$4/Cal!$G20</f>
        <v>0</v>
      </c>
      <c r="W23">
        <f ca="1">(data1!J20-W$2)/W$4/Cal!$G20</f>
        <v>0</v>
      </c>
      <c r="X23">
        <f ca="1">(data1!K20-X$2)/X$4/Cal!$G20</f>
        <v>0</v>
      </c>
    </row>
    <row r="24" spans="12:24">
      <c r="L24">
        <f t="shared" ca="1" si="0"/>
        <v>0</v>
      </c>
      <c r="M24">
        <f t="shared" ca="1" si="1"/>
        <v>0</v>
      </c>
      <c r="N24">
        <f>data1!A21</f>
        <v>395</v>
      </c>
      <c r="O24">
        <f ca="1">(data1!B21-O$2)/O$4/Cal!$G21</f>
        <v>0</v>
      </c>
      <c r="P24">
        <f ca="1">(data1!C21-P$2)/P$4/Cal!$G21</f>
        <v>0</v>
      </c>
      <c r="Q24">
        <f ca="1">(data1!D21-Q$2)/Q$4/Cal!$G21</f>
        <v>0</v>
      </c>
      <c r="R24">
        <f ca="1">(data1!E21-R$2)/R$4/Cal!$G21</f>
        <v>0</v>
      </c>
      <c r="S24">
        <f ca="1">(data1!F21-S$2)/S$4/Cal!$G21</f>
        <v>0</v>
      </c>
      <c r="T24">
        <f ca="1">(data1!G21-T$2)/T$4/Cal!$G21</f>
        <v>0</v>
      </c>
      <c r="U24">
        <f ca="1">(data1!H21-U$2)/U$4/Cal!$G21</f>
        <v>0</v>
      </c>
      <c r="W24">
        <f ca="1">(data1!J21-W$2)/W$4/Cal!$G21</f>
        <v>0</v>
      </c>
      <c r="X24">
        <f ca="1">(data1!K21-X$2)/X$4/Cal!$G21</f>
        <v>0</v>
      </c>
    </row>
    <row r="25" spans="12:24">
      <c r="L25">
        <f t="shared" ca="1" si="0"/>
        <v>0</v>
      </c>
      <c r="M25">
        <f t="shared" ca="1" si="1"/>
        <v>0</v>
      </c>
      <c r="N25">
        <f>data1!A22</f>
        <v>400</v>
      </c>
      <c r="O25">
        <f ca="1">(data1!B22-O$2)/O$4/Cal!$G22</f>
        <v>0</v>
      </c>
      <c r="P25">
        <f ca="1">(data1!C22-P$2)/P$4/Cal!$G22</f>
        <v>0</v>
      </c>
      <c r="Q25">
        <f ca="1">(data1!D22-Q$2)/Q$4/Cal!$G22</f>
        <v>0</v>
      </c>
      <c r="R25">
        <f ca="1">(data1!E22-R$2)/R$4/Cal!$G22</f>
        <v>0</v>
      </c>
      <c r="S25">
        <f ca="1">(data1!F22-S$2)/S$4/Cal!$G22</f>
        <v>0</v>
      </c>
      <c r="T25">
        <f ca="1">(data1!G22-T$2)/T$4/Cal!$G22</f>
        <v>0</v>
      </c>
      <c r="U25">
        <f ca="1">(data1!H22-U$2)/U$4/Cal!$G22</f>
        <v>0</v>
      </c>
      <c r="W25">
        <f ca="1">(data1!J22-W$2)/W$4/Cal!$G22</f>
        <v>0</v>
      </c>
      <c r="X25">
        <f ca="1">(data1!K22-X$2)/X$4/Cal!$G22</f>
        <v>0</v>
      </c>
    </row>
    <row r="26" spans="12:24">
      <c r="L26">
        <f t="shared" ca="1" si="0"/>
        <v>0</v>
      </c>
      <c r="M26">
        <f t="shared" ca="1" si="1"/>
        <v>0</v>
      </c>
      <c r="N26">
        <f>data1!A23</f>
        <v>405</v>
      </c>
      <c r="O26">
        <f ca="1">(data1!B23-O$2)/O$4/Cal!$G23</f>
        <v>0</v>
      </c>
      <c r="P26">
        <f ca="1">(data1!C23-P$2)/P$4/Cal!$G23</f>
        <v>0</v>
      </c>
      <c r="Q26">
        <f ca="1">(data1!D23-Q$2)/Q$4/Cal!$G23</f>
        <v>0</v>
      </c>
      <c r="R26">
        <f ca="1">(data1!E23-R$2)/R$4/Cal!$G23</f>
        <v>0</v>
      </c>
      <c r="S26">
        <f ca="1">(data1!F23-S$2)/S$4/Cal!$G23</f>
        <v>0</v>
      </c>
      <c r="T26">
        <f ca="1">(data1!G23-T$2)/T$4/Cal!$G23</f>
        <v>0</v>
      </c>
      <c r="U26">
        <f ca="1">(data1!H23-U$2)/U$4/Cal!$G23</f>
        <v>0</v>
      </c>
      <c r="W26">
        <f ca="1">(data1!J23-W$2)/W$4/Cal!$G23</f>
        <v>0</v>
      </c>
      <c r="X26">
        <f ca="1">(data1!K23-X$2)/X$4/Cal!$G23</f>
        <v>0</v>
      </c>
    </row>
    <row r="27" spans="12:24">
      <c r="L27">
        <f t="shared" ca="1" si="0"/>
        <v>0</v>
      </c>
      <c r="M27">
        <f t="shared" ca="1" si="1"/>
        <v>0</v>
      </c>
      <c r="N27">
        <f>data1!A24</f>
        <v>410</v>
      </c>
      <c r="O27">
        <f ca="1">(data1!B24-O$2)/O$4/Cal!$G24</f>
        <v>0</v>
      </c>
      <c r="P27">
        <f ca="1">(data1!C24-P$2)/P$4/Cal!$G24</f>
        <v>0</v>
      </c>
      <c r="Q27">
        <f ca="1">(data1!D24-Q$2)/Q$4/Cal!$G24</f>
        <v>0</v>
      </c>
      <c r="R27">
        <f ca="1">(data1!E24-R$2)/R$4/Cal!$G24</f>
        <v>0</v>
      </c>
      <c r="S27">
        <f ca="1">(data1!F24-S$2)/S$4/Cal!$G24</f>
        <v>0</v>
      </c>
      <c r="T27">
        <f ca="1">(data1!G24-T$2)/T$4/Cal!$G24</f>
        <v>0</v>
      </c>
      <c r="U27">
        <f ca="1">(data1!H24-U$2)/U$4/Cal!$G24</f>
        <v>0</v>
      </c>
      <c r="W27">
        <f ca="1">(data1!J24-W$2)/W$4/Cal!$G24</f>
        <v>0</v>
      </c>
      <c r="X27">
        <f ca="1">(data1!K24-X$2)/X$4/Cal!$G24</f>
        <v>0</v>
      </c>
    </row>
    <row r="28" spans="12:24">
      <c r="L28">
        <f t="shared" ca="1" si="0"/>
        <v>0</v>
      </c>
      <c r="M28">
        <f t="shared" ca="1" si="1"/>
        <v>0</v>
      </c>
      <c r="N28">
        <f>data1!A25</f>
        <v>415</v>
      </c>
      <c r="O28">
        <f ca="1">(data1!B25-O$2)/O$4/Cal!$G25</f>
        <v>0</v>
      </c>
      <c r="P28">
        <f ca="1">(data1!C25-P$2)/P$4/Cal!$G25</f>
        <v>0</v>
      </c>
      <c r="Q28">
        <f ca="1">(data1!D25-Q$2)/Q$4/Cal!$G25</f>
        <v>0</v>
      </c>
      <c r="R28">
        <f ca="1">(data1!E25-R$2)/R$4/Cal!$G25</f>
        <v>0</v>
      </c>
      <c r="S28">
        <f ca="1">(data1!F25-S$2)/S$4/Cal!$G25</f>
        <v>0</v>
      </c>
      <c r="T28">
        <f ca="1">(data1!G25-T$2)/T$4/Cal!$G25</f>
        <v>0</v>
      </c>
      <c r="U28">
        <f ca="1">(data1!H25-U$2)/U$4/Cal!$G25</f>
        <v>0</v>
      </c>
      <c r="W28">
        <f ca="1">(data1!J25-W$2)/W$4/Cal!$G25</f>
        <v>0</v>
      </c>
      <c r="X28">
        <f ca="1">(data1!K25-X$2)/X$4/Cal!$G25</f>
        <v>0</v>
      </c>
    </row>
    <row r="29" spans="12:24">
      <c r="L29">
        <f t="shared" ca="1" si="0"/>
        <v>0</v>
      </c>
      <c r="M29">
        <f t="shared" ca="1" si="1"/>
        <v>0</v>
      </c>
      <c r="N29">
        <f>data1!A26</f>
        <v>420</v>
      </c>
      <c r="O29">
        <f ca="1">(data1!B26-O$2)/O$4/Cal!$G26</f>
        <v>0</v>
      </c>
      <c r="P29">
        <f ca="1">(data1!C26-P$2)/P$4/Cal!$G26</f>
        <v>0</v>
      </c>
      <c r="Q29">
        <f ca="1">(data1!D26-Q$2)/Q$4/Cal!$G26</f>
        <v>0</v>
      </c>
      <c r="R29">
        <f ca="1">(data1!E26-R$2)/R$4/Cal!$G26</f>
        <v>0</v>
      </c>
      <c r="S29">
        <f ca="1">(data1!F26-S$2)/S$4/Cal!$G26</f>
        <v>0</v>
      </c>
      <c r="T29">
        <f ca="1">(data1!G26-T$2)/T$4/Cal!$G26</f>
        <v>0</v>
      </c>
      <c r="U29">
        <f ca="1">(data1!H26-U$2)/U$4/Cal!$G26</f>
        <v>0</v>
      </c>
      <c r="W29">
        <f ca="1">(data1!J26-W$2)/W$4/Cal!$G26</f>
        <v>0</v>
      </c>
      <c r="X29">
        <f ca="1">(data1!K26-X$2)/X$4/Cal!$G26</f>
        <v>0</v>
      </c>
    </row>
    <row r="30" spans="12:24">
      <c r="L30">
        <f t="shared" ca="1" si="0"/>
        <v>0</v>
      </c>
      <c r="M30">
        <f t="shared" ca="1" si="1"/>
        <v>0</v>
      </c>
      <c r="N30">
        <f>data1!A27</f>
        <v>425</v>
      </c>
      <c r="O30">
        <f ca="1">(data1!B27-O$2)/O$4/Cal!$G27</f>
        <v>0</v>
      </c>
      <c r="P30">
        <f ca="1">(data1!C27-P$2)/P$4/Cal!$G27</f>
        <v>0</v>
      </c>
      <c r="Q30">
        <f ca="1">(data1!D27-Q$2)/Q$4/Cal!$G27</f>
        <v>0</v>
      </c>
      <c r="R30">
        <f ca="1">(data1!E27-R$2)/R$4/Cal!$G27</f>
        <v>0</v>
      </c>
      <c r="S30">
        <f ca="1">(data1!F27-S$2)/S$4/Cal!$G27</f>
        <v>0</v>
      </c>
      <c r="T30">
        <f ca="1">(data1!G27-T$2)/T$4/Cal!$G27</f>
        <v>0</v>
      </c>
      <c r="U30">
        <f ca="1">(data1!H27-U$2)/U$4/Cal!$G27</f>
        <v>0</v>
      </c>
      <c r="W30">
        <f ca="1">(data1!J27-W$2)/W$4/Cal!$G27</f>
        <v>0</v>
      </c>
      <c r="X30">
        <f ca="1">(data1!K27-X$2)/X$4/Cal!$G27</f>
        <v>0</v>
      </c>
    </row>
    <row r="31" spans="12:24">
      <c r="L31">
        <f t="shared" ca="1" si="0"/>
        <v>4.7837343612853418E-2</v>
      </c>
      <c r="M31">
        <f t="shared" ca="1" si="1"/>
        <v>1.6378195468079223E-3</v>
      </c>
      <c r="N31">
        <f>data1!A28</f>
        <v>430</v>
      </c>
      <c r="O31">
        <f ca="1">(data1!B28-O$2)/O$4/Cal!$G28</f>
        <v>0</v>
      </c>
      <c r="P31">
        <f ca="1">(data1!C28-P$2)/P$4/Cal!$G28</f>
        <v>0</v>
      </c>
      <c r="Q31">
        <f ca="1">(data1!D28-Q$2)/Q$4/Cal!$G28</f>
        <v>0</v>
      </c>
      <c r="R31">
        <f ca="1">(data1!E28-R$2)/R$4/Cal!$G28</f>
        <v>0</v>
      </c>
      <c r="S31">
        <f ca="1">(data1!F28-S$2)/S$4/Cal!$G28</f>
        <v>0</v>
      </c>
      <c r="T31">
        <f ca="1">(data1!G28-T$2)/T$4/Cal!$G28</f>
        <v>1.4740375921271301E-2</v>
      </c>
      <c r="U31">
        <f ca="1">(data1!H28-U$2)/U$4/Cal!$G28</f>
        <v>0</v>
      </c>
      <c r="W31">
        <f ca="1">(data1!J28-W$2)/W$4/Cal!$G28</f>
        <v>0</v>
      </c>
      <c r="X31">
        <f ca="1">(data1!K28-X$2)/X$4/Cal!$G28</f>
        <v>0</v>
      </c>
    </row>
    <row r="32" spans="12:24">
      <c r="L32">
        <f t="shared" ca="1" si="0"/>
        <v>4.7553673603857434E-2</v>
      </c>
      <c r="M32">
        <f t="shared" ca="1" si="1"/>
        <v>1.6281074630990775E-3</v>
      </c>
      <c r="N32">
        <f>data1!A29</f>
        <v>435</v>
      </c>
      <c r="O32">
        <f ca="1">(data1!B29-O$2)/O$4/Cal!$G29</f>
        <v>0</v>
      </c>
      <c r="P32">
        <f ca="1">(data1!C29-P$2)/P$4/Cal!$G29</f>
        <v>1.4652967167891696E-2</v>
      </c>
      <c r="Q32">
        <f ca="1">(data1!D29-Q$2)/Q$4/Cal!$G29</f>
        <v>0</v>
      </c>
      <c r="R32">
        <f ca="1">(data1!E29-R$2)/R$4/Cal!$G29</f>
        <v>0</v>
      </c>
      <c r="S32">
        <f ca="1">(data1!F29-S$2)/S$4/Cal!$G29</f>
        <v>0</v>
      </c>
      <c r="T32">
        <f ca="1">(data1!G29-T$2)/T$4/Cal!$G29</f>
        <v>0</v>
      </c>
      <c r="U32">
        <f ca="1">(data1!H29-U$2)/U$4/Cal!$G29</f>
        <v>0</v>
      </c>
      <c r="W32">
        <f ca="1">(data1!J29-W$2)/W$4/Cal!$G29</f>
        <v>0</v>
      </c>
      <c r="X32">
        <f ca="1">(data1!K29-X$2)/X$4/Cal!$G29</f>
        <v>0</v>
      </c>
    </row>
    <row r="33" spans="12:24">
      <c r="L33">
        <f t="shared" ca="1" si="0"/>
        <v>9.4120973595117258E-2</v>
      </c>
      <c r="M33">
        <f t="shared" ca="1" si="1"/>
        <v>3.2224441968649767E-3</v>
      </c>
      <c r="N33">
        <f>data1!A30</f>
        <v>440</v>
      </c>
      <c r="O33">
        <f ca="1">(data1!B30-O$2)/O$4/Cal!$G30</f>
        <v>0</v>
      </c>
      <c r="P33">
        <f ca="1">(data1!C30-P$2)/P$4/Cal!$G30</f>
        <v>0</v>
      </c>
      <c r="Q33">
        <f ca="1">(data1!D30-Q$2)/Q$4/Cal!$G30</f>
        <v>1.5929455492562486E-2</v>
      </c>
      <c r="R33">
        <f ca="1">(data1!E30-R$2)/R$4/Cal!$G30</f>
        <v>0</v>
      </c>
      <c r="S33">
        <f ca="1">(data1!F30-S$2)/S$4/Cal!$G30</f>
        <v>0</v>
      </c>
      <c r="T33">
        <f ca="1">(data1!G30-T$2)/T$4/Cal!$G30</f>
        <v>1.3072542279222303E-2</v>
      </c>
      <c r="U33">
        <f ca="1">(data1!H30-U$2)/U$4/Cal!$G30</f>
        <v>0</v>
      </c>
      <c r="W33">
        <f ca="1">(data1!J30-W$2)/W$4/Cal!$G30</f>
        <v>0</v>
      </c>
      <c r="X33">
        <f ca="1">(data1!K30-X$2)/X$4/Cal!$G30</f>
        <v>0</v>
      </c>
    </row>
    <row r="34" spans="12:24">
      <c r="L34">
        <f t="shared" ca="1" si="0"/>
        <v>0</v>
      </c>
      <c r="M34">
        <f t="shared" ca="1" si="1"/>
        <v>0</v>
      </c>
      <c r="N34">
        <f>data1!A31</f>
        <v>445</v>
      </c>
      <c r="O34">
        <f ca="1">(data1!B31-O$2)/O$4/Cal!$G31</f>
        <v>0</v>
      </c>
      <c r="P34">
        <f ca="1">(data1!C31-P$2)/P$4/Cal!$G31</f>
        <v>0</v>
      </c>
      <c r="Q34">
        <f ca="1">(data1!D31-Q$2)/Q$4/Cal!$G31</f>
        <v>0</v>
      </c>
      <c r="R34">
        <f ca="1">(data1!E31-R$2)/R$4/Cal!$G31</f>
        <v>0</v>
      </c>
      <c r="S34">
        <f ca="1">(data1!F31-S$2)/S$4/Cal!$G31</f>
        <v>0</v>
      </c>
      <c r="T34">
        <f ca="1">(data1!G31-T$2)/T$4/Cal!$G31</f>
        <v>0</v>
      </c>
      <c r="U34">
        <f ca="1">(data1!H31-U$2)/U$4/Cal!$G31</f>
        <v>0</v>
      </c>
      <c r="W34">
        <f ca="1">(data1!J31-W$2)/W$4/Cal!$G31</f>
        <v>0</v>
      </c>
      <c r="X34">
        <f ca="1">(data1!K31-X$2)/X$4/Cal!$G31</f>
        <v>0</v>
      </c>
    </row>
    <row r="35" spans="12:24">
      <c r="L35">
        <f t="shared" ca="1" si="0"/>
        <v>3.7584547721494548E-2</v>
      </c>
      <c r="M35">
        <f t="shared" ca="1" si="1"/>
        <v>1.286791913329804E-3</v>
      </c>
      <c r="N35">
        <f>data1!A32</f>
        <v>450</v>
      </c>
      <c r="O35">
        <f ca="1">(data1!B32-O$2)/O$4/Cal!$G32</f>
        <v>0</v>
      </c>
      <c r="P35">
        <f ca="1">(data1!C32-P$2)/P$4/Cal!$G32</f>
        <v>0</v>
      </c>
      <c r="Q35">
        <f ca="1">(data1!D32-Q$2)/Q$4/Cal!$G32</f>
        <v>0</v>
      </c>
      <c r="R35">
        <f ca="1">(data1!E32-R$2)/R$4/Cal!$G32</f>
        <v>0</v>
      </c>
      <c r="S35">
        <f ca="1">(data1!F32-S$2)/S$4/Cal!$G32</f>
        <v>0</v>
      </c>
      <c r="T35">
        <f ca="1">(data1!G32-T$2)/T$4/Cal!$G32</f>
        <v>1.1581127219968236E-2</v>
      </c>
      <c r="U35">
        <f ca="1">(data1!H32-U$2)/U$4/Cal!$G32</f>
        <v>0</v>
      </c>
      <c r="W35">
        <f ca="1">(data1!J32-W$2)/W$4/Cal!$G32</f>
        <v>0</v>
      </c>
      <c r="X35">
        <f ca="1">(data1!K32-X$2)/X$4/Cal!$G32</f>
        <v>0</v>
      </c>
    </row>
    <row r="36" spans="12:24">
      <c r="L36">
        <f t="shared" ca="1" si="0"/>
        <v>7.3784649630970575E-2</v>
      </c>
      <c r="M36">
        <f t="shared" ca="1" si="1"/>
        <v>2.5261841961372509E-3</v>
      </c>
      <c r="N36">
        <f>data1!A33</f>
        <v>455</v>
      </c>
      <c r="O36">
        <f ca="1">(data1!B33-O$2)/O$4/Cal!$G33</f>
        <v>0</v>
      </c>
      <c r="P36">
        <f ca="1">(data1!C33-P$2)/P$4/Cal!$G33</f>
        <v>1.1685366002243977E-2</v>
      </c>
      <c r="Q36">
        <f ca="1">(data1!D33-Q$2)/Q$4/Cal!$G33</f>
        <v>0</v>
      </c>
      <c r="R36">
        <f ca="1">(data1!E33-R$2)/R$4/Cal!$G33</f>
        <v>0</v>
      </c>
      <c r="S36">
        <f ca="1">(data1!F33-S$2)/S$4/Cal!$G33</f>
        <v>0</v>
      </c>
      <c r="T36">
        <f ca="1">(data1!G33-T$2)/T$4/Cal!$G33</f>
        <v>1.105029176299128E-2</v>
      </c>
      <c r="U36">
        <f ca="1">(data1!H33-U$2)/U$4/Cal!$G33</f>
        <v>0</v>
      </c>
      <c r="W36">
        <f ca="1">(data1!J33-W$2)/W$4/Cal!$G33</f>
        <v>0</v>
      </c>
      <c r="X36">
        <f ca="1">(data1!K33-X$2)/X$4/Cal!$G33</f>
        <v>0</v>
      </c>
    </row>
    <row r="37" spans="12:24">
      <c r="L37">
        <f t="shared" ref="L37:L68" ca="1" si="2">M37/M$2</f>
        <v>0.1119645981639855</v>
      </c>
      <c r="M37">
        <f t="shared" ca="1" si="1"/>
        <v>3.833361001554402E-3</v>
      </c>
      <c r="N37">
        <f>data1!A34</f>
        <v>460</v>
      </c>
      <c r="O37">
        <f ca="1">(data1!B34-O$2)/O$4/Cal!$G34</f>
        <v>0</v>
      </c>
      <c r="P37">
        <f ca="1">(data1!C34-P$2)/P$4/Cal!$G34</f>
        <v>1.1136404937666437E-2</v>
      </c>
      <c r="Q37">
        <f ca="1">(data1!D34-Q$2)/Q$4/Cal!$G34</f>
        <v>1.2832678537443257E-2</v>
      </c>
      <c r="R37">
        <f ca="1">(data1!E34-R$2)/R$4/Cal!$G34</f>
        <v>0</v>
      </c>
      <c r="S37">
        <f ca="1">(data1!F34-S$2)/S$4/Cal!$G34</f>
        <v>0</v>
      </c>
      <c r="T37">
        <f ca="1">(data1!G34-T$2)/T$4/Cal!$G34</f>
        <v>1.0531165538879925E-2</v>
      </c>
      <c r="U37">
        <f ca="1">(data1!H34-U$2)/U$4/Cal!$G34</f>
        <v>0</v>
      </c>
      <c r="W37">
        <f ca="1">(data1!J34-W$2)/W$4/Cal!$G34</f>
        <v>0</v>
      </c>
      <c r="X37">
        <f ca="1">(data1!K34-X$2)/X$4/Cal!$G34</f>
        <v>0</v>
      </c>
    </row>
    <row r="38" spans="12:24">
      <c r="L38">
        <f t="shared" ca="1" si="2"/>
        <v>0</v>
      </c>
      <c r="M38">
        <f t="shared" ca="1" si="1"/>
        <v>0</v>
      </c>
      <c r="N38">
        <f>data1!A35</f>
        <v>465</v>
      </c>
      <c r="O38">
        <f ca="1">(data1!B35-O$2)/O$4/Cal!$G35</f>
        <v>0</v>
      </c>
      <c r="P38">
        <f ca="1">(data1!C35-P$2)/P$4/Cal!$G35</f>
        <v>0</v>
      </c>
      <c r="Q38">
        <f ca="1">(data1!D35-Q$2)/Q$4/Cal!$G35</f>
        <v>0</v>
      </c>
      <c r="R38">
        <f ca="1">(data1!E35-R$2)/R$4/Cal!$G35</f>
        <v>0</v>
      </c>
      <c r="S38">
        <f ca="1">(data1!F35-S$2)/S$4/Cal!$G35</f>
        <v>0</v>
      </c>
      <c r="T38">
        <f ca="1">(data1!G35-T$2)/T$4/Cal!$G35</f>
        <v>0</v>
      </c>
      <c r="U38">
        <f ca="1">(data1!H35-U$2)/U$4/Cal!$G35</f>
        <v>0</v>
      </c>
      <c r="W38">
        <f ca="1">(data1!J35-W$2)/W$4/Cal!$G35</f>
        <v>0</v>
      </c>
      <c r="X38">
        <f ca="1">(data1!K35-X$2)/X$4/Cal!$G35</f>
        <v>0</v>
      </c>
    </row>
    <row r="39" spans="12:24">
      <c r="L39">
        <f t="shared" ca="1" si="2"/>
        <v>3.0465029304458036E-2</v>
      </c>
      <c r="M39">
        <f t="shared" ca="1" si="1"/>
        <v>1.0430391138087968E-3</v>
      </c>
      <c r="N39">
        <f>data1!A36</f>
        <v>470</v>
      </c>
      <c r="O39">
        <f ca="1">(data1!B36-O$2)/O$4/Cal!$G36</f>
        <v>0</v>
      </c>
      <c r="P39">
        <f ca="1">(data1!C36-P$2)/P$4/Cal!$G36</f>
        <v>0</v>
      </c>
      <c r="Q39">
        <f ca="1">(data1!D36-Q$2)/Q$4/Cal!$G36</f>
        <v>0</v>
      </c>
      <c r="R39">
        <f ca="1">(data1!E36-R$2)/R$4/Cal!$G36</f>
        <v>0</v>
      </c>
      <c r="S39">
        <f ca="1">(data1!F36-S$2)/S$4/Cal!$G36</f>
        <v>0</v>
      </c>
      <c r="T39">
        <f ca="1">(data1!G36-T$2)/T$4/Cal!$G36</f>
        <v>9.3873520242791705E-3</v>
      </c>
      <c r="U39">
        <f ca="1">(data1!H36-U$2)/U$4/Cal!$G36</f>
        <v>0</v>
      </c>
      <c r="W39">
        <f ca="1">(data1!J36-W$2)/W$4/Cal!$G36</f>
        <v>0</v>
      </c>
      <c r="X39">
        <f ca="1">(data1!K36-X$2)/X$4/Cal!$G36</f>
        <v>0</v>
      </c>
    </row>
    <row r="40" spans="12:24">
      <c r="L40">
        <f t="shared" ca="1" si="2"/>
        <v>2.9773138404880026E-2</v>
      </c>
      <c r="M40">
        <f t="shared" ca="1" si="1"/>
        <v>1.0193506655379588E-3</v>
      </c>
      <c r="N40">
        <f>data1!A37</f>
        <v>475</v>
      </c>
      <c r="O40">
        <f ca="1">(data1!B37-O$2)/O$4/Cal!$G37</f>
        <v>0</v>
      </c>
      <c r="P40">
        <f ca="1">(data1!C37-P$2)/P$4/Cal!$G37</f>
        <v>0</v>
      </c>
      <c r="Q40">
        <f ca="1">(data1!D37-Q$2)/Q$4/Cal!$G37</f>
        <v>0</v>
      </c>
      <c r="R40">
        <f ca="1">(data1!E37-R$2)/R$4/Cal!$G37</f>
        <v>0</v>
      </c>
      <c r="S40">
        <f ca="1">(data1!F37-S$2)/S$4/Cal!$G37</f>
        <v>0</v>
      </c>
      <c r="T40">
        <f ca="1">(data1!G37-T$2)/T$4/Cal!$G37</f>
        <v>9.1741559898416286E-3</v>
      </c>
      <c r="U40">
        <f ca="1">(data1!H37-U$2)/U$4/Cal!$G37</f>
        <v>0</v>
      </c>
      <c r="W40">
        <f ca="1">(data1!J37-W$2)/W$4/Cal!$G37</f>
        <v>0</v>
      </c>
      <c r="X40">
        <f ca="1">(data1!K37-X$2)/X$4/Cal!$G37</f>
        <v>0</v>
      </c>
    </row>
    <row r="41" spans="12:24">
      <c r="L41">
        <f t="shared" ca="1" si="2"/>
        <v>2.8651173959950264E-2</v>
      </c>
      <c r="M41">
        <f t="shared" ca="1" si="1"/>
        <v>9.8093767769312935E-4</v>
      </c>
      <c r="N41">
        <f>data1!A38</f>
        <v>480</v>
      </c>
      <c r="O41">
        <f ca="1">(data1!B38-O$2)/O$4/Cal!$G38</f>
        <v>0</v>
      </c>
      <c r="P41">
        <f ca="1">(data1!C38-P$2)/P$4/Cal!$G38</f>
        <v>0</v>
      </c>
      <c r="Q41">
        <f ca="1">(data1!D38-Q$2)/Q$4/Cal!$G38</f>
        <v>0</v>
      </c>
      <c r="R41">
        <f ca="1">(data1!E38-R$2)/R$4/Cal!$G38</f>
        <v>0</v>
      </c>
      <c r="S41">
        <f ca="1">(data1!F38-S$2)/S$4/Cal!$G38</f>
        <v>0</v>
      </c>
      <c r="T41">
        <f ca="1">(data1!G38-T$2)/T$4/Cal!$G38</f>
        <v>8.828439099238165E-3</v>
      </c>
      <c r="U41">
        <f ca="1">(data1!H38-U$2)/U$4/Cal!$G38</f>
        <v>0</v>
      </c>
      <c r="W41">
        <f ca="1">(data1!J38-W$2)/W$4/Cal!$G38</f>
        <v>0</v>
      </c>
      <c r="X41">
        <f ca="1">(data1!K38-X$2)/X$4/Cal!$G38</f>
        <v>0</v>
      </c>
    </row>
    <row r="42" spans="12:24">
      <c r="L42">
        <f t="shared" ca="1" si="2"/>
        <v>5.6655592580888259E-2</v>
      </c>
      <c r="M42">
        <f t="shared" ca="1" si="1"/>
        <v>1.9397322250149463E-3</v>
      </c>
      <c r="N42">
        <f>data1!A39</f>
        <v>485</v>
      </c>
      <c r="O42">
        <f ca="1">(data1!B39-O$2)/O$4/Cal!$G39</f>
        <v>0</v>
      </c>
      <c r="P42">
        <f ca="1">(data1!C39-P$2)/P$4/Cal!$G39</f>
        <v>8.9726161023038955E-3</v>
      </c>
      <c r="Q42">
        <f ca="1">(data1!D39-Q$2)/Q$4/Cal!$G39</f>
        <v>0</v>
      </c>
      <c r="R42">
        <f ca="1">(data1!E39-R$2)/R$4/Cal!$G39</f>
        <v>0</v>
      </c>
      <c r="S42">
        <f ca="1">(data1!F39-S$2)/S$4/Cal!$G39</f>
        <v>0</v>
      </c>
      <c r="T42">
        <f ca="1">(data1!G39-T$2)/T$4/Cal!$G39</f>
        <v>8.4849739228306225E-3</v>
      </c>
      <c r="U42">
        <f ca="1">(data1!H39-U$2)/U$4/Cal!$G39</f>
        <v>0</v>
      </c>
      <c r="W42">
        <f ca="1">(data1!J39-W$2)/W$4/Cal!$G39</f>
        <v>0</v>
      </c>
      <c r="X42">
        <f ca="1">(data1!K39-X$2)/X$4/Cal!$G39</f>
        <v>0</v>
      </c>
    </row>
    <row r="43" spans="12:24">
      <c r="L43">
        <f t="shared" ca="1" si="2"/>
        <v>5.4096125122025635E-2</v>
      </c>
      <c r="M43">
        <f t="shared" ca="1" si="1"/>
        <v>1.8521030734577584E-3</v>
      </c>
      <c r="N43">
        <f>data1!A40</f>
        <v>490</v>
      </c>
      <c r="O43">
        <f ca="1">(data1!B40-O$2)/O$4/Cal!$G40</f>
        <v>0</v>
      </c>
      <c r="P43">
        <f ca="1">(data1!C40-P$2)/P$4/Cal!$G40</f>
        <v>8.5672700828103056E-3</v>
      </c>
      <c r="Q43">
        <f ca="1">(data1!D40-Q$2)/Q$4/Cal!$G40</f>
        <v>0</v>
      </c>
      <c r="R43">
        <f ca="1">(data1!E40-R$2)/R$4/Cal!$G40</f>
        <v>0</v>
      </c>
      <c r="S43">
        <f ca="1">(data1!F40-S$2)/S$4/Cal!$G40</f>
        <v>0</v>
      </c>
      <c r="T43">
        <f ca="1">(data1!G40-T$2)/T$4/Cal!$G40</f>
        <v>8.10165757830952E-3</v>
      </c>
      <c r="U43">
        <f ca="1">(data1!H40-U$2)/U$4/Cal!$G40</f>
        <v>0</v>
      </c>
      <c r="W43">
        <f ca="1">(data1!J40-W$2)/W$4/Cal!$G40</f>
        <v>0</v>
      </c>
      <c r="X43">
        <f ca="1">(data1!K40-X$2)/X$4/Cal!$G40</f>
        <v>0</v>
      </c>
    </row>
    <row r="44" spans="12:24">
      <c r="L44">
        <f t="shared" ca="1" si="2"/>
        <v>8.2648784949883855E-2</v>
      </c>
      <c r="M44">
        <f t="shared" ca="1" si="1"/>
        <v>2.8296678972465623E-3</v>
      </c>
      <c r="N44">
        <f>data1!A41</f>
        <v>495</v>
      </c>
      <c r="O44">
        <f ca="1">(data1!B41-O$2)/O$4/Cal!$G41</f>
        <v>0</v>
      </c>
      <c r="P44">
        <f ca="1">(data1!C41-P$2)/P$4/Cal!$G41</f>
        <v>8.2205478508480638E-3</v>
      </c>
      <c r="Q44">
        <f ca="1">(data1!D41-Q$2)/Q$4/Cal!$G41</f>
        <v>9.4726842784605466E-3</v>
      </c>
      <c r="R44">
        <f ca="1">(data1!E41-R$2)/R$4/Cal!$G41</f>
        <v>0</v>
      </c>
      <c r="S44">
        <f ca="1">(data1!F41-S$2)/S$4/Cal!$G41</f>
        <v>0</v>
      </c>
      <c r="T44">
        <f ca="1">(data1!G41-T$2)/T$4/Cal!$G41</f>
        <v>7.7737789459104535E-3</v>
      </c>
      <c r="U44">
        <f ca="1">(data1!H41-U$2)/U$4/Cal!$G41</f>
        <v>0</v>
      </c>
      <c r="W44">
        <f ca="1">(data1!J41-W$2)/W$4/Cal!$G41</f>
        <v>0</v>
      </c>
      <c r="X44">
        <f ca="1">(data1!K41-X$2)/X$4/Cal!$G41</f>
        <v>0</v>
      </c>
    </row>
    <row r="45" spans="12:24">
      <c r="L45">
        <f t="shared" ca="1" si="2"/>
        <v>7.9666573529560678E-2</v>
      </c>
      <c r="M45">
        <f t="shared" ca="1" si="1"/>
        <v>2.727565150981054E-3</v>
      </c>
      <c r="N45">
        <f>data1!A42</f>
        <v>500</v>
      </c>
      <c r="O45">
        <f ca="1">(data1!B42-O$2)/O$4/Cal!$G42</f>
        <v>0</v>
      </c>
      <c r="P45">
        <f ca="1">(data1!C42-P$2)/P$4/Cal!$G42</f>
        <v>7.9239262889342649E-3</v>
      </c>
      <c r="Q45">
        <f ca="1">(data1!D42-Q$2)/Q$4/Cal!$G42</f>
        <v>9.1308819488380277E-3</v>
      </c>
      <c r="R45">
        <f ca="1">(data1!E42-R$2)/R$4/Cal!$G42</f>
        <v>0</v>
      </c>
      <c r="S45">
        <f ca="1">(data1!F42-S$2)/S$4/Cal!$G42</f>
        <v>0</v>
      </c>
      <c r="T45">
        <f ca="1">(data1!G42-T$2)/T$4/Cal!$G42</f>
        <v>7.4932781210571954E-3</v>
      </c>
      <c r="U45">
        <f ca="1">(data1!H42-U$2)/U$4/Cal!$G42</f>
        <v>0</v>
      </c>
      <c r="W45">
        <f ca="1">(data1!J42-W$2)/W$4/Cal!$G42</f>
        <v>0</v>
      </c>
      <c r="X45">
        <f ca="1">(data1!K42-X$2)/X$4/Cal!$G42</f>
        <v>0</v>
      </c>
    </row>
    <row r="46" spans="12:24">
      <c r="L46">
        <f t="shared" ca="1" si="2"/>
        <v>7.6709568574601025E-2</v>
      </c>
      <c r="M46">
        <f t="shared" ca="1" si="1"/>
        <v>2.6263254050111393E-3</v>
      </c>
      <c r="N46">
        <f>data1!A43</f>
        <v>505</v>
      </c>
      <c r="O46">
        <f ca="1">(data1!B43-O$2)/O$4/Cal!$G43</f>
        <v>0</v>
      </c>
      <c r="P46">
        <f ca="1">(data1!C43-P$2)/P$4/Cal!$G43</f>
        <v>7.6298118534688132E-3</v>
      </c>
      <c r="Q46">
        <f ca="1">(data1!D43-Q$2)/Q$4/Cal!$G43</f>
        <v>8.7919686258513523E-3</v>
      </c>
      <c r="R46">
        <f ca="1">(data1!E43-R$2)/R$4/Cal!$G43</f>
        <v>0</v>
      </c>
      <c r="S46">
        <f ca="1">(data1!F43-S$2)/S$4/Cal!$G43</f>
        <v>0</v>
      </c>
      <c r="T46">
        <f ca="1">(data1!G43-T$2)/T$4/Cal!$G43</f>
        <v>7.2151481657800904E-3</v>
      </c>
      <c r="U46">
        <f ca="1">(data1!H43-U$2)/U$4/Cal!$G43</f>
        <v>0</v>
      </c>
      <c r="W46">
        <f ca="1">(data1!J43-W$2)/W$4/Cal!$G43</f>
        <v>0</v>
      </c>
      <c r="X46">
        <f ca="1">(data1!K43-X$2)/X$4/Cal!$G43</f>
        <v>0</v>
      </c>
    </row>
    <row r="47" spans="12:24">
      <c r="L47">
        <f t="shared" ca="1" si="2"/>
        <v>4.64392762568007E-2</v>
      </c>
      <c r="M47">
        <f t="shared" ca="1" si="1"/>
        <v>1.5899535519477484E-3</v>
      </c>
      <c r="N47">
        <f>data1!A44</f>
        <v>510</v>
      </c>
      <c r="O47">
        <f ca="1">(data1!B44-O$2)/O$4/Cal!$G44</f>
        <v>0</v>
      </c>
      <c r="P47">
        <f ca="1">(data1!C44-P$2)/P$4/Cal!$G44</f>
        <v>7.3546454805181755E-3</v>
      </c>
      <c r="Q47">
        <f ca="1">(data1!D44-Q$2)/Q$4/Cal!$G44</f>
        <v>0</v>
      </c>
      <c r="R47">
        <f ca="1">(data1!E44-R$2)/R$4/Cal!$G44</f>
        <v>0</v>
      </c>
      <c r="S47">
        <f ca="1">(data1!F44-S$2)/S$4/Cal!$G44</f>
        <v>0</v>
      </c>
      <c r="T47">
        <f ca="1">(data1!G44-T$2)/T$4/Cal!$G44</f>
        <v>6.9549364870115605E-3</v>
      </c>
      <c r="U47">
        <f ca="1">(data1!H44-U$2)/U$4/Cal!$G44</f>
        <v>0</v>
      </c>
      <c r="W47">
        <f ca="1">(data1!J44-W$2)/W$4/Cal!$G44</f>
        <v>0</v>
      </c>
      <c r="X47">
        <f ca="1">(data1!K44-X$2)/X$4/Cal!$G44</f>
        <v>0</v>
      </c>
    </row>
    <row r="48" spans="12:24">
      <c r="L48">
        <f t="shared" ca="1" si="2"/>
        <v>4.4838849837758647E-2</v>
      </c>
      <c r="M48">
        <f t="shared" ca="1" si="1"/>
        <v>1.5351593373369148E-3</v>
      </c>
      <c r="N48">
        <f>data1!A45</f>
        <v>515</v>
      </c>
      <c r="O48">
        <f ca="1">(data1!B45-O$2)/O$4/Cal!$G45</f>
        <v>0</v>
      </c>
      <c r="P48">
        <f ca="1">(data1!C45-P$2)/P$4/Cal!$G45</f>
        <v>7.1011839738267185E-3</v>
      </c>
      <c r="Q48">
        <f ca="1">(data1!D45-Q$2)/Q$4/Cal!$G45</f>
        <v>0</v>
      </c>
      <c r="R48">
        <f ca="1">(data1!E45-R$2)/R$4/Cal!$G45</f>
        <v>0</v>
      </c>
      <c r="S48">
        <f ca="1">(data1!F45-S$2)/S$4/Cal!$G45</f>
        <v>0</v>
      </c>
      <c r="T48">
        <f ca="1">(data1!G45-T$2)/T$4/Cal!$G45</f>
        <v>6.7152500622055149E-3</v>
      </c>
      <c r="U48">
        <f ca="1">(data1!H45-U$2)/U$4/Cal!$G45</f>
        <v>0</v>
      </c>
      <c r="W48">
        <f ca="1">(data1!J45-W$2)/W$4/Cal!$G45</f>
        <v>0</v>
      </c>
      <c r="X48">
        <f ca="1">(data1!K45-X$2)/X$4/Cal!$G45</f>
        <v>0</v>
      </c>
    </row>
    <row r="49" spans="12:24">
      <c r="L49">
        <f t="shared" ca="1" si="2"/>
        <v>4.3425045127479391E-2</v>
      </c>
      <c r="M49">
        <f t="shared" ca="1" si="1"/>
        <v>1.4867545385963278E-3</v>
      </c>
      <c r="N49">
        <f>data1!A46</f>
        <v>520</v>
      </c>
      <c r="O49">
        <f ca="1">(data1!B46-O$2)/O$4/Cal!$G46</f>
        <v>0</v>
      </c>
      <c r="P49">
        <f ca="1">(data1!C46-P$2)/P$4/Cal!$G46</f>
        <v>6.8772779774177424E-3</v>
      </c>
      <c r="Q49">
        <f ca="1">(data1!D46-Q$2)/Q$4/Cal!$G46</f>
        <v>0</v>
      </c>
      <c r="R49">
        <f ca="1">(data1!E46-R$2)/R$4/Cal!$G46</f>
        <v>0</v>
      </c>
      <c r="S49">
        <f ca="1">(data1!F46-S$2)/S$4/Cal!$G46</f>
        <v>0</v>
      </c>
      <c r="T49">
        <f ca="1">(data1!G46-T$2)/T$4/Cal!$G46</f>
        <v>6.5035128699492068E-3</v>
      </c>
      <c r="U49">
        <f ca="1">(data1!H46-U$2)/U$4/Cal!$G46</f>
        <v>0</v>
      </c>
      <c r="W49">
        <f ca="1">(data1!J46-W$2)/W$4/Cal!$G46</f>
        <v>0</v>
      </c>
      <c r="X49">
        <f ca="1">(data1!K46-X$2)/X$4/Cal!$G46</f>
        <v>0</v>
      </c>
    </row>
    <row r="50" spans="12:24">
      <c r="L50">
        <f t="shared" ca="1" si="2"/>
        <v>4.2138093659757181E-2</v>
      </c>
      <c r="M50">
        <f t="shared" ca="1" si="1"/>
        <v>1.4426928472389038E-3</v>
      </c>
      <c r="N50">
        <f>data1!A47</f>
        <v>525</v>
      </c>
      <c r="O50">
        <f ca="1">(data1!B47-O$2)/O$4/Cal!$G47</f>
        <v>0</v>
      </c>
      <c r="P50">
        <f ca="1">(data1!C47-P$2)/P$4/Cal!$G47</f>
        <v>6.6734618855521146E-3</v>
      </c>
      <c r="Q50">
        <f ca="1">(data1!D47-Q$2)/Q$4/Cal!$G47</f>
        <v>0</v>
      </c>
      <c r="R50">
        <f ca="1">(data1!E47-R$2)/R$4/Cal!$G47</f>
        <v>0</v>
      </c>
      <c r="S50">
        <f ca="1">(data1!F47-S$2)/S$4/Cal!$G47</f>
        <v>0</v>
      </c>
      <c r="T50">
        <f ca="1">(data1!G47-T$2)/T$4/Cal!$G47</f>
        <v>6.3107737395980204E-3</v>
      </c>
      <c r="U50">
        <f ca="1">(data1!H47-U$2)/U$4/Cal!$G47</f>
        <v>0</v>
      </c>
      <c r="W50">
        <f ca="1">(data1!J47-W$2)/W$4/Cal!$G47</f>
        <v>0</v>
      </c>
      <c r="X50">
        <f ca="1">(data1!K47-X$2)/X$4/Cal!$G47</f>
        <v>0</v>
      </c>
    </row>
    <row r="51" spans="12:24">
      <c r="L51">
        <f t="shared" ca="1" si="2"/>
        <v>4.1021380272809188E-2</v>
      </c>
      <c r="M51">
        <f t="shared" ca="1" si="1"/>
        <v>1.4044596412288177E-3</v>
      </c>
      <c r="N51">
        <f>data1!A48</f>
        <v>530</v>
      </c>
      <c r="O51">
        <f ca="1">(data1!B48-O$2)/O$4/Cal!$G48</f>
        <v>0</v>
      </c>
      <c r="P51">
        <f ca="1">(data1!C48-P$2)/P$4/Cal!$G48</f>
        <v>6.4966066085892548E-3</v>
      </c>
      <c r="Q51">
        <f ca="1">(data1!D48-Q$2)/Q$4/Cal!$G48</f>
        <v>0</v>
      </c>
      <c r="R51">
        <f ca="1">(data1!E48-R$2)/R$4/Cal!$G48</f>
        <v>0</v>
      </c>
      <c r="S51">
        <f ca="1">(data1!F48-S$2)/S$4/Cal!$G48</f>
        <v>0</v>
      </c>
      <c r="T51">
        <f ca="1">(data1!G48-T$2)/T$4/Cal!$G48</f>
        <v>6.1435301624701037E-3</v>
      </c>
      <c r="U51">
        <f ca="1">(data1!H48-U$2)/U$4/Cal!$G48</f>
        <v>0</v>
      </c>
      <c r="W51">
        <f ca="1">(data1!J48-W$2)/W$4/Cal!$G48</f>
        <v>0</v>
      </c>
      <c r="X51">
        <f ca="1">(data1!K48-X$2)/X$4/Cal!$G48</f>
        <v>0</v>
      </c>
    </row>
    <row r="52" spans="12:24">
      <c r="L52">
        <f t="shared" ca="1" si="2"/>
        <v>4.0000721412803558E-2</v>
      </c>
      <c r="M52">
        <f t="shared" ca="1" si="1"/>
        <v>1.369515078983293E-3</v>
      </c>
      <c r="N52">
        <f>data1!A49</f>
        <v>535</v>
      </c>
      <c r="O52">
        <f ca="1">(data1!B49-O$2)/O$4/Cal!$G49</f>
        <v>0</v>
      </c>
      <c r="P52">
        <f ca="1">(data1!C49-P$2)/P$4/Cal!$G49</f>
        <v>6.3349636055764352E-3</v>
      </c>
      <c r="Q52">
        <f ca="1">(data1!D49-Q$2)/Q$4/Cal!$G49</f>
        <v>0</v>
      </c>
      <c r="R52">
        <f ca="1">(data1!E49-R$2)/R$4/Cal!$G49</f>
        <v>0</v>
      </c>
      <c r="S52">
        <f ca="1">(data1!F49-S$2)/S$4/Cal!$G49</f>
        <v>0</v>
      </c>
      <c r="T52">
        <f ca="1">(data1!G49-T$2)/T$4/Cal!$G49</f>
        <v>5.9906721052732023E-3</v>
      </c>
      <c r="U52">
        <f ca="1">(data1!H49-U$2)/U$4/Cal!$G49</f>
        <v>0</v>
      </c>
      <c r="W52">
        <f ca="1">(data1!J49-W$2)/W$4/Cal!$G49</f>
        <v>0</v>
      </c>
      <c r="X52">
        <f ca="1">(data1!K49-X$2)/X$4/Cal!$G49</f>
        <v>0</v>
      </c>
    </row>
    <row r="53" spans="12:24">
      <c r="L53">
        <f t="shared" ca="1" si="2"/>
        <v>6.2116652226451304E-2</v>
      </c>
      <c r="M53">
        <f t="shared" ca="1" si="1"/>
        <v>2.1267039412158407E-3</v>
      </c>
      <c r="N53">
        <f>data1!A50</f>
        <v>540</v>
      </c>
      <c r="O53">
        <f ca="1">(data1!B50-O$2)/O$4/Cal!$G50</f>
        <v>0</v>
      </c>
      <c r="P53">
        <f ca="1">(data1!C50-P$2)/P$4/Cal!$G50</f>
        <v>6.178347476876591E-3</v>
      </c>
      <c r="Q53">
        <f ca="1">(data1!D50-Q$2)/Q$4/Cal!$G50</f>
        <v>7.1194202713676241E-3</v>
      </c>
      <c r="R53">
        <f ca="1">(data1!E50-R$2)/R$4/Cal!$G50</f>
        <v>0</v>
      </c>
      <c r="S53">
        <f ca="1">(data1!F50-S$2)/S$4/Cal!$G50</f>
        <v>0</v>
      </c>
      <c r="T53">
        <f ca="1">(data1!G50-T$2)/T$4/Cal!$G50</f>
        <v>5.8425677226983533E-3</v>
      </c>
      <c r="U53">
        <f ca="1">(data1!H50-U$2)/U$4/Cal!$G50</f>
        <v>0</v>
      </c>
      <c r="W53">
        <f ca="1">(data1!J50-W$2)/W$4/Cal!$G50</f>
        <v>0</v>
      </c>
      <c r="X53">
        <f ca="1">(data1!K50-X$2)/X$4/Cal!$G50</f>
        <v>0</v>
      </c>
    </row>
    <row r="54" spans="12:24">
      <c r="L54">
        <f t="shared" ca="1" si="2"/>
        <v>6.0784767300944641E-2</v>
      </c>
      <c r="M54">
        <f t="shared" ca="1" si="1"/>
        <v>2.0811038514042587E-3</v>
      </c>
      <c r="N54">
        <f>data1!A51</f>
        <v>545</v>
      </c>
      <c r="O54">
        <f ca="1">(data1!B51-O$2)/O$4/Cal!$G51</f>
        <v>0</v>
      </c>
      <c r="P54">
        <f ca="1">(data1!C51-P$2)/P$4/Cal!$G51</f>
        <v>6.0458733725253918E-3</v>
      </c>
      <c r="Q54">
        <f ca="1">(data1!D51-Q$2)/Q$4/Cal!$G51</f>
        <v>6.9667679921814763E-3</v>
      </c>
      <c r="R54">
        <f ca="1">(data1!E51-R$2)/R$4/Cal!$G51</f>
        <v>0</v>
      </c>
      <c r="S54">
        <f ca="1">(data1!F51-S$2)/S$4/Cal!$G51</f>
        <v>0</v>
      </c>
      <c r="T54">
        <f ca="1">(data1!G51-T$2)/T$4/Cal!$G51</f>
        <v>5.7172932979314616E-3</v>
      </c>
      <c r="U54">
        <f ca="1">(data1!H51-U$2)/U$4/Cal!$G51</f>
        <v>0</v>
      </c>
      <c r="W54">
        <f ca="1">(data1!J51-W$2)/W$4/Cal!$G51</f>
        <v>0</v>
      </c>
      <c r="X54">
        <f ca="1">(data1!K51-X$2)/X$4/Cal!$G51</f>
        <v>0</v>
      </c>
    </row>
    <row r="55" spans="12:24">
      <c r="L55">
        <f t="shared" ca="1" si="2"/>
        <v>6.2110742991201846E-2</v>
      </c>
      <c r="M55">
        <f t="shared" ca="1" si="1"/>
        <v>2.1265016251951901E-3</v>
      </c>
      <c r="N55">
        <f>data1!A52</f>
        <v>550</v>
      </c>
      <c r="O55">
        <f ca="1">(data1!B52-O$2)/O$4/Cal!$G52</f>
        <v>0</v>
      </c>
      <c r="P55">
        <f ca="1">(data1!C52-P$2)/P$4/Cal!$G52</f>
        <v>5.9169181207358512E-3</v>
      </c>
      <c r="Q55">
        <f ca="1">(data1!D52-Q$2)/Q$4/Cal!$G52</f>
        <v>0</v>
      </c>
      <c r="R55">
        <f ca="1">(data1!E52-R$2)/R$4/Cal!$G52</f>
        <v>0</v>
      </c>
      <c r="S55">
        <f ca="1">(data1!F52-S$2)/S$4/Cal!$G52</f>
        <v>7.6262500222816776E-3</v>
      </c>
      <c r="T55">
        <f ca="1">(data1!G52-T$2)/T$4/Cal!$G52</f>
        <v>5.5953464837391826E-3</v>
      </c>
      <c r="U55">
        <f ca="1">(data1!H52-U$2)/U$4/Cal!$G52</f>
        <v>0</v>
      </c>
      <c r="W55">
        <f ca="1">(data1!J52-W$2)/W$4/Cal!$G52</f>
        <v>0</v>
      </c>
      <c r="X55">
        <f ca="1">(data1!K52-X$2)/X$4/Cal!$G52</f>
        <v>0</v>
      </c>
    </row>
    <row r="56" spans="12:24">
      <c r="L56">
        <f t="shared" ca="1" si="2"/>
        <v>3.6590708595062998E-2</v>
      </c>
      <c r="M56">
        <f t="shared" ca="1" si="1"/>
        <v>1.2527655852622324E-3</v>
      </c>
      <c r="N56">
        <f>data1!A53</f>
        <v>555</v>
      </c>
      <c r="O56">
        <f ca="1">(data1!B53-O$2)/O$4/Cal!$G53</f>
        <v>0</v>
      </c>
      <c r="P56">
        <f ca="1">(data1!C53-P$2)/P$4/Cal!$G53</f>
        <v>5.7949156681404599E-3</v>
      </c>
      <c r="Q56">
        <f ca="1">(data1!D53-Q$2)/Q$4/Cal!$G53</f>
        <v>0</v>
      </c>
      <c r="R56">
        <f ca="1">(data1!E53-R$2)/R$4/Cal!$G53</f>
        <v>0</v>
      </c>
      <c r="S56">
        <f ca="1">(data1!F53-S$2)/S$4/Cal!$G53</f>
        <v>0</v>
      </c>
      <c r="T56">
        <f ca="1">(data1!G53-T$2)/T$4/Cal!$G53</f>
        <v>5.4799745992196308E-3</v>
      </c>
      <c r="U56">
        <f ca="1">(data1!H53-U$2)/U$4/Cal!$G53</f>
        <v>0</v>
      </c>
      <c r="W56">
        <f ca="1">(data1!J53-W$2)/W$4/Cal!$G53</f>
        <v>0</v>
      </c>
      <c r="X56">
        <f ca="1">(data1!K53-X$2)/X$4/Cal!$G53</f>
        <v>0</v>
      </c>
    </row>
    <row r="57" spans="12:24">
      <c r="L57">
        <f t="shared" ca="1" si="2"/>
        <v>3.5871278258303212E-2</v>
      </c>
      <c r="M57">
        <f t="shared" ca="1" si="1"/>
        <v>1.2281342621342653E-3</v>
      </c>
      <c r="N57">
        <f>data1!A54</f>
        <v>560</v>
      </c>
      <c r="O57">
        <f ca="1">(data1!B54-O$2)/O$4/Cal!$G54</f>
        <v>0</v>
      </c>
      <c r="P57">
        <f ca="1">(data1!C54-P$2)/P$4/Cal!$G54</f>
        <v>5.6809785980289689E-3</v>
      </c>
      <c r="Q57">
        <f ca="1">(data1!D54-Q$2)/Q$4/Cal!$G54</f>
        <v>0</v>
      </c>
      <c r="R57">
        <f ca="1">(data1!E54-R$2)/R$4/Cal!$G54</f>
        <v>0</v>
      </c>
      <c r="S57">
        <f ca="1">(data1!F54-S$2)/S$4/Cal!$G54</f>
        <v>0</v>
      </c>
      <c r="T57">
        <f ca="1">(data1!G54-T$2)/T$4/Cal!$G54</f>
        <v>5.372229761179419E-3</v>
      </c>
      <c r="U57">
        <f ca="1">(data1!H54-U$2)/U$4/Cal!$G54</f>
        <v>0</v>
      </c>
      <c r="W57">
        <f ca="1">(data1!J54-W$2)/W$4/Cal!$G54</f>
        <v>0</v>
      </c>
      <c r="X57">
        <f ca="1">(data1!K54-X$2)/X$4/Cal!$G54</f>
        <v>0</v>
      </c>
    </row>
    <row r="58" spans="12:24">
      <c r="L58">
        <f t="shared" ca="1" si="2"/>
        <v>3.523149815050864E-2</v>
      </c>
      <c r="M58">
        <f t="shared" ca="1" si="1"/>
        <v>1.2062299445641884E-3</v>
      </c>
      <c r="N58">
        <f>data1!A55</f>
        <v>565</v>
      </c>
      <c r="O58">
        <f ca="1">(data1!B55-O$2)/O$4/Cal!$G55</f>
        <v>0</v>
      </c>
      <c r="P58">
        <f ca="1">(data1!C55-P$2)/P$4/Cal!$G55</f>
        <v>5.5796558329562094E-3</v>
      </c>
      <c r="Q58">
        <f ca="1">(data1!D55-Q$2)/Q$4/Cal!$G55</f>
        <v>0</v>
      </c>
      <c r="R58">
        <f ca="1">(data1!E55-R$2)/R$4/Cal!$G55</f>
        <v>0</v>
      </c>
      <c r="S58">
        <f ca="1">(data1!F55-S$2)/S$4/Cal!$G55</f>
        <v>0</v>
      </c>
      <c r="T58">
        <f ca="1">(data1!G55-T$2)/T$4/Cal!$G55</f>
        <v>5.2764136681214867E-3</v>
      </c>
      <c r="U58">
        <f ca="1">(data1!H55-U$2)/U$4/Cal!$G55</f>
        <v>0</v>
      </c>
      <c r="W58">
        <f ca="1">(data1!J55-W$2)/W$4/Cal!$G55</f>
        <v>0</v>
      </c>
      <c r="X58">
        <f ca="1">(data1!K55-X$2)/X$4/Cal!$G55</f>
        <v>0</v>
      </c>
    </row>
    <row r="59" spans="12:24">
      <c r="L59">
        <f t="shared" ca="1" si="2"/>
        <v>3.4622996391962778E-2</v>
      </c>
      <c r="M59">
        <f t="shared" ca="1" si="1"/>
        <v>1.1853965119539038E-3</v>
      </c>
      <c r="N59">
        <f>data1!A56</f>
        <v>570</v>
      </c>
      <c r="O59">
        <f ca="1">(data1!B56-O$2)/O$4/Cal!$G56</f>
        <v>0</v>
      </c>
      <c r="P59">
        <f ca="1">(data1!C56-P$2)/P$4/Cal!$G56</f>
        <v>5.4832866586471823E-3</v>
      </c>
      <c r="Q59">
        <f ca="1">(data1!D56-Q$2)/Q$4/Cal!$G56</f>
        <v>0</v>
      </c>
      <c r="R59">
        <f ca="1">(data1!E56-R$2)/R$4/Cal!$G56</f>
        <v>0</v>
      </c>
      <c r="S59">
        <f ca="1">(data1!F56-S$2)/S$4/Cal!$G56</f>
        <v>0</v>
      </c>
      <c r="T59">
        <f ca="1">(data1!G56-T$2)/T$4/Cal!$G56</f>
        <v>5.1852819489379524E-3</v>
      </c>
      <c r="U59">
        <f ca="1">(data1!H56-U$2)/U$4/Cal!$G56</f>
        <v>0</v>
      </c>
      <c r="W59">
        <f ca="1">(data1!J56-W$2)/W$4/Cal!$G56</f>
        <v>0</v>
      </c>
      <c r="X59">
        <f ca="1">(data1!K56-X$2)/X$4/Cal!$G56</f>
        <v>0</v>
      </c>
    </row>
    <row r="60" spans="12:24">
      <c r="L60">
        <f t="shared" ca="1" si="2"/>
        <v>5.4382938936511215E-2</v>
      </c>
      <c r="M60">
        <f t="shared" ca="1" si="1"/>
        <v>1.861922792450951E-3</v>
      </c>
      <c r="N60">
        <f>data1!A57</f>
        <v>575</v>
      </c>
      <c r="O60">
        <f ca="1">(data1!B57-O$2)/O$4/Cal!$G57</f>
        <v>0</v>
      </c>
      <c r="P60">
        <f ca="1">(data1!C57-P$2)/P$4/Cal!$G57</f>
        <v>5.4091243091888537E-3</v>
      </c>
      <c r="Q60">
        <f ca="1">(data1!D57-Q$2)/Q$4/Cal!$G57</f>
        <v>6.2330306609195158E-3</v>
      </c>
      <c r="R60">
        <f ca="1">(data1!E57-R$2)/R$4/Cal!$G57</f>
        <v>0</v>
      </c>
      <c r="S60">
        <f ca="1">(data1!F57-S$2)/S$4/Cal!$G57</f>
        <v>0</v>
      </c>
      <c r="T60">
        <f ca="1">(data1!G57-T$2)/T$4/Cal!$G57</f>
        <v>5.1151501619501874E-3</v>
      </c>
      <c r="U60">
        <f ca="1">(data1!H57-U$2)/U$4/Cal!$G57</f>
        <v>0</v>
      </c>
      <c r="W60">
        <f ca="1">(data1!J57-W$2)/W$4/Cal!$G57</f>
        <v>0</v>
      </c>
      <c r="X60">
        <f ca="1">(data1!K57-X$2)/X$4/Cal!$G57</f>
        <v>0</v>
      </c>
    </row>
    <row r="61" spans="12:24">
      <c r="L61">
        <f t="shared" ca="1" si="2"/>
        <v>5.3646082469092964E-2</v>
      </c>
      <c r="M61">
        <f t="shared" ca="1" si="1"/>
        <v>1.8366948463656425E-3</v>
      </c>
      <c r="N61">
        <f>data1!A58</f>
        <v>580</v>
      </c>
      <c r="O61">
        <f ca="1">(data1!B58-O$2)/O$4/Cal!$G58</f>
        <v>0</v>
      </c>
      <c r="P61">
        <f ca="1">(data1!C58-P$2)/P$4/Cal!$G58</f>
        <v>5.3358338929620263E-3</v>
      </c>
      <c r="Q61">
        <f ca="1">(data1!D58-Q$2)/Q$4/Cal!$G58</f>
        <v>6.1485768038104576E-3</v>
      </c>
      <c r="R61">
        <f ca="1">(data1!E58-R$2)/R$4/Cal!$G58</f>
        <v>0</v>
      </c>
      <c r="S61">
        <f ca="1">(data1!F58-S$2)/S$4/Cal!$G58</f>
        <v>0</v>
      </c>
      <c r="T61">
        <f ca="1">(data1!G58-T$2)/T$4/Cal!$G58</f>
        <v>5.0458429205182979E-3</v>
      </c>
      <c r="U61">
        <f ca="1">(data1!H58-U$2)/U$4/Cal!$G58</f>
        <v>0</v>
      </c>
      <c r="W61">
        <f ca="1">(data1!J58-W$2)/W$4/Cal!$G58</f>
        <v>0</v>
      </c>
      <c r="X61">
        <f ca="1">(data1!K58-X$2)/X$4/Cal!$G58</f>
        <v>0</v>
      </c>
    </row>
    <row r="62" spans="12:24">
      <c r="L62">
        <f t="shared" ca="1" si="2"/>
        <v>7.4934298568341898E-2</v>
      </c>
      <c r="M62">
        <f t="shared" ca="1" si="1"/>
        <v>2.5655450251337794E-3</v>
      </c>
      <c r="N62">
        <f>data1!A59</f>
        <v>585</v>
      </c>
      <c r="O62">
        <f ca="1">(data1!B59-O$2)/O$4/Cal!$G59</f>
        <v>0</v>
      </c>
      <c r="P62">
        <f ca="1">(data1!C59-P$2)/P$4/Cal!$G59</f>
        <v>5.2634254994471516E-3</v>
      </c>
      <c r="Q62">
        <f ca="1">(data1!D59-Q$2)/Q$4/Cal!$G59</f>
        <v>6.0651393172436495E-3</v>
      </c>
      <c r="R62">
        <f ca="1">(data1!E59-R$2)/R$4/Cal!$G59</f>
        <v>0</v>
      </c>
      <c r="S62">
        <f ca="1">(data1!F59-S$2)/S$4/Cal!$G59</f>
        <v>6.7839706437318069E-3</v>
      </c>
      <c r="T62">
        <f ca="1">(data1!G59-T$2)/T$4/Cal!$G59</f>
        <v>4.9773697657814068E-3</v>
      </c>
      <c r="U62">
        <f ca="1">(data1!H59-U$2)/U$4/Cal!$G59</f>
        <v>0</v>
      </c>
      <c r="W62">
        <f ca="1">(data1!J59-W$2)/W$4/Cal!$G59</f>
        <v>0</v>
      </c>
      <c r="X62">
        <f ca="1">(data1!K59-X$2)/X$4/Cal!$G59</f>
        <v>0</v>
      </c>
    </row>
    <row r="63" spans="12:24">
      <c r="L63">
        <f t="shared" ca="1" si="2"/>
        <v>0.1053266567257793</v>
      </c>
      <c r="M63">
        <f t="shared" ca="1" si="1"/>
        <v>3.6060960780242568E-3</v>
      </c>
      <c r="N63">
        <f>data1!A60</f>
        <v>590</v>
      </c>
      <c r="O63">
        <f ca="1">(data1!B60-O$2)/O$4/Cal!$G60</f>
        <v>9.6307742710842331E-3</v>
      </c>
      <c r="P63">
        <f ca="1">(data1!C60-P$2)/P$4/Cal!$G60</f>
        <v>5.2028320774822299E-3</v>
      </c>
      <c r="Q63">
        <f ca="1">(data1!D60-Q$2)/Q$4/Cal!$G60</f>
        <v>5.9953164336549328E-3</v>
      </c>
      <c r="R63">
        <f ca="1">(data1!E60-R$2)/R$4/Cal!$G60</f>
        <v>0</v>
      </c>
      <c r="S63">
        <f ca="1">(data1!F60-S$2)/S$4/Cal!$G60</f>
        <v>6.7058724554214643E-3</v>
      </c>
      <c r="T63">
        <f ca="1">(data1!G60-T$2)/T$4/Cal!$G60</f>
        <v>4.9200694645754502E-3</v>
      </c>
      <c r="U63">
        <f ca="1">(data1!H60-U$2)/U$4/Cal!$G60</f>
        <v>0</v>
      </c>
      <c r="W63">
        <f ca="1">(data1!J60-W$2)/W$4/Cal!$G60</f>
        <v>0</v>
      </c>
      <c r="X63">
        <f ca="1">(data1!K60-X$2)/X$4/Cal!$G60</f>
        <v>0</v>
      </c>
    </row>
    <row r="64" spans="12:24">
      <c r="L64">
        <f t="shared" ca="1" si="2"/>
        <v>0.10442660907517932</v>
      </c>
      <c r="M64">
        <f t="shared" ca="1" si="1"/>
        <v>3.5752809130531172E-3</v>
      </c>
      <c r="N64">
        <f>data1!A61</f>
        <v>595</v>
      </c>
      <c r="O64">
        <f ca="1">(data1!B61-O$2)/O$4/Cal!$G61</f>
        <v>9.548476436655521E-3</v>
      </c>
      <c r="P64">
        <f ca="1">(data1!C61-P$2)/P$4/Cal!$G61</f>
        <v>5.158372327848328E-3</v>
      </c>
      <c r="Q64">
        <f ca="1">(data1!D61-Q$2)/Q$4/Cal!$G61</f>
        <v>5.9440846691761326E-3</v>
      </c>
      <c r="R64">
        <f ca="1">(data1!E61-R$2)/R$4/Cal!$G61</f>
        <v>0</v>
      </c>
      <c r="S64">
        <f ca="1">(data1!F61-S$2)/S$4/Cal!$G61</f>
        <v>6.6485687781155474E-3</v>
      </c>
      <c r="T64">
        <f ca="1">(data1!G61-T$2)/T$4/Cal!$G61</f>
        <v>4.8780260056825227E-3</v>
      </c>
      <c r="U64">
        <f ca="1">(data1!H61-U$2)/U$4/Cal!$G61</f>
        <v>0</v>
      </c>
      <c r="W64">
        <f ca="1">(data1!J61-W$2)/W$4/Cal!$G61</f>
        <v>0</v>
      </c>
      <c r="X64">
        <f ca="1">(data1!K61-X$2)/X$4/Cal!$G61</f>
        <v>0</v>
      </c>
    </row>
    <row r="65" spans="12:24">
      <c r="L65">
        <f t="shared" ca="1" si="2"/>
        <v>7.2723868653008047E-2</v>
      </c>
      <c r="M65">
        <f t="shared" ca="1" si="1"/>
        <v>2.4898659625277606E-3</v>
      </c>
      <c r="N65">
        <f>data1!A62</f>
        <v>600</v>
      </c>
      <c r="O65">
        <f ca="1">(data1!B62-O$2)/O$4/Cal!$G62</f>
        <v>0</v>
      </c>
      <c r="P65">
        <f ca="1">(data1!C62-P$2)/P$4/Cal!$G62</f>
        <v>5.1081637114089515E-3</v>
      </c>
      <c r="Q65">
        <f ca="1">(data1!D62-Q$2)/Q$4/Cal!$G62</f>
        <v>5.8862283826830774E-3</v>
      </c>
      <c r="R65">
        <f ca="1">(data1!E62-R$2)/R$4/Cal!$G62</f>
        <v>0</v>
      </c>
      <c r="S65">
        <f ca="1">(data1!F62-S$2)/S$4/Cal!$G62</f>
        <v>6.583855450260352E-3</v>
      </c>
      <c r="T65">
        <f ca="1">(data1!G62-T$2)/T$4/Cal!$G62</f>
        <v>4.8305461183974618E-3</v>
      </c>
      <c r="U65">
        <f ca="1">(data1!H62-U$2)/U$4/Cal!$G62</f>
        <v>0</v>
      </c>
      <c r="W65">
        <f ca="1">(data1!J62-W$2)/W$4/Cal!$G62</f>
        <v>0</v>
      </c>
      <c r="X65">
        <f ca="1">(data1!K62-X$2)/X$4/Cal!$G62</f>
        <v>0</v>
      </c>
    </row>
    <row r="66" spans="12:24">
      <c r="L66">
        <f t="shared" ca="1" si="2"/>
        <v>5.0917133971805098E-2</v>
      </c>
      <c r="M66">
        <f t="shared" ca="1" si="1"/>
        <v>1.7432631285164671E-3</v>
      </c>
      <c r="N66">
        <f>data1!A63</f>
        <v>605</v>
      </c>
      <c r="O66">
        <f ca="1">(data1!B63-O$2)/O$4/Cal!$G63</f>
        <v>0</v>
      </c>
      <c r="P66">
        <f ca="1">(data1!C63-P$2)/P$4/Cal!$G63</f>
        <v>5.0644027797513728E-3</v>
      </c>
      <c r="Q66">
        <f ca="1">(data1!D63-Q$2)/Q$4/Cal!$G63</f>
        <v>5.8358018786538153E-3</v>
      </c>
      <c r="R66">
        <f ca="1">(data1!E63-R$2)/R$4/Cal!$G63</f>
        <v>0</v>
      </c>
      <c r="S66">
        <f ca="1">(data1!F63-S$2)/S$4/Cal!$G63</f>
        <v>0</v>
      </c>
      <c r="T66">
        <f ca="1">(data1!G63-T$2)/T$4/Cal!$G63</f>
        <v>4.7891634982430136E-3</v>
      </c>
      <c r="U66">
        <f ca="1">(data1!H63-U$2)/U$4/Cal!$G63</f>
        <v>0</v>
      </c>
      <c r="W66">
        <f ca="1">(data1!J63-W$2)/W$4/Cal!$G63</f>
        <v>0</v>
      </c>
      <c r="X66">
        <f ca="1">(data1!K63-X$2)/X$4/Cal!$G63</f>
        <v>0</v>
      </c>
    </row>
    <row r="67" spans="12:24">
      <c r="L67">
        <f t="shared" ca="1" si="2"/>
        <v>9.642558154264555E-2</v>
      </c>
      <c r="M67">
        <f t="shared" ca="1" si="1"/>
        <v>3.301347657197932E-3</v>
      </c>
      <c r="N67">
        <f>data1!A64</f>
        <v>610</v>
      </c>
      <c r="O67">
        <f ca="1">(data1!B64-O$2)/O$4/Cal!$G64</f>
        <v>0</v>
      </c>
      <c r="P67">
        <f ca="1">(data1!C64-P$2)/P$4/Cal!$G64</f>
        <v>5.0360373427035887E-3</v>
      </c>
      <c r="Q67">
        <f ca="1">(data1!D64-Q$2)/Q$4/Cal!$G64</f>
        <v>5.8031158783470975E-3</v>
      </c>
      <c r="R67">
        <f ca="1">(data1!E64-R$2)/R$4/Cal!$G64</f>
        <v>7.61974345765581E-3</v>
      </c>
      <c r="S67">
        <f ca="1">(data1!F64-S$2)/S$4/Cal!$G64</f>
        <v>6.4908925750401074E-3</v>
      </c>
      <c r="T67">
        <f ca="1">(data1!G64-T$2)/T$4/Cal!$G64</f>
        <v>4.7623396610347833E-3</v>
      </c>
      <c r="U67">
        <f ca="1">(data1!H64-U$2)/U$4/Cal!$G64</f>
        <v>0</v>
      </c>
      <c r="W67">
        <f ca="1">(data1!J64-W$2)/W$4/Cal!$G64</f>
        <v>0</v>
      </c>
      <c r="X67">
        <f ca="1">(data1!K64-X$2)/X$4/Cal!$G64</f>
        <v>0</v>
      </c>
    </row>
    <row r="68" spans="12:24">
      <c r="L68">
        <f t="shared" ca="1" si="2"/>
        <v>7.135883446259611E-2</v>
      </c>
      <c r="M68">
        <f t="shared" ca="1" si="1"/>
        <v>2.4431309327315599E-3</v>
      </c>
      <c r="N68">
        <f>data1!A65</f>
        <v>615</v>
      </c>
      <c r="O68">
        <f ca="1">(data1!B65-O$2)/O$4/Cal!$G65</f>
        <v>0</v>
      </c>
      <c r="P68">
        <f ca="1">(data1!C65-P$2)/P$4/Cal!$G65</f>
        <v>5.0122829745141021E-3</v>
      </c>
      <c r="Q68">
        <f ca="1">(data1!D65-Q$2)/Q$4/Cal!$G65</f>
        <v>5.7757432951353717E-3</v>
      </c>
      <c r="R68">
        <f ca="1">(data1!E65-R$2)/R$4/Cal!$G65</f>
        <v>0</v>
      </c>
      <c r="S68">
        <f ca="1">(data1!F65-S$2)/S$4/Cal!$G65</f>
        <v>6.4602758338181028E-3</v>
      </c>
      <c r="T68">
        <f ca="1">(data1!G65-T$2)/T$4/Cal!$G65</f>
        <v>4.7398762911164656E-3</v>
      </c>
      <c r="U68">
        <f ca="1">(data1!H65-U$2)/U$4/Cal!$G65</f>
        <v>0</v>
      </c>
      <c r="W68">
        <f ca="1">(data1!J65-W$2)/W$4/Cal!$G65</f>
        <v>0</v>
      </c>
      <c r="X68">
        <f ca="1">(data1!K65-X$2)/X$4/Cal!$G65</f>
        <v>0</v>
      </c>
    </row>
    <row r="69" spans="12:24">
      <c r="L69">
        <f t="shared" ref="L69:L100" ca="1" si="3">M69/M$2</f>
        <v>7.1087260631532159E-2</v>
      </c>
      <c r="M69">
        <f t="shared" ca="1" si="1"/>
        <v>2.4338329890054677E-3</v>
      </c>
      <c r="N69">
        <f>data1!A66</f>
        <v>620</v>
      </c>
      <c r="O69">
        <f ca="1">(data1!B66-O$2)/O$4/Cal!$G66</f>
        <v>0</v>
      </c>
      <c r="P69">
        <f ca="1">(data1!C66-P$2)/P$4/Cal!$G66</f>
        <v>4.9932074823200844E-3</v>
      </c>
      <c r="Q69">
        <f ca="1">(data1!D66-Q$2)/Q$4/Cal!$G66</f>
        <v>5.7537622643952461E-3</v>
      </c>
      <c r="R69">
        <f ca="1">(data1!E66-R$2)/R$4/Cal!$G66</f>
        <v>0</v>
      </c>
      <c r="S69">
        <f ca="1">(data1!F66-S$2)/S$4/Cal!$G66</f>
        <v>6.4356896438791476E-3</v>
      </c>
      <c r="T69">
        <f ca="1">(data1!G66-T$2)/T$4/Cal!$G66</f>
        <v>4.7218375104547319E-3</v>
      </c>
      <c r="U69">
        <f ca="1">(data1!H66-U$2)/U$4/Cal!$G66</f>
        <v>0</v>
      </c>
      <c r="W69">
        <f ca="1">(data1!J66-W$2)/W$4/Cal!$G66</f>
        <v>0</v>
      </c>
      <c r="X69">
        <f ca="1">(data1!K66-X$2)/X$4/Cal!$G66</f>
        <v>0</v>
      </c>
    </row>
    <row r="70" spans="12:24">
      <c r="L70">
        <f t="shared" ca="1" si="3"/>
        <v>7.0900032488346657E-2</v>
      </c>
      <c r="M70">
        <f t="shared" ca="1" si="1"/>
        <v>2.4274228104825247E-3</v>
      </c>
      <c r="N70">
        <f>data1!A67</f>
        <v>625</v>
      </c>
      <c r="O70">
        <f ca="1">(data1!B67-O$2)/O$4/Cal!$G67</f>
        <v>0</v>
      </c>
      <c r="P70">
        <f ca="1">(data1!C67-P$2)/P$4/Cal!$G67</f>
        <v>4.9800564766806846E-3</v>
      </c>
      <c r="Q70">
        <f ca="1">(data1!D67-Q$2)/Q$4/Cal!$G67</f>
        <v>5.7386081254465334E-3</v>
      </c>
      <c r="R70">
        <f ca="1">(data1!E67-R$2)/R$4/Cal!$G67</f>
        <v>0</v>
      </c>
      <c r="S70">
        <f ca="1">(data1!F67-S$2)/S$4/Cal!$G67</f>
        <v>6.41873945883281E-3</v>
      </c>
      <c r="T70">
        <f ca="1">(data1!G67-T$2)/T$4/Cal!$G67</f>
        <v>4.709401233382691E-3</v>
      </c>
      <c r="U70">
        <f ca="1">(data1!H67-U$2)/U$4/Cal!$G67</f>
        <v>0</v>
      </c>
      <c r="W70">
        <f ca="1">(data1!J67-W$2)/W$4/Cal!$G67</f>
        <v>0</v>
      </c>
      <c r="X70">
        <f ca="1">(data1!K67-X$2)/X$4/Cal!$G67</f>
        <v>0</v>
      </c>
    </row>
    <row r="71" spans="12:24">
      <c r="L71">
        <f t="shared" ca="1" si="3"/>
        <v>7.0843781793024696E-2</v>
      </c>
      <c r="M71">
        <f t="shared" ref="M71:M134" ca="1" si="4">AVERAGE(O71:AX71)</f>
        <v>2.425496940830032E-3</v>
      </c>
      <c r="N71">
        <f>data1!A68</f>
        <v>630</v>
      </c>
      <c r="O71">
        <f ca="1">(data1!B68-O$2)/O$4/Cal!$G68</f>
        <v>0</v>
      </c>
      <c r="P71">
        <f ca="1">(data1!C68-P$2)/P$4/Cal!$G68</f>
        <v>4.9761053975383449E-3</v>
      </c>
      <c r="Q71">
        <f ca="1">(data1!D68-Q$2)/Q$4/Cal!$G68</f>
        <v>5.7340552263023805E-3</v>
      </c>
      <c r="R71">
        <f ca="1">(data1!E68-R$2)/R$4/Cal!$G68</f>
        <v>0</v>
      </c>
      <c r="S71">
        <f ca="1">(data1!F68-S$2)/S$4/Cal!$G68</f>
        <v>6.4136469568271274E-3</v>
      </c>
      <c r="T71">
        <f ca="1">(data1!G68-T$2)/T$4/Cal!$G68</f>
        <v>4.7056648868024345E-3</v>
      </c>
      <c r="U71">
        <f ca="1">(data1!H68-U$2)/U$4/Cal!$G68</f>
        <v>0</v>
      </c>
      <c r="W71">
        <f ca="1">(data1!J68-W$2)/W$4/Cal!$G68</f>
        <v>0</v>
      </c>
      <c r="X71">
        <f ca="1">(data1!K68-X$2)/X$4/Cal!$G68</f>
        <v>0</v>
      </c>
    </row>
    <row r="72" spans="12:24">
      <c r="L72">
        <f t="shared" ca="1" si="3"/>
        <v>7.0869838087020937E-2</v>
      </c>
      <c r="M72">
        <f t="shared" ca="1" si="4"/>
        <v>2.4263890369290502E-3</v>
      </c>
      <c r="N72">
        <f>data1!A69</f>
        <v>635</v>
      </c>
      <c r="O72">
        <f ca="1">(data1!B69-O$2)/O$4/Cal!$G69</f>
        <v>0</v>
      </c>
      <c r="P72">
        <f ca="1">(data1!C69-P$2)/P$4/Cal!$G69</f>
        <v>4.9779356056654797E-3</v>
      </c>
      <c r="Q72">
        <f ca="1">(data1!D69-Q$2)/Q$4/Cal!$G69</f>
        <v>5.736164207852854E-3</v>
      </c>
      <c r="R72">
        <f ca="1">(data1!E69-R$2)/R$4/Cal!$G69</f>
        <v>0</v>
      </c>
      <c r="S72">
        <f ca="1">(data1!F69-S$2)/S$4/Cal!$G69</f>
        <v>6.4160058917465462E-3</v>
      </c>
      <c r="T72">
        <f ca="1">(data1!G69-T$2)/T$4/Cal!$G69</f>
        <v>4.7073956270965731E-3</v>
      </c>
      <c r="U72">
        <f ca="1">(data1!H69-U$2)/U$4/Cal!$G69</f>
        <v>0</v>
      </c>
      <c r="W72">
        <f ca="1">(data1!J69-W$2)/W$4/Cal!$G69</f>
        <v>0</v>
      </c>
      <c r="X72">
        <f ca="1">(data1!K69-X$2)/X$4/Cal!$G69</f>
        <v>0</v>
      </c>
    </row>
    <row r="73" spans="12:24">
      <c r="L73">
        <f t="shared" ca="1" si="3"/>
        <v>7.1041740079898469E-2</v>
      </c>
      <c r="M73">
        <f t="shared" ca="1" si="4"/>
        <v>2.4322744900668455E-3</v>
      </c>
      <c r="N73">
        <f>data1!A70</f>
        <v>640</v>
      </c>
      <c r="O73">
        <f ca="1">(data1!B70-O$2)/O$4/Cal!$G70</f>
        <v>0</v>
      </c>
      <c r="P73">
        <f ca="1">(data1!C70-P$2)/P$4/Cal!$G70</f>
        <v>4.9900100942508654E-3</v>
      </c>
      <c r="Q73">
        <f ca="1">(data1!D70-Q$2)/Q$4/Cal!$G70</f>
        <v>5.7500778569512453E-3</v>
      </c>
      <c r="R73">
        <f ca="1">(data1!E70-R$2)/R$4/Cal!$G70</f>
        <v>0</v>
      </c>
      <c r="S73">
        <f ca="1">(data1!F70-S$2)/S$4/Cal!$G70</f>
        <v>6.4315685659232652E-3</v>
      </c>
      <c r="T73">
        <f ca="1">(data1!G70-T$2)/T$4/Cal!$G70</f>
        <v>4.718813893476231E-3</v>
      </c>
      <c r="U73">
        <f ca="1">(data1!H70-U$2)/U$4/Cal!$G70</f>
        <v>0</v>
      </c>
      <c r="W73">
        <f ca="1">(data1!J70-W$2)/W$4/Cal!$G70</f>
        <v>0</v>
      </c>
      <c r="X73">
        <f ca="1">(data1!K70-X$2)/X$4/Cal!$G70</f>
        <v>0</v>
      </c>
    </row>
    <row r="74" spans="12:24">
      <c r="L74">
        <f t="shared" ca="1" si="3"/>
        <v>7.1356052192988045E-2</v>
      </c>
      <c r="M74">
        <f t="shared" ca="1" si="4"/>
        <v>2.4430356754450047E-3</v>
      </c>
      <c r="N74">
        <f>data1!A71</f>
        <v>645</v>
      </c>
      <c r="O74">
        <f ca="1">(data1!B71-O$2)/O$4/Cal!$G71</f>
        <v>0</v>
      </c>
      <c r="P74">
        <f ca="1">(data1!C71-P$2)/P$4/Cal!$G71</f>
        <v>5.0120875463979895E-3</v>
      </c>
      <c r="Q74">
        <f ca="1">(data1!D71-Q$2)/Q$4/Cal!$G71</f>
        <v>5.775518099822765E-3</v>
      </c>
      <c r="R74">
        <f ca="1">(data1!E71-R$2)/R$4/Cal!$G71</f>
        <v>0</v>
      </c>
      <c r="S74">
        <f ca="1">(data1!F71-S$2)/S$4/Cal!$G71</f>
        <v>6.4600239486906682E-3</v>
      </c>
      <c r="T74">
        <f ca="1">(data1!G71-T$2)/T$4/Cal!$G71</f>
        <v>4.7396914840936192E-3</v>
      </c>
      <c r="U74">
        <f ca="1">(data1!H71-U$2)/U$4/Cal!$G71</f>
        <v>0</v>
      </c>
      <c r="W74">
        <f ca="1">(data1!J71-W$2)/W$4/Cal!$G71</f>
        <v>0</v>
      </c>
      <c r="X74">
        <f ca="1">(data1!K71-X$2)/X$4/Cal!$G71</f>
        <v>0</v>
      </c>
    </row>
    <row r="75" spans="12:24">
      <c r="L75">
        <f t="shared" ca="1" si="3"/>
        <v>7.1874374321451787E-2</v>
      </c>
      <c r="M75">
        <f t="shared" ca="1" si="4"/>
        <v>2.4607816046590359E-3</v>
      </c>
      <c r="N75">
        <f>data1!A72</f>
        <v>650</v>
      </c>
      <c r="O75">
        <f ca="1">(data1!B72-O$2)/O$4/Cal!$G72</f>
        <v>0</v>
      </c>
      <c r="P75">
        <f ca="1">(data1!C72-P$2)/P$4/Cal!$G72</f>
        <v>5.0484947719276396E-3</v>
      </c>
      <c r="Q75">
        <f ca="1">(data1!D72-Q$2)/Q$4/Cal!$G72</f>
        <v>5.8174707967907054E-3</v>
      </c>
      <c r="R75">
        <f ca="1">(data1!E72-R$2)/R$4/Cal!$G72</f>
        <v>0</v>
      </c>
      <c r="S75">
        <f ca="1">(data1!F72-S$2)/S$4/Cal!$G72</f>
        <v>6.5069488171511066E-3</v>
      </c>
      <c r="T75">
        <f ca="1">(data1!G72-T$2)/T$4/Cal!$G72</f>
        <v>4.7741200560618745E-3</v>
      </c>
      <c r="U75">
        <f ca="1">(data1!H72-U$2)/U$4/Cal!$G72</f>
        <v>0</v>
      </c>
      <c r="W75">
        <f ca="1">(data1!J72-W$2)/W$4/Cal!$G72</f>
        <v>0</v>
      </c>
      <c r="X75">
        <f ca="1">(data1!K72-X$2)/X$4/Cal!$G72</f>
        <v>0</v>
      </c>
    </row>
    <row r="76" spans="12:24">
      <c r="L76">
        <f t="shared" ca="1" si="3"/>
        <v>0.13585822441548553</v>
      </c>
      <c r="M76">
        <f t="shared" ca="1" si="4"/>
        <v>4.6514132837951515E-3</v>
      </c>
      <c r="N76">
        <f>data1!A73</f>
        <v>655</v>
      </c>
      <c r="O76">
        <f ca="1">(data1!B73-O$2)/O$4/Cal!$G73</f>
        <v>9.4581673438020163E-3</v>
      </c>
      <c r="P76">
        <f ca="1">(data1!C73-P$2)/P$4/Cal!$G73</f>
        <v>5.1095846569964359E-3</v>
      </c>
      <c r="Q76">
        <f ca="1">(data1!D73-Q$2)/Q$4/Cal!$G73</f>
        <v>5.887865763691171E-3</v>
      </c>
      <c r="R76">
        <f ca="1">(data1!E73-R$2)/R$4/Cal!$G73</f>
        <v>0</v>
      </c>
      <c r="S76">
        <f ca="1">(data1!F73-S$2)/S$4/Cal!$G73</f>
        <v>6.5856868912397759E-3</v>
      </c>
      <c r="T76">
        <f ca="1">(data1!G73-T$2)/T$4/Cal!$G73</f>
        <v>4.8318898386812779E-3</v>
      </c>
      <c r="U76">
        <f ca="1">(data1!H73-U$2)/U$4/Cal!$G73</f>
        <v>9.9895250597456849E-3</v>
      </c>
      <c r="W76">
        <f ca="1">(data1!J73-W$2)/W$4/Cal!$G73</f>
        <v>0</v>
      </c>
      <c r="X76">
        <f ca="1">(data1!K73-X$2)/X$4/Cal!$G73</f>
        <v>0</v>
      </c>
    </row>
    <row r="77" spans="12:24">
      <c r="L77">
        <f t="shared" ca="1" si="3"/>
        <v>0.13266234175748073</v>
      </c>
      <c r="M77">
        <f t="shared" ca="1" si="4"/>
        <v>4.5419950199185937E-3</v>
      </c>
      <c r="N77">
        <f>data1!A74</f>
        <v>660</v>
      </c>
      <c r="O77">
        <f ca="1">(data1!B74-O$2)/O$4/Cal!$G74</f>
        <v>0</v>
      </c>
      <c r="P77">
        <f ca="1">(data1!C74-P$2)/P$4/Cal!$G74</f>
        <v>5.2040955595578425E-3</v>
      </c>
      <c r="Q77">
        <f ca="1">(data1!D74-Q$2)/Q$4/Cal!$G74</f>
        <v>5.9967723666427249E-3</v>
      </c>
      <c r="R77">
        <f ca="1">(data1!E74-R$2)/R$4/Cal!$G74</f>
        <v>7.8740228466352875E-3</v>
      </c>
      <c r="S77">
        <f ca="1">(data1!F74-S$2)/S$4/Cal!$G74</f>
        <v>6.7075009434300319E-3</v>
      </c>
      <c r="T77">
        <f ca="1">(data1!G74-T$2)/T$4/Cal!$G74</f>
        <v>4.9212642791469537E-3</v>
      </c>
      <c r="U77">
        <f ca="1">(data1!H74-U$2)/U$4/Cal!$G74</f>
        <v>1.0174299183854501E-2</v>
      </c>
      <c r="W77">
        <f ca="1">(data1!J74-W$2)/W$4/Cal!$G74</f>
        <v>0</v>
      </c>
      <c r="X77">
        <f ca="1">(data1!K74-X$2)/X$4/Cal!$G74</f>
        <v>0</v>
      </c>
    </row>
    <row r="78" spans="12:24">
      <c r="L78">
        <f t="shared" ca="1" si="3"/>
        <v>0.10110015120293177</v>
      </c>
      <c r="M78">
        <f t="shared" ca="1" si="4"/>
        <v>3.4613921116829613E-3</v>
      </c>
      <c r="N78">
        <f>data1!A75</f>
        <v>665</v>
      </c>
      <c r="O78">
        <f ca="1">(data1!B75-O$2)/O$4/Cal!$G75</f>
        <v>0</v>
      </c>
      <c r="P78">
        <f ca="1">(data1!C75-P$2)/P$4/Cal!$G75</f>
        <v>5.2801769889846868E-3</v>
      </c>
      <c r="Q78">
        <f ca="1">(data1!D75-Q$2)/Q$4/Cal!$G75</f>
        <v>6.0844423581676967E-3</v>
      </c>
      <c r="R78">
        <f ca="1">(data1!E75-R$2)/R$4/Cal!$G75</f>
        <v>7.9891373572463387E-3</v>
      </c>
      <c r="S78">
        <f ca="1">(data1!F75-S$2)/S$4/Cal!$G75</f>
        <v>6.8055614524690751E-3</v>
      </c>
      <c r="T78">
        <f ca="1">(data1!G75-T$2)/T$4/Cal!$G75</f>
        <v>4.9932108482788591E-3</v>
      </c>
      <c r="U78">
        <f ca="1">(data1!H75-U$2)/U$4/Cal!$G75</f>
        <v>0</v>
      </c>
      <c r="W78">
        <f ca="1">(data1!J75-W$2)/W$4/Cal!$G75</f>
        <v>0</v>
      </c>
      <c r="X78">
        <f ca="1">(data1!K75-X$2)/X$4/Cal!$G75</f>
        <v>0</v>
      </c>
    </row>
    <row r="79" spans="12:24">
      <c r="L79">
        <f t="shared" ca="1" si="3"/>
        <v>0.16564122691442171</v>
      </c>
      <c r="M79">
        <f t="shared" ca="1" si="4"/>
        <v>5.6711016688809901E-3</v>
      </c>
      <c r="N79">
        <f>data1!A76</f>
        <v>670</v>
      </c>
      <c r="O79">
        <f ca="1">(data1!B76-O$2)/O$4/Cal!$G76</f>
        <v>9.7339709686807274E-3</v>
      </c>
      <c r="P79">
        <f ca="1">(data1!C76-P$2)/P$4/Cal!$G76</f>
        <v>5.2585820175630937E-3</v>
      </c>
      <c r="Q79">
        <f ca="1">(data1!D76-Q$2)/Q$4/Cal!$G76</f>
        <v>6.0595580864633448E-3</v>
      </c>
      <c r="R79">
        <f ca="1">(data1!E76-R$2)/R$4/Cal!$G76</f>
        <v>7.9564632265736682E-3</v>
      </c>
      <c r="S79">
        <f ca="1">(data1!F76-S$2)/S$4/Cal!$G76</f>
        <v>6.7777279337479105E-3</v>
      </c>
      <c r="T79">
        <f ca="1">(data1!G76-T$2)/T$4/Cal!$G76</f>
        <v>4.9727895166084401E-3</v>
      </c>
      <c r="U79">
        <f ca="1">(data1!H76-U$2)/U$4/Cal!$G76</f>
        <v>1.0280823270291731E-2</v>
      </c>
      <c r="W79">
        <f ca="1">(data1!J76-W$2)/W$4/Cal!$G76</f>
        <v>0</v>
      </c>
      <c r="X79">
        <f ca="1">(data1!K76-X$2)/X$4/Cal!$G76</f>
        <v>0</v>
      </c>
    </row>
    <row r="80" spans="12:24">
      <c r="L80">
        <f t="shared" ca="1" si="3"/>
        <v>0.16089677507582414</v>
      </c>
      <c r="M80">
        <f t="shared" ca="1" si="4"/>
        <v>5.508664640123063E-3</v>
      </c>
      <c r="N80">
        <f>data1!A77</f>
        <v>675</v>
      </c>
      <c r="O80">
        <f ca="1">(data1!B77-O$2)/O$4/Cal!$G77</f>
        <v>9.4551614155308147E-3</v>
      </c>
      <c r="P80">
        <f ca="1">(data1!C77-P$2)/P$4/Cal!$G77</f>
        <v>5.1079607647119942E-3</v>
      </c>
      <c r="Q80">
        <f ca="1">(data1!D77-Q$2)/Q$4/Cal!$G77</f>
        <v>5.8859945235753249E-3</v>
      </c>
      <c r="R80">
        <f ca="1">(data1!E77-R$2)/R$4/Cal!$G77</f>
        <v>7.728566722259831E-3</v>
      </c>
      <c r="S80">
        <f ca="1">(data1!F77-S$2)/S$4/Cal!$G77</f>
        <v>6.5835938745176063E-3</v>
      </c>
      <c r="T80">
        <f ca="1">(data1!G77-T$2)/T$4/Cal!$G77</f>
        <v>4.8303542014122951E-3</v>
      </c>
      <c r="U80">
        <f ca="1">(data1!H77-U$2)/U$4/Cal!$G77</f>
        <v>9.986350259099698E-3</v>
      </c>
      <c r="W80">
        <f ca="1">(data1!J77-W$2)/W$4/Cal!$G77</f>
        <v>0</v>
      </c>
      <c r="X80">
        <f ca="1">(data1!K77-X$2)/X$4/Cal!$G77</f>
        <v>0</v>
      </c>
    </row>
    <row r="81" spans="12:24">
      <c r="L81">
        <f t="shared" ca="1" si="3"/>
        <v>0.12403975435477044</v>
      </c>
      <c r="M81">
        <f t="shared" ca="1" si="4"/>
        <v>4.2467812574967156E-3</v>
      </c>
      <c r="N81">
        <f>data1!A78</f>
        <v>680</v>
      </c>
      <c r="O81">
        <f ca="1">(data1!B78-O$2)/O$4/Cal!$G78</f>
        <v>0</v>
      </c>
      <c r="P81">
        <f ca="1">(data1!C78-P$2)/P$4/Cal!$G78</f>
        <v>4.8658475818734474E-3</v>
      </c>
      <c r="Q81">
        <f ca="1">(data1!D78-Q$2)/Q$4/Cal!$G78</f>
        <v>5.6070031738143546E-3</v>
      </c>
      <c r="R81">
        <f ca="1">(data1!E78-R$2)/R$4/Cal!$G78</f>
        <v>7.3622389499649896E-3</v>
      </c>
      <c r="S81">
        <f ca="1">(data1!F78-S$2)/S$4/Cal!$G78</f>
        <v>6.2715368833034836E-3</v>
      </c>
      <c r="T81">
        <f ca="1">(data1!G78-T$2)/T$4/Cal!$G78</f>
        <v>4.6013993437280234E-3</v>
      </c>
      <c r="U81">
        <f ca="1">(data1!H78-U$2)/U$4/Cal!$G78</f>
        <v>9.5130053847861419E-3</v>
      </c>
      <c r="W81">
        <f ca="1">(data1!J78-W$2)/W$4/Cal!$G78</f>
        <v>0</v>
      </c>
      <c r="X81">
        <f ca="1">(data1!K78-X$2)/X$4/Cal!$G78</f>
        <v>0</v>
      </c>
    </row>
    <row r="82" spans="12:24">
      <c r="L82">
        <f t="shared" ca="1" si="3"/>
        <v>0.14568944169975573</v>
      </c>
      <c r="M82">
        <f t="shared" ca="1" si="4"/>
        <v>4.9880072211049816E-3</v>
      </c>
      <c r="N82">
        <f>data1!A79</f>
        <v>685</v>
      </c>
      <c r="O82">
        <f ca="1">(data1!B79-O$2)/O$4/Cal!$G79</f>
        <v>8.5614965692170572E-3</v>
      </c>
      <c r="P82">
        <f ca="1">(data1!C79-P$2)/P$4/Cal!$G79</f>
        <v>4.6251763075080147E-3</v>
      </c>
      <c r="Q82">
        <f ca="1">(data1!D79-Q$2)/Q$4/Cal!$G79</f>
        <v>5.3296733609694228E-3</v>
      </c>
      <c r="R82">
        <f ca="1">(data1!E79-R$2)/R$4/Cal!$G79</f>
        <v>6.9980928478816417E-3</v>
      </c>
      <c r="S82">
        <f ca="1">(data1!F79-S$2)/S$4/Cal!$G79</f>
        <v>5.9613383518991514E-3</v>
      </c>
      <c r="T82">
        <f ca="1">(data1!G79-T$2)/T$4/Cal!$G79</f>
        <v>4.3738080299259357E-3</v>
      </c>
      <c r="U82">
        <f ca="1">(data1!H79-U$2)/U$4/Cal!$G79</f>
        <v>9.0424795225436186E-3</v>
      </c>
      <c r="W82">
        <f ca="1">(data1!J79-W$2)/W$4/Cal!$G79</f>
        <v>0</v>
      </c>
      <c r="X82">
        <f ca="1">(data1!K79-X$2)/X$4/Cal!$G79</f>
        <v>0</v>
      </c>
    </row>
    <row r="83" spans="12:24">
      <c r="L83">
        <f t="shared" ca="1" si="3"/>
        <v>0.14018287982917807</v>
      </c>
      <c r="M83">
        <f t="shared" ca="1" si="4"/>
        <v>4.7994776334186785E-3</v>
      </c>
      <c r="N83">
        <f>data1!A80</f>
        <v>690</v>
      </c>
      <c r="O83">
        <f ca="1">(data1!B80-O$2)/O$4/Cal!$G80</f>
        <v>8.2379013243379547E-3</v>
      </c>
      <c r="P83">
        <f ca="1">(data1!C80-P$2)/P$4/Cal!$G80</f>
        <v>4.4503604855618351E-3</v>
      </c>
      <c r="Q83">
        <f ca="1">(data1!D80-Q$2)/Q$4/Cal!$G80</f>
        <v>5.1282299634950197E-3</v>
      </c>
      <c r="R83">
        <f ca="1">(data1!E80-R$2)/R$4/Cal!$G80</f>
        <v>6.7335889085891627E-3</v>
      </c>
      <c r="S83">
        <f ca="1">(data1!F80-S$2)/S$4/Cal!$G80</f>
        <v>5.7360201813907441E-3</v>
      </c>
      <c r="T83">
        <f ca="1">(data1!G80-T$2)/T$4/Cal!$G80</f>
        <v>4.2084930678681397E-3</v>
      </c>
      <c r="U83">
        <f ca="1">(data1!H80-U$2)/U$4/Cal!$G80</f>
        <v>8.7007047695252492E-3</v>
      </c>
      <c r="W83">
        <f ca="1">(data1!J80-W$2)/W$4/Cal!$G80</f>
        <v>0</v>
      </c>
      <c r="X83">
        <f ca="1">(data1!K80-X$2)/X$4/Cal!$G80</f>
        <v>0</v>
      </c>
    </row>
    <row r="84" spans="12:24">
      <c r="L84">
        <f t="shared" ca="1" si="3"/>
        <v>0.13590918258697715</v>
      </c>
      <c r="M84">
        <f t="shared" ca="1" si="4"/>
        <v>4.6531579519358823E-3</v>
      </c>
      <c r="N84">
        <f>data1!A81</f>
        <v>695</v>
      </c>
      <c r="O84">
        <f ca="1">(data1!B81-O$2)/O$4/Cal!$G81</f>
        <v>7.9867558476988121E-3</v>
      </c>
      <c r="P84">
        <f ca="1">(data1!C81-P$2)/P$4/Cal!$G81</f>
        <v>4.3146841935843682E-3</v>
      </c>
      <c r="Q84">
        <f ca="1">(data1!D81-Q$2)/Q$4/Cal!$G81</f>
        <v>4.9718877462494654E-3</v>
      </c>
      <c r="R84">
        <f ca="1">(data1!E81-R$2)/R$4/Cal!$G81</f>
        <v>6.5283047798580414E-3</v>
      </c>
      <c r="S84">
        <f ca="1">(data1!F81-S$2)/S$4/Cal!$G81</f>
        <v>5.5611485161753457E-3</v>
      </c>
      <c r="T84">
        <f ca="1">(data1!G81-T$2)/T$4/Cal!$G81</f>
        <v>4.0801904874111922E-3</v>
      </c>
      <c r="U84">
        <f ca="1">(data1!H81-U$2)/U$4/Cal!$G81</f>
        <v>8.4354499964457135E-3</v>
      </c>
      <c r="W84">
        <f ca="1">(data1!J81-W$2)/W$4/Cal!$G81</f>
        <v>0</v>
      </c>
      <c r="X84">
        <f ca="1">(data1!K81-X$2)/X$4/Cal!$G81</f>
        <v>0</v>
      </c>
    </row>
    <row r="85" spans="12:24">
      <c r="L85">
        <f t="shared" ca="1" si="3"/>
        <v>0.13267250730697069</v>
      </c>
      <c r="M85">
        <f t="shared" ca="1" si="4"/>
        <v>4.5423430604743876E-3</v>
      </c>
      <c r="N85">
        <f>data1!A82</f>
        <v>700</v>
      </c>
      <c r="O85">
        <f ca="1">(data1!B82-O$2)/O$4/Cal!$G82</f>
        <v>7.7965513690341692E-3</v>
      </c>
      <c r="P85">
        <f ca="1">(data1!C82-P$2)/P$4/Cal!$G82</f>
        <v>4.2119300499379531E-3</v>
      </c>
      <c r="Q85">
        <f ca="1">(data1!D82-Q$2)/Q$4/Cal!$G82</f>
        <v>4.8534823091999548E-3</v>
      </c>
      <c r="R85">
        <f ca="1">(data1!E82-R$2)/R$4/Cal!$G82</f>
        <v>6.3728332929495531E-3</v>
      </c>
      <c r="S85">
        <f ca="1">(data1!F82-S$2)/S$4/Cal!$G82</f>
        <v>5.4287098421421896E-3</v>
      </c>
      <c r="T85">
        <f ca="1">(data1!G82-T$2)/T$4/Cal!$G82</f>
        <v>3.9830208080933885E-3</v>
      </c>
      <c r="U85">
        <f ca="1">(data1!H82-U$2)/U$4/Cal!$G82</f>
        <v>8.2345598729122744E-3</v>
      </c>
      <c r="W85">
        <f ca="1">(data1!J82-W$2)/W$4/Cal!$G82</f>
        <v>0</v>
      </c>
      <c r="X85">
        <f ca="1">(data1!K82-X$2)/X$4/Cal!$G82</f>
        <v>0</v>
      </c>
    </row>
    <row r="86" spans="12:24">
      <c r="L86">
        <f t="shared" ca="1" si="3"/>
        <v>0.13075996131522905</v>
      </c>
      <c r="M86">
        <f t="shared" ca="1" si="4"/>
        <v>4.4768627270596788E-3</v>
      </c>
      <c r="N86">
        <f>data1!A83</f>
        <v>705</v>
      </c>
      <c r="O86">
        <f ca="1">(data1!B83-O$2)/O$4/Cal!$G83</f>
        <v>7.6841598617586396E-3</v>
      </c>
      <c r="P86">
        <f ca="1">(data1!C83-P$2)/P$4/Cal!$G83</f>
        <v>4.151212798881059E-3</v>
      </c>
      <c r="Q86">
        <f ca="1">(data1!D83-Q$2)/Q$4/Cal!$G83</f>
        <v>4.7835167351343959E-3</v>
      </c>
      <c r="R86">
        <f ca="1">(data1!E83-R$2)/R$4/Cal!$G83</f>
        <v>6.2809654522199918E-3</v>
      </c>
      <c r="S86">
        <f ca="1">(data1!F83-S$2)/S$4/Cal!$G83</f>
        <v>5.350452051891082E-3</v>
      </c>
      <c r="T86">
        <f ca="1">(data1!G83-T$2)/T$4/Cal!$G83</f>
        <v>3.925603407637414E-3</v>
      </c>
      <c r="U86">
        <f ca="1">(data1!H83-U$2)/U$4/Cal!$G83</f>
        <v>8.1158542360145278E-3</v>
      </c>
      <c r="W86">
        <f ca="1">(data1!J83-W$2)/W$4/Cal!$G83</f>
        <v>0</v>
      </c>
      <c r="X86">
        <f ca="1">(data1!K83-X$2)/X$4/Cal!$G83</f>
        <v>0</v>
      </c>
    </row>
    <row r="87" spans="12:24">
      <c r="L87">
        <f t="shared" ca="1" si="3"/>
        <v>0.12997733203509368</v>
      </c>
      <c r="M87">
        <f t="shared" ca="1" si="4"/>
        <v>4.450067645307575E-3</v>
      </c>
      <c r="N87">
        <f>data1!A84</f>
        <v>710</v>
      </c>
      <c r="O87">
        <f ca="1">(data1!B84-O$2)/O$4/Cal!$G84</f>
        <v>7.638168348450102E-3</v>
      </c>
      <c r="P87">
        <f ca="1">(data1!C84-P$2)/P$4/Cal!$G84</f>
        <v>4.1263668089327682E-3</v>
      </c>
      <c r="Q87">
        <f ca="1">(data1!D84-Q$2)/Q$4/Cal!$G84</f>
        <v>4.7548862566509356E-3</v>
      </c>
      <c r="R87">
        <f ca="1">(data1!E84-R$2)/R$4/Cal!$G84</f>
        <v>6.2433723891677966E-3</v>
      </c>
      <c r="S87">
        <f ca="1">(data1!F84-S$2)/S$4/Cal!$G84</f>
        <v>5.3184283315132856E-3</v>
      </c>
      <c r="T87">
        <f ca="1">(data1!G84-T$2)/T$4/Cal!$G84</f>
        <v>3.9021077432297925E-3</v>
      </c>
      <c r="U87">
        <f ca="1">(data1!H84-U$2)/U$4/Cal!$G84</f>
        <v>8.0672789298234897E-3</v>
      </c>
      <c r="W87">
        <f ca="1">(data1!J84-W$2)/W$4/Cal!$G84</f>
        <v>0</v>
      </c>
      <c r="X87">
        <f ca="1">(data1!K84-X$2)/X$4/Cal!$G84</f>
        <v>0</v>
      </c>
    </row>
    <row r="88" spans="12:24">
      <c r="L88">
        <f t="shared" ca="1" si="3"/>
        <v>0.10516028974060661</v>
      </c>
      <c r="M88">
        <f t="shared" ca="1" si="4"/>
        <v>3.6004001283815572E-3</v>
      </c>
      <c r="N88">
        <f>data1!A85</f>
        <v>715</v>
      </c>
      <c r="O88">
        <f ca="1">(data1!B85-O$2)/O$4/Cal!$G85</f>
        <v>0</v>
      </c>
      <c r="P88">
        <f ca="1">(data1!C85-P$2)/P$4/Cal!$G85</f>
        <v>4.1252414937869679E-3</v>
      </c>
      <c r="Q88">
        <f ca="1">(data1!D85-Q$2)/Q$4/Cal!$G85</f>
        <v>4.7535895358869007E-3</v>
      </c>
      <c r="R88">
        <f ca="1">(data1!E85-R$2)/R$4/Cal!$G85</f>
        <v>6.2416697384254545E-3</v>
      </c>
      <c r="S88">
        <f ca="1">(data1!F85-S$2)/S$4/Cal!$G85</f>
        <v>5.3169779253253655E-3</v>
      </c>
      <c r="T88">
        <f ca="1">(data1!G85-T$2)/T$4/Cal!$G85</f>
        <v>3.9010435865158288E-3</v>
      </c>
      <c r="U88">
        <f ca="1">(data1!H85-U$2)/U$4/Cal!$G85</f>
        <v>8.065078875493497E-3</v>
      </c>
      <c r="W88">
        <f ca="1">(data1!J85-W$2)/W$4/Cal!$G85</f>
        <v>0</v>
      </c>
      <c r="X88">
        <f ca="1">(data1!K85-X$2)/X$4/Cal!$G85</f>
        <v>0</v>
      </c>
    </row>
    <row r="89" spans="12:24">
      <c r="L89">
        <f t="shared" ca="1" si="3"/>
        <v>7.932240231362267E-2</v>
      </c>
      <c r="M89">
        <f t="shared" ca="1" si="4"/>
        <v>2.7157816717503953E-3</v>
      </c>
      <c r="N89">
        <f>data1!A86</f>
        <v>720</v>
      </c>
      <c r="O89">
        <f ca="1">(data1!B86-O$2)/O$4/Cal!$G86</f>
        <v>0</v>
      </c>
      <c r="P89">
        <f ca="1">(data1!C86-P$2)/P$4/Cal!$G86</f>
        <v>4.142786320533518E-3</v>
      </c>
      <c r="Q89">
        <f ca="1">(data1!D86-Q$2)/Q$4/Cal!$G86</f>
        <v>4.7738067534623951E-3</v>
      </c>
      <c r="R89">
        <f ca="1">(data1!E86-R$2)/R$4/Cal!$G86</f>
        <v>6.2682158241115383E-3</v>
      </c>
      <c r="S89">
        <f ca="1">(data1!F86-S$2)/S$4/Cal!$G86</f>
        <v>5.3395912575764735E-3</v>
      </c>
      <c r="T89">
        <f ca="1">(data1!G86-T$2)/T$4/Cal!$G86</f>
        <v>3.9176348900696314E-3</v>
      </c>
      <c r="U89">
        <f ca="1">(data1!H86-U$2)/U$4/Cal!$G86</f>
        <v>0</v>
      </c>
      <c r="W89">
        <f ca="1">(data1!J86-W$2)/W$4/Cal!$G86</f>
        <v>0</v>
      </c>
      <c r="X89">
        <f ca="1">(data1!K86-X$2)/X$4/Cal!$G86</f>
        <v>0</v>
      </c>
    </row>
    <row r="90" spans="12:24">
      <c r="L90">
        <f t="shared" ca="1" si="3"/>
        <v>7.9956147923524234E-2</v>
      </c>
      <c r="M90">
        <f t="shared" ca="1" si="4"/>
        <v>2.7374793846501894E-3</v>
      </c>
      <c r="N90">
        <f>data1!A87</f>
        <v>725</v>
      </c>
      <c r="O90">
        <f ca="1">(data1!B87-O$2)/O$4/Cal!$G87</f>
        <v>0</v>
      </c>
      <c r="P90">
        <f ca="1">(data1!C87-P$2)/P$4/Cal!$G87</f>
        <v>4.1758850740611511E-3</v>
      </c>
      <c r="Q90">
        <f ca="1">(data1!D87-Q$2)/Q$4/Cal!$G87</f>
        <v>4.8119470389843032E-3</v>
      </c>
      <c r="R90">
        <f ca="1">(data1!E87-R$2)/R$4/Cal!$G87</f>
        <v>6.3182956772750883E-3</v>
      </c>
      <c r="S90">
        <f ca="1">(data1!F87-S$2)/S$4/Cal!$G87</f>
        <v>5.3822518732343123E-3</v>
      </c>
      <c r="T90">
        <f ca="1">(data1!G87-T$2)/T$4/Cal!$G87</f>
        <v>3.9489347982968491E-3</v>
      </c>
      <c r="U90">
        <f ca="1">(data1!H87-U$2)/U$4/Cal!$G87</f>
        <v>0</v>
      </c>
      <c r="W90">
        <f ca="1">(data1!J87-W$2)/W$4/Cal!$G87</f>
        <v>0</v>
      </c>
      <c r="X90">
        <f ca="1">(data1!K87-X$2)/X$4/Cal!$G87</f>
        <v>0</v>
      </c>
    </row>
    <row r="91" spans="12:24">
      <c r="L91">
        <f t="shared" ca="1" si="3"/>
        <v>0.10619565781917405</v>
      </c>
      <c r="M91">
        <f t="shared" ca="1" si="4"/>
        <v>3.6358482939599459E-3</v>
      </c>
      <c r="N91">
        <f>data1!A88</f>
        <v>730</v>
      </c>
      <c r="O91">
        <f ca="1">(data1!B88-O$2)/O$4/Cal!$G88</f>
        <v>7.814727021296701E-3</v>
      </c>
      <c r="P91">
        <f ca="1">(data1!C88-P$2)/P$4/Cal!$G88</f>
        <v>4.2217490804705854E-3</v>
      </c>
      <c r="Q91">
        <f ca="1">(data1!D88-Q$2)/Q$4/Cal!$G88</f>
        <v>4.864796953654776E-3</v>
      </c>
      <c r="R91">
        <f ca="1">(data1!E88-R$2)/R$4/Cal!$G88</f>
        <v>6.3876899130597964E-3</v>
      </c>
      <c r="S91">
        <f ca="1">(data1!F88-S$2)/S$4/Cal!$G88</f>
        <v>5.4413654814953593E-3</v>
      </c>
      <c r="T91">
        <f ca="1">(data1!G88-T$2)/T$4/Cal!$G88</f>
        <v>3.9923061956622903E-3</v>
      </c>
      <c r="U91">
        <f ca="1">(data1!H88-U$2)/U$4/Cal!$G88</f>
        <v>0</v>
      </c>
      <c r="W91">
        <f ca="1">(data1!J88-W$2)/W$4/Cal!$G88</f>
        <v>0</v>
      </c>
      <c r="X91">
        <f ca="1">(data1!K88-X$2)/X$4/Cal!$G88</f>
        <v>0</v>
      </c>
    </row>
    <row r="92" spans="12:24">
      <c r="L92">
        <f t="shared" ca="1" si="3"/>
        <v>8.1814820450635359E-2</v>
      </c>
      <c r="M92">
        <f t="shared" ca="1" si="4"/>
        <v>2.801115238276467E-3</v>
      </c>
      <c r="N92">
        <f>data1!A89</f>
        <v>735</v>
      </c>
      <c r="O92">
        <f ca="1">(data1!B89-O$2)/O$4/Cal!$G89</f>
        <v>0</v>
      </c>
      <c r="P92">
        <f ca="1">(data1!C89-P$2)/P$4/Cal!$G89</f>
        <v>4.272958320648201E-3</v>
      </c>
      <c r="Q92">
        <f ca="1">(data1!D89-Q$2)/Q$4/Cal!$G89</f>
        <v>4.9238062767733527E-3</v>
      </c>
      <c r="R92">
        <f ca="1">(data1!E89-R$2)/R$4/Cal!$G89</f>
        <v>6.4651717199372318E-3</v>
      </c>
      <c r="S92">
        <f ca="1">(data1!F89-S$2)/S$4/Cal!$G89</f>
        <v>5.5073685021687305E-3</v>
      </c>
      <c r="T92">
        <f ca="1">(data1!G89-T$2)/T$4/Cal!$G89</f>
        <v>4.0407323249606868E-3</v>
      </c>
      <c r="U92">
        <f ca="1">(data1!H89-U$2)/U$4/Cal!$G89</f>
        <v>0</v>
      </c>
      <c r="W92">
        <f ca="1">(data1!J89-W$2)/W$4/Cal!$G89</f>
        <v>0</v>
      </c>
      <c r="X92">
        <f ca="1">(data1!K89-X$2)/X$4/Cal!$G89</f>
        <v>0</v>
      </c>
    </row>
    <row r="93" spans="12:24">
      <c r="L93">
        <f t="shared" ca="1" si="3"/>
        <v>8.2898889241942567E-2</v>
      </c>
      <c r="M93">
        <f t="shared" ca="1" si="4"/>
        <v>2.8382307827945017E-3</v>
      </c>
      <c r="N93">
        <f>data1!A90</f>
        <v>740</v>
      </c>
      <c r="O93">
        <f ca="1">(data1!B90-O$2)/O$4/Cal!$G90</f>
        <v>0</v>
      </c>
      <c r="P93">
        <f ca="1">(data1!C90-P$2)/P$4/Cal!$G90</f>
        <v>4.3295761893479938E-3</v>
      </c>
      <c r="Q93">
        <f ca="1">(data1!D90-Q$2)/Q$4/Cal!$G90</f>
        <v>4.9890480592486098E-3</v>
      </c>
      <c r="R93">
        <f ca="1">(data1!E90-R$2)/R$4/Cal!$G90</f>
        <v>6.5508370169264831E-3</v>
      </c>
      <c r="S93">
        <f ca="1">(data1!F90-S$2)/S$4/Cal!$G90</f>
        <v>5.5803426440484624E-3</v>
      </c>
      <c r="T93">
        <f ca="1">(data1!G90-T$2)/T$4/Cal!$G90</f>
        <v>4.094273135578968E-3</v>
      </c>
      <c r="U93">
        <f ca="1">(data1!H90-U$2)/U$4/Cal!$G90</f>
        <v>0</v>
      </c>
      <c r="W93">
        <f ca="1">(data1!J90-W$2)/W$4/Cal!$G90</f>
        <v>0</v>
      </c>
      <c r="X93">
        <f ca="1">(data1!K90-X$2)/X$4/Cal!$G90</f>
        <v>0</v>
      </c>
    </row>
    <row r="94" spans="12:24">
      <c r="L94">
        <f t="shared" ca="1" si="3"/>
        <v>0.11068013539870411</v>
      </c>
      <c r="M94">
        <f t="shared" ca="1" si="4"/>
        <v>3.7893845165482493E-3</v>
      </c>
      <c r="N94">
        <f>data1!A91</f>
        <v>745</v>
      </c>
      <c r="O94">
        <f ca="1">(data1!B91-O$2)/O$4/Cal!$G91</f>
        <v>8.144730797692401E-3</v>
      </c>
      <c r="P94">
        <f ca="1">(data1!C91-P$2)/P$4/Cal!$G91</f>
        <v>4.4000269826613633E-3</v>
      </c>
      <c r="Q94">
        <f ca="1">(data1!D91-Q$2)/Q$4/Cal!$G91</f>
        <v>5.0702297680997755E-3</v>
      </c>
      <c r="R94">
        <f ca="1">(data1!E91-R$2)/R$4/Cal!$G91</f>
        <v>6.6574321302875807E-3</v>
      </c>
      <c r="S94">
        <f ca="1">(data1!F91-S$2)/S$4/Cal!$G91</f>
        <v>5.6711458887634706E-3</v>
      </c>
      <c r="T94">
        <f ca="1">(data1!G91-T$2)/T$4/Cal!$G91</f>
        <v>4.1608950814296525E-3</v>
      </c>
      <c r="U94">
        <f ca="1">(data1!H91-U$2)/U$4/Cal!$G91</f>
        <v>0</v>
      </c>
      <c r="W94">
        <f ca="1">(data1!J91-W$2)/W$4/Cal!$G91</f>
        <v>0</v>
      </c>
      <c r="X94">
        <f ca="1">(data1!K91-X$2)/X$4/Cal!$G91</f>
        <v>0</v>
      </c>
    </row>
    <row r="95" spans="12:24">
      <c r="L95">
        <f t="shared" ca="1" si="3"/>
        <v>8.5783120191389756E-2</v>
      </c>
      <c r="M95">
        <f t="shared" ca="1" si="4"/>
        <v>2.9369789462532214E-3</v>
      </c>
      <c r="N95">
        <f>data1!A92</f>
        <v>750</v>
      </c>
      <c r="O95">
        <f ca="1">(data1!B92-O$2)/O$4/Cal!$G92</f>
        <v>0</v>
      </c>
      <c r="P95">
        <f ca="1">(data1!C92-P$2)/P$4/Cal!$G92</f>
        <v>4.4802114723716544E-3</v>
      </c>
      <c r="Q95">
        <f ca="1">(data1!D92-Q$2)/Q$4/Cal!$G92</f>
        <v>5.1626277893553419E-3</v>
      </c>
      <c r="R95">
        <f ca="1">(data1!E92-R$2)/R$4/Cal!$G92</f>
        <v>6.7787547495014111E-3</v>
      </c>
      <c r="S95">
        <f ca="1">(data1!F92-S$2)/S$4/Cal!$G92</f>
        <v>5.774494786612289E-3</v>
      </c>
      <c r="T95">
        <f ca="1">(data1!G92-T$2)/T$4/Cal!$G92</f>
        <v>4.2367217184382947E-3</v>
      </c>
      <c r="U95">
        <f ca="1">(data1!H92-U$2)/U$4/Cal!$G92</f>
        <v>0</v>
      </c>
      <c r="W95">
        <f ca="1">(data1!J92-W$2)/W$4/Cal!$G92</f>
        <v>0</v>
      </c>
      <c r="X95">
        <f ca="1">(data1!K92-X$2)/X$4/Cal!$G92</f>
        <v>0</v>
      </c>
    </row>
    <row r="96" spans="12:24">
      <c r="L96">
        <f t="shared" ca="1" si="3"/>
        <v>8.7451459268895942E-2</v>
      </c>
      <c r="M96">
        <f t="shared" ca="1" si="4"/>
        <v>2.994098304174863E-3</v>
      </c>
      <c r="N96">
        <f>data1!A93</f>
        <v>755</v>
      </c>
      <c r="O96">
        <f ca="1">(data1!B93-O$2)/O$4/Cal!$G93</f>
        <v>0</v>
      </c>
      <c r="P96">
        <f ca="1">(data1!C93-P$2)/P$4/Cal!$G93</f>
        <v>4.5673441373781602E-3</v>
      </c>
      <c r="Q96">
        <f ca="1">(data1!D93-Q$2)/Q$4/Cal!$G93</f>
        <v>5.2630323172436315E-3</v>
      </c>
      <c r="R96">
        <f ca="1">(data1!E93-R$2)/R$4/Cal!$G93</f>
        <v>6.9105902600329928E-3</v>
      </c>
      <c r="S96">
        <f ca="1">(data1!F93-S$2)/S$4/Cal!$G93</f>
        <v>5.8867991103984506E-3</v>
      </c>
      <c r="T96">
        <f ca="1">(data1!G93-T$2)/T$4/Cal!$G93</f>
        <v>4.3191189125205316E-3</v>
      </c>
      <c r="U96">
        <f ca="1">(data1!H93-U$2)/U$4/Cal!$G93</f>
        <v>0</v>
      </c>
      <c r="W96">
        <f ca="1">(data1!J93-W$2)/W$4/Cal!$G93</f>
        <v>0</v>
      </c>
      <c r="X96">
        <f ca="1">(data1!K93-X$2)/X$4/Cal!$G93</f>
        <v>0</v>
      </c>
    </row>
    <row r="97" spans="12:24">
      <c r="L97">
        <f t="shared" ca="1" si="3"/>
        <v>8.9185979219442352E-2</v>
      </c>
      <c r="M97">
        <f t="shared" ca="1" si="4"/>
        <v>3.0534835138203648E-3</v>
      </c>
      <c r="N97">
        <f>data1!A94</f>
        <v>760</v>
      </c>
      <c r="O97">
        <f ca="1">(data1!B94-O$2)/O$4/Cal!$G94</f>
        <v>0</v>
      </c>
      <c r="P97">
        <f ca="1">(data1!C94-P$2)/P$4/Cal!$G94</f>
        <v>4.657933243535149E-3</v>
      </c>
      <c r="Q97">
        <f ca="1">(data1!D94-Q$2)/Q$4/Cal!$G94</f>
        <v>5.3674197640735371E-3</v>
      </c>
      <c r="R97">
        <f ca="1">(data1!E94-R$2)/R$4/Cal!$G94</f>
        <v>7.0476555163053048E-3</v>
      </c>
      <c r="S97">
        <f ca="1">(data1!F94-S$2)/S$4/Cal!$G94</f>
        <v>6.0035584027785683E-3</v>
      </c>
      <c r="T97">
        <f ca="1">(data1!G94-T$2)/T$4/Cal!$G94</f>
        <v>4.4047846976907256E-3</v>
      </c>
      <c r="U97">
        <f ca="1">(data1!H94-U$2)/U$4/Cal!$G94</f>
        <v>0</v>
      </c>
      <c r="W97">
        <f ca="1">(data1!J94-W$2)/W$4/Cal!$G94</f>
        <v>0</v>
      </c>
      <c r="X97">
        <f ca="1">(data1!K94-X$2)/X$4/Cal!$G94</f>
        <v>0</v>
      </c>
    </row>
    <row r="98" spans="12:24">
      <c r="L98">
        <f t="shared" ca="1" si="3"/>
        <v>9.1103495637169796E-2</v>
      </c>
      <c r="M98">
        <f t="shared" ca="1" si="4"/>
        <v>3.1191340209993481E-3</v>
      </c>
      <c r="N98">
        <f>data1!A95</f>
        <v>765</v>
      </c>
      <c r="O98">
        <f ca="1">(data1!B95-O$2)/O$4/Cal!$G95</f>
        <v>0</v>
      </c>
      <c r="P98">
        <f ca="1">(data1!C95-P$2)/P$4/Cal!$G95</f>
        <v>4.7580797412843144E-3</v>
      </c>
      <c r="Q98">
        <f ca="1">(data1!D95-Q$2)/Q$4/Cal!$G95</f>
        <v>5.4828203641288662E-3</v>
      </c>
      <c r="R98">
        <f ca="1">(data1!E95-R$2)/R$4/Cal!$G95</f>
        <v>7.1991815215953466E-3</v>
      </c>
      <c r="S98">
        <f ca="1">(data1!F95-S$2)/S$4/Cal!$G95</f>
        <v>6.1326361109886032E-3</v>
      </c>
      <c r="T98">
        <f ca="1">(data1!G95-T$2)/T$4/Cal!$G95</f>
        <v>4.4994884509969987E-3</v>
      </c>
      <c r="U98">
        <f ca="1">(data1!H95-U$2)/U$4/Cal!$G95</f>
        <v>0</v>
      </c>
      <c r="W98">
        <f ca="1">(data1!J95-W$2)/W$4/Cal!$G95</f>
        <v>0</v>
      </c>
      <c r="X98">
        <f ca="1">(data1!K95-X$2)/X$4/Cal!$G95</f>
        <v>0</v>
      </c>
    </row>
    <row r="99" spans="12:24">
      <c r="L99">
        <f t="shared" ca="1" si="3"/>
        <v>9.3114082209879295E-2</v>
      </c>
      <c r="M99">
        <f t="shared" ca="1" si="4"/>
        <v>3.1879709952256589E-3</v>
      </c>
      <c r="N99">
        <f>data1!A96</f>
        <v>770</v>
      </c>
      <c r="O99">
        <f ca="1">(data1!B96-O$2)/O$4/Cal!$G96</f>
        <v>0</v>
      </c>
      <c r="P99">
        <f ca="1">(data1!C96-P$2)/P$4/Cal!$G96</f>
        <v>4.8630870318695984E-3</v>
      </c>
      <c r="Q99">
        <f ca="1">(data1!D96-Q$2)/Q$4/Cal!$G96</f>
        <v>5.6038221426840916E-3</v>
      </c>
      <c r="R99">
        <f ca="1">(data1!E96-R$2)/R$4/Cal!$G96</f>
        <v>7.3580621177852523E-3</v>
      </c>
      <c r="S99">
        <f ca="1">(data1!F96-S$2)/S$4/Cal!$G96</f>
        <v>6.2679788410763002E-3</v>
      </c>
      <c r="T99">
        <f ca="1">(data1!G96-T$2)/T$4/Cal!$G96</f>
        <v>4.5987888236156882E-3</v>
      </c>
      <c r="U99">
        <f ca="1">(data1!H96-U$2)/U$4/Cal!$G96</f>
        <v>0</v>
      </c>
      <c r="W99">
        <f ca="1">(data1!J96-W$2)/W$4/Cal!$G96</f>
        <v>0</v>
      </c>
      <c r="X99">
        <f ca="1">(data1!K96-X$2)/X$4/Cal!$G96</f>
        <v>0</v>
      </c>
    </row>
    <row r="100" spans="12:24">
      <c r="L100">
        <f t="shared" ca="1" si="3"/>
        <v>9.5217255516212462E-2</v>
      </c>
      <c r="M100">
        <f t="shared" ca="1" si="4"/>
        <v>3.259977885476805E-3</v>
      </c>
      <c r="N100">
        <f>data1!A97</f>
        <v>775</v>
      </c>
      <c r="O100">
        <f ca="1">(data1!B97-O$2)/O$4/Cal!$G97</f>
        <v>0</v>
      </c>
      <c r="P100">
        <f ca="1">(data1!C97-P$2)/P$4/Cal!$G97</f>
        <v>4.9729298675509868E-3</v>
      </c>
      <c r="Q100">
        <f ca="1">(data1!D97-Q$2)/Q$4/Cal!$G97</f>
        <v>5.7303960063169483E-3</v>
      </c>
      <c r="R100">
        <f ca="1">(data1!E97-R$2)/R$4/Cal!$G97</f>
        <v>7.5242591039466561E-3</v>
      </c>
      <c r="S100">
        <f ca="1">(data1!F97-S$2)/S$4/Cal!$G97</f>
        <v>6.4095540515100883E-3</v>
      </c>
      <c r="T100">
        <f ca="1">(data1!G97-T$2)/T$4/Cal!$G97</f>
        <v>4.7026619399665633E-3</v>
      </c>
      <c r="U100">
        <f ca="1">(data1!H97-U$2)/U$4/Cal!$G97</f>
        <v>0</v>
      </c>
      <c r="W100">
        <f ca="1">(data1!J97-W$2)/W$4/Cal!$G97</f>
        <v>0</v>
      </c>
      <c r="X100">
        <f ca="1">(data1!K97-X$2)/X$4/Cal!$G97</f>
        <v>0</v>
      </c>
    </row>
    <row r="101" spans="12:24">
      <c r="L101">
        <f t="shared" ref="L101:L132" ca="1" si="5">M101/M$2</f>
        <v>9.7309818417019481E-2</v>
      </c>
      <c r="M101">
        <f t="shared" ca="1" si="4"/>
        <v>3.3316215045206092E-3</v>
      </c>
      <c r="N101">
        <f>data1!A98</f>
        <v>780</v>
      </c>
      <c r="O101">
        <f ca="1">(data1!B98-O$2)/O$4/Cal!$G98</f>
        <v>0</v>
      </c>
      <c r="P101">
        <f ca="1">(data1!C98-P$2)/P$4/Cal!$G98</f>
        <v>5.0822185515477713E-3</v>
      </c>
      <c r="Q101">
        <f ca="1">(data1!D98-Q$2)/Q$4/Cal!$G98</f>
        <v>5.8563313110549624E-3</v>
      </c>
      <c r="R101">
        <f ca="1">(data1!E98-R$2)/R$4/Cal!$G98</f>
        <v>7.6896176345157032E-3</v>
      </c>
      <c r="S101">
        <f ca="1">(data1!F98-S$2)/S$4/Cal!$G98</f>
        <v>6.5504150219948308E-3</v>
      </c>
      <c r="T101">
        <f ca="1">(data1!G98-T$2)/T$4/Cal!$G98</f>
        <v>4.8060110215722152E-3</v>
      </c>
      <c r="U101">
        <f ca="1">(data1!H98-U$2)/U$4/Cal!$G98</f>
        <v>0</v>
      </c>
      <c r="W101">
        <f ca="1">(data1!J98-W$2)/W$4/Cal!$G98</f>
        <v>0</v>
      </c>
      <c r="X101">
        <f ca="1">(data1!K98-X$2)/X$4/Cal!$G98</f>
        <v>0</v>
      </c>
    </row>
    <row r="102" spans="12:24">
      <c r="L102">
        <f t="shared" ca="1" si="5"/>
        <v>9.9580939439376251E-2</v>
      </c>
      <c r="M102">
        <f t="shared" ca="1" si="4"/>
        <v>3.409378464306789E-3</v>
      </c>
      <c r="N102">
        <f>data1!A99</f>
        <v>785</v>
      </c>
      <c r="O102">
        <f ca="1">(data1!B99-O$2)/O$4/Cal!$G99</f>
        <v>0</v>
      </c>
      <c r="P102">
        <f ca="1">(data1!C99-P$2)/P$4/Cal!$G99</f>
        <v>5.2008328248081236E-3</v>
      </c>
      <c r="Q102">
        <f ca="1">(data1!D99-Q$2)/Q$4/Cal!$G99</f>
        <v>5.9930126590503341E-3</v>
      </c>
      <c r="R102">
        <f ca="1">(data1!E99-R$2)/R$4/Cal!$G99</f>
        <v>7.8690861871009311E-3</v>
      </c>
      <c r="S102">
        <f ca="1">(data1!F99-S$2)/S$4/Cal!$G99</f>
        <v>6.7032956408637281E-3</v>
      </c>
      <c r="T102">
        <f ca="1">(data1!G99-T$2)/T$4/Cal!$G99</f>
        <v>4.9181788669379811E-3</v>
      </c>
      <c r="U102">
        <f ca="1">(data1!H99-U$2)/U$4/Cal!$G99</f>
        <v>0</v>
      </c>
      <c r="W102">
        <f ca="1">(data1!J99-W$2)/W$4/Cal!$G99</f>
        <v>0</v>
      </c>
      <c r="X102">
        <f ca="1">(data1!K99-X$2)/X$4/Cal!$G99</f>
        <v>0</v>
      </c>
    </row>
    <row r="103" spans="12:24">
      <c r="L103">
        <f t="shared" ca="1" si="5"/>
        <v>0.10208109542359869</v>
      </c>
      <c r="M103">
        <f t="shared" ca="1" si="4"/>
        <v>3.4949769535157107E-3</v>
      </c>
      <c r="N103">
        <f>data1!A100</f>
        <v>790</v>
      </c>
      <c r="O103">
        <f ca="1">(data1!B100-O$2)/O$4/Cal!$G100</f>
        <v>0</v>
      </c>
      <c r="P103">
        <f ca="1">(data1!C100-P$2)/P$4/Cal!$G100</f>
        <v>5.3314089509532338E-3</v>
      </c>
      <c r="Q103">
        <f ca="1">(data1!D100-Q$2)/Q$4/Cal!$G100</f>
        <v>6.1434778640122468E-3</v>
      </c>
      <c r="R103">
        <f ca="1">(data1!E100-R$2)/R$4/Cal!$G100</f>
        <v>8.0666535431813575E-3</v>
      </c>
      <c r="S103">
        <f ca="1">(data1!F100-S$2)/S$4/Cal!$G100</f>
        <v>6.8715937590063123E-3</v>
      </c>
      <c r="T103">
        <f ca="1">(data1!G100-T$2)/T$4/Cal!$G100</f>
        <v>5.0416584644882448E-3</v>
      </c>
      <c r="U103">
        <f ca="1">(data1!H100-U$2)/U$4/Cal!$G100</f>
        <v>0</v>
      </c>
      <c r="W103">
        <f ca="1">(data1!J100-W$2)/W$4/Cal!$G100</f>
        <v>0</v>
      </c>
      <c r="X103">
        <f ca="1">(data1!K100-X$2)/X$4/Cal!$G100</f>
        <v>0</v>
      </c>
    </row>
    <row r="104" spans="12:24">
      <c r="L104">
        <f t="shared" ca="1" si="5"/>
        <v>0.13756517889801889</v>
      </c>
      <c r="M104">
        <f t="shared" ca="1" si="4"/>
        <v>4.7098547273591992E-3</v>
      </c>
      <c r="N104">
        <f>data1!A101</f>
        <v>795</v>
      </c>
      <c r="O104">
        <f ca="1">(data1!B101-O$2)/O$4/Cal!$G101</f>
        <v>1.0123147620163446E-2</v>
      </c>
      <c r="P104">
        <f ca="1">(data1!C101-P$2)/P$4/Cal!$G101</f>
        <v>5.4688268752606517E-3</v>
      </c>
      <c r="Q104">
        <f ca="1">(data1!D101-Q$2)/Q$4/Cal!$G101</f>
        <v>6.3018269953333747E-3</v>
      </c>
      <c r="R104">
        <f ca="1">(data1!E101-R$2)/R$4/Cal!$G101</f>
        <v>8.2745728373508388E-3</v>
      </c>
      <c r="S104">
        <f ca="1">(data1!F101-S$2)/S$4/Cal!$G101</f>
        <v>7.0487101947803157E-3</v>
      </c>
      <c r="T104">
        <f ca="1">(data1!G101-T$2)/T$4/Cal!$G101</f>
        <v>5.1716080233441689E-3</v>
      </c>
      <c r="U104">
        <f ca="1">(data1!H101-U$2)/U$4/Cal!$G101</f>
        <v>0</v>
      </c>
      <c r="W104">
        <f ca="1">(data1!J101-W$2)/W$4/Cal!$G101</f>
        <v>0</v>
      </c>
      <c r="X104">
        <f ca="1">(data1!K101-X$2)/X$4/Cal!$G101</f>
        <v>0</v>
      </c>
    </row>
    <row r="105" spans="12:24">
      <c r="L105">
        <f t="shared" ca="1" si="5"/>
        <v>0.17602980005064728</v>
      </c>
      <c r="M105">
        <f t="shared" ca="1" si="4"/>
        <v>6.0267779431250777E-3</v>
      </c>
      <c r="N105">
        <f>data1!A102</f>
        <v>800</v>
      </c>
      <c r="O105">
        <f ca="1">(data1!B102-O$2)/O$4/Cal!$G102</f>
        <v>1.0344459499813621E-2</v>
      </c>
      <c r="P105">
        <f ca="1">(data1!C102-P$2)/P$4/Cal!$G102</f>
        <v>5.5883861665659181E-3</v>
      </c>
      <c r="Q105">
        <f ca="1">(data1!D102-Q$2)/Q$4/Cal!$G102</f>
        <v>6.4395973045195736E-3</v>
      </c>
      <c r="R105">
        <f ca="1">(data1!E102-R$2)/R$4/Cal!$G102</f>
        <v>8.4554712433257632E-3</v>
      </c>
      <c r="S105">
        <f ca="1">(data1!F102-S$2)/S$4/Cal!$G102</f>
        <v>7.2028088369071016E-3</v>
      </c>
      <c r="T105">
        <f ca="1">(data1!G102-T$2)/T$4/Cal!$G102</f>
        <v>5.2846695270784933E-3</v>
      </c>
      <c r="U105">
        <f ca="1">(data1!H102-U$2)/U$4/Cal!$G102</f>
        <v>1.0925608909915221E-2</v>
      </c>
      <c r="W105">
        <f ca="1">(data1!J102-W$2)/W$4/Cal!$G102</f>
        <v>0</v>
      </c>
      <c r="X105">
        <f ca="1">(data1!K102-X$2)/X$4/Cal!$G102</f>
        <v>0</v>
      </c>
    </row>
    <row r="106" spans="12:24">
      <c r="L106">
        <f t="shared" ca="1" si="5"/>
        <v>0.29853370054512995</v>
      </c>
      <c r="M106">
        <f t="shared" ca="1" si="4"/>
        <v>1.0220975773461264E-2</v>
      </c>
      <c r="N106">
        <f>data1!A103</f>
        <v>805</v>
      </c>
      <c r="O106">
        <f ca="1">(data1!B103-O$2)/O$4/Cal!$G103</f>
        <v>1.0601809630143526E-2</v>
      </c>
      <c r="P106">
        <f ca="1">(data1!C103-P$2)/P$4/Cal!$G103</f>
        <v>1.1454828795787133E-2</v>
      </c>
      <c r="Q106">
        <f ca="1">(data1!D103-Q$2)/Q$4/Cal!$G103</f>
        <v>6.5998020214136826E-3</v>
      </c>
      <c r="R106">
        <f ca="1">(data1!E103-R$2)/R$4/Cal!$G103</f>
        <v>8.6658270020302033E-3</v>
      </c>
      <c r="S106">
        <f ca="1">(data1!F103-S$2)/S$4/Cal!$G103</f>
        <v>7.3820007795071798E-3</v>
      </c>
      <c r="T106">
        <f ca="1">(data1!G103-T$2)/T$4/Cal!$G103</f>
        <v>5.4161418762687661E-3</v>
      </c>
      <c r="U106">
        <f ca="1">(data1!H103-U$2)/U$4/Cal!$G103</f>
        <v>1.1197416912735562E-2</v>
      </c>
      <c r="W106">
        <f ca="1">(data1!J103-W$2)/W$4/Cal!$G103</f>
        <v>1.5099547048991625E-2</v>
      </c>
      <c r="X106">
        <f ca="1">(data1!K103-X$2)/X$4/Cal!$G103</f>
        <v>1.5571407894273699E-2</v>
      </c>
    </row>
    <row r="107" spans="12:24">
      <c r="L107">
        <f t="shared" ca="1" si="5"/>
        <v>0.44729997026552226</v>
      </c>
      <c r="M107">
        <f t="shared" ca="1" si="4"/>
        <v>1.5314325153929186E-2</v>
      </c>
      <c r="N107">
        <f>data1!A104</f>
        <v>810</v>
      </c>
      <c r="O107">
        <f ca="1">(data1!B104-O$2)/O$4/Cal!$G104</f>
        <v>1.0811789321893148E-2</v>
      </c>
      <c r="P107">
        <f ca="1">(data1!C104-P$2)/P$4/Cal!$G104</f>
        <v>1.1681703405263732E-2</v>
      </c>
      <c r="Q107">
        <f ca="1">(data1!D104-Q$2)/Q$4/Cal!$G104</f>
        <v>1.3461035712025563E-2</v>
      </c>
      <c r="R107">
        <f ca="1">(data1!E104-R$2)/R$4/Cal!$G104</f>
        <v>1.7674925152311973E-2</v>
      </c>
      <c r="S107">
        <f ca="1">(data1!F104-S$2)/S$4/Cal!$G104</f>
        <v>1.5056417722339765E-2</v>
      </c>
      <c r="T107">
        <f ca="1">(data1!G104-T$2)/T$4/Cal!$G104</f>
        <v>1.1046828220194746E-2</v>
      </c>
      <c r="U107">
        <f ca="1">(data1!H104-U$2)/U$4/Cal!$G104</f>
        <v>1.1419193216381223E-2</v>
      </c>
      <c r="W107">
        <f ca="1">(data1!J104-W$2)/W$4/Cal!$G104</f>
        <v>3.0797218068421565E-2</v>
      </c>
      <c r="X107">
        <f ca="1">(data1!K104-X$2)/X$4/Cal!$G104</f>
        <v>1.5879815566530963E-2</v>
      </c>
    </row>
    <row r="108" spans="12:24">
      <c r="L108">
        <f t="shared" ca="1" si="5"/>
        <v>0.65160514372042366</v>
      </c>
      <c r="M108">
        <f t="shared" ca="1" si="4"/>
        <v>2.230917439360379E-2</v>
      </c>
      <c r="N108">
        <f>data1!A105</f>
        <v>815</v>
      </c>
      <c r="O108">
        <f ca="1">(data1!B105-O$2)/O$4/Cal!$G105</f>
        <v>2.1999845132148324E-2</v>
      </c>
      <c r="P108">
        <f ca="1">(data1!C105-P$2)/P$4/Cal!$G105</f>
        <v>1.7827460710533788E-2</v>
      </c>
      <c r="Q108">
        <f ca="1">(data1!D105-Q$2)/Q$4/Cal!$G105</f>
        <v>2.0542901745912827E-2</v>
      </c>
      <c r="R108">
        <f ca="1">(data1!E105-R$2)/R$4/Cal!$G105</f>
        <v>2.697372316202485E-2</v>
      </c>
      <c r="S108">
        <f ca="1">(data1!F105-S$2)/S$4/Cal!$G105</f>
        <v>1.5318410684606654E-2</v>
      </c>
      <c r="T108">
        <f ca="1">(data1!G105-T$2)/T$4/Cal!$G105</f>
        <v>1.1239051317510122E-2</v>
      </c>
      <c r="U108">
        <f ca="1">(data1!H105-U$2)/U$4/Cal!$G105</f>
        <v>2.32357914878864E-2</v>
      </c>
      <c r="W108">
        <f ca="1">(data1!J105-W$2)/W$4/Cal!$G105</f>
        <v>3.1333112763967462E-2</v>
      </c>
      <c r="X108">
        <f ca="1">(data1!K105-X$2)/X$4/Cal!$G105</f>
        <v>3.2312272537843668E-2</v>
      </c>
    </row>
    <row r="109" spans="12:24">
      <c r="L109">
        <f t="shared" ca="1" si="5"/>
        <v>0.7184236426386289</v>
      </c>
      <c r="M109">
        <f t="shared" ca="1" si="4"/>
        <v>2.4596856680109264E-2</v>
      </c>
      <c r="N109">
        <f>data1!A106</f>
        <v>820</v>
      </c>
      <c r="O109">
        <f ca="1">(data1!B106-O$2)/O$4/Cal!$G106</f>
        <v>3.360233306008778E-2</v>
      </c>
      <c r="P109">
        <f ca="1">(data1!C106-P$2)/P$4/Cal!$G106</f>
        <v>1.8152984526713874E-2</v>
      </c>
      <c r="Q109">
        <f ca="1">(data1!D106-Q$2)/Q$4/Cal!$G106</f>
        <v>2.0918008659921661E-2</v>
      </c>
      <c r="R109">
        <f ca="1">(data1!E106-R$2)/R$4/Cal!$G106</f>
        <v>2.7466254849114715E-2</v>
      </c>
      <c r="S109">
        <f ca="1">(data1!F106-S$2)/S$4/Cal!$G106</f>
        <v>1.5598120037768799E-2</v>
      </c>
      <c r="T109">
        <f ca="1">(data1!G106-T$2)/T$4/Cal!$G106</f>
        <v>1.7166409280696352E-2</v>
      </c>
      <c r="U109">
        <f ca="1">(data1!H106-U$2)/U$4/Cal!$G106</f>
        <v>2.3660069720211001E-2</v>
      </c>
      <c r="W109">
        <f ca="1">(data1!J106-W$2)/W$4/Cal!$G106</f>
        <v>3.190524553179911E-2</v>
      </c>
      <c r="X109">
        <f ca="1">(data1!K106-X$2)/X$4/Cal!$G106</f>
        <v>3.2902284454670097E-2</v>
      </c>
    </row>
    <row r="110" spans="12:24">
      <c r="L110">
        <f t="shared" ca="1" si="5"/>
        <v>0.93993751111002277</v>
      </c>
      <c r="M110">
        <f t="shared" ca="1" si="4"/>
        <v>3.2180884476627786E-2</v>
      </c>
      <c r="N110">
        <f>data1!A107</f>
        <v>825</v>
      </c>
      <c r="O110">
        <f ca="1">(data1!B107-O$2)/O$4/Cal!$G107</f>
        <v>3.4126704654981931E-2</v>
      </c>
      <c r="P110">
        <f ca="1">(data1!C107-P$2)/P$4/Cal!$G107</f>
        <v>2.4581687644201267E-2</v>
      </c>
      <c r="Q110">
        <f ca="1">(data1!D107-Q$2)/Q$4/Cal!$G107</f>
        <v>2.1244438659392184E-2</v>
      </c>
      <c r="R110">
        <f ca="1">(data1!E107-R$2)/R$4/Cal!$G107</f>
        <v>2.7894871631028183E-2</v>
      </c>
      <c r="S110">
        <f ca="1">(data1!F107-S$2)/S$4/Cal!$G107</f>
        <v>2.3762298056060945E-2</v>
      </c>
      <c r="T110">
        <f ca="1">(data1!G107-T$2)/T$4/Cal!$G107</f>
        <v>2.3245726359189676E-2</v>
      </c>
      <c r="U110">
        <f ca="1">(data1!H107-U$2)/U$4/Cal!$G107</f>
        <v>3.6043935253575438E-2</v>
      </c>
      <c r="W110">
        <f ca="1">(data1!J107-W$2)/W$4/Cal!$G107</f>
        <v>4.8604700569214489E-2</v>
      </c>
      <c r="X110">
        <f ca="1">(data1!K107-X$2)/X$4/Cal!$G107</f>
        <v>5.0123597462005974E-2</v>
      </c>
    </row>
    <row r="111" spans="12:24">
      <c r="L111">
        <f t="shared" ca="1" si="5"/>
        <v>1</v>
      </c>
      <c r="M111">
        <f t="shared" ca="1" si="4"/>
        <v>3.423725949464837E-2</v>
      </c>
      <c r="N111">
        <f>data1!A108</f>
        <v>830</v>
      </c>
      <c r="O111">
        <f ca="1">(data1!B108-O$2)/O$4/Cal!$G108</f>
        <v>3.4519372617666855E-2</v>
      </c>
      <c r="P111">
        <f ca="1">(data1!C108-P$2)/P$4/Cal!$G108</f>
        <v>2.4864528935330636E-2</v>
      </c>
      <c r="Q111">
        <f ca="1">(data1!D108-Q$2)/Q$4/Cal!$G108</f>
        <v>2.865184128971832E-2</v>
      </c>
      <c r="R111">
        <f ca="1">(data1!E108-R$2)/R$4/Cal!$G108</f>
        <v>2.8215835009222815E-2</v>
      </c>
      <c r="S111">
        <f ca="1">(data1!F108-S$2)/S$4/Cal!$G108</f>
        <v>3.2047615072203571E-2</v>
      </c>
      <c r="T111">
        <f ca="1">(data1!G108-T$2)/T$4/Cal!$G108</f>
        <v>2.3513195841018526E-2</v>
      </c>
      <c r="U111">
        <f ca="1">(data1!H108-U$2)/U$4/Cal!$G108</f>
        <v>3.6458663214164001E-2</v>
      </c>
      <c r="W111">
        <f ca="1">(data1!J108-W$2)/W$4/Cal!$G108</f>
        <v>4.9163954940311179E-2</v>
      </c>
      <c r="X111">
        <f ca="1">(data1!K108-X$2)/X$4/Cal!$G108</f>
        <v>5.0700328532199475E-2</v>
      </c>
    </row>
    <row r="112" spans="12:24">
      <c r="L112">
        <f t="shared" ca="1" si="5"/>
        <v>0.95832769264047635</v>
      </c>
      <c r="M112">
        <f t="shared" ca="1" si="4"/>
        <v>3.2810513893839613E-2</v>
      </c>
      <c r="N112">
        <f>data1!A109</f>
        <v>835</v>
      </c>
      <c r="O112">
        <f ca="1">(data1!B109-O$2)/O$4/Cal!$G109</f>
        <v>3.4794404673571595E-2</v>
      </c>
      <c r="P112">
        <f ca="1">(data1!C109-P$2)/P$4/Cal!$G109</f>
        <v>2.5062636316595353E-2</v>
      </c>
      <c r="Q112">
        <f ca="1">(data1!D109-Q$2)/Q$4/Cal!$G109</f>
        <v>2.1660092975600308E-2</v>
      </c>
      <c r="R112">
        <f ca="1">(data1!E109-R$2)/R$4/Cal!$G109</f>
        <v>2.8440643820136249E-2</v>
      </c>
      <c r="S112">
        <f ca="1">(data1!F109-S$2)/S$4/Cal!$G109</f>
        <v>2.422721510604189E-2</v>
      </c>
      <c r="T112">
        <f ca="1">(data1!G109-T$2)/T$4/Cal!$G109</f>
        <v>2.3700536516779721E-2</v>
      </c>
      <c r="U112">
        <f ca="1">(data1!H109-U$2)/U$4/Cal!$G109</f>
        <v>3.6749146509164506E-2</v>
      </c>
      <c r="W112">
        <f ca="1">(data1!J109-W$2)/W$4/Cal!$G109</f>
        <v>4.9555667262357307E-2</v>
      </c>
      <c r="X112">
        <f ca="1">(data1!K109-X$2)/X$4/Cal!$G109</f>
        <v>5.1104281864309577E-2</v>
      </c>
    </row>
    <row r="113" spans="12:24">
      <c r="L113">
        <f t="shared" ca="1" si="5"/>
        <v>0.94911240274505126</v>
      </c>
      <c r="M113">
        <f t="shared" ca="1" si="4"/>
        <v>3.2495007622371536E-2</v>
      </c>
      <c r="N113">
        <f>data1!A110</f>
        <v>840</v>
      </c>
      <c r="O113">
        <f ca="1">(data1!B110-O$2)/O$4/Cal!$G110</f>
        <v>3.4946819924872904E-2</v>
      </c>
      <c r="P113">
        <f ca="1">(data1!C110-P$2)/P$4/Cal!$G110</f>
        <v>1.8879316511138014E-2</v>
      </c>
      <c r="Q113">
        <f ca="1">(data1!D110-Q$2)/Q$4/Cal!$G110</f>
        <v>2.1754973992966685E-2</v>
      </c>
      <c r="R113">
        <f ca="1">(data1!E110-R$2)/R$4/Cal!$G110</f>
        <v>2.8565226721199925E-2</v>
      </c>
      <c r="S113">
        <f ca="1">(data1!F110-S$2)/S$4/Cal!$G110</f>
        <v>3.2444455041362757E-2</v>
      </c>
      <c r="T113">
        <f ca="1">(data1!G110-T$2)/T$4/Cal!$G110</f>
        <v>1.7853266700749597E-2</v>
      </c>
      <c r="U113">
        <f ca="1">(data1!H110-U$2)/U$4/Cal!$G110</f>
        <v>3.6910124415033302E-2</v>
      </c>
      <c r="W113">
        <f ca="1">(data1!J110-W$2)/W$4/Cal!$G110</f>
        <v>4.9772743529362194E-2</v>
      </c>
      <c r="X113">
        <f ca="1">(data1!K110-X$2)/X$4/Cal!$G110</f>
        <v>5.1328141764658379E-2</v>
      </c>
    </row>
    <row r="114" spans="12:24">
      <c r="L114">
        <f t="shared" ca="1" si="5"/>
        <v>0.92346716249739269</v>
      </c>
      <c r="M114">
        <f t="shared" ca="1" si="4"/>
        <v>3.1616984877209847E-2</v>
      </c>
      <c r="N114">
        <f>data1!A111</f>
        <v>845</v>
      </c>
      <c r="O114">
        <f ca="1">(data1!B111-O$2)/O$4/Cal!$G111</f>
        <v>3.4972495544004313E-2</v>
      </c>
      <c r="P114">
        <f ca="1">(data1!C111-P$2)/P$4/Cal!$G111</f>
        <v>1.8893187247910153E-2</v>
      </c>
      <c r="Q114">
        <f ca="1">(data1!D111-Q$2)/Q$4/Cal!$G111</f>
        <v>2.1770957490969016E-2</v>
      </c>
      <c r="R114">
        <f ca="1">(data1!E111-R$2)/R$4/Cal!$G111</f>
        <v>2.8586213749011682E-2</v>
      </c>
      <c r="S114">
        <f ca="1">(data1!F111-S$2)/S$4/Cal!$G111</f>
        <v>2.4351219119528367E-2</v>
      </c>
      <c r="T114">
        <f ca="1">(data1!G111-T$2)/T$4/Cal!$G111</f>
        <v>1.7866383593131942E-2</v>
      </c>
      <c r="U114">
        <f ca="1">(data1!H111-U$2)/U$4/Cal!$G111</f>
        <v>3.6937242484677703E-2</v>
      </c>
      <c r="W114">
        <f ca="1">(data1!J111-W$2)/W$4/Cal!$G111</f>
        <v>4.9809311835397829E-2</v>
      </c>
      <c r="X114">
        <f ca="1">(data1!K111-X$2)/X$4/Cal!$G111</f>
        <v>5.1365852830257623E-2</v>
      </c>
    </row>
    <row r="115" spans="12:24">
      <c r="L115">
        <f t="shared" ca="1" si="5"/>
        <v>0.77190546656188208</v>
      </c>
      <c r="M115">
        <f t="shared" ca="1" si="4"/>
        <v>2.6427927764016777E-2</v>
      </c>
      <c r="N115">
        <f>data1!A112</f>
        <v>850</v>
      </c>
      <c r="O115">
        <f ca="1">(data1!B112-O$2)/O$4/Cal!$G112</f>
        <v>3.4875129461108795E-2</v>
      </c>
      <c r="P115">
        <f ca="1">(data1!C112-P$2)/P$4/Cal!$G112</f>
        <v>1.8840587180139014E-2</v>
      </c>
      <c r="Q115">
        <f ca="1">(data1!D112-Q$2)/Q$4/Cal!$G112</f>
        <v>2.171034549234532E-2</v>
      </c>
      <c r="R115">
        <f ca="1">(data1!E112-R$2)/R$4/Cal!$G112</f>
        <v>2.850662755951448E-2</v>
      </c>
      <c r="S115">
        <f ca="1">(data1!F112-S$2)/S$4/Cal!$G112</f>
        <v>2.4283423476623343E-2</v>
      </c>
      <c r="T115">
        <f ca="1">(data1!G112-T$2)/T$4/Cal!$G112</f>
        <v>1.7816642224696193E-2</v>
      </c>
      <c r="U115">
        <f ca="1">(data1!H112-U$2)/U$4/Cal!$G112</f>
        <v>2.4556270931416782E-2</v>
      </c>
      <c r="W115">
        <f ca="1">(data1!J112-W$2)/W$4/Cal!$G112</f>
        <v>3.3113759286303855E-2</v>
      </c>
      <c r="X115">
        <f ca="1">(data1!K112-X$2)/X$4/Cal!$G112</f>
        <v>3.4148564264003201E-2</v>
      </c>
    </row>
    <row r="116" spans="12:24">
      <c r="L116">
        <f t="shared" ca="1" si="5"/>
        <v>0.76716538313077787</v>
      </c>
      <c r="M116">
        <f t="shared" ca="1" si="4"/>
        <v>2.6265640297559779E-2</v>
      </c>
      <c r="N116">
        <f>data1!A113</f>
        <v>855</v>
      </c>
      <c r="O116">
        <f ca="1">(data1!B113-O$2)/O$4/Cal!$G113</f>
        <v>3.466096978679982E-2</v>
      </c>
      <c r="P116">
        <f ca="1">(data1!C113-P$2)/P$4/Cal!$G113</f>
        <v>1.8724891723903129E-2</v>
      </c>
      <c r="Q116">
        <f ca="1">(data1!D113-Q$2)/Q$4/Cal!$G113</f>
        <v>2.1577027549398012E-2</v>
      </c>
      <c r="R116">
        <f ca="1">(data1!E113-R$2)/R$4/Cal!$G113</f>
        <v>2.8331575303992364E-2</v>
      </c>
      <c r="S116">
        <f ca="1">(data1!F113-S$2)/S$4/Cal!$G113</f>
        <v>2.4134304888585985E-2</v>
      </c>
      <c r="T116">
        <f ca="1">(data1!G113-T$2)/T$4/Cal!$G113</f>
        <v>1.7707234564994873E-2</v>
      </c>
      <c r="U116">
        <f ca="1">(data1!H113-U$2)/U$4/Cal!$G113</f>
        <v>2.4405476853626196E-2</v>
      </c>
      <c r="W116">
        <f ca="1">(data1!J113-W$2)/W$4/Cal!$G113</f>
        <v>3.2910415757162005E-2</v>
      </c>
      <c r="X116">
        <f ca="1">(data1!K113-X$2)/X$4/Cal!$G113</f>
        <v>3.3938866249575657E-2</v>
      </c>
    </row>
    <row r="117" spans="12:24">
      <c r="L117">
        <f t="shared" ca="1" si="5"/>
        <v>0.7694885427263356</v>
      </c>
      <c r="M117">
        <f t="shared" ca="1" si="4"/>
        <v>2.6345178915480372E-2</v>
      </c>
      <c r="N117">
        <f>data1!A114</f>
        <v>860</v>
      </c>
      <c r="O117">
        <f ca="1">(data1!B114-O$2)/O$4/Cal!$G114</f>
        <v>3.4364864450538553E-2</v>
      </c>
      <c r="P117">
        <f ca="1">(data1!C114-P$2)/P$4/Cal!$G114</f>
        <v>1.8564926772129803E-2</v>
      </c>
      <c r="Q117">
        <f ca="1">(data1!D114-Q$2)/Q$4/Cal!$G114</f>
        <v>2.1392697075169151E-2</v>
      </c>
      <c r="R117">
        <f ca="1">(data1!E114-R$2)/R$4/Cal!$G114</f>
        <v>1.8726360917974298E-2</v>
      </c>
      <c r="S117">
        <f ca="1">(data1!F114-S$2)/S$4/Cal!$G114</f>
        <v>2.3928127839633703E-2</v>
      </c>
      <c r="T117">
        <f ca="1">(data1!G114-T$2)/T$4/Cal!$G114</f>
        <v>1.7555963360600536E-2</v>
      </c>
      <c r="U117">
        <f ca="1">(data1!H114-U$2)/U$4/Cal!$G114</f>
        <v>3.6295474812927372E-2</v>
      </c>
      <c r="W117">
        <f ca="1">(data1!J114-W$2)/W$4/Cal!$G114</f>
        <v>3.2629265235863444E-2</v>
      </c>
      <c r="X117">
        <f ca="1">(data1!K114-X$2)/X$4/Cal!$G114</f>
        <v>3.3648929774486497E-2</v>
      </c>
    </row>
    <row r="118" spans="12:24">
      <c r="L118">
        <f t="shared" ca="1" si="5"/>
        <v>0.78703408793638163</v>
      </c>
      <c r="M118">
        <f t="shared" ca="1" si="4"/>
        <v>2.6945890299811801E-2</v>
      </c>
      <c r="N118">
        <f>data1!A115</f>
        <v>865</v>
      </c>
      <c r="O118">
        <f ca="1">(data1!B115-O$2)/O$4/Cal!$G115</f>
        <v>3.3813177611978051E-2</v>
      </c>
      <c r="P118">
        <f ca="1">(data1!C115-P$2)/P$4/Cal!$G115</f>
        <v>1.8266889054746549E-2</v>
      </c>
      <c r="Q118">
        <f ca="1">(data1!D115-Q$2)/Q$4/Cal!$G115</f>
        <v>2.1049262884277189E-2</v>
      </c>
      <c r="R118">
        <f ca="1">(data1!E115-R$2)/R$4/Cal!$G115</f>
        <v>2.763859735239893E-2</v>
      </c>
      <c r="S118">
        <f ca="1">(data1!F115-S$2)/S$4/Cal!$G115</f>
        <v>2.3543990337228621E-2</v>
      </c>
      <c r="T118">
        <f ca="1">(data1!G115-T$2)/T$4/Cal!$G115</f>
        <v>1.7274123345248985E-2</v>
      </c>
      <c r="U118">
        <f ca="1">(data1!H115-U$2)/U$4/Cal!$G115</f>
        <v>3.5712794331751126E-2</v>
      </c>
      <c r="W118">
        <f ca="1">(data1!J115-W$2)/W$4/Cal!$G115</f>
        <v>3.2105441368947434E-2</v>
      </c>
      <c r="X118">
        <f ca="1">(data1!K115-X$2)/X$4/Cal!$G115</f>
        <v>3.3108736411729324E-2</v>
      </c>
    </row>
    <row r="119" spans="12:24">
      <c r="L119">
        <f t="shared" ca="1" si="5"/>
        <v>0.67810039832173064</v>
      </c>
      <c r="M119">
        <f t="shared" ca="1" si="4"/>
        <v>2.3216299300765512E-2</v>
      </c>
      <c r="N119">
        <f>data1!A116</f>
        <v>870</v>
      </c>
      <c r="O119">
        <f ca="1">(data1!B116-O$2)/O$4/Cal!$G116</f>
        <v>2.2271067054553419E-2</v>
      </c>
      <c r="P119">
        <f ca="1">(data1!C116-P$2)/P$4/Cal!$G116</f>
        <v>1.8047243992482743E-2</v>
      </c>
      <c r="Q119">
        <f ca="1">(data1!D116-Q$2)/Q$4/Cal!$G116</f>
        <v>2.0796161951602343E-2</v>
      </c>
      <c r="R119">
        <f ca="1">(data1!E116-R$2)/R$4/Cal!$G116</f>
        <v>2.7306264823408481E-2</v>
      </c>
      <c r="S119">
        <f ca="1">(data1!F116-S$2)/S$4/Cal!$G116</f>
        <v>1.5507261504651678E-2</v>
      </c>
      <c r="T119">
        <f ca="1">(data1!G116-T$2)/T$4/Cal!$G116</f>
        <v>1.7066415514629958E-2</v>
      </c>
      <c r="U119">
        <f ca="1">(data1!H116-U$2)/U$4/Cal!$G116</f>
        <v>2.3522250596943458E-2</v>
      </c>
      <c r="W119">
        <f ca="1">(data1!J116-W$2)/W$4/Cal!$G116</f>
        <v>3.1719398532241365E-2</v>
      </c>
      <c r="X119">
        <f ca="1">(data1!K116-X$2)/X$4/Cal!$G116</f>
        <v>3.2710629736376159E-2</v>
      </c>
    </row>
    <row r="120" spans="12:24">
      <c r="L120">
        <f t="shared" ca="1" si="5"/>
        <v>0.66967514046951071</v>
      </c>
      <c r="M120">
        <f t="shared" ca="1" si="4"/>
        <v>2.2927841561369736E-2</v>
      </c>
      <c r="N120">
        <f>data1!A117</f>
        <v>875</v>
      </c>
      <c r="O120">
        <f ca="1">(data1!B117-O$2)/O$4/Cal!$G117</f>
        <v>2.1908210717717012E-2</v>
      </c>
      <c r="P120">
        <f ca="1">(data1!C117-P$2)/P$4/Cal!$G117</f>
        <v>1.7753205236770486E-2</v>
      </c>
      <c r="Q120">
        <f ca="1">(data1!D117-Q$2)/Q$4/Cal!$G117</f>
        <v>1.3638223890498985E-2</v>
      </c>
      <c r="R120">
        <f ca="1">(data1!E117-R$2)/R$4/Cal!$G117</f>
        <v>2.6861371401722112E-2</v>
      </c>
      <c r="S120">
        <f ca="1">(data1!F117-S$2)/S$4/Cal!$G117</f>
        <v>2.2881908971837259E-2</v>
      </c>
      <c r="T120">
        <f ca="1">(data1!G117-T$2)/T$4/Cal!$G117</f>
        <v>1.6788357126075983E-2</v>
      </c>
      <c r="U120">
        <f ca="1">(data1!H117-U$2)/U$4/Cal!$G117</f>
        <v>2.3139009072644341E-2</v>
      </c>
      <c r="W120">
        <f ca="1">(data1!J117-W$2)/W$4/Cal!$G117</f>
        <v>3.120260314341378E-2</v>
      </c>
      <c r="X120">
        <f ca="1">(data1!K117-X$2)/X$4/Cal!$G117</f>
        <v>3.2177684491647679E-2</v>
      </c>
    </row>
    <row r="121" spans="12:24">
      <c r="L121">
        <f t="shared" ca="1" si="5"/>
        <v>0.65110527984214928</v>
      </c>
      <c r="M121">
        <f t="shared" ca="1" si="4"/>
        <v>2.2292060424291309E-2</v>
      </c>
      <c r="N121">
        <f>data1!A118</f>
        <v>880</v>
      </c>
      <c r="O121">
        <f ca="1">(data1!B118-O$2)/O$4/Cal!$G118</f>
        <v>2.1523360865482406E-2</v>
      </c>
      <c r="P121">
        <f ca="1">(data1!C118-P$2)/P$4/Cal!$G118</f>
        <v>1.744134414961486E-2</v>
      </c>
      <c r="Q121">
        <f ca="1">(data1!D118-Q$2)/Q$4/Cal!$G118</f>
        <v>2.0097972728694992E-2</v>
      </c>
      <c r="R121">
        <f ca="1">(data1!E118-R$2)/R$4/Cal!$G118</f>
        <v>1.7593008011785316E-2</v>
      </c>
      <c r="S121">
        <f ca="1">(data1!F118-S$2)/S$4/Cal!$G118</f>
        <v>2.2479954681725568E-2</v>
      </c>
      <c r="T121">
        <f ca="1">(data1!G118-T$2)/T$4/Cal!$G118</f>
        <v>1.649344501104839E-2</v>
      </c>
      <c r="U121">
        <f ca="1">(data1!H118-U$2)/U$4/Cal!$G118</f>
        <v>2.2732538442194319E-2</v>
      </c>
      <c r="W121">
        <f ca="1">(data1!J118-W$2)/W$4/Cal!$G118</f>
        <v>3.0654483656897848E-2</v>
      </c>
      <c r="X121">
        <f ca="1">(data1!K118-X$2)/X$4/Cal!$G118</f>
        <v>3.1612436271178088E-2</v>
      </c>
    </row>
    <row r="122" spans="12:24">
      <c r="L122">
        <f t="shared" ca="1" si="5"/>
        <v>0.63878648091826162</v>
      </c>
      <c r="M122">
        <f t="shared" ca="1" si="4"/>
        <v>2.1870298508871771E-2</v>
      </c>
      <c r="N122">
        <f>data1!A119</f>
        <v>885</v>
      </c>
      <c r="O122">
        <f ca="1">(data1!B119-O$2)/O$4/Cal!$G119</f>
        <v>2.1116142612341481E-2</v>
      </c>
      <c r="P122">
        <f ca="1">(data1!C119-P$2)/P$4/Cal!$G119</f>
        <v>1.7111356944483423E-2</v>
      </c>
      <c r="Q122">
        <f ca="1">(data1!D119-Q$2)/Q$4/Cal!$G119</f>
        <v>1.9717722571788575E-2</v>
      </c>
      <c r="R122">
        <f ca="1">(data1!E119-R$2)/R$4/Cal!$G119</f>
        <v>1.7260151352696217E-2</v>
      </c>
      <c r="S122">
        <f ca="1">(data1!F119-S$2)/S$4/Cal!$G119</f>
        <v>2.2054637839556166E-2</v>
      </c>
      <c r="T122">
        <f ca="1">(data1!G119-T$2)/T$4/Cal!$G119</f>
        <v>1.6181391893152364E-2</v>
      </c>
      <c r="U122">
        <f ca="1">(data1!H119-U$2)/U$4/Cal!$G119</f>
        <v>2.2302442759101666E-2</v>
      </c>
      <c r="W122">
        <f ca="1">(data1!J119-W$2)/W$4/Cal!$G119</f>
        <v>3.0074506144848676E-2</v>
      </c>
      <c r="X122">
        <f ca="1">(data1!K119-X$2)/X$4/Cal!$G119</f>
        <v>3.1014334461877333E-2</v>
      </c>
    </row>
    <row r="123" spans="12:24">
      <c r="L123">
        <f t="shared" ca="1" si="5"/>
        <v>0.56743469593614959</v>
      </c>
      <c r="M123">
        <f t="shared" ca="1" si="4"/>
        <v>1.9427408931032848E-2</v>
      </c>
      <c r="N123">
        <f>data1!A120</f>
        <v>890</v>
      </c>
      <c r="O123">
        <f ca="1">(data1!B120-O$2)/O$4/Cal!$G120</f>
        <v>2.0697464979663186E-2</v>
      </c>
      <c r="P123">
        <f ca="1">(data1!C120-P$2)/P$4/Cal!$G120</f>
        <v>1.1181389126944358E-2</v>
      </c>
      <c r="Q123">
        <f ca="1">(data1!D120-Q$2)/Q$4/Cal!$G120</f>
        <v>1.9326771934651901E-2</v>
      </c>
      <c r="R123">
        <f ca="1">(data1!E120-R$2)/R$4/Cal!$G120</f>
        <v>1.6917927896420056E-2</v>
      </c>
      <c r="S123">
        <f ca="1">(data1!F120-S$2)/S$4/Cal!$G120</f>
        <v>1.4411568208061467E-2</v>
      </c>
      <c r="T123">
        <f ca="1">(data1!G120-T$2)/T$4/Cal!$G120</f>
        <v>1.0573704935262307E-2</v>
      </c>
      <c r="U123">
        <f ca="1">(data1!H120-U$2)/U$4/Cal!$G120</f>
        <v>2.1860243911104381E-2</v>
      </c>
      <c r="W123">
        <f ca="1">(data1!J120-W$2)/W$4/Cal!$G120</f>
        <v>2.9478207698306891E-2</v>
      </c>
      <c r="X123">
        <f ca="1">(data1!K120-X$2)/X$4/Cal!$G120</f>
        <v>3.0399401688881077E-2</v>
      </c>
    </row>
    <row r="124" spans="12:24">
      <c r="L124">
        <f t="shared" ca="1" si="5"/>
        <v>0.4407800513044467</v>
      </c>
      <c r="M124">
        <f t="shared" ca="1" si="4"/>
        <v>1.5091100996574763E-2</v>
      </c>
      <c r="N124">
        <f>data1!A121</f>
        <v>895</v>
      </c>
      <c r="O124">
        <f ca="1">(data1!B121-O$2)/O$4/Cal!$G121</f>
        <v>2.0301991515572389E-2</v>
      </c>
      <c r="P124">
        <f ca="1">(data1!C121-P$2)/P$4/Cal!$G121</f>
        <v>1.0967742542895308E-2</v>
      </c>
      <c r="Q124">
        <f ca="1">(data1!D121-Q$2)/Q$4/Cal!$G121</f>
        <v>1.2638325844130834E-2</v>
      </c>
      <c r="R124">
        <f ca="1">(data1!E121-R$2)/R$4/Cal!$G121</f>
        <v>1.6594671325771929E-2</v>
      </c>
      <c r="S124">
        <f ca="1">(data1!F121-S$2)/S$4/Cal!$G121</f>
        <v>1.4136201499731584E-2</v>
      </c>
      <c r="T124">
        <f ca="1">(data1!G121-T$2)/T$4/Cal!$G121</f>
        <v>1.0371669578607232E-2</v>
      </c>
      <c r="U124">
        <f ca="1">(data1!H121-U$2)/U$4/Cal!$G121</f>
        <v>2.1442552836671413E-2</v>
      </c>
      <c r="W124">
        <f ca="1">(data1!J121-W$2)/W$4/Cal!$G121</f>
        <v>1.445747880654333E-2</v>
      </c>
      <c r="X124">
        <f ca="1">(data1!K121-X$2)/X$4/Cal!$G121</f>
        <v>1.490927501924885E-2</v>
      </c>
    </row>
    <row r="125" spans="12:24">
      <c r="L125">
        <f t="shared" ca="1" si="5"/>
        <v>0.49502814766946585</v>
      </c>
      <c r="M125">
        <f t="shared" ca="1" si="4"/>
        <v>1.6948407148914615E-2</v>
      </c>
      <c r="N125">
        <f>data1!A122</f>
        <v>900</v>
      </c>
      <c r="O125">
        <f ca="1">(data1!B122-O$2)/O$4/Cal!$G122</f>
        <v>1.9919680758980814E-2</v>
      </c>
      <c r="P125">
        <f ca="1">(data1!C122-P$2)/P$4/Cal!$G122</f>
        <v>1.0761206846805609E-2</v>
      </c>
      <c r="Q125">
        <f ca="1">(data1!D122-Q$2)/Q$4/Cal!$G122</f>
        <v>1.2400331068504297E-2</v>
      </c>
      <c r="R125">
        <f ca="1">(data1!E122-R$2)/R$4/Cal!$G122</f>
        <v>1.6282173837775343E-2</v>
      </c>
      <c r="S125">
        <f ca="1">(data1!F122-S$2)/S$4/Cal!$G122</f>
        <v>1.3869999935882641E-2</v>
      </c>
      <c r="T125">
        <f ca="1">(data1!G122-T$2)/T$4/Cal!$G122</f>
        <v>1.5264537972914063E-2</v>
      </c>
      <c r="U125">
        <f ca="1">(data1!H122-U$2)/U$4/Cal!$G122</f>
        <v>2.1038763947687063E-2</v>
      </c>
      <c r="W125">
        <f ca="1">(data1!J122-W$2)/W$4/Cal!$G122</f>
        <v>2.8370454414304771E-2</v>
      </c>
      <c r="X125">
        <f ca="1">(data1!K122-X$2)/X$4/Cal!$G122</f>
        <v>1.4628515557376905E-2</v>
      </c>
    </row>
    <row r="126" spans="12:24">
      <c r="L126">
        <f t="shared" ca="1" si="5"/>
        <v>0.55029245562389972</v>
      </c>
      <c r="M126">
        <f t="shared" ca="1" si="4"/>
        <v>1.8840505601142726E-2</v>
      </c>
      <c r="N126">
        <f>data1!A123</f>
        <v>905</v>
      </c>
      <c r="O126">
        <f ca="1">(data1!B123-O$2)/O$4/Cal!$G123</f>
        <v>1.9575623482797407E-2</v>
      </c>
      <c r="P126">
        <f ca="1">(data1!C123-P$2)/P$4/Cal!$G123</f>
        <v>1.5863005236059793E-2</v>
      </c>
      <c r="Q126">
        <f ca="1">(data1!D123-Q$2)/Q$4/Cal!$G123</f>
        <v>1.2186149717767611E-2</v>
      </c>
      <c r="R126">
        <f ca="1">(data1!E123-R$2)/R$4/Cal!$G123</f>
        <v>1.6000944412025431E-2</v>
      </c>
      <c r="S126">
        <f ca="1">(data1!F123-S$2)/S$4/Cal!$G123</f>
        <v>1.3630434128762347E-2</v>
      </c>
      <c r="T126">
        <f ca="1">(data1!G123-T$2)/T$4/Cal!$G123</f>
        <v>1.5000885386273527E-2</v>
      </c>
      <c r="U126">
        <f ca="1">(data1!H123-U$2)/U$4/Cal!$G123</f>
        <v>2.0675377611043922E-2</v>
      </c>
      <c r="W126">
        <f ca="1">(data1!J123-W$2)/W$4/Cal!$G123</f>
        <v>2.7880433445195092E-2</v>
      </c>
      <c r="X126">
        <f ca="1">(data1!K123-X$2)/X$4/Cal!$G123</f>
        <v>2.875169699035942E-2</v>
      </c>
    </row>
    <row r="127" spans="12:24">
      <c r="L127">
        <f t="shared" ca="1" si="5"/>
        <v>0.52372028360023803</v>
      </c>
      <c r="M127">
        <f t="shared" ca="1" si="4"/>
        <v>1.7930747252232187E-2</v>
      </c>
      <c r="N127">
        <f>data1!A124</f>
        <v>910</v>
      </c>
      <c r="O127">
        <f ca="1">(data1!B124-O$2)/O$4/Cal!$G124</f>
        <v>1.9230033918025569E-2</v>
      </c>
      <c r="P127">
        <f ca="1">(data1!C124-P$2)/P$4/Cal!$G124</f>
        <v>1.0388639013186114E-2</v>
      </c>
      <c r="Q127">
        <f ca="1">(data1!D124-Q$2)/Q$4/Cal!$G124</f>
        <v>1.1971014492015613E-2</v>
      </c>
      <c r="R127">
        <f ca="1">(data1!E124-R$2)/R$4/Cal!$G124</f>
        <v>1.5718462506907588E-2</v>
      </c>
      <c r="S127">
        <f ca="1">(data1!F124-S$2)/S$4/Cal!$G124</f>
        <v>1.3389801394773073E-2</v>
      </c>
      <c r="T127">
        <f ca="1">(data1!G124-T$2)/T$4/Cal!$G124</f>
        <v>1.4736058600225553E-2</v>
      </c>
      <c r="U127">
        <f ca="1">(data1!H124-U$2)/U$4/Cal!$G124</f>
        <v>2.031037290218379E-2</v>
      </c>
      <c r="W127">
        <f ca="1">(data1!J124-W$2)/W$4/Cal!$G124</f>
        <v>2.7388230125671587E-2</v>
      </c>
      <c r="X127">
        <f ca="1">(data1!K124-X$2)/X$4/Cal!$G124</f>
        <v>2.8244112317100768E-2</v>
      </c>
    </row>
    <row r="128" spans="12:24">
      <c r="L128">
        <f t="shared" ca="1" si="5"/>
        <v>0.50050020264578998</v>
      </c>
      <c r="M128">
        <f t="shared" ca="1" si="4"/>
        <v>1.7135755315108005E-2</v>
      </c>
      <c r="N128">
        <f>data1!A125</f>
        <v>915</v>
      </c>
      <c r="O128">
        <f ca="1">(data1!B125-O$2)/O$4/Cal!$G125</f>
        <v>1.8954373060181818E-2</v>
      </c>
      <c r="P128">
        <f ca="1">(data1!C125-P$2)/P$4/Cal!$G125</f>
        <v>1.023971877963834E-2</v>
      </c>
      <c r="Q128">
        <f ca="1">(data1!D125-Q$2)/Q$4/Cal!$G125</f>
        <v>1.1799411044086393E-2</v>
      </c>
      <c r="R128">
        <f ca="1">(data1!E125-R$2)/R$4/Cal!$G125</f>
        <v>1.5493139718757046E-2</v>
      </c>
      <c r="S128">
        <f ca="1">(data1!F125-S$2)/S$4/Cal!$G125</f>
        <v>1.3197859760422613E-2</v>
      </c>
      <c r="T128">
        <f ca="1">(data1!G125-T$2)/T$4/Cal!$G125</f>
        <v>9.6832123242229454E-3</v>
      </c>
      <c r="U128">
        <f ca="1">(data1!H125-U$2)/U$4/Cal!$G125</f>
        <v>2.0019225479292642E-2</v>
      </c>
      <c r="W128">
        <f ca="1">(data1!J125-W$2)/W$4/Cal!$G125</f>
        <v>2.6995622237227471E-2</v>
      </c>
      <c r="X128">
        <f ca="1">(data1!K125-X$2)/X$4/Cal!$G125</f>
        <v>2.7839235432142749E-2</v>
      </c>
    </row>
    <row r="129" spans="12:24">
      <c r="L129">
        <f t="shared" ca="1" si="5"/>
        <v>0.40541943775434536</v>
      </c>
      <c r="M129">
        <f t="shared" ca="1" si="4"/>
        <v>1.3880450494569964E-2</v>
      </c>
      <c r="N129">
        <f>data1!A126</f>
        <v>920</v>
      </c>
      <c r="O129">
        <f ca="1">(data1!B126-O$2)/O$4/Cal!$G126</f>
        <v>1.8673308742486214E-2</v>
      </c>
      <c r="P129">
        <f ca="1">(data1!C126-P$2)/P$4/Cal!$G126</f>
        <v>1.008787943559589E-2</v>
      </c>
      <c r="Q129">
        <f ca="1">(data1!D126-Q$2)/Q$4/Cal!$G126</f>
        <v>1.1624443852938142E-2</v>
      </c>
      <c r="R129">
        <f ca="1">(data1!E126-R$2)/R$4/Cal!$G126</f>
        <v>1.5263400189510209E-2</v>
      </c>
      <c r="S129">
        <f ca="1">(data1!F126-S$2)/S$4/Cal!$G126</f>
        <v>1.3002155716990123E-2</v>
      </c>
      <c r="T129">
        <f ca="1">(data1!G126-T$2)/T$4/Cal!$G126</f>
        <v>9.5396251184436745E-3</v>
      </c>
      <c r="U129">
        <f ca="1">(data1!H126-U$2)/U$4/Cal!$G126</f>
        <v>1.9722371031389428E-2</v>
      </c>
      <c r="W129">
        <f ca="1">(data1!J126-W$2)/W$4/Cal!$G126</f>
        <v>1.3297659256012319E-2</v>
      </c>
      <c r="X129">
        <f ca="1">(data1!K126-X$2)/X$4/Cal!$G126</f>
        <v>1.3713211107763662E-2</v>
      </c>
    </row>
    <row r="130" spans="12:24">
      <c r="L130">
        <f t="shared" ca="1" si="5"/>
        <v>0.44253339751455778</v>
      </c>
      <c r="M130">
        <f t="shared" ca="1" si="4"/>
        <v>1.5151130765754294E-2</v>
      </c>
      <c r="N130">
        <f>data1!A127</f>
        <v>925</v>
      </c>
      <c r="O130">
        <f ca="1">(data1!B127-O$2)/O$4/Cal!$G127</f>
        <v>1.8421821108913328E-2</v>
      </c>
      <c r="P130">
        <f ca="1">(data1!C127-P$2)/P$4/Cal!$G127</f>
        <v>9.952018300217436E-3</v>
      </c>
      <c r="Q130">
        <f ca="1">(data1!D127-Q$2)/Q$4/Cal!$G127</f>
        <v>1.1467888637336483E-2</v>
      </c>
      <c r="R130">
        <f ca="1">(data1!E127-R$2)/R$4/Cal!$G127</f>
        <v>1.5057836384676724E-2</v>
      </c>
      <c r="S130">
        <f ca="1">(data1!F127-S$2)/S$4/Cal!$G127</f>
        <v>1.2827045809169007E-2</v>
      </c>
      <c r="T130">
        <f ca="1">(data1!G127-T$2)/T$4/Cal!$G127</f>
        <v>9.4111477404227491E-3</v>
      </c>
      <c r="U130">
        <f ca="1">(data1!H127-U$2)/U$4/Cal!$G127</f>
        <v>1.9456754879076502E-2</v>
      </c>
      <c r="W130">
        <f ca="1">(data1!J127-W$2)/W$4/Cal!$G127</f>
        <v>2.6237139155117842E-2</v>
      </c>
      <c r="X130">
        <f ca="1">(data1!K127-X$2)/X$4/Cal!$G127</f>
        <v>1.3528524876858568E-2</v>
      </c>
    </row>
    <row r="131" spans="12:24">
      <c r="L131">
        <f t="shared" ca="1" si="5"/>
        <v>0.48010205234022962</v>
      </c>
      <c r="M131">
        <f t="shared" ca="1" si="4"/>
        <v>1.6437378549885695E-2</v>
      </c>
      <c r="N131">
        <f>data1!A128</f>
        <v>930</v>
      </c>
      <c r="O131">
        <f ca="1">(data1!B128-O$2)/O$4/Cal!$G128</f>
        <v>1.8181877567501916E-2</v>
      </c>
      <c r="P131">
        <f ca="1">(data1!C128-P$2)/P$4/Cal!$G128</f>
        <v>9.8223936284204671E-3</v>
      </c>
      <c r="Q131">
        <f ca="1">(data1!D128-Q$2)/Q$4/Cal!$G128</f>
        <v>1.1318519810232693E-2</v>
      </c>
      <c r="R131">
        <f ca="1">(data1!E128-R$2)/R$4/Cal!$G128</f>
        <v>1.4861708620392615E-2</v>
      </c>
      <c r="S131">
        <f ca="1">(data1!F128-S$2)/S$4/Cal!$G128</f>
        <v>1.2659974009964027E-2</v>
      </c>
      <c r="T131">
        <f ca="1">(data1!G128-T$2)/T$4/Cal!$G128</f>
        <v>9.288567887745184E-3</v>
      </c>
      <c r="U131">
        <f ca="1">(data1!H128-U$2)/U$4/Cal!$G128</f>
        <v>1.92033313634285E-2</v>
      </c>
      <c r="W131">
        <f ca="1">(data1!J128-W$2)/W$4/Cal!$G128</f>
        <v>2.5895401384016751E-2</v>
      </c>
      <c r="X131">
        <f ca="1">(data1!K128-X$2)/X$4/Cal!$G128</f>
        <v>2.6704632677269115E-2</v>
      </c>
    </row>
    <row r="132" spans="12:24">
      <c r="L132">
        <f t="shared" ca="1" si="5"/>
        <v>0.43320943100189641</v>
      </c>
      <c r="M132">
        <f t="shared" ca="1" si="4"/>
        <v>1.4831903704740896E-2</v>
      </c>
      <c r="N132">
        <f>data1!A129</f>
        <v>935</v>
      </c>
      <c r="O132">
        <f ca="1">(data1!B129-O$2)/O$4/Cal!$G129</f>
        <v>1.7979627944971165E-2</v>
      </c>
      <c r="P132">
        <f ca="1">(data1!C129-P$2)/P$4/Cal!$G129</f>
        <v>9.7131323380877637E-3</v>
      </c>
      <c r="Q132">
        <f ca="1">(data1!D129-Q$2)/Q$4/Cal!$G129</f>
        <v>1.1192616071703619E-2</v>
      </c>
      <c r="R132">
        <f ca="1">(data1!E129-R$2)/R$4/Cal!$G129</f>
        <v>1.4696391537628353E-2</v>
      </c>
      <c r="S132">
        <f ca="1">(data1!F129-S$2)/S$4/Cal!$G129</f>
        <v>1.2519148346868543E-2</v>
      </c>
      <c r="T132">
        <f ca="1">(data1!G129-T$2)/T$4/Cal!$G129</f>
        <v>9.185244711017523E-3</v>
      </c>
      <c r="U132">
        <f ca="1">(data1!H129-U$2)/U$4/Cal!$G129</f>
        <v>1.898971940255333E-2</v>
      </c>
      <c r="W132">
        <f ca="1">(data1!J129-W$2)/W$4/Cal!$G129</f>
        <v>1.2803674445660714E-2</v>
      </c>
      <c r="X132">
        <f ca="1">(data1!K129-X$2)/X$4/Cal!$G129</f>
        <v>2.6407578544177069E-2</v>
      </c>
    </row>
    <row r="133" spans="12:24">
      <c r="L133">
        <f t="shared" ref="L133:L164" ca="1" si="6">M133/M$2</f>
        <v>0.38721429266247176</v>
      </c>
      <c r="M133">
        <f t="shared" ca="1" si="4"/>
        <v>1.3257156217921763E-2</v>
      </c>
      <c r="N133">
        <f>data1!A130</f>
        <v>940</v>
      </c>
      <c r="O133">
        <f ca="1">(data1!B130-O$2)/O$4/Cal!$G130</f>
        <v>1.783479370510831E-2</v>
      </c>
      <c r="P133">
        <f ca="1">(data1!C130-P$2)/P$4/Cal!$G130</f>
        <v>9.6348885533342685E-3</v>
      </c>
      <c r="Q133">
        <f ca="1">(data1!D130-Q$2)/Q$4/Cal!$G130</f>
        <v>1.1102454359471116E-2</v>
      </c>
      <c r="R133">
        <f ca="1">(data1!E130-R$2)/R$4/Cal!$G130</f>
        <v>1.4578005289392629E-2</v>
      </c>
      <c r="S133">
        <f ca="1">(data1!F130-S$2)/S$4/Cal!$G130</f>
        <v>1.241830080207515E-2</v>
      </c>
      <c r="T133">
        <f ca="1">(data1!G130-T$2)/T$4/Cal!$G130</f>
        <v>9.1112533058701969E-3</v>
      </c>
      <c r="U133">
        <f ca="1">(data1!H130-U$2)/U$4/Cal!$G130</f>
        <v>1.8836748407642E-2</v>
      </c>
      <c r="W133">
        <f ca="1">(data1!J130-W$2)/W$4/Cal!$G130</f>
        <v>1.2700534911212929E-2</v>
      </c>
      <c r="X133">
        <f ca="1">(data1!K130-X$2)/X$4/Cal!$G130</f>
        <v>1.3097426627189247E-2</v>
      </c>
    </row>
    <row r="134" spans="12:24">
      <c r="L134">
        <f t="shared" ca="1" si="6"/>
        <v>0.30183134634904635</v>
      </c>
      <c r="M134">
        <f t="shared" ca="1" si="4"/>
        <v>1.0333878128571387E-2</v>
      </c>
      <c r="N134">
        <f>data1!A131</f>
        <v>945</v>
      </c>
      <c r="O134">
        <f ca="1">(data1!B131-O$2)/O$4/Cal!$G131</f>
        <v>8.8522242074986698E-3</v>
      </c>
      <c r="P134">
        <f ca="1">(data1!C131-P$2)/P$4/Cal!$G131</f>
        <v>9.5644721322398363E-3</v>
      </c>
      <c r="Q134">
        <f ca="1">(data1!D131-Q$2)/Q$4/Cal!$G131</f>
        <v>1.1021312258342433E-2</v>
      </c>
      <c r="R134">
        <f ca="1">(data1!E131-R$2)/R$4/Cal!$G131</f>
        <v>7.2357310913466069E-3</v>
      </c>
      <c r="S134">
        <f ca="1">(data1!F131-S$2)/S$4/Cal!$G131</f>
        <v>1.2327541859331216E-2</v>
      </c>
      <c r="T134">
        <f ca="1">(data1!G131-T$2)/T$4/Cal!$G131</f>
        <v>9.044663864183072E-3</v>
      </c>
      <c r="U134">
        <f ca="1">(data1!H131-U$2)/U$4/Cal!$G131</f>
        <v>9.3495401742118289E-3</v>
      </c>
      <c r="W134">
        <f ca="1">(data1!J131-W$2)/W$4/Cal!$G131</f>
        <v>1.2607713265224816E-2</v>
      </c>
      <c r="X134">
        <f ca="1">(data1!K131-X$2)/X$4/Cal!$G131</f>
        <v>1.3001704304764E-2</v>
      </c>
    </row>
    <row r="135" spans="12:24">
      <c r="L135">
        <f t="shared" ca="1" si="6"/>
        <v>0.29952528964620428</v>
      </c>
      <c r="M135">
        <f t="shared" ref="M135:M165" ca="1" si="7">AVERAGE(O135:AX135)</f>
        <v>1.0254925066826811E-2</v>
      </c>
      <c r="N135">
        <f>data1!A132</f>
        <v>950</v>
      </c>
      <c r="O135">
        <f ca="1">(data1!B132-O$2)/O$4/Cal!$G132</f>
        <v>8.7845913018522286E-3</v>
      </c>
      <c r="P135">
        <f ca="1">(data1!C132-P$2)/P$4/Cal!$G132</f>
        <v>9.4913974985528782E-3</v>
      </c>
      <c r="Q135">
        <f ca="1">(data1!D132-Q$2)/Q$4/Cal!$G132</f>
        <v>1.093710705131243E-2</v>
      </c>
      <c r="R135">
        <f ca="1">(data1!E132-R$2)/R$4/Cal!$G132</f>
        <v>7.1804485423834306E-3</v>
      </c>
      <c r="S135">
        <f ca="1">(data1!F132-S$2)/S$4/Cal!$G132</f>
        <v>1.2233356775912472E-2</v>
      </c>
      <c r="T135">
        <f ca="1">(data1!G132-T$2)/T$4/Cal!$G132</f>
        <v>8.9755606779791039E-3</v>
      </c>
      <c r="U135">
        <f ca="1">(data1!H132-U$2)/U$4/Cal!$G132</f>
        <v>9.2781076671245803E-3</v>
      </c>
      <c r="W135">
        <f ca="1">(data1!J132-W$2)/W$4/Cal!$G132</f>
        <v>1.2511387611728375E-2</v>
      </c>
      <c r="X135">
        <f ca="1">(data1!K132-X$2)/X$4/Cal!$G132</f>
        <v>1.2902368474595789E-2</v>
      </c>
    </row>
    <row r="136" spans="12:24">
      <c r="L136">
        <f t="shared" ca="1" si="6"/>
        <v>0.29721065642248629</v>
      </c>
      <c r="M136">
        <f t="shared" ca="1" si="7"/>
        <v>1.0175678368511442E-2</v>
      </c>
      <c r="N136">
        <f>data1!A133</f>
        <v>955</v>
      </c>
      <c r="O136">
        <f ca="1">(data1!B133-O$2)/O$4/Cal!$G133</f>
        <v>8.7167068607485465E-3</v>
      </c>
      <c r="P136">
        <f ca="1">(data1!C133-P$2)/P$4/Cal!$G133</f>
        <v>9.4180510909236126E-3</v>
      </c>
      <c r="Q136">
        <f ca="1">(data1!D133-Q$2)/Q$4/Cal!$G133</f>
        <v>1.0852588674309171E-2</v>
      </c>
      <c r="R136">
        <f ca="1">(data1!E133-R$2)/R$4/Cal!$G133</f>
        <v>7.1249603905247693E-3</v>
      </c>
      <c r="S136">
        <f ca="1">(data1!F133-S$2)/S$4/Cal!$G133</f>
        <v>1.2138821406079197E-2</v>
      </c>
      <c r="T136">
        <f ca="1">(data1!G133-T$2)/T$4/Cal!$G133</f>
        <v>8.9062004881557792E-3</v>
      </c>
      <c r="U136">
        <f ca="1">(data1!H133-U$2)/U$4/Cal!$G133</f>
        <v>9.2064094933746246E-3</v>
      </c>
      <c r="W136">
        <f ca="1">(data1!J133-W$2)/W$4/Cal!$G133</f>
        <v>1.2414703710762528E-2</v>
      </c>
      <c r="X136">
        <f ca="1">(data1!K133-X$2)/X$4/Cal!$G133</f>
        <v>1.2802663201724752E-2</v>
      </c>
    </row>
    <row r="137" spans="12:24">
      <c r="L137">
        <f t="shared" ca="1" si="6"/>
        <v>0.26067020754205084</v>
      </c>
      <c r="M137">
        <f t="shared" ca="1" si="7"/>
        <v>8.9246335381410417E-3</v>
      </c>
      <c r="N137">
        <f>data1!A134</f>
        <v>960</v>
      </c>
      <c r="O137">
        <f ca="1">(data1!B134-O$2)/O$4/Cal!$G134</f>
        <v>8.6648218134247213E-3</v>
      </c>
      <c r="P137">
        <f ca="1">(data1!C134-P$2)/P$4/Cal!$G134</f>
        <v>4.6809956923098556E-3</v>
      </c>
      <c r="Q137">
        <f ca="1">(data1!D134-Q$2)/Q$4/Cal!$G134</f>
        <v>1.0787990072343085E-2</v>
      </c>
      <c r="R137">
        <f ca="1">(data1!E134-R$2)/R$4/Cal!$G134</f>
        <v>7.0825500040165995E-3</v>
      </c>
      <c r="S137">
        <f ca="1">(data1!F134-S$2)/S$4/Cal!$G134</f>
        <v>6.0332833367548562E-3</v>
      </c>
      <c r="T137">
        <f ca="1">(data1!G134-T$2)/T$4/Cal!$G134</f>
        <v>8.8531875050205672E-3</v>
      </c>
      <c r="U137">
        <f ca="1">(data1!H134-U$2)/U$4/Cal!$G134</f>
        <v>9.1516095557517083E-3</v>
      </c>
      <c r="W137">
        <f ca="1">(data1!J134-W$2)/W$4/Cal!$G134</f>
        <v>1.2340806825180113E-2</v>
      </c>
      <c r="X137">
        <f ca="1">(data1!K134-X$2)/X$4/Cal!$G134</f>
        <v>1.272645703846788E-2</v>
      </c>
    </row>
    <row r="138" spans="12:24">
      <c r="L138">
        <f t="shared" ca="1" si="6"/>
        <v>0.2274906201127441</v>
      </c>
      <c r="M138">
        <f t="shared" ca="1" si="7"/>
        <v>7.7886553933984937E-3</v>
      </c>
      <c r="N138">
        <f>data1!A135</f>
        <v>965</v>
      </c>
      <c r="O138">
        <f ca="1">(data1!B135-O$2)/O$4/Cal!$G135</f>
        <v>8.6152654055180657E-3</v>
      </c>
      <c r="P138">
        <f ca="1">(data1!C135-P$2)/P$4/Cal!$G135</f>
        <v>4.6542238397625823E-3</v>
      </c>
      <c r="Q138">
        <f ca="1">(data1!D135-Q$2)/Q$4/Cal!$G135</f>
        <v>5.3631453517793215E-3</v>
      </c>
      <c r="R138">
        <f ca="1">(data1!E135-R$2)/R$4/Cal!$G135</f>
        <v>7.0420430271189872E-3</v>
      </c>
      <c r="S138">
        <f ca="1">(data1!F135-S$2)/S$4/Cal!$G135</f>
        <v>5.9987773934717051E-3</v>
      </c>
      <c r="T138">
        <f ca="1">(data1!G135-T$2)/T$4/Cal!$G135</f>
        <v>4.4012768919492766E-3</v>
      </c>
      <c r="U138">
        <f ca="1">(data1!H135-U$2)/U$4/Cal!$G135</f>
        <v>9.0992690799851315E-3</v>
      </c>
      <c r="W138">
        <f ca="1">(data1!J135-W$2)/W$4/Cal!$G135</f>
        <v>1.2270226486646397E-2</v>
      </c>
      <c r="X138">
        <f ca="1">(data1!K135-X$2)/X$4/Cal!$G135</f>
        <v>1.265367106435498E-2</v>
      </c>
    </row>
    <row r="139" spans="12:24">
      <c r="L139">
        <f t="shared" ca="1" si="6"/>
        <v>0.22633950894736418</v>
      </c>
      <c r="M139">
        <f t="shared" ca="1" si="7"/>
        <v>7.7492445017221939E-3</v>
      </c>
      <c r="N139">
        <f>data1!A136</f>
        <v>970</v>
      </c>
      <c r="O139">
        <f ca="1">(data1!B136-O$2)/O$4/Cal!$G136</f>
        <v>8.5716718358311555E-3</v>
      </c>
      <c r="P139">
        <f ca="1">(data1!C136-P$2)/P$4/Cal!$G136</f>
        <v>4.6306732906213777E-3</v>
      </c>
      <c r="Q139">
        <f ca="1">(data1!D136-Q$2)/Q$4/Cal!$G136</f>
        <v>5.3360076329013774E-3</v>
      </c>
      <c r="R139">
        <f ca="1">(data1!E136-R$2)/R$4/Cal!$G136</f>
        <v>7.0064100223314251E-3</v>
      </c>
      <c r="S139">
        <f ca="1">(data1!F136-S$2)/S$4/Cal!$G136</f>
        <v>5.9684233523563746E-3</v>
      </c>
      <c r="T139">
        <f ca="1">(data1!G136-T$2)/T$4/Cal!$G136</f>
        <v>4.3790062639570511E-3</v>
      </c>
      <c r="U139">
        <f ca="1">(data1!H136-U$2)/U$4/Cal!$G136</f>
        <v>9.0532264333495188E-3</v>
      </c>
      <c r="W139">
        <f ca="1">(data1!J136-W$2)/W$4/Cal!$G136</f>
        <v>1.2208138675274132E-2</v>
      </c>
      <c r="X139">
        <f ca="1">(data1!K136-X$2)/X$4/Cal!$G136</f>
        <v>1.2589643008877327E-2</v>
      </c>
    </row>
    <row r="140" spans="12:24">
      <c r="L140">
        <f t="shared" ca="1" si="6"/>
        <v>0.22552322886658999</v>
      </c>
      <c r="M140">
        <f t="shared" ca="1" si="7"/>
        <v>7.7212973087764153E-3</v>
      </c>
      <c r="N140">
        <f>data1!A137</f>
        <v>975</v>
      </c>
      <c r="O140">
        <f ca="1">(data1!B137-O$2)/O$4/Cal!$G137</f>
        <v>8.5407586072434351E-3</v>
      </c>
      <c r="P140">
        <f ca="1">(data1!C137-P$2)/P$4/Cal!$G137</f>
        <v>4.6139730406946789E-3</v>
      </c>
      <c r="Q140">
        <f ca="1">(data1!D137-Q$2)/Q$4/Cal!$G137</f>
        <v>5.3167636362971022E-3</v>
      </c>
      <c r="R140">
        <f ca="1">(data1!E137-R$2)/R$4/Cal!$G137</f>
        <v>6.9811418180945068E-3</v>
      </c>
      <c r="S140">
        <f ca="1">(data1!F137-S$2)/S$4/Cal!$G137</f>
        <v>5.946898585784185E-3</v>
      </c>
      <c r="T140">
        <f ca="1">(data1!G137-T$2)/T$4/Cal!$G137</f>
        <v>4.3632136363089772E-3</v>
      </c>
      <c r="U140">
        <f ca="1">(data1!H137-U$2)/U$4/Cal!$G137</f>
        <v>9.0205765065265349E-3</v>
      </c>
      <c r="W140">
        <f ca="1">(data1!J137-W$2)/W$4/Cal!$G137</f>
        <v>1.21641107436492E-2</v>
      </c>
      <c r="X140">
        <f ca="1">(data1!K137-X$2)/X$4/Cal!$G137</f>
        <v>1.2544239204389112E-2</v>
      </c>
    </row>
    <row r="141" spans="12:24">
      <c r="L141">
        <f t="shared" ca="1" si="6"/>
        <v>0.2249903616325587</v>
      </c>
      <c r="M141">
        <f t="shared" ca="1" si="7"/>
        <v>7.7030533950086903E-3</v>
      </c>
      <c r="N141">
        <f>data1!A138</f>
        <v>980</v>
      </c>
      <c r="O141">
        <f ca="1">(data1!B138-O$2)/O$4/Cal!$G138</f>
        <v>8.5205784668718962E-3</v>
      </c>
      <c r="P141">
        <f ca="1">(data1!C138-P$2)/P$4/Cal!$G138</f>
        <v>4.6030711257813188E-3</v>
      </c>
      <c r="Q141">
        <f ca="1">(data1!D138-Q$2)/Q$4/Cal!$G138</f>
        <v>5.3042011648075354E-3</v>
      </c>
      <c r="R141">
        <f ca="1">(data1!E138-R$2)/R$4/Cal!$G138</f>
        <v>6.9646467468342929E-3</v>
      </c>
      <c r="S141">
        <f ca="1">(data1!F138-S$2)/S$4/Cal!$G138</f>
        <v>5.9328472287847435E-3</v>
      </c>
      <c r="T141">
        <f ca="1">(data1!G138-T$2)/T$4/Cal!$G138</f>
        <v>4.3529042167713434E-3</v>
      </c>
      <c r="U141">
        <f ca="1">(data1!H138-U$2)/U$4/Cal!$G138</f>
        <v>8.9992626504037856E-3</v>
      </c>
      <c r="W141">
        <f ca="1">(data1!J138-W$2)/W$4/Cal!$G138</f>
        <v>1.2135369331604888E-2</v>
      </c>
      <c r="X141">
        <f ca="1">(data1!K138-X$2)/X$4/Cal!$G138</f>
        <v>1.2514599623218414E-2</v>
      </c>
    </row>
    <row r="142" spans="12:24">
      <c r="L142">
        <f t="shared" ca="1" si="6"/>
        <v>0.22436786316899521</v>
      </c>
      <c r="M142">
        <f t="shared" ca="1" si="7"/>
        <v>7.6817407535766475E-3</v>
      </c>
      <c r="N142">
        <f>data1!A139</f>
        <v>985</v>
      </c>
      <c r="O142">
        <f ca="1">(data1!B139-O$2)/O$4/Cal!$G139</f>
        <v>8.497003914763027E-3</v>
      </c>
      <c r="P142">
        <f ca="1">(data1!C139-P$2)/P$4/Cal!$G139</f>
        <v>4.5903354482052629E-3</v>
      </c>
      <c r="Q142">
        <f ca="1">(data1!D139-Q$2)/Q$4/Cal!$G139</f>
        <v>5.2895256158126108E-3</v>
      </c>
      <c r="R142">
        <f ca="1">(data1!E139-R$2)/R$4/Cal!$G139</f>
        <v>6.9453771129366088E-3</v>
      </c>
      <c r="S142">
        <f ca="1">(data1!F139-S$2)/S$4/Cal!$G139</f>
        <v>5.9164323554644948E-3</v>
      </c>
      <c r="T142">
        <f ca="1">(data1!G139-T$2)/T$4/Cal!$G139</f>
        <v>4.3408606955852918E-3</v>
      </c>
      <c r="U142">
        <f ca="1">(data1!H139-U$2)/U$4/Cal!$G139</f>
        <v>8.9743636852550931E-3</v>
      </c>
      <c r="W142">
        <f ca="1">(data1!J139-W$2)/W$4/Cal!$G139</f>
        <v>1.2101793454358925E-2</v>
      </c>
      <c r="X142">
        <f ca="1">(data1!K139-X$2)/X$4/Cal!$G139</f>
        <v>1.2479974499808512E-2</v>
      </c>
    </row>
    <row r="143" spans="12:24">
      <c r="L143">
        <f t="shared" ca="1" si="6"/>
        <v>0.22374480412500503</v>
      </c>
      <c r="M143">
        <f t="shared" ca="1" si="7"/>
        <v>7.6604089194070683E-3</v>
      </c>
      <c r="N143">
        <f>data1!A140</f>
        <v>990</v>
      </c>
      <c r="O143">
        <f ca="1">(data1!B140-O$2)/O$4/Cal!$G140</f>
        <v>8.4734081329913506E-3</v>
      </c>
      <c r="P143">
        <f ca="1">(data1!C140-P$2)/P$4/Cal!$G140</f>
        <v>4.577588301730909E-3</v>
      </c>
      <c r="Q143">
        <f ca="1">(data1!D140-Q$2)/Q$4/Cal!$G140</f>
        <v>5.2748368510011035E-3</v>
      </c>
      <c r="R143">
        <f ca="1">(data1!E140-R$2)/R$4/Cal!$G140</f>
        <v>6.9260901260971511E-3</v>
      </c>
      <c r="S143">
        <f ca="1">(data1!F140-S$2)/S$4/Cal!$G140</f>
        <v>5.9000027000086601E-3</v>
      </c>
      <c r="T143">
        <f ca="1">(data1!G140-T$2)/T$4/Cal!$G140</f>
        <v>4.3288063288106308E-3</v>
      </c>
      <c r="U143">
        <f ca="1">(data1!H140-U$2)/U$4/Cal!$G140</f>
        <v>8.9494422977659076E-3</v>
      </c>
      <c r="W143">
        <f ca="1">(data1!J140-W$2)/W$4/Cal!$G140</f>
        <v>1.2068187340926536E-2</v>
      </c>
      <c r="X143">
        <f ca="1">(data1!K140-X$2)/X$4/Cal!$G140</f>
        <v>1.2445318195331361E-2</v>
      </c>
    </row>
    <row r="144" spans="12:24">
      <c r="L144">
        <f t="shared" ca="1" si="6"/>
        <v>0.14389588612542403</v>
      </c>
      <c r="M144">
        <f t="shared" ca="1" si="7"/>
        <v>4.9266007934885142E-3</v>
      </c>
      <c r="N144">
        <f>data1!A141</f>
        <v>995</v>
      </c>
      <c r="O144">
        <f ca="1">(data1!B141-O$2)/O$4/Cal!$G141</f>
        <v>8.456097579989089E-3</v>
      </c>
      <c r="P144">
        <f ca="1">(data1!C141-P$2)/P$4/Cal!$G141</f>
        <v>4.568236623672217E-3</v>
      </c>
      <c r="Q144">
        <f ca="1">(data1!D141-Q$2)/Q$4/Cal!$G141</f>
        <v>5.2640607451586371E-3</v>
      </c>
      <c r="R144">
        <f ca="1">(data1!E141-R$2)/R$4/Cal!$G141</f>
        <v>6.9119406305996525E-3</v>
      </c>
      <c r="S144">
        <f ca="1">(data1!F141-S$2)/S$4/Cal!$G141</f>
        <v>5.8879494260663462E-3</v>
      </c>
      <c r="T144">
        <f ca="1">(data1!G141-T$2)/T$4/Cal!$G141</f>
        <v>4.3199628941246937E-3</v>
      </c>
      <c r="U144">
        <f ca="1">(data1!H141-U$2)/U$4/Cal!$G141</f>
        <v>8.9311592417859933E-3</v>
      </c>
      <c r="W144">
        <f ca="1">(data1!J141-W$2)/W$4/Cal!$G141</f>
        <v>0</v>
      </c>
      <c r="X144">
        <f ca="1">(data1!K141-X$2)/X$4/Cal!$G141</f>
        <v>0</v>
      </c>
    </row>
    <row r="145" spans="12:24">
      <c r="L145">
        <f t="shared" ca="1" si="6"/>
        <v>0.14364326180226694</v>
      </c>
      <c r="M145">
        <f t="shared" ca="1" si="7"/>
        <v>4.9179516289819258E-3</v>
      </c>
      <c r="N145">
        <f>data1!A142</f>
        <v>1000</v>
      </c>
      <c r="O145">
        <f ca="1">(data1!B142-O$2)/O$4/Cal!$G142</f>
        <v>8.4412520136201326E-3</v>
      </c>
      <c r="P145">
        <f ca="1">(data1!C142-P$2)/P$4/Cal!$G142</f>
        <v>4.5602166050591024E-3</v>
      </c>
      <c r="Q145">
        <f ca="1">(data1!D142-Q$2)/Q$4/Cal!$G142</f>
        <v>5.2548191343064383E-3</v>
      </c>
      <c r="R145">
        <f ca="1">(data1!E142-R$2)/R$4/Cal!$G142</f>
        <v>6.8998059937415484E-3</v>
      </c>
      <c r="S145">
        <f ca="1">(data1!F142-S$2)/S$4/Cal!$G142</f>
        <v>5.8776125131872201E-3</v>
      </c>
      <c r="T145">
        <f ca="1">(data1!G142-T$2)/T$4/Cal!$G142</f>
        <v>4.312378746088379E-3</v>
      </c>
      <c r="U145">
        <f ca="1">(data1!H142-U$2)/U$4/Cal!$G142</f>
        <v>8.91547965483451E-3</v>
      </c>
      <c r="W145">
        <f ca="1">(data1!J142-W$2)/W$4/Cal!$G142</f>
        <v>0</v>
      </c>
      <c r="X145">
        <f ca="1">(data1!K142-X$2)/X$4/Cal!$G142</f>
        <v>0</v>
      </c>
    </row>
    <row r="146" spans="12:24">
      <c r="L146">
        <f t="shared" ca="1" si="6"/>
        <v>0.14348296333243166</v>
      </c>
      <c r="M146">
        <f t="shared" ca="1" si="7"/>
        <v>4.9124634486735798E-3</v>
      </c>
      <c r="N146">
        <f>data1!A143</f>
        <v>1005</v>
      </c>
      <c r="O146">
        <f ca="1">(data1!B143-O$2)/O$4/Cal!$G143</f>
        <v>8.4318320118442047E-3</v>
      </c>
      <c r="P146">
        <f ca="1">(data1!C143-P$2)/P$4/Cal!$G143</f>
        <v>4.5551276385824508E-3</v>
      </c>
      <c r="Q146">
        <f ca="1">(data1!D143-Q$2)/Q$4/Cal!$G143</f>
        <v>5.2489550272406295E-3</v>
      </c>
      <c r="R146">
        <f ca="1">(data1!E143-R$2)/R$4/Cal!$G143</f>
        <v>6.8921061662029631E-3</v>
      </c>
      <c r="S146">
        <f ca="1">(data1!F143-S$2)/S$4/Cal!$G143</f>
        <v>5.8710534008395371E-3</v>
      </c>
      <c r="T146">
        <f ca="1">(data1!G143-T$2)/T$4/Cal!$G143</f>
        <v>4.3075663538767635E-3</v>
      </c>
      <c r="U146">
        <f ca="1">(data1!H143-U$2)/U$4/Cal!$G143</f>
        <v>8.9055304394756642E-3</v>
      </c>
      <c r="W146">
        <f ca="1">(data1!J143-W$2)/W$4/Cal!$G143</f>
        <v>0</v>
      </c>
      <c r="X146">
        <f ca="1">(data1!K143-X$2)/X$4/Cal!$G143</f>
        <v>0</v>
      </c>
    </row>
    <row r="147" spans="12:24">
      <c r="L147">
        <f t="shared" ca="1" si="6"/>
        <v>0.1431280225727396</v>
      </c>
      <c r="M147">
        <f t="shared" ca="1" si="7"/>
        <v>4.900311249778775E-3</v>
      </c>
      <c r="N147">
        <f>data1!A144</f>
        <v>1010</v>
      </c>
      <c r="O147">
        <f ca="1">(data1!B144-O$2)/O$4/Cal!$G144</f>
        <v>8.4109737803833313E-3</v>
      </c>
      <c r="P147">
        <f ca="1">(data1!C144-P$2)/P$4/Cal!$G144</f>
        <v>4.5438593985978413E-3</v>
      </c>
      <c r="Q147">
        <f ca="1">(data1!D144-Q$2)/Q$4/Cal!$G144</f>
        <v>5.2359704328212775E-3</v>
      </c>
      <c r="R147">
        <f ca="1">(data1!E144-R$2)/R$4/Cal!$G144</f>
        <v>6.875056829182772E-3</v>
      </c>
      <c r="S147">
        <f ca="1">(data1!F144-S$2)/S$4/Cal!$G144</f>
        <v>5.8565298915260406E-3</v>
      </c>
      <c r="T147">
        <f ca="1">(data1!G144-T$2)/T$4/Cal!$G144</f>
        <v>4.2969105182391444E-3</v>
      </c>
      <c r="U147">
        <f ca="1">(data1!H144-U$2)/U$4/Cal!$G144</f>
        <v>8.8835003972585636E-3</v>
      </c>
      <c r="W147">
        <f ca="1">(data1!J144-W$2)/W$4/Cal!$G144</f>
        <v>0</v>
      </c>
      <c r="X147">
        <f ca="1">(data1!K144-X$2)/X$4/Cal!$G144</f>
        <v>0</v>
      </c>
    </row>
    <row r="148" spans="12:24">
      <c r="L148">
        <f t="shared" ca="1" si="6"/>
        <v>0.14303450919064764</v>
      </c>
      <c r="M148">
        <f t="shared" ca="1" si="7"/>
        <v>4.8971096078498704E-3</v>
      </c>
      <c r="N148">
        <f>data1!A145</f>
        <v>1015</v>
      </c>
      <c r="O148">
        <f ca="1">(data1!B145-O$2)/O$4/Cal!$G145</f>
        <v>8.4054784302013599E-3</v>
      </c>
      <c r="P148">
        <f ca="1">(data1!C145-P$2)/P$4/Cal!$G145</f>
        <v>4.5408906462006847E-3</v>
      </c>
      <c r="Q148">
        <f ca="1">(data1!D145-Q$2)/Q$4/Cal!$G145</f>
        <v>5.2325494863503814E-3</v>
      </c>
      <c r="R148">
        <f ca="1">(data1!E145-R$2)/R$4/Cal!$G145</f>
        <v>6.870564977729682E-3</v>
      </c>
      <c r="S148">
        <f ca="1">(data1!F145-S$2)/S$4/Cal!$G145</f>
        <v>5.8527034995474823E-3</v>
      </c>
      <c r="T148">
        <f ca="1">(data1!G145-T$2)/T$4/Cal!$G145</f>
        <v>4.2941031110809626E-3</v>
      </c>
      <c r="U148">
        <f ca="1">(data1!H145-U$2)/U$4/Cal!$G145</f>
        <v>8.8776963195382787E-3</v>
      </c>
      <c r="W148">
        <f ca="1">(data1!J145-W$2)/W$4/Cal!$G145</f>
        <v>0</v>
      </c>
      <c r="X148">
        <f ca="1">(data1!K145-X$2)/X$4/Cal!$G145</f>
        <v>0</v>
      </c>
    </row>
    <row r="149" spans="12:24">
      <c r="L149">
        <f t="shared" ca="1" si="6"/>
        <v>8.678251343002788E-2</v>
      </c>
      <c r="M149">
        <f t="shared" ca="1" si="7"/>
        <v>2.9711954319016718E-3</v>
      </c>
      <c r="N149">
        <f>data1!A146</f>
        <v>1020</v>
      </c>
      <c r="O149">
        <f ca="1">(data1!B146-O$2)/O$4/Cal!$G146</f>
        <v>0</v>
      </c>
      <c r="P149">
        <f ca="1">(data1!C146-P$2)/P$4/Cal!$G146</f>
        <v>4.5324069747405063E-3</v>
      </c>
      <c r="Q149">
        <f ca="1">(data1!D146-Q$2)/Q$4/Cal!$G146</f>
        <v>5.222773600032031E-3</v>
      </c>
      <c r="R149">
        <f ca="1">(data1!E146-R$2)/R$4/Cal!$G146</f>
        <v>6.8577288139551511E-3</v>
      </c>
      <c r="S149">
        <f ca="1">(data1!F146-S$2)/S$4/Cal!$G146</f>
        <v>5.8417689896654752E-3</v>
      </c>
      <c r="T149">
        <f ca="1">(data1!G146-T$2)/T$4/Cal!$G146</f>
        <v>4.2860805087218817E-3</v>
      </c>
      <c r="U149">
        <f ca="1">(data1!H146-U$2)/U$4/Cal!$G146</f>
        <v>0</v>
      </c>
      <c r="W149">
        <f ca="1">(data1!J146-W$2)/W$4/Cal!$G146</f>
        <v>0</v>
      </c>
      <c r="X149">
        <f ca="1">(data1!K146-X$2)/X$4/Cal!$G146</f>
        <v>0</v>
      </c>
    </row>
    <row r="150" spans="12:24">
      <c r="L150">
        <f t="shared" ca="1" si="6"/>
        <v>6.4458773538311753E-2</v>
      </c>
      <c r="M150">
        <f t="shared" ca="1" si="7"/>
        <v>2.2068917563379531E-3</v>
      </c>
      <c r="N150">
        <f>data1!A147</f>
        <v>1025</v>
      </c>
      <c r="O150">
        <f ca="1">(data1!B147-O$2)/O$4/Cal!$G147</f>
        <v>0</v>
      </c>
      <c r="P150">
        <f ca="1">(data1!C147-P$2)/P$4/Cal!$G147</f>
        <v>4.527618978046659E-3</v>
      </c>
      <c r="Q150">
        <f ca="1">(data1!D147-Q$2)/Q$4/Cal!$G147</f>
        <v>5.2172563058285239E-3</v>
      </c>
      <c r="R150">
        <f ca="1">(data1!E147-R$2)/R$4/Cal!$G147</f>
        <v>0</v>
      </c>
      <c r="S150">
        <f ca="1">(data1!F147-S$2)/S$4/Cal!$G147</f>
        <v>5.8355977939267382E-3</v>
      </c>
      <c r="T150">
        <f ca="1">(data1!G147-T$2)/T$4/Cal!$G147</f>
        <v>4.2815527292396566E-3</v>
      </c>
      <c r="U150">
        <f ca="1">(data1!H147-U$2)/U$4/Cal!$G147</f>
        <v>0</v>
      </c>
      <c r="W150">
        <f ca="1">(data1!J147-W$2)/W$4/Cal!$G147</f>
        <v>0</v>
      </c>
      <c r="X150">
        <f ca="1">(data1!K147-X$2)/X$4/Cal!$G147</f>
        <v>0</v>
      </c>
    </row>
    <row r="151" spans="12:24">
      <c r="L151">
        <f t="shared" ca="1" si="6"/>
        <v>8.663287610448521E-2</v>
      </c>
      <c r="M151">
        <f t="shared" ca="1" si="7"/>
        <v>2.9660722599569823E-3</v>
      </c>
      <c r="N151">
        <f>data1!A148</f>
        <v>1030</v>
      </c>
      <c r="O151">
        <f ca="1">(data1!B148-O$2)/O$4/Cal!$G148</f>
        <v>0</v>
      </c>
      <c r="P151">
        <f ca="1">(data1!C148-P$2)/P$4/Cal!$G148</f>
        <v>4.5245918374373214E-3</v>
      </c>
      <c r="Q151">
        <f ca="1">(data1!D148-Q$2)/Q$4/Cal!$G148</f>
        <v>5.213768077576706E-3</v>
      </c>
      <c r="R151">
        <f ca="1">(data1!E148-R$2)/R$4/Cal!$G148</f>
        <v>6.8459041714268552E-3</v>
      </c>
      <c r="S151">
        <f ca="1">(data1!F148-S$2)/S$4/Cal!$G148</f>
        <v>5.8316961460302599E-3</v>
      </c>
      <c r="T151">
        <f ca="1">(data1!G148-T$2)/T$4/Cal!$G148</f>
        <v>4.2786901071416965E-3</v>
      </c>
      <c r="U151">
        <f ca="1">(data1!H148-U$2)/U$4/Cal!$G148</f>
        <v>0</v>
      </c>
      <c r="W151">
        <f ca="1">(data1!J148-W$2)/W$4/Cal!$G148</f>
        <v>0</v>
      </c>
      <c r="X151">
        <f ca="1">(data1!K148-X$2)/X$4/Cal!$G148</f>
        <v>0</v>
      </c>
    </row>
    <row r="152" spans="12:24">
      <c r="L152">
        <f t="shared" ca="1" si="6"/>
        <v>8.6477677242843845E-2</v>
      </c>
      <c r="M152">
        <f t="shared" ca="1" si="7"/>
        <v>2.9607586762576926E-3</v>
      </c>
      <c r="N152">
        <f>data1!A149</f>
        <v>1035</v>
      </c>
      <c r="O152">
        <f ca="1">(data1!B149-O$2)/O$4/Cal!$G149</f>
        <v>0</v>
      </c>
      <c r="P152">
        <f ca="1">(data1!C149-P$2)/P$4/Cal!$G149</f>
        <v>4.516486236721547E-3</v>
      </c>
      <c r="Q152">
        <f ca="1">(data1!D149-Q$2)/Q$4/Cal!$G149</f>
        <v>5.2044278489373364E-3</v>
      </c>
      <c r="R152">
        <f ca="1">(data1!E149-R$2)/R$4/Cal!$G149</f>
        <v>6.8336400451264661E-3</v>
      </c>
      <c r="S152">
        <f ca="1">(data1!F149-S$2)/S$4/Cal!$G149</f>
        <v>5.8212489273299283E-3</v>
      </c>
      <c r="T152">
        <f ca="1">(data1!G149-T$2)/T$4/Cal!$G149</f>
        <v>4.2710250282039534E-3</v>
      </c>
      <c r="U152">
        <f ca="1">(data1!H149-U$2)/U$4/Cal!$G149</f>
        <v>0</v>
      </c>
      <c r="W152">
        <f ca="1">(data1!J149-W$2)/W$4/Cal!$G149</f>
        <v>0</v>
      </c>
      <c r="X152">
        <f ca="1">(data1!K149-X$2)/X$4/Cal!$G149</f>
        <v>0</v>
      </c>
    </row>
    <row r="153" spans="12:24">
      <c r="L153">
        <f t="shared" ca="1" si="6"/>
        <v>4.5351072788344639E-2</v>
      </c>
      <c r="M153">
        <f t="shared" ca="1" si="7"/>
        <v>1.5526964474152419E-3</v>
      </c>
      <c r="N153">
        <f>data1!A150</f>
        <v>1040</v>
      </c>
      <c r="O153">
        <f ca="1">(data1!B150-O$2)/O$4/Cal!$G150</f>
        <v>0</v>
      </c>
      <c r="P153">
        <f ca="1">(data1!C150-P$2)/P$4/Cal!$G150</f>
        <v>4.5107821508803018E-3</v>
      </c>
      <c r="Q153">
        <f ca="1">(data1!D150-Q$2)/Q$4/Cal!$G150</f>
        <v>5.197854928828881E-3</v>
      </c>
      <c r="R153">
        <f ca="1">(data1!E150-R$2)/R$4/Cal!$G150</f>
        <v>0</v>
      </c>
      <c r="S153">
        <f ca="1">(data1!F150-S$2)/S$4/Cal!$G150</f>
        <v>0</v>
      </c>
      <c r="T153">
        <f ca="1">(data1!G150-T$2)/T$4/Cal!$G150</f>
        <v>4.2656309470279928E-3</v>
      </c>
      <c r="U153">
        <f ca="1">(data1!H150-U$2)/U$4/Cal!$G150</f>
        <v>0</v>
      </c>
      <c r="W153">
        <f ca="1">(data1!J150-W$2)/W$4/Cal!$G150</f>
        <v>0</v>
      </c>
      <c r="X153">
        <f ca="1">(data1!K150-X$2)/X$4/Cal!$G150</f>
        <v>0</v>
      </c>
    </row>
    <row r="154" spans="12:24">
      <c r="L154">
        <f t="shared" ca="1" si="6"/>
        <v>4.5247100156081424E-2</v>
      </c>
      <c r="M154">
        <f t="shared" ca="1" si="7"/>
        <v>1.5491367094241045E-3</v>
      </c>
      <c r="N154">
        <f>data1!A151</f>
        <v>1045</v>
      </c>
      <c r="O154">
        <f ca="1">(data1!B151-O$2)/O$4/Cal!$G151</f>
        <v>0</v>
      </c>
      <c r="P154">
        <f ca="1">(data1!C151-P$2)/P$4/Cal!$G151</f>
        <v>4.5004406558514683E-3</v>
      </c>
      <c r="Q154">
        <f ca="1">(data1!D151-Q$2)/Q$4/Cal!$G151</f>
        <v>5.1859382391930067E-3</v>
      </c>
      <c r="R154">
        <f ca="1">(data1!E151-R$2)/R$4/Cal!$G151</f>
        <v>0</v>
      </c>
      <c r="S154">
        <f ca="1">(data1!F151-S$2)/S$4/Cal!$G151</f>
        <v>0</v>
      </c>
      <c r="T154">
        <f ca="1">(data1!G151-T$2)/T$4/Cal!$G151</f>
        <v>4.2558514897724654E-3</v>
      </c>
      <c r="U154">
        <f ca="1">(data1!H151-U$2)/U$4/Cal!$G151</f>
        <v>0</v>
      </c>
      <c r="W154">
        <f ca="1">(data1!J151-W$2)/W$4/Cal!$G151</f>
        <v>0</v>
      </c>
      <c r="X154">
        <f ca="1">(data1!K151-X$2)/X$4/Cal!$G151</f>
        <v>0</v>
      </c>
    </row>
    <row r="155" spans="12:24">
      <c r="L155">
        <f t="shared" ca="1" si="6"/>
        <v>4.5287521367289314E-2</v>
      </c>
      <c r="M155">
        <f t="shared" ca="1" si="7"/>
        <v>1.5505206209213171E-3</v>
      </c>
      <c r="N155">
        <f>data1!A152</f>
        <v>1050</v>
      </c>
      <c r="O155">
        <f ca="1">(data1!B152-O$2)/O$4/Cal!$G152</f>
        <v>0</v>
      </c>
      <c r="P155">
        <f ca="1">(data1!C152-P$2)/P$4/Cal!$G152</f>
        <v>4.5044610960929699E-3</v>
      </c>
      <c r="Q155">
        <f ca="1">(data1!D152-Q$2)/Q$4/Cal!$G152</f>
        <v>5.1905710643719563E-3</v>
      </c>
      <c r="R155">
        <f ca="1">(data1!E152-R$2)/R$4/Cal!$G152</f>
        <v>0</v>
      </c>
      <c r="S155">
        <f ca="1">(data1!F152-S$2)/S$4/Cal!$G152</f>
        <v>0</v>
      </c>
      <c r="T155">
        <f ca="1">(data1!G152-T$2)/T$4/Cal!$G152</f>
        <v>4.2596534278269297E-3</v>
      </c>
      <c r="U155">
        <f ca="1">(data1!H152-U$2)/U$4/Cal!$G152</f>
        <v>0</v>
      </c>
      <c r="W155">
        <f ca="1">(data1!J152-W$2)/W$4/Cal!$G152</f>
        <v>0</v>
      </c>
      <c r="X155">
        <f ca="1">(data1!K152-X$2)/X$4/Cal!$G152</f>
        <v>0</v>
      </c>
    </row>
    <row r="156" spans="12:24">
      <c r="L156">
        <f t="shared" ca="1" si="6"/>
        <v>4.4862385659695386E-2</v>
      </c>
      <c r="M156">
        <f t="shared" ca="1" si="7"/>
        <v>1.5359651393799826E-3</v>
      </c>
      <c r="N156">
        <f>data1!A153</f>
        <v>1055</v>
      </c>
      <c r="O156">
        <f ca="1">(data1!B153-O$2)/O$4/Cal!$G153</f>
        <v>0</v>
      </c>
      <c r="P156">
        <f ca="1">(data1!C153-P$2)/P$4/Cal!$G153</f>
        <v>4.4621755569952161E-3</v>
      </c>
      <c r="Q156">
        <f ca="1">(data1!D153-Q$2)/Q$4/Cal!$G153</f>
        <v>5.1418446815705721E-3</v>
      </c>
      <c r="R156">
        <f ca="1">(data1!E153-R$2)/R$4/Cal!$G153</f>
        <v>0</v>
      </c>
      <c r="S156">
        <f ca="1">(data1!F153-S$2)/S$4/Cal!$G153</f>
        <v>0</v>
      </c>
      <c r="T156">
        <f ca="1">(data1!G153-T$2)/T$4/Cal!$G153</f>
        <v>4.2196660158540546E-3</v>
      </c>
      <c r="U156">
        <f ca="1">(data1!H153-U$2)/U$4/Cal!$G153</f>
        <v>0</v>
      </c>
      <c r="W156">
        <f ca="1">(data1!J153-W$2)/W$4/Cal!$G153</f>
        <v>0</v>
      </c>
      <c r="X156">
        <f ca="1">(data1!K153-X$2)/X$4/Cal!$G153</f>
        <v>0</v>
      </c>
    </row>
    <row r="157" spans="12:24">
      <c r="L157">
        <f t="shared" ca="1" si="6"/>
        <v>2.8165642648288042E-2</v>
      </c>
      <c r="M157">
        <f t="shared" ca="1" si="7"/>
        <v>9.6431441618297282E-4</v>
      </c>
      <c r="N157">
        <f>data1!A154</f>
        <v>1060</v>
      </c>
      <c r="O157">
        <f ca="1">(data1!B154-O$2)/O$4/Cal!$G154</f>
        <v>0</v>
      </c>
      <c r="P157">
        <f ca="1">(data1!C154-P$2)/P$4/Cal!$G154</f>
        <v>4.4606275787682243E-3</v>
      </c>
      <c r="Q157">
        <f ca="1">(data1!D154-Q$2)/Q$4/Cal!$G154</f>
        <v>0</v>
      </c>
      <c r="R157">
        <f ca="1">(data1!E154-R$2)/R$4/Cal!$G154</f>
        <v>0</v>
      </c>
      <c r="S157">
        <f ca="1">(data1!F154-S$2)/S$4/Cal!$G154</f>
        <v>0</v>
      </c>
      <c r="T157">
        <f ca="1">(data1!G154-T$2)/T$4/Cal!$G154</f>
        <v>4.21820216687853E-3</v>
      </c>
      <c r="U157">
        <f ca="1">(data1!H154-U$2)/U$4/Cal!$G154</f>
        <v>0</v>
      </c>
      <c r="W157">
        <f ca="1">(data1!J154-W$2)/W$4/Cal!$G154</f>
        <v>0</v>
      </c>
      <c r="X157">
        <f ca="1">(data1!K154-X$2)/X$4/Cal!$G154</f>
        <v>0</v>
      </c>
    </row>
    <row r="158" spans="12:24">
      <c r="L158">
        <f t="shared" ca="1" si="6"/>
        <v>2.8329773332988164E-2</v>
      </c>
      <c r="M158">
        <f t="shared" ca="1" si="7"/>
        <v>9.6993380102608517E-4</v>
      </c>
      <c r="N158">
        <f>data1!A155</f>
        <v>1065</v>
      </c>
      <c r="O158">
        <f ca="1">(data1!B155-O$2)/O$4/Cal!$G155</f>
        <v>0</v>
      </c>
      <c r="P158">
        <f ca="1">(data1!C155-P$2)/P$4/Cal!$G155</f>
        <v>4.4866211578190466E-3</v>
      </c>
      <c r="Q158">
        <f ca="1">(data1!D155-Q$2)/Q$4/Cal!$G155</f>
        <v>0</v>
      </c>
      <c r="R158">
        <f ca="1">(data1!E155-R$2)/R$4/Cal!$G155</f>
        <v>0</v>
      </c>
      <c r="S158">
        <f ca="1">(data1!F155-S$2)/S$4/Cal!$G155</f>
        <v>0</v>
      </c>
      <c r="T158">
        <f ca="1">(data1!G155-T$2)/T$4/Cal!$G155</f>
        <v>4.2427830514157197E-3</v>
      </c>
      <c r="U158">
        <f ca="1">(data1!H155-U$2)/U$4/Cal!$G155</f>
        <v>0</v>
      </c>
      <c r="W158">
        <f ca="1">(data1!J155-W$2)/W$4/Cal!$G155</f>
        <v>0</v>
      </c>
      <c r="X158">
        <f ca="1">(data1!K155-X$2)/X$4/Cal!$G155</f>
        <v>0</v>
      </c>
    </row>
    <row r="159" spans="12:24">
      <c r="L159">
        <f t="shared" ca="1" si="6"/>
        <v>2.8791922990977471E-2</v>
      </c>
      <c r="M159">
        <f t="shared" ca="1" si="7"/>
        <v>9.857565387920281E-4</v>
      </c>
      <c r="N159">
        <f>data1!A156</f>
        <v>1070</v>
      </c>
      <c r="O159">
        <f ca="1">(data1!B156-O$2)/O$4/Cal!$G156</f>
        <v>0</v>
      </c>
      <c r="P159">
        <f ca="1">(data1!C156-P$2)/P$4/Cal!$G156</f>
        <v>4.5598123693844144E-3</v>
      </c>
      <c r="Q159">
        <f ca="1">(data1!D156-Q$2)/Q$4/Cal!$G156</f>
        <v>0</v>
      </c>
      <c r="R159">
        <f ca="1">(data1!E156-R$2)/R$4/Cal!$G156</f>
        <v>0</v>
      </c>
      <c r="S159">
        <f ca="1">(data1!F156-S$2)/S$4/Cal!$G156</f>
        <v>0</v>
      </c>
      <c r="T159">
        <f ca="1">(data1!G156-T$2)/T$4/Cal!$G156</f>
        <v>4.3119964797438369E-3</v>
      </c>
      <c r="U159">
        <f ca="1">(data1!H156-U$2)/U$4/Cal!$G156</f>
        <v>0</v>
      </c>
      <c r="W159">
        <f ca="1">(data1!J156-W$2)/W$4/Cal!$G156</f>
        <v>0</v>
      </c>
      <c r="X159">
        <f ca="1">(data1!K156-X$2)/X$4/Cal!$G156</f>
        <v>0</v>
      </c>
    </row>
    <row r="160" spans="12:24">
      <c r="L160">
        <f t="shared" ca="1" si="6"/>
        <v>2.9111971011835359E-2</v>
      </c>
      <c r="M160">
        <f t="shared" ca="1" si="7"/>
        <v>9.9671410593288822E-4</v>
      </c>
      <c r="N160">
        <f>data1!A157</f>
        <v>1075</v>
      </c>
      <c r="O160">
        <f ca="1">(data1!B157-O$2)/O$4/Cal!$G157</f>
        <v>0</v>
      </c>
      <c r="P160">
        <f ca="1">(data1!C157-P$2)/P$4/Cal!$G157</f>
        <v>4.6104987693432542E-3</v>
      </c>
      <c r="Q160">
        <f ca="1">(data1!D157-Q$2)/Q$4/Cal!$G157</f>
        <v>0</v>
      </c>
      <c r="R160">
        <f ca="1">(data1!E157-R$2)/R$4/Cal!$G157</f>
        <v>0</v>
      </c>
      <c r="S160">
        <f ca="1">(data1!F157-S$2)/S$4/Cal!$G157</f>
        <v>0</v>
      </c>
      <c r="T160">
        <f ca="1">(data1!G157-T$2)/T$4/Cal!$G157</f>
        <v>4.3599281840527391E-3</v>
      </c>
      <c r="U160">
        <f ca="1">(data1!H157-U$2)/U$4/Cal!$G157</f>
        <v>0</v>
      </c>
      <c r="W160">
        <f ca="1">(data1!J157-W$2)/W$4/Cal!$G157</f>
        <v>0</v>
      </c>
      <c r="X160">
        <f ca="1">(data1!K157-X$2)/X$4/Cal!$G157</f>
        <v>0</v>
      </c>
    </row>
    <row r="161" spans="12:24">
      <c r="L161">
        <f t="shared" ca="1" si="6"/>
        <v>2.943334395804607E-2</v>
      </c>
      <c r="M161">
        <f t="shared" ca="1" si="7"/>
        <v>1.007717034886864E-3</v>
      </c>
      <c r="N161">
        <f>data1!A158</f>
        <v>1080</v>
      </c>
      <c r="O161">
        <f ca="1">(data1!B158-O$2)/O$4/Cal!$G158</f>
        <v>0</v>
      </c>
      <c r="P161">
        <f ca="1">(data1!C158-P$2)/P$4/Cal!$G158</f>
        <v>4.661394999364998E-3</v>
      </c>
      <c r="Q161">
        <f ca="1">(data1!D158-Q$2)/Q$4/Cal!$G158</f>
        <v>0</v>
      </c>
      <c r="R161">
        <f ca="1">(data1!E158-R$2)/R$4/Cal!$G158</f>
        <v>0</v>
      </c>
      <c r="S161">
        <f ca="1">(data1!F158-S$2)/S$4/Cal!$G158</f>
        <v>0</v>
      </c>
      <c r="T161">
        <f ca="1">(data1!G158-T$2)/T$4/Cal!$G158</f>
        <v>4.4080583146167782E-3</v>
      </c>
      <c r="U161">
        <f ca="1">(data1!H158-U$2)/U$4/Cal!$G158</f>
        <v>0</v>
      </c>
      <c r="W161">
        <f ca="1">(data1!J158-W$2)/W$4/Cal!$G158</f>
        <v>0</v>
      </c>
      <c r="X161">
        <f ca="1">(data1!K158-X$2)/X$4/Cal!$G158</f>
        <v>0</v>
      </c>
    </row>
    <row r="162" spans="12:24">
      <c r="L162">
        <f t="shared" ca="1" si="6"/>
        <v>1.4355554026375731E-2</v>
      </c>
      <c r="M162">
        <f t="shared" ca="1" si="7"/>
        <v>4.9149482839047013E-4</v>
      </c>
      <c r="N162">
        <f>data1!A159</f>
        <v>1085</v>
      </c>
      <c r="O162">
        <f ca="1">(data1!B159-O$2)/O$4/Cal!$G159</f>
        <v>0</v>
      </c>
      <c r="P162">
        <f ca="1">(data1!C159-P$2)/P$4/Cal!$G159</f>
        <v>0</v>
      </c>
      <c r="Q162">
        <f ca="1">(data1!D159-Q$2)/Q$4/Cal!$G159</f>
        <v>0</v>
      </c>
      <c r="R162">
        <f ca="1">(data1!E159-R$2)/R$4/Cal!$G159</f>
        <v>0</v>
      </c>
      <c r="S162">
        <f ca="1">(data1!F159-S$2)/S$4/Cal!$G159</f>
        <v>0</v>
      </c>
      <c r="T162">
        <f ca="1">(data1!G159-T$2)/T$4/Cal!$G159</f>
        <v>4.4234534555142313E-3</v>
      </c>
      <c r="U162">
        <f ca="1">(data1!H159-U$2)/U$4/Cal!$G159</f>
        <v>0</v>
      </c>
      <c r="W162">
        <f ca="1">(data1!J159-W$2)/W$4/Cal!$G159</f>
        <v>0</v>
      </c>
      <c r="X162">
        <f ca="1">(data1!K159-X$2)/X$4/Cal!$G159</f>
        <v>0</v>
      </c>
    </row>
    <row r="163" spans="12:24">
      <c r="L163">
        <f t="shared" ca="1" si="6"/>
        <v>1.4411917150032885E-2</v>
      </c>
      <c r="M163">
        <f t="shared" ca="1" si="7"/>
        <v>4.9342454728104905E-4</v>
      </c>
      <c r="N163">
        <f>data1!A160</f>
        <v>1090</v>
      </c>
      <c r="O163">
        <f ca="1">(data1!B160-O$2)/O$4/Cal!$G160</f>
        <v>0</v>
      </c>
      <c r="P163">
        <f ca="1">(data1!C160-P$2)/P$4/Cal!$G160</f>
        <v>0</v>
      </c>
      <c r="Q163">
        <f ca="1">(data1!D160-Q$2)/Q$4/Cal!$G160</f>
        <v>0</v>
      </c>
      <c r="R163">
        <f ca="1">(data1!E160-R$2)/R$4/Cal!$G160</f>
        <v>0</v>
      </c>
      <c r="S163">
        <f ca="1">(data1!F160-S$2)/S$4/Cal!$G160</f>
        <v>0</v>
      </c>
      <c r="T163">
        <f ca="1">(data1!G160-T$2)/T$4/Cal!$G160</f>
        <v>4.4408209255294411E-3</v>
      </c>
      <c r="U163">
        <f ca="1">(data1!H160-U$2)/U$4/Cal!$G160</f>
        <v>0</v>
      </c>
      <c r="W163">
        <f ca="1">(data1!J160-W$2)/W$4/Cal!$G160</f>
        <v>0</v>
      </c>
      <c r="X163">
        <f ca="1">(data1!K160-X$2)/X$4/Cal!$G160</f>
        <v>0</v>
      </c>
    </row>
    <row r="164" spans="12:24">
      <c r="L164">
        <f t="shared" ca="1" si="6"/>
        <v>1.4501692002994998E-2</v>
      </c>
      <c r="M164">
        <f t="shared" ca="1" si="7"/>
        <v>4.9649819221800687E-4</v>
      </c>
      <c r="N164">
        <f>data1!A161</f>
        <v>1095</v>
      </c>
      <c r="O164">
        <f ca="1">(data1!B161-O$2)/O$4/Cal!$G161</f>
        <v>0</v>
      </c>
      <c r="P164">
        <f ca="1">(data1!C161-P$2)/P$4/Cal!$G161</f>
        <v>0</v>
      </c>
      <c r="Q164">
        <f ca="1">(data1!D161-Q$2)/Q$4/Cal!$G161</f>
        <v>0</v>
      </c>
      <c r="R164">
        <f ca="1">(data1!E161-R$2)/R$4/Cal!$G161</f>
        <v>0</v>
      </c>
      <c r="S164">
        <f ca="1">(data1!F161-S$2)/S$4/Cal!$G161</f>
        <v>0</v>
      </c>
      <c r="T164">
        <f ca="1">(data1!G161-T$2)/T$4/Cal!$G161</f>
        <v>4.4684837299620618E-3</v>
      </c>
      <c r="U164">
        <f ca="1">(data1!H161-U$2)/U$4/Cal!$G161</f>
        <v>0</v>
      </c>
      <c r="W164">
        <f ca="1">(data1!J161-W$2)/W$4/Cal!$G161</f>
        <v>0</v>
      </c>
      <c r="X164">
        <f ca="1">(data1!K161-X$2)/X$4/Cal!$G161</f>
        <v>0</v>
      </c>
    </row>
    <row r="165" spans="12:24">
      <c r="L165">
        <f t="shared" ref="L165" ca="1" si="8">M165/M$2</f>
        <v>1.4728488063328084E-2</v>
      </c>
      <c r="M165">
        <f t="shared" ca="1" si="7"/>
        <v>5.0426306778799464E-4</v>
      </c>
      <c r="N165">
        <f>data1!A162</f>
        <v>1100</v>
      </c>
      <c r="O165">
        <f ca="1">(data1!B162-O$2)/O$4/Cal!$G162</f>
        <v>0</v>
      </c>
      <c r="P165">
        <f ca="1">(data1!C162-P$2)/P$4/Cal!$G162</f>
        <v>0</v>
      </c>
      <c r="Q165">
        <f ca="1">(data1!D162-Q$2)/Q$4/Cal!$G162</f>
        <v>0</v>
      </c>
      <c r="R165">
        <f ca="1">(data1!E162-R$2)/R$4/Cal!$G162</f>
        <v>0</v>
      </c>
      <c r="S165">
        <f ca="1">(data1!F162-S$2)/S$4/Cal!$G162</f>
        <v>0</v>
      </c>
      <c r="T165">
        <f ca="1">(data1!G162-T$2)/T$4/Cal!$G162</f>
        <v>4.5383676100919515E-3</v>
      </c>
      <c r="U165">
        <f ca="1">(data1!H162-U$2)/U$4/Cal!$G162</f>
        <v>0</v>
      </c>
      <c r="W165">
        <f ca="1">(data1!J162-W$2)/W$4/Cal!$G162</f>
        <v>0</v>
      </c>
      <c r="X165">
        <f ca="1">(data1!K162-X$2)/X$4/Cal!$G162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L171"/>
  <sheetViews>
    <sheetView tabSelected="1" topLeftCell="A8" zoomScale="70" zoomScaleNormal="70" workbookViewId="0">
      <pane xSplit="13245" ySplit="8160" topLeftCell="O158"/>
      <selection activeCell="AA33" sqref="AA33"/>
      <selection pane="topRight" activeCell="X25" sqref="X25"/>
      <selection pane="bottomLeft" activeCell="A6" sqref="A6"/>
      <selection pane="bottomRight" activeCell="F165" sqref="F165"/>
    </sheetView>
  </sheetViews>
  <sheetFormatPr defaultRowHeight="15"/>
  <cols>
    <col min="1" max="1" width="5.5703125" bestFit="1" customWidth="1"/>
    <col min="2" max="33" width="6.5703125" customWidth="1"/>
    <col min="37" max="37" width="5.5703125" bestFit="1" customWidth="1"/>
  </cols>
  <sheetData>
    <row r="1" spans="1:38">
      <c r="A1">
        <v>5</v>
      </c>
      <c r="B1">
        <v>-60</v>
      </c>
      <c r="C1">
        <f>B1+5</f>
        <v>-55</v>
      </c>
      <c r="D1">
        <f t="shared" ref="D1:AK1" si="0">C1+5</f>
        <v>-50</v>
      </c>
      <c r="E1">
        <f t="shared" si="0"/>
        <v>-45</v>
      </c>
      <c r="F1">
        <f t="shared" si="0"/>
        <v>-40</v>
      </c>
      <c r="G1">
        <f t="shared" si="0"/>
        <v>-35</v>
      </c>
      <c r="H1">
        <f t="shared" si="0"/>
        <v>-30</v>
      </c>
      <c r="I1">
        <f t="shared" si="0"/>
        <v>-25</v>
      </c>
      <c r="J1">
        <f t="shared" si="0"/>
        <v>-20</v>
      </c>
      <c r="K1">
        <f t="shared" si="0"/>
        <v>-15</v>
      </c>
      <c r="L1">
        <f t="shared" si="0"/>
        <v>-10</v>
      </c>
      <c r="M1">
        <f t="shared" si="0"/>
        <v>-5</v>
      </c>
      <c r="N1">
        <f t="shared" si="0"/>
        <v>0</v>
      </c>
      <c r="O1">
        <f t="shared" si="0"/>
        <v>5</v>
      </c>
      <c r="P1">
        <f t="shared" si="0"/>
        <v>10</v>
      </c>
      <c r="Q1">
        <f t="shared" si="0"/>
        <v>15</v>
      </c>
      <c r="R1">
        <f t="shared" si="0"/>
        <v>20</v>
      </c>
      <c r="S1">
        <f t="shared" si="0"/>
        <v>25</v>
      </c>
      <c r="T1">
        <f t="shared" si="0"/>
        <v>30</v>
      </c>
      <c r="U1">
        <f t="shared" si="0"/>
        <v>35</v>
      </c>
      <c r="V1">
        <f t="shared" si="0"/>
        <v>40</v>
      </c>
      <c r="W1">
        <f t="shared" si="0"/>
        <v>45</v>
      </c>
      <c r="X1">
        <f t="shared" si="0"/>
        <v>50</v>
      </c>
      <c r="Y1">
        <f t="shared" si="0"/>
        <v>55</v>
      </c>
      <c r="Z1">
        <f t="shared" si="0"/>
        <v>60</v>
      </c>
    </row>
    <row r="2" spans="1:38">
      <c r="A2">
        <v>300</v>
      </c>
      <c r="B2">
        <v>0.97680097818374634</v>
      </c>
      <c r="C2">
        <v>0.97680097818374634</v>
      </c>
      <c r="D2">
        <v>1.4652014970779419</v>
      </c>
      <c r="E2">
        <v>4.3956046104431152</v>
      </c>
      <c r="F2">
        <v>1.4652014970779419</v>
      </c>
      <c r="G2">
        <v>15.628815650939941</v>
      </c>
      <c r="H2">
        <v>10.256410598754883</v>
      </c>
      <c r="I2">
        <v>32.234432220458984</v>
      </c>
      <c r="J2">
        <v>6.8376069068908691</v>
      </c>
      <c r="K2">
        <v>0.97680097818374634</v>
      </c>
      <c r="L2">
        <v>0.97680097818374634</v>
      </c>
      <c r="M2">
        <v>7.3260073661804199</v>
      </c>
      <c r="N2">
        <v>14.163614273071289</v>
      </c>
      <c r="O2">
        <v>7.8144078254699707</v>
      </c>
      <c r="P2">
        <v>0.97680097818374634</v>
      </c>
      <c r="Q2">
        <v>9.2796096801757812</v>
      </c>
      <c r="R2">
        <v>2.9304029941558838</v>
      </c>
      <c r="S2">
        <v>22.954822540283203</v>
      </c>
      <c r="T2">
        <v>1.4652014970779419</v>
      </c>
      <c r="U2">
        <v>0.97680097818374634</v>
      </c>
      <c r="V2">
        <v>1.9536019563674927</v>
      </c>
      <c r="W2">
        <v>5.3724055290222168</v>
      </c>
      <c r="X2">
        <v>6.8376069068908691</v>
      </c>
      <c r="Y2">
        <v>0.97680097818374634</v>
      </c>
      <c r="Z2">
        <v>0.97680097818374634</v>
      </c>
      <c r="AJ2" s="1"/>
      <c r="AL2" s="1"/>
    </row>
    <row r="3" spans="1:38">
      <c r="A3">
        <f>A2+A$1</f>
        <v>305</v>
      </c>
      <c r="B3">
        <v>0.97680097818374634</v>
      </c>
      <c r="C3">
        <v>0.97680097818374634</v>
      </c>
      <c r="D3">
        <v>0.48840048909187317</v>
      </c>
      <c r="E3">
        <v>0.97680097818374634</v>
      </c>
      <c r="F3">
        <v>0.97680097818374634</v>
      </c>
      <c r="G3">
        <v>0.97680097818374634</v>
      </c>
      <c r="H3">
        <v>0.97680097818374634</v>
      </c>
      <c r="I3">
        <v>0.97680097818374634</v>
      </c>
      <c r="J3">
        <v>0.97680097818374634</v>
      </c>
      <c r="K3">
        <v>0.97680097818374634</v>
      </c>
      <c r="L3">
        <v>0.97680097818374634</v>
      </c>
      <c r="M3">
        <v>0.97680097818374634</v>
      </c>
      <c r="N3">
        <v>0.97680097818374634</v>
      </c>
      <c r="O3">
        <v>0.97680097818374634</v>
      </c>
      <c r="P3">
        <v>0.97680097818374634</v>
      </c>
      <c r="Q3">
        <v>0.97680097818374634</v>
      </c>
      <c r="R3">
        <v>0.97680097818374634</v>
      </c>
      <c r="S3">
        <v>0.97680097818374634</v>
      </c>
      <c r="T3">
        <v>0.97680097818374634</v>
      </c>
      <c r="U3">
        <v>0.97680097818374634</v>
      </c>
      <c r="V3">
        <v>0.97680097818374634</v>
      </c>
      <c r="W3">
        <v>0.97680097818374634</v>
      </c>
      <c r="X3">
        <v>0.48840048909187317</v>
      </c>
      <c r="Y3">
        <v>0.48840048909187317</v>
      </c>
      <c r="Z3">
        <v>0.48840048909187317</v>
      </c>
      <c r="AJ3" s="1"/>
      <c r="AL3" s="1"/>
    </row>
    <row r="4" spans="1:38">
      <c r="A4">
        <f>A3+A$1</f>
        <v>310</v>
      </c>
      <c r="B4">
        <v>0.97680097818374634</v>
      </c>
      <c r="C4">
        <v>0.97680097818374634</v>
      </c>
      <c r="D4">
        <v>0.48840048909187317</v>
      </c>
      <c r="E4">
        <v>0.97680097818374634</v>
      </c>
      <c r="F4">
        <v>0.97680097818374634</v>
      </c>
      <c r="G4">
        <v>0.97680097818374634</v>
      </c>
      <c r="H4">
        <v>0.97680097818374634</v>
      </c>
      <c r="I4">
        <v>0.97680097818374634</v>
      </c>
      <c r="J4">
        <v>0.97680097818374634</v>
      </c>
      <c r="K4">
        <v>0.97680097818374634</v>
      </c>
      <c r="L4">
        <v>0.97680097818374634</v>
      </c>
      <c r="M4">
        <v>0.97680097818374634</v>
      </c>
      <c r="N4">
        <v>0.97680097818374634</v>
      </c>
      <c r="O4">
        <v>0.97680097818374634</v>
      </c>
      <c r="P4">
        <v>0.97680097818374634</v>
      </c>
      <c r="Q4">
        <v>0.97680097818374634</v>
      </c>
      <c r="R4">
        <v>0.97680097818374634</v>
      </c>
      <c r="S4">
        <v>0.97680097818374634</v>
      </c>
      <c r="T4">
        <v>0.97680097818374634</v>
      </c>
      <c r="U4">
        <v>0.97680097818374634</v>
      </c>
      <c r="V4">
        <v>0.97680097818374634</v>
      </c>
      <c r="W4">
        <v>0.97680097818374634</v>
      </c>
      <c r="X4">
        <v>0.48840048909187317</v>
      </c>
      <c r="Y4">
        <v>0.48840048909187317</v>
      </c>
      <c r="Z4">
        <v>0.48840048909187317</v>
      </c>
      <c r="AJ4" s="1"/>
      <c r="AL4" s="1"/>
    </row>
    <row r="5" spans="1:38">
      <c r="A5">
        <f>A4+A$1</f>
        <v>315</v>
      </c>
      <c r="B5">
        <v>0.97680097818374634</v>
      </c>
      <c r="C5">
        <v>0.97680097818374634</v>
      </c>
      <c r="D5">
        <v>0.48840048909187317</v>
      </c>
      <c r="E5">
        <v>0.97680097818374634</v>
      </c>
      <c r="F5">
        <v>0.97680097818374634</v>
      </c>
      <c r="G5">
        <v>0.97680097818374634</v>
      </c>
      <c r="H5">
        <v>0.97680097818374634</v>
      </c>
      <c r="I5">
        <v>0.97680097818374634</v>
      </c>
      <c r="J5">
        <v>0.97680097818374634</v>
      </c>
      <c r="K5">
        <v>0.97680097818374634</v>
      </c>
      <c r="L5">
        <v>0.97680097818374634</v>
      </c>
      <c r="M5">
        <v>0.97680097818374634</v>
      </c>
      <c r="N5">
        <v>0.97680097818374634</v>
      </c>
      <c r="O5">
        <v>0.97680097818374634</v>
      </c>
      <c r="P5">
        <v>0.97680097818374634</v>
      </c>
      <c r="Q5">
        <v>0.97680097818374634</v>
      </c>
      <c r="R5">
        <v>0.97680097818374634</v>
      </c>
      <c r="S5">
        <v>0.97680097818374634</v>
      </c>
      <c r="T5">
        <v>0.97680097818374634</v>
      </c>
      <c r="U5">
        <v>0.97680097818374634</v>
      </c>
      <c r="V5">
        <v>0.97680097818374634</v>
      </c>
      <c r="W5">
        <v>0.97680097818374634</v>
      </c>
      <c r="X5">
        <v>0.48840048909187317</v>
      </c>
      <c r="Y5">
        <v>0.48840048909187317</v>
      </c>
      <c r="Z5">
        <v>0.48840048909187317</v>
      </c>
      <c r="AJ5" s="1"/>
      <c r="AL5" s="1"/>
    </row>
    <row r="6" spans="1:38">
      <c r="A6">
        <f>A5+A$1</f>
        <v>320</v>
      </c>
      <c r="B6">
        <v>0.97680097818374634</v>
      </c>
      <c r="C6">
        <v>0.97680097818374634</v>
      </c>
      <c r="D6">
        <v>0.48840048909187317</v>
      </c>
      <c r="E6">
        <v>0.97680097818374634</v>
      </c>
      <c r="F6">
        <v>0.97680097818374634</v>
      </c>
      <c r="G6">
        <v>1.4652014970779419</v>
      </c>
      <c r="H6">
        <v>1.4652014970779419</v>
      </c>
      <c r="I6">
        <v>1.4652014970779419</v>
      </c>
      <c r="J6">
        <v>1.4652014970779419</v>
      </c>
      <c r="K6">
        <v>1.4652014970779419</v>
      </c>
      <c r="L6">
        <v>1.4652014970779419</v>
      </c>
      <c r="M6">
        <v>0.97680097818374634</v>
      </c>
      <c r="N6">
        <v>0.97680097818374634</v>
      </c>
      <c r="O6">
        <v>0.97680097818374634</v>
      </c>
      <c r="P6">
        <v>0.97680097818374634</v>
      </c>
      <c r="Q6">
        <v>0.97680097818374634</v>
      </c>
      <c r="R6">
        <v>0.97680097818374634</v>
      </c>
      <c r="S6">
        <v>0.97680097818374634</v>
      </c>
      <c r="T6">
        <v>0.97680097818374634</v>
      </c>
      <c r="U6">
        <v>0.97680097818374634</v>
      </c>
      <c r="V6">
        <v>0.97680097818374634</v>
      </c>
      <c r="W6">
        <v>0.97680097818374634</v>
      </c>
      <c r="X6">
        <v>0.97680097818374634</v>
      </c>
      <c r="Y6">
        <v>0.48840048909187317</v>
      </c>
      <c r="Z6">
        <v>0.48840048909187317</v>
      </c>
      <c r="AJ6" s="1"/>
      <c r="AL6" s="1"/>
    </row>
    <row r="7" spans="1:38">
      <c r="A7">
        <f>A6+A$1</f>
        <v>325</v>
      </c>
      <c r="B7">
        <v>0.97680097818374634</v>
      </c>
      <c r="C7">
        <v>0.97680097818374634</v>
      </c>
      <c r="D7">
        <v>0.97680097818374634</v>
      </c>
      <c r="E7">
        <v>0.97680097818374634</v>
      </c>
      <c r="F7">
        <v>0.97680097818374634</v>
      </c>
      <c r="G7">
        <v>1.4652014970779419</v>
      </c>
      <c r="H7">
        <v>1.4652014970779419</v>
      </c>
      <c r="I7">
        <v>1.4652014970779419</v>
      </c>
      <c r="J7">
        <v>1.4652014970779419</v>
      </c>
      <c r="K7">
        <v>1.4652014970779419</v>
      </c>
      <c r="L7">
        <v>1.4652014970779419</v>
      </c>
      <c r="M7">
        <v>1.4652014970779419</v>
      </c>
      <c r="N7">
        <v>1.4652014970779419</v>
      </c>
      <c r="O7">
        <v>1.4652014970779419</v>
      </c>
      <c r="P7">
        <v>1.4652014970779419</v>
      </c>
      <c r="Q7">
        <v>1.4652014970779419</v>
      </c>
      <c r="R7">
        <v>1.4652014970779419</v>
      </c>
      <c r="S7">
        <v>1.4652014970779419</v>
      </c>
      <c r="T7">
        <v>0.97680097818374634</v>
      </c>
      <c r="U7">
        <v>0.97680097818374634</v>
      </c>
      <c r="V7">
        <v>0.97680097818374634</v>
      </c>
      <c r="W7">
        <v>0.97680097818374634</v>
      </c>
      <c r="X7">
        <v>0.97680097818374634</v>
      </c>
      <c r="Y7">
        <v>0.48840048909187317</v>
      </c>
      <c r="Z7">
        <v>0.48840048909187317</v>
      </c>
      <c r="AJ7" s="1"/>
      <c r="AL7" s="1"/>
    </row>
    <row r="8" spans="1:38">
      <c r="A8">
        <f>A7+A$1</f>
        <v>330</v>
      </c>
      <c r="B8">
        <v>0.97680097818374634</v>
      </c>
      <c r="C8">
        <v>0.97680097818374634</v>
      </c>
      <c r="D8">
        <v>0.97680097818374634</v>
      </c>
      <c r="E8">
        <v>0.97680097818374634</v>
      </c>
      <c r="F8">
        <v>0.97680097818374634</v>
      </c>
      <c r="G8">
        <v>1.4652014970779419</v>
      </c>
      <c r="H8">
        <v>1.4652014970779419</v>
      </c>
      <c r="I8">
        <v>1.4652014970779419</v>
      </c>
      <c r="J8">
        <v>1.4652014970779419</v>
      </c>
      <c r="K8">
        <v>1.4652014970779419</v>
      </c>
      <c r="L8">
        <v>1.4652014970779419</v>
      </c>
      <c r="M8">
        <v>1.4652014970779419</v>
      </c>
      <c r="N8">
        <v>1.4652014970779419</v>
      </c>
      <c r="O8">
        <v>1.4652014970779419</v>
      </c>
      <c r="P8">
        <v>1.4652014970779419</v>
      </c>
      <c r="Q8">
        <v>1.4652014970779419</v>
      </c>
      <c r="R8">
        <v>1.4652014970779419</v>
      </c>
      <c r="S8">
        <v>1.4652014970779419</v>
      </c>
      <c r="T8">
        <v>1.4652014970779419</v>
      </c>
      <c r="U8">
        <v>1.4652014970779419</v>
      </c>
      <c r="V8">
        <v>0.97680097818374634</v>
      </c>
      <c r="W8">
        <v>0.97680097818374634</v>
      </c>
      <c r="X8">
        <v>0.97680097818374634</v>
      </c>
      <c r="Y8">
        <v>0.48840048909187317</v>
      </c>
      <c r="Z8">
        <v>0.48840048909187317</v>
      </c>
      <c r="AJ8" s="1"/>
      <c r="AL8" s="1"/>
    </row>
    <row r="9" spans="1:38">
      <c r="A9">
        <f>A8+A$1</f>
        <v>335</v>
      </c>
      <c r="B9">
        <v>0.97680097818374634</v>
      </c>
      <c r="C9">
        <v>0.97680097818374634</v>
      </c>
      <c r="D9">
        <v>0.97680097818374634</v>
      </c>
      <c r="E9">
        <v>0.97680097818374634</v>
      </c>
      <c r="F9">
        <v>1.4652014970779419</v>
      </c>
      <c r="G9">
        <v>1.4652014970779419</v>
      </c>
      <c r="H9">
        <v>1.9536019563674927</v>
      </c>
      <c r="I9">
        <v>1.9536019563674927</v>
      </c>
      <c r="J9">
        <v>1.9536019563674927</v>
      </c>
      <c r="K9">
        <v>1.9536019563674927</v>
      </c>
      <c r="L9">
        <v>1.9536019563674927</v>
      </c>
      <c r="M9">
        <v>1.9536019563674927</v>
      </c>
      <c r="N9">
        <v>1.9536019563674927</v>
      </c>
      <c r="O9">
        <v>1.9536019563674927</v>
      </c>
      <c r="P9">
        <v>1.9536019563674927</v>
      </c>
      <c r="Q9">
        <v>1.9536019563674927</v>
      </c>
      <c r="R9">
        <v>1.4652014970779419</v>
      </c>
      <c r="S9">
        <v>1.4652014970779419</v>
      </c>
      <c r="T9">
        <v>1.4652014970779419</v>
      </c>
      <c r="U9">
        <v>1.4652014970779419</v>
      </c>
      <c r="V9">
        <v>1.4652014970779419</v>
      </c>
      <c r="W9">
        <v>1.4652014970779419</v>
      </c>
      <c r="X9">
        <v>0.97680097818374634</v>
      </c>
      <c r="Y9">
        <v>0.48840048909187317</v>
      </c>
      <c r="Z9">
        <v>0.48840048909187317</v>
      </c>
      <c r="AJ9" s="1"/>
      <c r="AL9" s="1"/>
    </row>
    <row r="10" spans="1:38">
      <c r="A10">
        <f>A9+A$1</f>
        <v>340</v>
      </c>
      <c r="B10">
        <v>0.97680097818374634</v>
      </c>
      <c r="C10">
        <v>0.97680097818374634</v>
      </c>
      <c r="D10">
        <v>0.97680097818374634</v>
      </c>
      <c r="E10">
        <v>1.4652014970779419</v>
      </c>
      <c r="F10">
        <v>1.4652014970779419</v>
      </c>
      <c r="G10">
        <v>1.9536019563674927</v>
      </c>
      <c r="H10">
        <v>1.9536019563674927</v>
      </c>
      <c r="I10">
        <v>1.9536019563674927</v>
      </c>
      <c r="J10">
        <v>1.9536019563674927</v>
      </c>
      <c r="K10">
        <v>1.9536019563674927</v>
      </c>
      <c r="L10">
        <v>1.9536019563674927</v>
      </c>
      <c r="M10">
        <v>1.9536019563674927</v>
      </c>
      <c r="N10">
        <v>1.9536019563674927</v>
      </c>
      <c r="O10">
        <v>1.9536019563674927</v>
      </c>
      <c r="P10">
        <v>1.9536019563674927</v>
      </c>
      <c r="Q10">
        <v>1.9536019563674927</v>
      </c>
      <c r="R10">
        <v>1.9536019563674927</v>
      </c>
      <c r="S10">
        <v>1.9536019563674927</v>
      </c>
      <c r="T10">
        <v>1.4652014970779419</v>
      </c>
      <c r="U10">
        <v>1.4652014970779419</v>
      </c>
      <c r="V10">
        <v>1.4652014970779419</v>
      </c>
      <c r="W10">
        <v>1.4652014970779419</v>
      </c>
      <c r="X10">
        <v>0.97680097818374634</v>
      </c>
      <c r="Y10">
        <v>0.48840048909187317</v>
      </c>
      <c r="Z10">
        <v>0.48840048909187317</v>
      </c>
      <c r="AJ10" s="1"/>
      <c r="AL10" s="1"/>
    </row>
    <row r="11" spans="1:38">
      <c r="A11">
        <f>A10+A$1</f>
        <v>345</v>
      </c>
      <c r="B11">
        <v>0.97680097818374634</v>
      </c>
      <c r="C11">
        <v>0.97680097818374634</v>
      </c>
      <c r="D11">
        <v>0.97680097818374634</v>
      </c>
      <c r="E11">
        <v>1.4652014970779419</v>
      </c>
      <c r="F11">
        <v>1.9536019563674927</v>
      </c>
      <c r="G11">
        <v>1.9536019563674927</v>
      </c>
      <c r="H11">
        <v>1.9536019563674927</v>
      </c>
      <c r="I11">
        <v>2.442002534866333</v>
      </c>
      <c r="J11">
        <v>2.442002534866333</v>
      </c>
      <c r="K11">
        <v>2.442002534866333</v>
      </c>
      <c r="L11">
        <v>2.442002534866333</v>
      </c>
      <c r="M11">
        <v>2.442002534866333</v>
      </c>
      <c r="N11">
        <v>2.442002534866333</v>
      </c>
      <c r="O11">
        <v>2.442002534866333</v>
      </c>
      <c r="P11">
        <v>2.442002534866333</v>
      </c>
      <c r="Q11">
        <v>2.442002534866333</v>
      </c>
      <c r="R11">
        <v>2.442002534866333</v>
      </c>
      <c r="S11">
        <v>1.9536019563674927</v>
      </c>
      <c r="T11">
        <v>1.9536019563674927</v>
      </c>
      <c r="U11">
        <v>1.9536019563674927</v>
      </c>
      <c r="V11">
        <v>1.9536019563674927</v>
      </c>
      <c r="W11">
        <v>1.4652014970779419</v>
      </c>
      <c r="X11">
        <v>1.4652014970779419</v>
      </c>
      <c r="Y11">
        <v>0.48840048909187317</v>
      </c>
      <c r="Z11">
        <v>0.48840048909187317</v>
      </c>
      <c r="AJ11" s="1"/>
      <c r="AL11" s="1"/>
    </row>
    <row r="12" spans="1:38">
      <c r="A12">
        <f>A11+A$1</f>
        <v>350</v>
      </c>
      <c r="B12">
        <v>0.97680097818374634</v>
      </c>
      <c r="C12">
        <v>0.97680097818374634</v>
      </c>
      <c r="D12">
        <v>0.97680097818374634</v>
      </c>
      <c r="E12">
        <v>1.4652014970779419</v>
      </c>
      <c r="F12">
        <v>1.9536019563674927</v>
      </c>
      <c r="G12">
        <v>2.442002534866333</v>
      </c>
      <c r="H12">
        <v>2.442002534866333</v>
      </c>
      <c r="I12">
        <v>2.442002534866333</v>
      </c>
      <c r="J12">
        <v>2.442002534866333</v>
      </c>
      <c r="K12">
        <v>2.9304029941558838</v>
      </c>
      <c r="L12">
        <v>2.9304029941558838</v>
      </c>
      <c r="M12">
        <v>2.9304029941558838</v>
      </c>
      <c r="N12">
        <v>2.9304029941558838</v>
      </c>
      <c r="O12">
        <v>2.9304029941558838</v>
      </c>
      <c r="P12">
        <v>2.9304029941558838</v>
      </c>
      <c r="Q12">
        <v>2.9304029941558838</v>
      </c>
      <c r="R12">
        <v>2.442002534866333</v>
      </c>
      <c r="S12">
        <v>1.9536019563674927</v>
      </c>
      <c r="T12">
        <v>2.442002534866333</v>
      </c>
      <c r="U12">
        <v>2.442002534866333</v>
      </c>
      <c r="V12">
        <v>1.9536019563674927</v>
      </c>
      <c r="W12">
        <v>1.9536019563674927</v>
      </c>
      <c r="X12">
        <v>1.4652014970779419</v>
      </c>
      <c r="Y12">
        <v>0.48840048909187317</v>
      </c>
      <c r="Z12">
        <v>0.48840048909187317</v>
      </c>
      <c r="AJ12" s="1"/>
      <c r="AL12" s="1"/>
    </row>
    <row r="13" spans="1:38">
      <c r="A13">
        <f>A12+A$1</f>
        <v>355</v>
      </c>
      <c r="B13">
        <v>0.97680097818374634</v>
      </c>
      <c r="C13">
        <v>0.97680097818374634</v>
      </c>
      <c r="D13">
        <v>0.97680097818374634</v>
      </c>
      <c r="E13">
        <v>1.9536019563674927</v>
      </c>
      <c r="F13">
        <v>1.9536019563674927</v>
      </c>
      <c r="G13">
        <v>2.9304029941558838</v>
      </c>
      <c r="H13">
        <v>3.4188034534454346</v>
      </c>
      <c r="I13">
        <v>2.9304029941558838</v>
      </c>
      <c r="J13">
        <v>2.9304029941558838</v>
      </c>
      <c r="K13">
        <v>2.9304029941558838</v>
      </c>
      <c r="L13">
        <v>3.4188034534454346</v>
      </c>
      <c r="M13">
        <v>3.4188034534454346</v>
      </c>
      <c r="N13">
        <v>3.9072039127349854</v>
      </c>
      <c r="O13">
        <v>3.4188034534454346</v>
      </c>
      <c r="P13">
        <v>3.4188034534454346</v>
      </c>
      <c r="Q13">
        <v>2.9304029941558838</v>
      </c>
      <c r="R13">
        <v>2.442002534866333</v>
      </c>
      <c r="S13">
        <v>2.9304029941558838</v>
      </c>
      <c r="T13">
        <v>3.4188034534454346</v>
      </c>
      <c r="U13">
        <v>2.9304029941558838</v>
      </c>
      <c r="V13">
        <v>2.442002534866333</v>
      </c>
      <c r="W13">
        <v>2.9304029941558838</v>
      </c>
      <c r="X13">
        <v>1.9536019563674927</v>
      </c>
      <c r="Y13">
        <v>0.48840048909187317</v>
      </c>
      <c r="Z13">
        <v>0.48840048909187317</v>
      </c>
      <c r="AJ13" s="1"/>
      <c r="AL13" s="1"/>
    </row>
    <row r="14" spans="1:38">
      <c r="A14">
        <f>A13+A$1</f>
        <v>360</v>
      </c>
      <c r="B14">
        <v>0.97680097818374634</v>
      </c>
      <c r="C14">
        <v>0.97680097818374634</v>
      </c>
      <c r="D14">
        <v>0.97680097818374634</v>
      </c>
      <c r="E14">
        <v>2.442002534866333</v>
      </c>
      <c r="F14">
        <v>2.9304029941558838</v>
      </c>
      <c r="G14">
        <v>3.4188034534454346</v>
      </c>
      <c r="H14">
        <v>3.9072039127349854</v>
      </c>
      <c r="I14">
        <v>3.9072039127349854</v>
      </c>
      <c r="J14">
        <v>3.4188034534454346</v>
      </c>
      <c r="K14">
        <v>3.4188034534454346</v>
      </c>
      <c r="L14">
        <v>3.4188034534454346</v>
      </c>
      <c r="M14">
        <v>3.4188034534454346</v>
      </c>
      <c r="N14">
        <v>3.4188034534454346</v>
      </c>
      <c r="O14">
        <v>3.4188034534454346</v>
      </c>
      <c r="P14">
        <v>3.4188034534454346</v>
      </c>
      <c r="Q14">
        <v>3.4188034534454346</v>
      </c>
      <c r="R14">
        <v>3.4188034534454346</v>
      </c>
      <c r="S14">
        <v>3.9072039127349854</v>
      </c>
      <c r="T14">
        <v>3.9072039127349854</v>
      </c>
      <c r="U14">
        <v>2.9304029941558838</v>
      </c>
      <c r="V14">
        <v>3.4188034534454346</v>
      </c>
      <c r="W14">
        <v>3.4188034534454346</v>
      </c>
      <c r="X14">
        <v>1.9536019563674927</v>
      </c>
      <c r="Y14">
        <v>0.48840048909187317</v>
      </c>
      <c r="Z14">
        <v>0.48840048909187317</v>
      </c>
      <c r="AJ14" s="1"/>
      <c r="AL14" s="1"/>
    </row>
    <row r="15" spans="1:38">
      <c r="A15">
        <f>A14+A$1</f>
        <v>365</v>
      </c>
      <c r="B15">
        <v>0.97680097818374634</v>
      </c>
      <c r="C15">
        <v>0.97680097818374634</v>
      </c>
      <c r="D15">
        <v>0.97680097818374634</v>
      </c>
      <c r="E15">
        <v>2.9304029941558838</v>
      </c>
      <c r="F15">
        <v>3.9072039127349854</v>
      </c>
      <c r="G15">
        <v>4.3956046104431152</v>
      </c>
      <c r="H15">
        <v>4.3956046104431152</v>
      </c>
      <c r="I15">
        <v>4.884005069732666</v>
      </c>
      <c r="J15">
        <v>5.3724055290222168</v>
      </c>
      <c r="K15">
        <v>4.884005069732666</v>
      </c>
      <c r="L15">
        <v>4.3956046104431152</v>
      </c>
      <c r="M15">
        <v>4.3956046104431152</v>
      </c>
      <c r="N15">
        <v>3.9072039127349854</v>
      </c>
      <c r="O15">
        <v>3.9072039127349854</v>
      </c>
      <c r="P15">
        <v>4.3956046104431152</v>
      </c>
      <c r="Q15">
        <v>4.884005069732666</v>
      </c>
      <c r="R15">
        <v>4.884005069732666</v>
      </c>
      <c r="S15">
        <v>4.884005069732666</v>
      </c>
      <c r="T15">
        <v>3.9072039127349854</v>
      </c>
      <c r="U15">
        <v>4.3956046104431152</v>
      </c>
      <c r="V15">
        <v>4.884005069732666</v>
      </c>
      <c r="W15">
        <v>4.3956046104431152</v>
      </c>
      <c r="X15">
        <v>2.442002534866333</v>
      </c>
      <c r="Y15">
        <v>0.97680097818374634</v>
      </c>
      <c r="Z15">
        <v>0.48840048909187317</v>
      </c>
      <c r="AJ15" s="1"/>
      <c r="AL15" s="1"/>
    </row>
    <row r="16" spans="1:38">
      <c r="A16">
        <f>A15+A$1</f>
        <v>370</v>
      </c>
      <c r="B16">
        <v>0.97680097818374634</v>
      </c>
      <c r="C16">
        <v>0.97680097818374634</v>
      </c>
      <c r="D16">
        <v>0.97680097818374634</v>
      </c>
      <c r="E16">
        <v>2.9304029941558838</v>
      </c>
      <c r="F16">
        <v>4.884005069732666</v>
      </c>
      <c r="G16">
        <v>6.3492064476013184</v>
      </c>
      <c r="H16">
        <v>5.8608059883117676</v>
      </c>
      <c r="I16">
        <v>5.3724055290222168</v>
      </c>
      <c r="J16">
        <v>6.3492064476013184</v>
      </c>
      <c r="K16">
        <v>6.8376069068908691</v>
      </c>
      <c r="L16">
        <v>6.8376069068908691</v>
      </c>
      <c r="M16">
        <v>6.3492064476013184</v>
      </c>
      <c r="N16">
        <v>6.3492064476013184</v>
      </c>
      <c r="O16">
        <v>6.3492064476013184</v>
      </c>
      <c r="P16">
        <v>6.3492064476013184</v>
      </c>
      <c r="Q16">
        <v>6.8376069068908691</v>
      </c>
      <c r="R16">
        <v>6.8376069068908691</v>
      </c>
      <c r="S16">
        <v>5.3724055290222168</v>
      </c>
      <c r="T16">
        <v>5.3724055290222168</v>
      </c>
      <c r="U16">
        <v>6.3492064476013184</v>
      </c>
      <c r="V16">
        <v>6.3492064476013184</v>
      </c>
      <c r="W16">
        <v>5.3724055290222168</v>
      </c>
      <c r="X16">
        <v>3.4188034534454346</v>
      </c>
      <c r="Y16">
        <v>0.97680097818374634</v>
      </c>
      <c r="Z16">
        <v>0.48840048909187317</v>
      </c>
      <c r="AJ16" s="1"/>
      <c r="AL16" s="1"/>
    </row>
    <row r="17" spans="1:38">
      <c r="A17">
        <f>A16+A$1</f>
        <v>375</v>
      </c>
      <c r="B17">
        <v>0.97680097818374634</v>
      </c>
      <c r="C17">
        <v>0.97680097818374634</v>
      </c>
      <c r="D17">
        <v>0.97680097818374634</v>
      </c>
      <c r="E17">
        <v>3.9072039127349854</v>
      </c>
      <c r="F17">
        <v>6.3492064476013184</v>
      </c>
      <c r="G17">
        <v>8.7912092208862305</v>
      </c>
      <c r="H17">
        <v>8.3028087615966797</v>
      </c>
      <c r="I17">
        <v>7.3260073661804199</v>
      </c>
      <c r="J17">
        <v>7.3260073661804199</v>
      </c>
      <c r="K17">
        <v>8.3028087615966797</v>
      </c>
      <c r="L17">
        <v>9.2796096801757812</v>
      </c>
      <c r="M17">
        <v>9.2796096801757812</v>
      </c>
      <c r="N17">
        <v>8.7912092208862305</v>
      </c>
      <c r="O17">
        <v>9.2796096801757812</v>
      </c>
      <c r="P17">
        <v>9.2796096801757812</v>
      </c>
      <c r="Q17">
        <v>8.7912092208862305</v>
      </c>
      <c r="R17">
        <v>6.8376069068908691</v>
      </c>
      <c r="S17">
        <v>6.3492064476013184</v>
      </c>
      <c r="T17">
        <v>8.7912092208862305</v>
      </c>
      <c r="U17">
        <v>8.3028087615966797</v>
      </c>
      <c r="V17">
        <v>7.8144078254699707</v>
      </c>
      <c r="W17">
        <v>6.3492064476013184</v>
      </c>
      <c r="X17">
        <v>4.3956046104431152</v>
      </c>
      <c r="Y17">
        <v>0.97680097818374634</v>
      </c>
      <c r="Z17">
        <v>0.48840048909187317</v>
      </c>
      <c r="AJ17" s="1"/>
      <c r="AL17" s="1"/>
    </row>
    <row r="18" spans="1:38">
      <c r="A18">
        <f>A17+A$1</f>
        <v>380</v>
      </c>
      <c r="B18">
        <v>0.97680097818374634</v>
      </c>
      <c r="C18">
        <v>0.97680097818374634</v>
      </c>
      <c r="D18">
        <v>0.97680097818374634</v>
      </c>
      <c r="E18">
        <v>4.3956046104431152</v>
      </c>
      <c r="F18">
        <v>7.3260073661804199</v>
      </c>
      <c r="G18">
        <v>10.744811058044434</v>
      </c>
      <c r="H18">
        <v>11.233211517333984</v>
      </c>
      <c r="I18">
        <v>10.744811058044434</v>
      </c>
      <c r="J18">
        <v>8.7912092208862305</v>
      </c>
      <c r="K18">
        <v>9.2796096801757812</v>
      </c>
      <c r="L18">
        <v>10.256410598754883</v>
      </c>
      <c r="M18">
        <v>11.233211517333984</v>
      </c>
      <c r="N18">
        <v>11.233211517333984</v>
      </c>
      <c r="O18">
        <v>11.233211517333984</v>
      </c>
      <c r="P18">
        <v>10.256410598754883</v>
      </c>
      <c r="Q18">
        <v>8.7912092208862305</v>
      </c>
      <c r="R18">
        <v>8.3028087615966797</v>
      </c>
      <c r="S18">
        <v>10.744811058044434</v>
      </c>
      <c r="T18">
        <v>11.233211517333984</v>
      </c>
      <c r="U18">
        <v>10.744811058044434</v>
      </c>
      <c r="V18">
        <v>8.7912092208862305</v>
      </c>
      <c r="W18">
        <v>7.8144078254699707</v>
      </c>
      <c r="X18">
        <v>5.8608059883117676</v>
      </c>
      <c r="Y18">
        <v>0.97680097818374634</v>
      </c>
      <c r="Z18">
        <v>0.48840048909187317</v>
      </c>
      <c r="AJ18" s="1"/>
      <c r="AL18" s="1"/>
    </row>
    <row r="19" spans="1:38">
      <c r="A19">
        <f>A18+A$1</f>
        <v>385</v>
      </c>
      <c r="B19">
        <v>0.97680097818374634</v>
      </c>
      <c r="C19">
        <v>0.97680097818374634</v>
      </c>
      <c r="D19">
        <v>1.4652014970779419</v>
      </c>
      <c r="E19">
        <v>5.8608059883117676</v>
      </c>
      <c r="F19">
        <v>8.3028087615966797</v>
      </c>
      <c r="G19">
        <v>12.698412895202637</v>
      </c>
      <c r="H19">
        <v>14.163614273071289</v>
      </c>
      <c r="I19">
        <v>14.163614273071289</v>
      </c>
      <c r="J19">
        <v>13.186813354492187</v>
      </c>
      <c r="K19">
        <v>11.233211517333984</v>
      </c>
      <c r="L19">
        <v>10.744811058044434</v>
      </c>
      <c r="M19">
        <v>11.233211517333984</v>
      </c>
      <c r="N19">
        <v>11.721611976623535</v>
      </c>
      <c r="O19">
        <v>11.233211517333984</v>
      </c>
      <c r="P19">
        <v>10.256410598754883</v>
      </c>
      <c r="Q19">
        <v>10.744811058044434</v>
      </c>
      <c r="R19">
        <v>13.186813354492187</v>
      </c>
      <c r="S19">
        <v>13.675213813781738</v>
      </c>
      <c r="T19">
        <v>13.675213813781738</v>
      </c>
      <c r="U19">
        <v>12.698412895202637</v>
      </c>
      <c r="V19">
        <v>10.256410598754883</v>
      </c>
      <c r="W19">
        <v>10.256410598754883</v>
      </c>
      <c r="X19">
        <v>7.3260073661804199</v>
      </c>
      <c r="Y19">
        <v>1.4652014970779419</v>
      </c>
      <c r="Z19">
        <v>0.48840048909187317</v>
      </c>
      <c r="AJ19" s="1"/>
      <c r="AL19" s="1"/>
    </row>
    <row r="20" spans="1:38">
      <c r="A20">
        <f>A19+A$1</f>
        <v>390</v>
      </c>
      <c r="B20">
        <v>0.97680097818374634</v>
      </c>
      <c r="C20">
        <v>0.97680097818374634</v>
      </c>
      <c r="D20">
        <v>1.4652014970779419</v>
      </c>
      <c r="E20">
        <v>7.3260073661804199</v>
      </c>
      <c r="F20">
        <v>10.256410598754883</v>
      </c>
      <c r="G20">
        <v>14.163614273071289</v>
      </c>
      <c r="H20">
        <v>17.094017028808594</v>
      </c>
      <c r="I20">
        <v>17.582418441772461</v>
      </c>
      <c r="J20">
        <v>17.582418441772461</v>
      </c>
      <c r="K20">
        <v>16.605617523193359</v>
      </c>
      <c r="L20">
        <v>15.140415191650391</v>
      </c>
      <c r="M20">
        <v>14.163614273071289</v>
      </c>
      <c r="N20">
        <v>13.675213813781738</v>
      </c>
      <c r="O20">
        <v>13.675213813781738</v>
      </c>
      <c r="P20">
        <v>15.140415191650391</v>
      </c>
      <c r="Q20">
        <v>17.094017028808594</v>
      </c>
      <c r="R20">
        <v>17.094017028808594</v>
      </c>
      <c r="S20">
        <v>17.094017028808594</v>
      </c>
      <c r="T20">
        <v>17.094017028808594</v>
      </c>
      <c r="U20">
        <v>13.675213813781738</v>
      </c>
      <c r="V20">
        <v>12.698412895202637</v>
      </c>
      <c r="W20">
        <v>13.186813354492187</v>
      </c>
      <c r="X20">
        <v>8.3028087615966797</v>
      </c>
      <c r="Y20">
        <v>1.4652014970779419</v>
      </c>
      <c r="Z20">
        <v>0.97680097818374634</v>
      </c>
      <c r="AJ20" s="1"/>
      <c r="AL20" s="1"/>
    </row>
    <row r="21" spans="1:38">
      <c r="A21">
        <f>A20+A$1</f>
        <v>395</v>
      </c>
      <c r="B21">
        <v>0.97680097818374634</v>
      </c>
      <c r="C21">
        <v>0.97680097818374634</v>
      </c>
      <c r="D21">
        <v>1.4652014970779419</v>
      </c>
      <c r="E21">
        <v>8.7912092208862305</v>
      </c>
      <c r="F21">
        <v>12.698412895202637</v>
      </c>
      <c r="G21">
        <v>16.117216110229492</v>
      </c>
      <c r="H21">
        <v>18.559219360351562</v>
      </c>
      <c r="I21">
        <v>21.489622116088867</v>
      </c>
      <c r="J21">
        <v>21.978021621704102</v>
      </c>
      <c r="K21">
        <v>21.978021621704102</v>
      </c>
      <c r="L21">
        <v>21.978021621704102</v>
      </c>
      <c r="M21">
        <v>21.489622116088867</v>
      </c>
      <c r="N21">
        <v>21.001220703125</v>
      </c>
      <c r="O21">
        <v>21.489622116088867</v>
      </c>
      <c r="P21">
        <v>21.978021621704102</v>
      </c>
      <c r="Q21">
        <v>21.978021621704102</v>
      </c>
      <c r="R21">
        <v>21.001220703125</v>
      </c>
      <c r="S21">
        <v>21.489622116088867</v>
      </c>
      <c r="T21">
        <v>18.559219360351562</v>
      </c>
      <c r="U21">
        <v>16.117216110229492</v>
      </c>
      <c r="V21">
        <v>17.094017028808594</v>
      </c>
      <c r="W21">
        <v>16.605617523193359</v>
      </c>
      <c r="X21">
        <v>7.8144078254699707</v>
      </c>
      <c r="Y21">
        <v>1.4652014970779419</v>
      </c>
      <c r="Z21">
        <v>0.97680097818374634</v>
      </c>
      <c r="AJ21" s="1"/>
      <c r="AL21" s="1"/>
    </row>
    <row r="22" spans="1:38">
      <c r="A22">
        <f>A21+A$1</f>
        <v>400</v>
      </c>
      <c r="B22">
        <v>0.97680097818374634</v>
      </c>
      <c r="C22">
        <v>0.97680097818374634</v>
      </c>
      <c r="D22">
        <v>1.4652014970779419</v>
      </c>
      <c r="E22">
        <v>10.256410598754883</v>
      </c>
      <c r="F22">
        <v>16.605617523193359</v>
      </c>
      <c r="G22">
        <v>21.001220703125</v>
      </c>
      <c r="H22">
        <v>21.001220703125</v>
      </c>
      <c r="I22">
        <v>24.420024871826172</v>
      </c>
      <c r="J22">
        <v>26.862026214599609</v>
      </c>
      <c r="K22">
        <v>26.862026214599609</v>
      </c>
      <c r="L22">
        <v>27.350427627563477</v>
      </c>
      <c r="M22">
        <v>27.350427627563477</v>
      </c>
      <c r="N22">
        <v>27.838827133178711</v>
      </c>
      <c r="O22">
        <v>27.350427627563477</v>
      </c>
      <c r="P22">
        <v>26.862026214599609</v>
      </c>
      <c r="Q22">
        <v>26.862026214599609</v>
      </c>
      <c r="R22">
        <v>26.862026214599609</v>
      </c>
      <c r="S22">
        <v>24.420024871826172</v>
      </c>
      <c r="T22">
        <v>20.024419784545898</v>
      </c>
      <c r="U22">
        <v>20.512821197509766</v>
      </c>
      <c r="V22">
        <v>21.489622116088867</v>
      </c>
      <c r="W22">
        <v>19.536020278930664</v>
      </c>
      <c r="X22">
        <v>8.3028087615966797</v>
      </c>
      <c r="Y22">
        <v>1.9536019563674927</v>
      </c>
      <c r="Z22">
        <v>0.97680097818374634</v>
      </c>
      <c r="AJ22" s="1"/>
      <c r="AL22" s="1"/>
    </row>
    <row r="23" spans="1:38">
      <c r="A23">
        <f>A22+A$1</f>
        <v>405</v>
      </c>
      <c r="B23">
        <v>0.97680097818374634</v>
      </c>
      <c r="C23">
        <v>1.4652014970779419</v>
      </c>
      <c r="D23">
        <v>1.4652014970779419</v>
      </c>
      <c r="E23">
        <v>10.256410598754883</v>
      </c>
      <c r="F23">
        <v>20.024419784545898</v>
      </c>
      <c r="G23">
        <v>26.862026214599609</v>
      </c>
      <c r="H23">
        <v>25.396825790405273</v>
      </c>
      <c r="I23">
        <v>26.373626708984375</v>
      </c>
      <c r="J23">
        <v>31.257631301879883</v>
      </c>
      <c r="K23">
        <v>33.211235046386719</v>
      </c>
      <c r="L23">
        <v>34.188034057617187</v>
      </c>
      <c r="M23">
        <v>33.699634552001953</v>
      </c>
      <c r="N23">
        <v>33.211235046386719</v>
      </c>
      <c r="O23">
        <v>33.211235046386719</v>
      </c>
      <c r="P23">
        <v>33.211235046386719</v>
      </c>
      <c r="Q23">
        <v>34.188034057617187</v>
      </c>
      <c r="R23">
        <v>30.769229888916016</v>
      </c>
      <c r="S23">
        <v>25.396825790405273</v>
      </c>
      <c r="T23">
        <v>24.908424377441406</v>
      </c>
      <c r="U23">
        <v>26.862026214599609</v>
      </c>
      <c r="V23">
        <v>26.373626708984375</v>
      </c>
      <c r="W23">
        <v>18.559219360351562</v>
      </c>
      <c r="X23">
        <v>11.233211517333984</v>
      </c>
      <c r="Y23">
        <v>1.9536019563674927</v>
      </c>
      <c r="Z23">
        <v>0.97680097818374634</v>
      </c>
      <c r="AJ23" s="1"/>
      <c r="AL23" s="1"/>
    </row>
    <row r="24" spans="1:38">
      <c r="A24">
        <f>A23+A$1</f>
        <v>410</v>
      </c>
      <c r="B24">
        <v>0.97680097818374634</v>
      </c>
      <c r="C24">
        <v>1.4652014970779419</v>
      </c>
      <c r="D24">
        <v>1.9536019563674927</v>
      </c>
      <c r="E24">
        <v>10.744811058044434</v>
      </c>
      <c r="F24">
        <v>22.466423034667969</v>
      </c>
      <c r="G24">
        <v>33.699634552001953</v>
      </c>
      <c r="H24">
        <v>33.211235046386719</v>
      </c>
      <c r="I24">
        <v>30.769229888916016</v>
      </c>
      <c r="J24">
        <v>33.211235046386719</v>
      </c>
      <c r="K24">
        <v>38.095237731933594</v>
      </c>
      <c r="L24">
        <v>41.514041900634766</v>
      </c>
      <c r="M24">
        <v>42.00244140625</v>
      </c>
      <c r="N24">
        <v>42.00244140625</v>
      </c>
      <c r="O24">
        <v>42.00244140625</v>
      </c>
      <c r="P24">
        <v>41.514041900634766</v>
      </c>
      <c r="Q24">
        <v>38.583637237548828</v>
      </c>
      <c r="R24">
        <v>32.234432220458984</v>
      </c>
      <c r="S24">
        <v>29.792428970336914</v>
      </c>
      <c r="T24">
        <v>32.722831726074219</v>
      </c>
      <c r="U24">
        <v>33.699634552001953</v>
      </c>
      <c r="V24">
        <v>30.769229888916016</v>
      </c>
      <c r="W24">
        <v>18.070817947387695</v>
      </c>
      <c r="X24">
        <v>16.117216110229492</v>
      </c>
      <c r="Y24">
        <v>2.442002534866333</v>
      </c>
      <c r="Z24">
        <v>0.97680097818374634</v>
      </c>
      <c r="AJ24" s="1"/>
      <c r="AL24" s="1"/>
    </row>
    <row r="25" spans="1:38">
      <c r="A25">
        <f>A24+A$1</f>
        <v>415</v>
      </c>
      <c r="B25">
        <v>1.4652014970779419</v>
      </c>
      <c r="C25">
        <v>1.4652014970779419</v>
      </c>
      <c r="D25">
        <v>2.442002534866333</v>
      </c>
      <c r="E25">
        <v>13.675213813781738</v>
      </c>
      <c r="F25">
        <v>22.954822540283203</v>
      </c>
      <c r="G25">
        <v>40.537239074707031</v>
      </c>
      <c r="H25">
        <v>42.490840911865234</v>
      </c>
      <c r="I25">
        <v>40.048839569091797</v>
      </c>
      <c r="J25">
        <v>38.095237731933594</v>
      </c>
      <c r="K25">
        <v>40.048839569091797</v>
      </c>
      <c r="L25">
        <v>45.421245574951172</v>
      </c>
      <c r="M25">
        <v>48.351650238037109</v>
      </c>
      <c r="N25">
        <v>49.816848754882812</v>
      </c>
      <c r="O25">
        <v>48.351650238037109</v>
      </c>
      <c r="P25">
        <v>45.421245574951172</v>
      </c>
      <c r="Q25">
        <v>40.048839569091797</v>
      </c>
      <c r="R25">
        <v>36.630035400390625</v>
      </c>
      <c r="S25">
        <v>39.072040557861328</v>
      </c>
      <c r="T25">
        <v>42.00244140625</v>
      </c>
      <c r="U25">
        <v>41.025642395019531</v>
      </c>
      <c r="V25">
        <v>29.30402946472168</v>
      </c>
      <c r="W25">
        <v>26.373626708984375</v>
      </c>
      <c r="X25">
        <v>17.582418441772461</v>
      </c>
      <c r="Y25">
        <v>2.9304029941558838</v>
      </c>
      <c r="Z25">
        <v>1.4652014970779419</v>
      </c>
      <c r="AJ25" s="1"/>
      <c r="AL25" s="1"/>
    </row>
    <row r="26" spans="1:38">
      <c r="A26">
        <f>A25+A$1</f>
        <v>420</v>
      </c>
      <c r="B26">
        <v>1.4652014970779419</v>
      </c>
      <c r="C26">
        <v>1.4652014970779419</v>
      </c>
      <c r="D26">
        <v>2.442002534866333</v>
      </c>
      <c r="E26">
        <v>18.070817947387695</v>
      </c>
      <c r="F26">
        <v>24.420024871826172</v>
      </c>
      <c r="G26">
        <v>43.467643737792969</v>
      </c>
      <c r="H26">
        <v>52.258853912353516</v>
      </c>
      <c r="I26">
        <v>51.282051086425781</v>
      </c>
      <c r="J26">
        <v>48.351650238037109</v>
      </c>
      <c r="K26">
        <v>46.398044586181641</v>
      </c>
      <c r="L26">
        <v>48.351650238037109</v>
      </c>
      <c r="M26">
        <v>50.793651580810547</v>
      </c>
      <c r="N26">
        <v>51.770450592041016</v>
      </c>
      <c r="O26">
        <v>50.793651580810547</v>
      </c>
      <c r="P26">
        <v>47.374847412109375</v>
      </c>
      <c r="Q26">
        <v>45.909645080566406</v>
      </c>
      <c r="R26">
        <v>47.374847412109375</v>
      </c>
      <c r="S26">
        <v>51.282051086425781</v>
      </c>
      <c r="T26">
        <v>52.258853912353516</v>
      </c>
      <c r="U26">
        <v>46.886447906494141</v>
      </c>
      <c r="V26">
        <v>28.327228546142578</v>
      </c>
      <c r="W26">
        <v>38.095237731933594</v>
      </c>
      <c r="X26">
        <v>20.024419784545898</v>
      </c>
      <c r="Y26">
        <v>2.9304029941558838</v>
      </c>
      <c r="Z26">
        <v>1.4652014970779419</v>
      </c>
      <c r="AJ26" s="1"/>
      <c r="AL26" s="1"/>
    </row>
    <row r="27" spans="1:38">
      <c r="A27">
        <f>A26+A$1</f>
        <v>425</v>
      </c>
      <c r="B27">
        <v>1.4652014970779419</v>
      </c>
      <c r="C27">
        <v>1.4652014970779419</v>
      </c>
      <c r="D27">
        <v>2.9304029941558838</v>
      </c>
      <c r="E27">
        <v>21.978021621704102</v>
      </c>
      <c r="F27">
        <v>32.234432220458984</v>
      </c>
      <c r="G27">
        <v>42.979244232177734</v>
      </c>
      <c r="H27">
        <v>60.561660766601562</v>
      </c>
      <c r="I27">
        <v>63.980464935302734</v>
      </c>
      <c r="J27">
        <v>63.003662109375</v>
      </c>
      <c r="K27">
        <v>59.096458435058594</v>
      </c>
      <c r="L27">
        <v>57.631256103515625</v>
      </c>
      <c r="M27">
        <v>56.654457092285156</v>
      </c>
      <c r="N27">
        <v>56.654457092285156</v>
      </c>
      <c r="O27">
        <v>56.166057586669922</v>
      </c>
      <c r="P27">
        <v>56.654457092285156</v>
      </c>
      <c r="Q27">
        <v>59.584857940673828</v>
      </c>
      <c r="R27">
        <v>62.515262603759766</v>
      </c>
      <c r="S27">
        <v>63.980464935302734</v>
      </c>
      <c r="T27">
        <v>62.026863098144531</v>
      </c>
      <c r="U27">
        <v>42.490840911865234</v>
      </c>
      <c r="V27">
        <v>41.514041900634766</v>
      </c>
      <c r="W27">
        <v>42.979244232177734</v>
      </c>
      <c r="X27">
        <v>23.931623458862305</v>
      </c>
      <c r="Y27">
        <v>3.4188034534454346</v>
      </c>
      <c r="Z27">
        <v>1.4652014970779419</v>
      </c>
      <c r="AJ27" s="1"/>
      <c r="AL27" s="1"/>
    </row>
    <row r="28" spans="1:38">
      <c r="A28">
        <f>A27+A$1</f>
        <v>430</v>
      </c>
      <c r="B28">
        <v>1.4652014970779419</v>
      </c>
      <c r="C28">
        <v>1.9536019563674927</v>
      </c>
      <c r="D28">
        <v>2.9304029941558838</v>
      </c>
      <c r="E28">
        <v>24.908424377441406</v>
      </c>
      <c r="F28">
        <v>43.467643737792969</v>
      </c>
      <c r="G28">
        <v>46.886447906494141</v>
      </c>
      <c r="H28">
        <v>63.003662109375</v>
      </c>
      <c r="I28">
        <v>76.678878784179687</v>
      </c>
      <c r="J28">
        <v>78.144081115722656</v>
      </c>
      <c r="K28">
        <v>76.190475463867187</v>
      </c>
      <c r="L28">
        <v>74.725273132324219</v>
      </c>
      <c r="M28">
        <v>71.794868469238281</v>
      </c>
      <c r="N28">
        <v>71.306472778320313</v>
      </c>
      <c r="O28">
        <v>71.794868469238281</v>
      </c>
      <c r="P28">
        <v>73.74847412109375</v>
      </c>
      <c r="Q28">
        <v>77.655677795410156</v>
      </c>
      <c r="R28">
        <v>77.655677795410156</v>
      </c>
      <c r="S28">
        <v>76.190475463867187</v>
      </c>
      <c r="T28">
        <v>65.934066772460938</v>
      </c>
      <c r="U28">
        <v>42.490840911865234</v>
      </c>
      <c r="V28">
        <v>60.073261260986328</v>
      </c>
      <c r="W28">
        <v>46.398044586181641</v>
      </c>
      <c r="X28">
        <v>27.350427627563477</v>
      </c>
      <c r="Y28">
        <v>3.9072039127349854</v>
      </c>
      <c r="Z28">
        <v>1.4652014970779419</v>
      </c>
      <c r="AJ28" s="1"/>
      <c r="AL28" s="1"/>
    </row>
    <row r="29" spans="1:38">
      <c r="A29">
        <f>A28+A$1</f>
        <v>435</v>
      </c>
      <c r="B29">
        <v>1.9536019563674927</v>
      </c>
      <c r="C29">
        <v>1.9536019563674927</v>
      </c>
      <c r="D29">
        <v>3.4188034534454346</v>
      </c>
      <c r="E29">
        <v>28.327228546142578</v>
      </c>
      <c r="F29">
        <v>51.770450592041016</v>
      </c>
      <c r="G29">
        <v>63.492061614990234</v>
      </c>
      <c r="H29">
        <v>61.050060272216797</v>
      </c>
      <c r="I29">
        <v>84.4932861328125</v>
      </c>
      <c r="J29">
        <v>93.772895812988281</v>
      </c>
      <c r="K29">
        <v>94.26129150390625</v>
      </c>
      <c r="L29">
        <v>94.74969482421875</v>
      </c>
      <c r="M29">
        <v>92.796089172363281</v>
      </c>
      <c r="N29">
        <v>92.307693481445313</v>
      </c>
      <c r="O29">
        <v>92.796089172363281</v>
      </c>
      <c r="P29">
        <v>94.26129150390625</v>
      </c>
      <c r="Q29">
        <v>95.726493835449219</v>
      </c>
      <c r="R29">
        <v>92.307693481445313</v>
      </c>
      <c r="S29">
        <v>87.423690795898438</v>
      </c>
      <c r="T29">
        <v>58.119659423828125</v>
      </c>
      <c r="U29">
        <v>63.492061614990234</v>
      </c>
      <c r="V29">
        <v>67.399269104003906</v>
      </c>
      <c r="W29">
        <v>55.677654266357422</v>
      </c>
      <c r="X29">
        <v>29.792428970336914</v>
      </c>
      <c r="Y29">
        <v>4.884005069732666</v>
      </c>
      <c r="Z29">
        <v>1.9536019563674927</v>
      </c>
      <c r="AJ29" s="1"/>
      <c r="AL29" s="1"/>
    </row>
    <row r="30" spans="1:38">
      <c r="A30">
        <f>A29+A$1</f>
        <v>440</v>
      </c>
      <c r="B30">
        <v>1.9536019563674927</v>
      </c>
      <c r="C30">
        <v>2.442002534866333</v>
      </c>
      <c r="D30">
        <v>3.9072039127349854</v>
      </c>
      <c r="E30">
        <v>32.234432220458984</v>
      </c>
      <c r="F30">
        <v>57.142856597900391</v>
      </c>
      <c r="G30">
        <v>83.028083801269531</v>
      </c>
      <c r="H30">
        <v>69.352867126464844</v>
      </c>
      <c r="I30">
        <v>81.074478149414063</v>
      </c>
      <c r="J30">
        <v>105.4945068359375</v>
      </c>
      <c r="K30">
        <v>111.35530853271484</v>
      </c>
      <c r="L30">
        <v>114.28571319580078</v>
      </c>
      <c r="M30">
        <v>114.28571319580078</v>
      </c>
      <c r="N30">
        <v>114.28571319580078</v>
      </c>
      <c r="O30">
        <v>114.28571319580078</v>
      </c>
      <c r="P30">
        <v>113.79731750488281</v>
      </c>
      <c r="Q30">
        <v>112.82051086425781</v>
      </c>
      <c r="R30">
        <v>106.95970916748047</v>
      </c>
      <c r="S30">
        <v>82.051284790039062</v>
      </c>
      <c r="T30">
        <v>63.980464935302734</v>
      </c>
      <c r="U30">
        <v>89.865692138671875</v>
      </c>
      <c r="V30">
        <v>71.306472778320313</v>
      </c>
      <c r="W30">
        <v>64.468864440917969</v>
      </c>
      <c r="X30">
        <v>34.676433563232422</v>
      </c>
      <c r="Y30">
        <v>5.8608059883117676</v>
      </c>
      <c r="Z30">
        <v>1.9536019563674927</v>
      </c>
      <c r="AJ30" s="1"/>
      <c r="AL30" s="1"/>
    </row>
    <row r="31" spans="1:38">
      <c r="A31">
        <f>A30+A$1</f>
        <v>445</v>
      </c>
      <c r="B31">
        <v>1.9536019563674927</v>
      </c>
      <c r="C31">
        <v>2.442002534866333</v>
      </c>
      <c r="D31">
        <v>4.3956046104431152</v>
      </c>
      <c r="E31">
        <v>34.676433563232422</v>
      </c>
      <c r="F31">
        <v>63.980464935302734</v>
      </c>
      <c r="G31">
        <v>93.772895812988281</v>
      </c>
      <c r="H31">
        <v>94.26129150390625</v>
      </c>
      <c r="I31">
        <v>79.120880126953125</v>
      </c>
      <c r="J31">
        <v>103.05250549316406</v>
      </c>
      <c r="K31">
        <v>123.07691955566406</v>
      </c>
      <c r="L31">
        <v>131.86813354492187</v>
      </c>
      <c r="M31">
        <v>132.84494018554687</v>
      </c>
      <c r="N31">
        <v>132.84494018554687</v>
      </c>
      <c r="O31">
        <v>132.35653686523437</v>
      </c>
      <c r="P31">
        <v>130.40292358398438</v>
      </c>
      <c r="Q31">
        <v>127.96092987060547</v>
      </c>
      <c r="R31">
        <v>105.006103515625</v>
      </c>
      <c r="S31">
        <v>71.794868469238281</v>
      </c>
      <c r="T31">
        <v>96.703300476074219</v>
      </c>
      <c r="U31">
        <v>96.214897155761719</v>
      </c>
      <c r="V31">
        <v>83.028083801269531</v>
      </c>
      <c r="W31">
        <v>67.399269104003906</v>
      </c>
      <c r="X31">
        <v>47.374847412109375</v>
      </c>
      <c r="Y31">
        <v>6.3492064476013184</v>
      </c>
      <c r="Z31">
        <v>2.442002534866333</v>
      </c>
      <c r="AJ31" s="1"/>
      <c r="AL31" s="1"/>
    </row>
    <row r="32" spans="1:38">
      <c r="A32">
        <f>A31+A$1</f>
        <v>450</v>
      </c>
      <c r="B32">
        <v>2.442002534866333</v>
      </c>
      <c r="C32">
        <v>2.9304029941558838</v>
      </c>
      <c r="D32">
        <v>4.884005069732666</v>
      </c>
      <c r="E32">
        <v>39.072040557861328</v>
      </c>
      <c r="F32">
        <v>70.818069458007812</v>
      </c>
      <c r="G32">
        <v>100.12210083007812</v>
      </c>
      <c r="H32">
        <v>117.70452117919922</v>
      </c>
      <c r="I32">
        <v>99.633697509765625</v>
      </c>
      <c r="J32">
        <v>94.26129150390625</v>
      </c>
      <c r="K32">
        <v>119.65811920166016</v>
      </c>
      <c r="L32">
        <v>141.14773559570312</v>
      </c>
      <c r="M32">
        <v>147.9853515625</v>
      </c>
      <c r="N32">
        <v>149.45054626464844</v>
      </c>
      <c r="O32">
        <v>148.4737548828125</v>
      </c>
      <c r="P32">
        <v>143.10134887695312</v>
      </c>
      <c r="Q32">
        <v>125.03052520751953</v>
      </c>
      <c r="R32">
        <v>87.912086486816406</v>
      </c>
      <c r="S32">
        <v>96.703300476074219</v>
      </c>
      <c r="T32">
        <v>124.05372619628906</v>
      </c>
      <c r="U32">
        <v>98.656898498535156</v>
      </c>
      <c r="V32">
        <v>94.26129150390625</v>
      </c>
      <c r="W32">
        <v>72.771675109863281</v>
      </c>
      <c r="X32">
        <v>59.584857940673828</v>
      </c>
      <c r="Y32">
        <v>6.8376069068908691</v>
      </c>
      <c r="Z32">
        <v>2.9304029941558838</v>
      </c>
      <c r="AJ32" s="1"/>
      <c r="AL32" s="1"/>
    </row>
    <row r="33" spans="1:38">
      <c r="A33">
        <f>A32+A$1</f>
        <v>455</v>
      </c>
      <c r="B33">
        <v>2.442002534866333</v>
      </c>
      <c r="C33">
        <v>2.9304029941558838</v>
      </c>
      <c r="D33">
        <v>5.8608059883117676</v>
      </c>
      <c r="E33">
        <v>48.351650238037109</v>
      </c>
      <c r="F33">
        <v>76.678878784179687</v>
      </c>
      <c r="G33">
        <v>112.33211517333984</v>
      </c>
      <c r="H33">
        <v>128.93772888183594</v>
      </c>
      <c r="I33">
        <v>135.77532958984375</v>
      </c>
      <c r="J33">
        <v>109.89010620117187</v>
      </c>
      <c r="K33">
        <v>107.93650817871094</v>
      </c>
      <c r="L33">
        <v>133.33332824707031</v>
      </c>
      <c r="M33">
        <v>149.45054626464844</v>
      </c>
      <c r="N33">
        <v>155.79975891113281</v>
      </c>
      <c r="O33">
        <v>151.89254760742187</v>
      </c>
      <c r="P33">
        <v>133.33332824707031</v>
      </c>
      <c r="Q33">
        <v>105.4945068359375</v>
      </c>
      <c r="R33">
        <v>104.02930450439453</v>
      </c>
      <c r="S33">
        <v>141.14773559570312</v>
      </c>
      <c r="T33">
        <v>128.93772888183594</v>
      </c>
      <c r="U33">
        <v>115.75091552734375</v>
      </c>
      <c r="V33">
        <v>99.145301818847656</v>
      </c>
      <c r="W33">
        <v>97.680099487304688</v>
      </c>
      <c r="X33">
        <v>63.492061614990234</v>
      </c>
      <c r="Y33">
        <v>8.3028087615966797</v>
      </c>
      <c r="Z33">
        <v>2.9304029941558838</v>
      </c>
      <c r="AJ33" s="1"/>
      <c r="AL33" s="1"/>
    </row>
    <row r="34" spans="1:38">
      <c r="A34">
        <f>A33+A$1</f>
        <v>460</v>
      </c>
      <c r="B34">
        <v>2.9304029941558838</v>
      </c>
      <c r="C34">
        <v>3.4188034534454346</v>
      </c>
      <c r="D34">
        <v>6.8376069068908691</v>
      </c>
      <c r="E34">
        <v>63.003662109375</v>
      </c>
      <c r="F34">
        <v>88.400489807128906</v>
      </c>
      <c r="G34">
        <v>129.42613220214844</v>
      </c>
      <c r="H34">
        <v>142.12454223632812</v>
      </c>
      <c r="I34">
        <v>162.14895629882812</v>
      </c>
      <c r="J34">
        <v>159.21855163574219</v>
      </c>
      <c r="K34">
        <v>129.42613220214844</v>
      </c>
      <c r="L34">
        <v>125.03052520751953</v>
      </c>
      <c r="M34">
        <v>133.33332824707031</v>
      </c>
      <c r="N34">
        <v>139.19413757324219</v>
      </c>
      <c r="O34">
        <v>132.35653686523437</v>
      </c>
      <c r="P34">
        <v>119.16971588134766</v>
      </c>
      <c r="Q34">
        <v>126.4957275390625</v>
      </c>
      <c r="R34">
        <v>161.66056823730469</v>
      </c>
      <c r="S34">
        <v>166.54457092285156</v>
      </c>
      <c r="T34">
        <v>138.70573425292969</v>
      </c>
      <c r="U34">
        <v>135.77532958984375</v>
      </c>
      <c r="V34">
        <v>108.42491149902344</v>
      </c>
      <c r="W34">
        <v>134.31013488769531</v>
      </c>
      <c r="X34">
        <v>64.957267761230469</v>
      </c>
      <c r="Y34">
        <v>10.256410598754883</v>
      </c>
      <c r="Z34">
        <v>3.4188034534454346</v>
      </c>
      <c r="AJ34" s="1"/>
      <c r="AL34" s="1"/>
    </row>
    <row r="35" spans="1:38">
      <c r="A35">
        <f>A34+A$1</f>
        <v>465</v>
      </c>
      <c r="B35">
        <v>3.4188034534454346</v>
      </c>
      <c r="C35">
        <v>3.9072039127349854</v>
      </c>
      <c r="D35">
        <v>7.8144078254699707</v>
      </c>
      <c r="E35">
        <v>75.702072143554688</v>
      </c>
      <c r="F35">
        <v>113.30891418457031</v>
      </c>
      <c r="G35">
        <v>144.07814025878906</v>
      </c>
      <c r="H35">
        <v>166.54457092285156</v>
      </c>
      <c r="I35">
        <v>177.28938293457031</v>
      </c>
      <c r="J35">
        <v>202.19779968261719</v>
      </c>
      <c r="K35">
        <v>190.96458435058594</v>
      </c>
      <c r="L35">
        <v>164.59095764160156</v>
      </c>
      <c r="M35">
        <v>148.96214294433594</v>
      </c>
      <c r="N35">
        <v>145.05494689941406</v>
      </c>
      <c r="O35">
        <v>146.03175354003906</v>
      </c>
      <c r="P35">
        <v>160.68376159667969</v>
      </c>
      <c r="Q35">
        <v>195.36019897460937</v>
      </c>
      <c r="R35">
        <v>208.54701232910156</v>
      </c>
      <c r="S35">
        <v>172.89376831054687</v>
      </c>
      <c r="T35">
        <v>170.45176696777344</v>
      </c>
      <c r="U35">
        <v>148.4737548828125</v>
      </c>
      <c r="V35">
        <v>145.54335021972656</v>
      </c>
      <c r="W35">
        <v>156.28816223144531</v>
      </c>
      <c r="X35">
        <v>80.586082458496094</v>
      </c>
      <c r="Y35">
        <v>12.210012435913086</v>
      </c>
      <c r="Z35">
        <v>4.3956046104431152</v>
      </c>
      <c r="AJ35" s="1"/>
      <c r="AL35" s="1"/>
    </row>
    <row r="36" spans="1:38">
      <c r="A36">
        <f>A35+A$1</f>
        <v>470</v>
      </c>
      <c r="B36">
        <v>3.9072039127349854</v>
      </c>
      <c r="C36">
        <v>4.884005069732666</v>
      </c>
      <c r="D36">
        <v>9.2796096801757812</v>
      </c>
      <c r="E36">
        <v>84.0048828125</v>
      </c>
      <c r="F36">
        <v>149.45054626464844</v>
      </c>
      <c r="G36">
        <v>166.54457092285156</v>
      </c>
      <c r="H36">
        <v>192.42979431152344</v>
      </c>
      <c r="I36">
        <v>201.70939636230469</v>
      </c>
      <c r="J36">
        <v>221.24542236328125</v>
      </c>
      <c r="K36">
        <v>243.22344970703125</v>
      </c>
      <c r="L36">
        <v>240.29304504394531</v>
      </c>
      <c r="M36">
        <v>221.24542236328125</v>
      </c>
      <c r="N36">
        <v>212.94261169433594</v>
      </c>
      <c r="O36">
        <v>221.73382568359375</v>
      </c>
      <c r="P36">
        <v>242.24664306640625</v>
      </c>
      <c r="Q36">
        <v>255.43345642089844</v>
      </c>
      <c r="R36">
        <v>219.29182434082031</v>
      </c>
      <c r="S36">
        <v>198.29060363769531</v>
      </c>
      <c r="T36">
        <v>196.82539367675781</v>
      </c>
      <c r="U36">
        <v>162.14895629882812</v>
      </c>
      <c r="V36">
        <v>202.68620300292969</v>
      </c>
      <c r="W36">
        <v>161.66056823730469</v>
      </c>
      <c r="X36">
        <v>106.95970916748047</v>
      </c>
      <c r="Y36">
        <v>14.65201473236084</v>
      </c>
      <c r="Z36">
        <v>4.884005069732666</v>
      </c>
      <c r="AJ36" s="1"/>
      <c r="AL36" s="1"/>
    </row>
    <row r="37" spans="1:38">
      <c r="A37">
        <f>A36+A$1</f>
        <v>475</v>
      </c>
      <c r="B37">
        <v>3.9072039127349854</v>
      </c>
      <c r="C37">
        <v>5.3724055290222168</v>
      </c>
      <c r="D37">
        <v>10.744811058044434</v>
      </c>
      <c r="E37">
        <v>93.772895812988281</v>
      </c>
      <c r="F37">
        <v>176.80097961425781</v>
      </c>
      <c r="G37">
        <v>207.08180236816406</v>
      </c>
      <c r="H37">
        <v>206.59339904785156</v>
      </c>
      <c r="I37">
        <v>231.5018310546875</v>
      </c>
      <c r="J37">
        <v>237.36264038085937</v>
      </c>
      <c r="K37">
        <v>259.34066772460937</v>
      </c>
      <c r="L37">
        <v>289.13308715820312</v>
      </c>
      <c r="M37">
        <v>292.06350708007812</v>
      </c>
      <c r="N37">
        <v>292.06350708007812</v>
      </c>
      <c r="O37">
        <v>295.4822998046875</v>
      </c>
      <c r="P37">
        <v>292.5518798828125</v>
      </c>
      <c r="Q37">
        <v>264.22467041015625</v>
      </c>
      <c r="R37">
        <v>228.57142639160156</v>
      </c>
      <c r="S37">
        <v>236.87423706054687</v>
      </c>
      <c r="T37">
        <v>209.03541564941406</v>
      </c>
      <c r="U37">
        <v>203.66300964355469</v>
      </c>
      <c r="V37">
        <v>238.33943176269531</v>
      </c>
      <c r="W37">
        <v>174.35897827148437</v>
      </c>
      <c r="X37">
        <v>126.98412322998047</v>
      </c>
      <c r="Y37">
        <v>16.117216110229492</v>
      </c>
      <c r="Z37">
        <v>5.8608059883117676</v>
      </c>
      <c r="AJ37" s="1"/>
      <c r="AL37" s="1"/>
    </row>
    <row r="38" spans="1:38">
      <c r="A38">
        <f>A37+A$1</f>
        <v>480</v>
      </c>
      <c r="B38">
        <v>4.3956046104431152</v>
      </c>
      <c r="C38">
        <v>5.8608059883117676</v>
      </c>
      <c r="D38">
        <v>12.210012435913086</v>
      </c>
      <c r="E38">
        <v>106.47130584716797</v>
      </c>
      <c r="F38">
        <v>183.15017700195312</v>
      </c>
      <c r="G38">
        <v>256.41024780273437</v>
      </c>
      <c r="H38">
        <v>222.71061706542969</v>
      </c>
      <c r="I38">
        <v>246.64224243164062</v>
      </c>
      <c r="J38">
        <v>263.73626708984375</v>
      </c>
      <c r="K38">
        <v>264.22467041015625</v>
      </c>
      <c r="L38">
        <v>288.15628051757812</v>
      </c>
      <c r="M38">
        <v>307.20391845703125</v>
      </c>
      <c r="N38">
        <v>315.9951171875</v>
      </c>
      <c r="O38">
        <v>309.64590454101562</v>
      </c>
      <c r="P38">
        <v>285.22589111328125</v>
      </c>
      <c r="Q38">
        <v>261.78265380859375</v>
      </c>
      <c r="R38">
        <v>264.71307373046875</v>
      </c>
      <c r="S38">
        <v>248.10745239257812</v>
      </c>
      <c r="T38">
        <v>213.91941833496094</v>
      </c>
      <c r="U38">
        <v>269.59707641601562</v>
      </c>
      <c r="V38">
        <v>236.87423706054687</v>
      </c>
      <c r="W38">
        <v>218.31501770019531</v>
      </c>
      <c r="X38">
        <v>143.10134887695312</v>
      </c>
      <c r="Y38">
        <v>17.094017028808594</v>
      </c>
      <c r="Z38">
        <v>6.3492064476013184</v>
      </c>
      <c r="AJ38" s="1"/>
      <c r="AL38" s="1"/>
    </row>
    <row r="39" spans="1:38">
      <c r="A39">
        <f>A38+A$1</f>
        <v>485</v>
      </c>
      <c r="B39">
        <v>4.884005069732666</v>
      </c>
      <c r="C39">
        <v>6.3492064476013184</v>
      </c>
      <c r="D39">
        <v>13.186813354492187</v>
      </c>
      <c r="E39">
        <v>120.63491821289062</v>
      </c>
      <c r="F39">
        <v>185.10379028320312</v>
      </c>
      <c r="G39">
        <v>285.22589111328125</v>
      </c>
      <c r="H39">
        <v>260.80584716796875</v>
      </c>
      <c r="I39">
        <v>246.64224243164062</v>
      </c>
      <c r="J39">
        <v>279.36508178710937</v>
      </c>
      <c r="K39">
        <v>285.71429443359375</v>
      </c>
      <c r="L39">
        <v>290.10989379882813</v>
      </c>
      <c r="M39">
        <v>294.01708984375</v>
      </c>
      <c r="N39">
        <v>298.41268920898437</v>
      </c>
      <c r="O39">
        <v>292.06350708007812</v>
      </c>
      <c r="P39">
        <v>282.78387451171875</v>
      </c>
      <c r="Q39">
        <v>293.5286865234375</v>
      </c>
      <c r="R39">
        <v>279.36508178710937</v>
      </c>
      <c r="S39">
        <v>246.15383911132812</v>
      </c>
      <c r="T39">
        <v>254.45664978027344</v>
      </c>
      <c r="U39">
        <v>302.31991577148437</v>
      </c>
      <c r="V39">
        <v>224.17582702636719</v>
      </c>
      <c r="W39">
        <v>248.10745239257812</v>
      </c>
      <c r="X39">
        <v>154.82295227050781</v>
      </c>
      <c r="Y39">
        <v>17.582418441772461</v>
      </c>
      <c r="Z39">
        <v>6.3492064476013184</v>
      </c>
      <c r="AJ39" s="1"/>
      <c r="AL39" s="1"/>
    </row>
    <row r="40" spans="1:38">
      <c r="A40">
        <f>A39+A$1</f>
        <v>490</v>
      </c>
      <c r="B40">
        <v>4.884005069732666</v>
      </c>
      <c r="C40">
        <v>6.8376069068908691</v>
      </c>
      <c r="D40">
        <v>14.163614273071289</v>
      </c>
      <c r="E40">
        <v>133.82173156738281</v>
      </c>
      <c r="F40">
        <v>204.15139770507812</v>
      </c>
      <c r="G40">
        <v>285.22589111328125</v>
      </c>
      <c r="H40">
        <v>317.4603271484375</v>
      </c>
      <c r="I40">
        <v>268.13186645507812</v>
      </c>
      <c r="J40">
        <v>280.34188842773437</v>
      </c>
      <c r="K40">
        <v>305.73870849609375</v>
      </c>
      <c r="L40">
        <v>318.92550659179687</v>
      </c>
      <c r="M40">
        <v>314.04150390625</v>
      </c>
      <c r="N40">
        <v>314.04150390625</v>
      </c>
      <c r="O40">
        <v>315.018310546875</v>
      </c>
      <c r="P40">
        <v>319.90231323242187</v>
      </c>
      <c r="Q40">
        <v>314.04150390625</v>
      </c>
      <c r="R40">
        <v>279.36508178710937</v>
      </c>
      <c r="S40">
        <v>253.4798583984375</v>
      </c>
      <c r="T40">
        <v>327.71673583984375</v>
      </c>
      <c r="U40">
        <v>295.970703125</v>
      </c>
      <c r="V40">
        <v>264.71307373046875</v>
      </c>
      <c r="W40">
        <v>268.13186645507812</v>
      </c>
      <c r="X40">
        <v>160.19535827636719</v>
      </c>
      <c r="Y40">
        <v>18.559219360351562</v>
      </c>
      <c r="Z40">
        <v>6.8376069068908691</v>
      </c>
      <c r="AJ40" s="1"/>
      <c r="AL40" s="1"/>
    </row>
    <row r="41" spans="1:38">
      <c r="A41">
        <f>A40+A$1</f>
        <v>495</v>
      </c>
      <c r="B41">
        <v>5.3724055290222168</v>
      </c>
      <c r="C41">
        <v>7.3260073661804199</v>
      </c>
      <c r="D41">
        <v>15.628815650939941</v>
      </c>
      <c r="E41">
        <v>150.91575622558594</v>
      </c>
      <c r="F41">
        <v>239.80464172363281</v>
      </c>
      <c r="G41">
        <v>294.5054931640625</v>
      </c>
      <c r="H41">
        <v>360.92794799804687</v>
      </c>
      <c r="I41">
        <v>334.06594848632812</v>
      </c>
      <c r="J41">
        <v>295.970703125</v>
      </c>
      <c r="K41">
        <v>315.9951171875</v>
      </c>
      <c r="L41">
        <v>345.78753662109375</v>
      </c>
      <c r="M41">
        <v>353.11355590820312</v>
      </c>
      <c r="N41">
        <v>357.5091552734375</v>
      </c>
      <c r="O41">
        <v>356.0439453125</v>
      </c>
      <c r="P41">
        <v>345.29913330078125</v>
      </c>
      <c r="Q41">
        <v>323.32113647460937</v>
      </c>
      <c r="R41">
        <v>285.22589111328125</v>
      </c>
      <c r="S41">
        <v>332.11233520507812</v>
      </c>
      <c r="T41">
        <v>373.13796997070312</v>
      </c>
      <c r="U41">
        <v>284.24908447265625</v>
      </c>
      <c r="V41">
        <v>322.34432983398437</v>
      </c>
      <c r="W41">
        <v>308.66909790039062</v>
      </c>
      <c r="X41">
        <v>164.59095764160156</v>
      </c>
      <c r="Y41">
        <v>21.001220703125</v>
      </c>
      <c r="Z41">
        <v>7.3260073661804199</v>
      </c>
      <c r="AJ41" s="1"/>
      <c r="AL41" s="1"/>
    </row>
    <row r="42" spans="1:38">
      <c r="A42">
        <f>A41+A$1</f>
        <v>500</v>
      </c>
      <c r="B42">
        <v>5.8608059883117676</v>
      </c>
      <c r="C42">
        <v>8.3028087615966797</v>
      </c>
      <c r="D42">
        <v>17.094017028808594</v>
      </c>
      <c r="E42">
        <v>170.94017028808594</v>
      </c>
      <c r="F42">
        <v>282.29547119140625</v>
      </c>
      <c r="G42">
        <v>342.36874389648438</v>
      </c>
      <c r="H42">
        <v>377.045166015625</v>
      </c>
      <c r="I42">
        <v>419.5360107421875</v>
      </c>
      <c r="J42">
        <v>363.85836791992187</v>
      </c>
      <c r="K42">
        <v>337.4847412109375</v>
      </c>
      <c r="L42">
        <v>363.85836791992187</v>
      </c>
      <c r="M42">
        <v>379.9755859375</v>
      </c>
      <c r="N42">
        <v>385.83639526367187</v>
      </c>
      <c r="O42">
        <v>380.4639892578125</v>
      </c>
      <c r="P42">
        <v>363.85836791992187</v>
      </c>
      <c r="Q42">
        <v>337.4847412109375</v>
      </c>
      <c r="R42">
        <v>351.15994262695312</v>
      </c>
      <c r="S42">
        <v>430.76922607421875</v>
      </c>
      <c r="T42">
        <v>385.34799194335937</v>
      </c>
      <c r="U42">
        <v>341.39193725585937</v>
      </c>
      <c r="V42">
        <v>365.81195068359375</v>
      </c>
      <c r="W42">
        <v>348.71795654296875</v>
      </c>
      <c r="X42">
        <v>182.17338562011719</v>
      </c>
      <c r="Y42">
        <v>24.420024871826172</v>
      </c>
      <c r="Z42">
        <v>8.3028087615966797</v>
      </c>
      <c r="AJ42" s="1"/>
      <c r="AL42" s="1"/>
    </row>
    <row r="43" spans="1:38">
      <c r="A43">
        <f>A42+A$1</f>
        <v>505</v>
      </c>
      <c r="B43">
        <v>6.8376069068908691</v>
      </c>
      <c r="C43">
        <v>9.2796096801757812</v>
      </c>
      <c r="D43">
        <v>18.559219360351562</v>
      </c>
      <c r="E43">
        <v>187.54579162597656</v>
      </c>
      <c r="F43">
        <v>329.67031860351562</v>
      </c>
      <c r="G43">
        <v>419.047607421875</v>
      </c>
      <c r="H43">
        <v>399.023193359375</v>
      </c>
      <c r="I43">
        <v>474.23687744140625</v>
      </c>
      <c r="J43">
        <v>475.70208740234375</v>
      </c>
      <c r="K43">
        <v>409.27960205078125</v>
      </c>
      <c r="L43">
        <v>395.11599731445312</v>
      </c>
      <c r="M43">
        <v>400.976806640625</v>
      </c>
      <c r="N43">
        <v>407.81442260742187</v>
      </c>
      <c r="O43">
        <v>401.4652099609375</v>
      </c>
      <c r="P43">
        <v>385.83639526367187</v>
      </c>
      <c r="Q43">
        <v>402.93038940429687</v>
      </c>
      <c r="R43">
        <v>479.12088012695312</v>
      </c>
      <c r="S43">
        <v>484.981689453125</v>
      </c>
      <c r="T43">
        <v>380.4639892578125</v>
      </c>
      <c r="U43">
        <v>439.07205200195312</v>
      </c>
      <c r="V43">
        <v>432.72283935546875</v>
      </c>
      <c r="W43">
        <v>374.60317993164062</v>
      </c>
      <c r="X43">
        <v>218.31501770019531</v>
      </c>
      <c r="Y43">
        <v>27.838827133178711</v>
      </c>
      <c r="Z43">
        <v>9.768010139465332</v>
      </c>
      <c r="AJ43" s="1"/>
      <c r="AL43" s="1"/>
    </row>
    <row r="44" spans="1:38">
      <c r="A44">
        <f>A43+A$1</f>
        <v>510</v>
      </c>
      <c r="B44">
        <v>7.8144078254699707</v>
      </c>
      <c r="C44">
        <v>10.256410598754883</v>
      </c>
      <c r="D44">
        <v>21.489622116088867</v>
      </c>
      <c r="E44">
        <v>202.19779968261719</v>
      </c>
      <c r="F44">
        <v>377.045166015625</v>
      </c>
      <c r="G44">
        <v>493.77288818359375</v>
      </c>
      <c r="H44">
        <v>464.4688720703125</v>
      </c>
      <c r="I44">
        <v>485.4700927734375</v>
      </c>
      <c r="J44">
        <v>562.14898681640625</v>
      </c>
      <c r="K44">
        <v>532.84490966796875</v>
      </c>
      <c r="L44">
        <v>483.028076171875</v>
      </c>
      <c r="M44">
        <v>452.25885009765625</v>
      </c>
      <c r="N44">
        <v>445.90963745117187</v>
      </c>
      <c r="O44">
        <v>447.86325073242187</v>
      </c>
      <c r="P44">
        <v>473.74847412109375</v>
      </c>
      <c r="Q44">
        <v>547.008544921875</v>
      </c>
      <c r="R44">
        <v>566.05615234375</v>
      </c>
      <c r="S44">
        <v>487.91207885742187</v>
      </c>
      <c r="T44">
        <v>452.25885009765625</v>
      </c>
      <c r="U44">
        <v>496.70330810546875</v>
      </c>
      <c r="V44">
        <v>499.63369750976562</v>
      </c>
      <c r="W44">
        <v>387.30157470703125</v>
      </c>
      <c r="X44">
        <v>251.03785705566406</v>
      </c>
      <c r="Y44">
        <v>30.769229888916016</v>
      </c>
      <c r="Z44">
        <v>10.744811058044434</v>
      </c>
      <c r="AJ44" s="1"/>
      <c r="AL44" s="1"/>
    </row>
    <row r="45" spans="1:38">
      <c r="A45">
        <f>A44+A$1</f>
        <v>515</v>
      </c>
      <c r="B45">
        <v>8.3028087615966797</v>
      </c>
      <c r="C45">
        <v>11.721611976623535</v>
      </c>
      <c r="D45">
        <v>24.420024871826172</v>
      </c>
      <c r="E45">
        <v>223.19902038574219</v>
      </c>
      <c r="F45">
        <v>405.37240600585937</v>
      </c>
      <c r="G45">
        <v>558.24176025390625</v>
      </c>
      <c r="H45">
        <v>554.33453369140625</v>
      </c>
      <c r="I45">
        <v>505.98291015625</v>
      </c>
      <c r="J45">
        <v>583.63861083984375</v>
      </c>
      <c r="K45">
        <v>631.5018310546875</v>
      </c>
      <c r="L45">
        <v>619.29180908203125</v>
      </c>
      <c r="M45">
        <v>575.82415771484375</v>
      </c>
      <c r="N45">
        <v>561.17218017578125</v>
      </c>
      <c r="O45">
        <v>578.26617431640625</v>
      </c>
      <c r="P45">
        <v>620.26861572265625</v>
      </c>
      <c r="Q45">
        <v>651.037841796875</v>
      </c>
      <c r="R45">
        <v>587.5457763671875</v>
      </c>
      <c r="S45">
        <v>477.16726684570312</v>
      </c>
      <c r="T45">
        <v>568.986572265625</v>
      </c>
      <c r="U45">
        <v>561.17218017578125</v>
      </c>
      <c r="V45">
        <v>532.84490966796875</v>
      </c>
      <c r="W45">
        <v>433.69964599609375</v>
      </c>
      <c r="X45">
        <v>279.36508178710937</v>
      </c>
      <c r="Y45">
        <v>33.699634552001953</v>
      </c>
      <c r="Z45">
        <v>12.210012435913086</v>
      </c>
      <c r="AJ45" s="1"/>
      <c r="AL45" s="1"/>
    </row>
    <row r="46" spans="1:38">
      <c r="A46">
        <f>A45+A$1</f>
        <v>520</v>
      </c>
      <c r="B46">
        <v>8.7912092208862305</v>
      </c>
      <c r="C46">
        <v>12.698412895202637</v>
      </c>
      <c r="D46">
        <v>26.862026214599609</v>
      </c>
      <c r="E46">
        <v>250.54945373535156</v>
      </c>
      <c r="F46">
        <v>414.65200805664062</v>
      </c>
      <c r="G46">
        <v>616.36138916015625</v>
      </c>
      <c r="H46">
        <v>627.106201171875</v>
      </c>
      <c r="I46">
        <v>576.31256103515625</v>
      </c>
      <c r="J46">
        <v>571.4285888671875</v>
      </c>
      <c r="K46">
        <v>655.4334716796875</v>
      </c>
      <c r="L46">
        <v>707.20391845703125</v>
      </c>
      <c r="M46">
        <v>699.3895263671875</v>
      </c>
      <c r="N46">
        <v>696.947509765625</v>
      </c>
      <c r="O46">
        <v>705.73870849609375</v>
      </c>
      <c r="P46">
        <v>707.69232177734375</v>
      </c>
      <c r="Q46">
        <v>675.4578857421875</v>
      </c>
      <c r="R46">
        <v>551.4041748046875</v>
      </c>
      <c r="S46">
        <v>567.032958984375</v>
      </c>
      <c r="T46">
        <v>622.22222900390625</v>
      </c>
      <c r="U46">
        <v>633.94384765625</v>
      </c>
      <c r="V46">
        <v>529.91455078125</v>
      </c>
      <c r="W46">
        <v>500.12210083007812</v>
      </c>
      <c r="X46">
        <v>301.83151245117187</v>
      </c>
      <c r="Y46">
        <v>37.118438720703125</v>
      </c>
      <c r="Z46">
        <v>13.186813354492187</v>
      </c>
      <c r="AJ46" s="1"/>
      <c r="AL46" s="1"/>
    </row>
    <row r="47" spans="1:38">
      <c r="A47">
        <f>A46+A$1</f>
        <v>525</v>
      </c>
      <c r="B47">
        <v>9.2796096801757812</v>
      </c>
      <c r="C47">
        <v>13.186813354492187</v>
      </c>
      <c r="D47">
        <v>29.30402946472168</v>
      </c>
      <c r="E47">
        <v>277.89987182617187</v>
      </c>
      <c r="F47">
        <v>426.86203002929687</v>
      </c>
      <c r="G47">
        <v>645.66546630859375</v>
      </c>
      <c r="H47">
        <v>683.27227783203125</v>
      </c>
      <c r="I47">
        <v>666.17828369140625</v>
      </c>
      <c r="J47">
        <v>600.24420166015625</v>
      </c>
      <c r="K47">
        <v>622.22222900390625</v>
      </c>
      <c r="L47">
        <v>711.111083984375</v>
      </c>
      <c r="M47">
        <v>743.83392333984375</v>
      </c>
      <c r="N47">
        <v>755.067138671875</v>
      </c>
      <c r="O47">
        <v>748.22955322265625</v>
      </c>
      <c r="P47">
        <v>712.5762939453125</v>
      </c>
      <c r="Q47">
        <v>629.059814453125</v>
      </c>
      <c r="R47">
        <v>568.4981689453125</v>
      </c>
      <c r="S47">
        <v>678.876708984375</v>
      </c>
      <c r="T47">
        <v>673.5042724609375</v>
      </c>
      <c r="U47">
        <v>665.20147705078125</v>
      </c>
      <c r="V47">
        <v>534.79852294921875</v>
      </c>
      <c r="W47">
        <v>539.68255615234375</v>
      </c>
      <c r="X47">
        <v>308.18069458007813</v>
      </c>
      <c r="Y47">
        <v>39.560440063476563</v>
      </c>
      <c r="Z47">
        <v>13.675213813781738</v>
      </c>
      <c r="AJ47" s="1"/>
      <c r="AL47" s="1"/>
    </row>
    <row r="48" spans="1:38">
      <c r="A48">
        <f>A47+A$1</f>
        <v>530</v>
      </c>
      <c r="B48">
        <v>9.768010139465332</v>
      </c>
      <c r="C48">
        <v>14.163614273071289</v>
      </c>
      <c r="D48">
        <v>30.280830383300781</v>
      </c>
      <c r="E48">
        <v>293.5286865234375</v>
      </c>
      <c r="F48">
        <v>453.72406005859375</v>
      </c>
      <c r="G48">
        <v>636.87420654296875</v>
      </c>
      <c r="H48">
        <v>731.13555908203125</v>
      </c>
      <c r="I48">
        <v>719.90234375</v>
      </c>
      <c r="J48">
        <v>688.15631103515625</v>
      </c>
      <c r="K48">
        <v>623.68743896484375</v>
      </c>
      <c r="L48">
        <v>661.29425048828125</v>
      </c>
      <c r="M48">
        <v>707.20391845703125</v>
      </c>
      <c r="N48">
        <v>727.22833251953125</v>
      </c>
      <c r="O48">
        <v>710.13433837890625</v>
      </c>
      <c r="P48">
        <v>650.5494384765625</v>
      </c>
      <c r="Q48">
        <v>607.081787109375</v>
      </c>
      <c r="R48">
        <v>689.13311767578125</v>
      </c>
      <c r="S48">
        <v>706.71551513671875</v>
      </c>
      <c r="T48">
        <v>736.01953125</v>
      </c>
      <c r="U48">
        <v>646.64227294921875</v>
      </c>
      <c r="V48">
        <v>591.4530029296875</v>
      </c>
      <c r="W48">
        <v>571.9169921875</v>
      </c>
      <c r="X48">
        <v>327.71673583984375</v>
      </c>
      <c r="Y48">
        <v>40.048839569091797</v>
      </c>
      <c r="Z48">
        <v>14.163614273071289</v>
      </c>
      <c r="AJ48" s="1"/>
      <c r="AL48" s="1"/>
    </row>
    <row r="49" spans="1:38">
      <c r="A49">
        <f>A48+A$1</f>
        <v>535</v>
      </c>
      <c r="B49">
        <v>9.768010139465332</v>
      </c>
      <c r="C49">
        <v>14.163614273071289</v>
      </c>
      <c r="D49">
        <v>30.769229888916016</v>
      </c>
      <c r="E49">
        <v>300.36630249023437</v>
      </c>
      <c r="F49">
        <v>488.40048217773437</v>
      </c>
      <c r="G49">
        <v>628.5714111328125</v>
      </c>
      <c r="H49">
        <v>752.62518310546875</v>
      </c>
      <c r="I49">
        <v>763.36993408203125</v>
      </c>
      <c r="J49">
        <v>757.020751953125</v>
      </c>
      <c r="K49">
        <v>706.22711181640625</v>
      </c>
      <c r="L49">
        <v>661.78265380859375</v>
      </c>
      <c r="M49">
        <v>656.4102783203125</v>
      </c>
      <c r="N49">
        <v>665.20147705078125</v>
      </c>
      <c r="O49">
        <v>649.5726318359375</v>
      </c>
      <c r="P49">
        <v>639.80462646484375</v>
      </c>
      <c r="Q49">
        <v>715.5067138671875</v>
      </c>
      <c r="R49">
        <v>752.62518310546875</v>
      </c>
      <c r="S49">
        <v>749.69476318359375</v>
      </c>
      <c r="T49">
        <v>758.974365234375</v>
      </c>
      <c r="U49">
        <v>610.989013671875</v>
      </c>
      <c r="V49">
        <v>638.82781982421875</v>
      </c>
      <c r="W49">
        <v>584.12701416015625</v>
      </c>
      <c r="X49">
        <v>359.4627685546875</v>
      </c>
      <c r="Y49">
        <v>40.537239074707031</v>
      </c>
      <c r="Z49">
        <v>14.65201473236084</v>
      </c>
      <c r="AJ49" s="1"/>
      <c r="AL49" s="1"/>
    </row>
    <row r="50" spans="1:38">
      <c r="A50">
        <f>A49+A$1</f>
        <v>540</v>
      </c>
      <c r="B50">
        <v>10.256410598754883</v>
      </c>
      <c r="C50">
        <v>14.65201473236084</v>
      </c>
      <c r="D50">
        <v>32.234432220458984</v>
      </c>
      <c r="E50">
        <v>306.22711181640625</v>
      </c>
      <c r="F50">
        <v>513.30889892578125</v>
      </c>
      <c r="G50">
        <v>651.5262451171875</v>
      </c>
      <c r="H50">
        <v>734.5543212890625</v>
      </c>
      <c r="I50">
        <v>810.25640869140625</v>
      </c>
      <c r="J50">
        <v>796.0927734375</v>
      </c>
      <c r="K50">
        <v>790.72039794921875</v>
      </c>
      <c r="L50">
        <v>761.90478515625</v>
      </c>
      <c r="M50">
        <v>711.5994873046875</v>
      </c>
      <c r="N50">
        <v>695.4822998046875</v>
      </c>
      <c r="O50">
        <v>707.20391845703125</v>
      </c>
      <c r="P50">
        <v>759.4627685546875</v>
      </c>
      <c r="Q50">
        <v>811.72161865234375</v>
      </c>
      <c r="R50">
        <v>771.67279052734375</v>
      </c>
      <c r="S50">
        <v>809.76800537109375</v>
      </c>
      <c r="T50">
        <v>738.4615478515625</v>
      </c>
      <c r="U50">
        <v>641.26983642578125</v>
      </c>
      <c r="V50">
        <v>664.22467041015625</v>
      </c>
      <c r="W50">
        <v>573.3822021484375</v>
      </c>
      <c r="X50">
        <v>366.30035400390625</v>
      </c>
      <c r="Y50">
        <v>40.048839569091797</v>
      </c>
      <c r="Z50">
        <v>15.140415191650391</v>
      </c>
      <c r="AJ50" s="1"/>
      <c r="AL50" s="1"/>
    </row>
    <row r="51" spans="1:38">
      <c r="A51">
        <f>A50+A$1</f>
        <v>545</v>
      </c>
      <c r="B51">
        <v>10.256410598754883</v>
      </c>
      <c r="C51">
        <v>15.140415191650391</v>
      </c>
      <c r="D51">
        <v>33.211235046386719</v>
      </c>
      <c r="E51">
        <v>316.4835205078125</v>
      </c>
      <c r="F51">
        <v>527.4725341796875</v>
      </c>
      <c r="G51">
        <v>698.4127197265625</v>
      </c>
      <c r="H51">
        <v>710.13433837890625</v>
      </c>
      <c r="I51">
        <v>828.81561279296875</v>
      </c>
      <c r="J51">
        <v>846.3980712890625</v>
      </c>
      <c r="K51">
        <v>829.79241943359375</v>
      </c>
      <c r="L51">
        <v>849.81683349609375</v>
      </c>
      <c r="M51">
        <v>831.74603271484375</v>
      </c>
      <c r="N51">
        <v>824.908447265625</v>
      </c>
      <c r="O51">
        <v>839.5604248046875</v>
      </c>
      <c r="P51">
        <v>851.77044677734375</v>
      </c>
      <c r="Q51">
        <v>831.74603271484375</v>
      </c>
      <c r="R51">
        <v>836.14166259765625</v>
      </c>
      <c r="S51">
        <v>829.79241943359375</v>
      </c>
      <c r="T51">
        <v>688.64471435546875</v>
      </c>
      <c r="U51">
        <v>709.64593505859375</v>
      </c>
      <c r="V51">
        <v>694.993896484375</v>
      </c>
      <c r="W51">
        <v>606.5933837890625</v>
      </c>
      <c r="X51">
        <v>359.4627685546875</v>
      </c>
      <c r="Y51">
        <v>39.072040557861328</v>
      </c>
      <c r="Z51">
        <v>15.628815650939941</v>
      </c>
      <c r="AJ51" s="1"/>
      <c r="AL51" s="1"/>
    </row>
    <row r="52" spans="1:38">
      <c r="A52">
        <f>A51+A$1</f>
        <v>550</v>
      </c>
      <c r="B52">
        <v>10.744811058044434</v>
      </c>
      <c r="C52">
        <v>15.140415191650391</v>
      </c>
      <c r="D52">
        <v>33.211235046386719</v>
      </c>
      <c r="E52">
        <v>326.25152587890625</v>
      </c>
      <c r="F52">
        <v>527.4725341796875</v>
      </c>
      <c r="G52">
        <v>734.06591796875</v>
      </c>
      <c r="H52">
        <v>715.9951171875</v>
      </c>
      <c r="I52">
        <v>793.16241455078125</v>
      </c>
      <c r="J52">
        <v>882.5396728515625</v>
      </c>
      <c r="K52">
        <v>869.84124755859375</v>
      </c>
      <c r="L52">
        <v>875.21368408203125</v>
      </c>
      <c r="M52">
        <v>875.21368408203125</v>
      </c>
      <c r="N52">
        <v>881.5628662109375</v>
      </c>
      <c r="O52">
        <v>875.70208740234375</v>
      </c>
      <c r="P52">
        <v>860.0732421875</v>
      </c>
      <c r="Q52">
        <v>879.120849609375</v>
      </c>
      <c r="R52">
        <v>878.63250732421875</v>
      </c>
      <c r="S52">
        <v>791.69720458984375</v>
      </c>
      <c r="T52">
        <v>692.0634765625</v>
      </c>
      <c r="U52">
        <v>734.5543212890625</v>
      </c>
      <c r="V52">
        <v>681.31866455078125</v>
      </c>
      <c r="W52">
        <v>653.96826171875</v>
      </c>
      <c r="X52">
        <v>358.974365234375</v>
      </c>
      <c r="Y52">
        <v>39.072040557861328</v>
      </c>
      <c r="Z52">
        <v>15.140415191650391</v>
      </c>
      <c r="AJ52" s="1"/>
      <c r="AL52" s="1"/>
    </row>
    <row r="53" spans="1:38">
      <c r="A53">
        <f>A52+A$1</f>
        <v>555</v>
      </c>
      <c r="B53">
        <v>10.744811058044434</v>
      </c>
      <c r="C53">
        <v>15.140415191650391</v>
      </c>
      <c r="D53">
        <v>32.722831726074219</v>
      </c>
      <c r="E53">
        <v>323.32113647460937</v>
      </c>
      <c r="F53">
        <v>517.70452880859375</v>
      </c>
      <c r="G53">
        <v>735.042724609375</v>
      </c>
      <c r="H53">
        <v>741.3919677734375</v>
      </c>
      <c r="I53">
        <v>738.949951171875</v>
      </c>
      <c r="J53">
        <v>852.74725341796875</v>
      </c>
      <c r="K53">
        <v>892.30767822265625</v>
      </c>
      <c r="L53">
        <v>894.74969482421875</v>
      </c>
      <c r="M53">
        <v>875.21368408203125</v>
      </c>
      <c r="N53">
        <v>873.74847412109375</v>
      </c>
      <c r="O53">
        <v>874.23687744140625</v>
      </c>
      <c r="P53">
        <v>886.4468994140625</v>
      </c>
      <c r="Q53">
        <v>909.89013671875</v>
      </c>
      <c r="R53">
        <v>848.84002685546875</v>
      </c>
      <c r="S53">
        <v>712.5762939453125</v>
      </c>
      <c r="T53">
        <v>742.36871337890625</v>
      </c>
      <c r="U53">
        <v>739.4383544921875</v>
      </c>
      <c r="V53">
        <v>646.64227294921875</v>
      </c>
      <c r="W53">
        <v>625.15264892578125</v>
      </c>
      <c r="X53">
        <v>331.62393188476562</v>
      </c>
      <c r="Y53">
        <v>40.537239074707031</v>
      </c>
      <c r="Z53">
        <v>15.140415191650391</v>
      </c>
      <c r="AJ53" s="1"/>
      <c r="AL53" s="1"/>
    </row>
    <row r="54" spans="1:38">
      <c r="A54">
        <f>A53+A$1</f>
        <v>560</v>
      </c>
      <c r="B54">
        <v>10.256410598754883</v>
      </c>
      <c r="C54">
        <v>14.65201473236084</v>
      </c>
      <c r="D54">
        <v>31.257631301879883</v>
      </c>
      <c r="E54">
        <v>303.78509521484375</v>
      </c>
      <c r="F54">
        <v>505.006103515625</v>
      </c>
      <c r="G54">
        <v>698.901123046875</v>
      </c>
      <c r="H54">
        <v>743.83392333984375</v>
      </c>
      <c r="I54">
        <v>704.76190185546875</v>
      </c>
      <c r="J54">
        <v>763.36993408203125</v>
      </c>
      <c r="K54">
        <v>850.30523681640625</v>
      </c>
      <c r="L54">
        <v>889.86566162109375</v>
      </c>
      <c r="M54">
        <v>879.120849609375</v>
      </c>
      <c r="N54">
        <v>877.16729736328125</v>
      </c>
      <c r="O54">
        <v>883.5164794921875</v>
      </c>
      <c r="P54">
        <v>887.4237060546875</v>
      </c>
      <c r="Q54">
        <v>865.93408203125</v>
      </c>
      <c r="R54">
        <v>747.74114990234375</v>
      </c>
      <c r="S54">
        <v>677.4114990234375</v>
      </c>
      <c r="T54">
        <v>738.4615478515625</v>
      </c>
      <c r="U54">
        <v>713.5531005859375</v>
      </c>
      <c r="V54">
        <v>657.87548828125</v>
      </c>
      <c r="W54">
        <v>571.9169921875</v>
      </c>
      <c r="X54">
        <v>290.59829711914062</v>
      </c>
      <c r="Y54">
        <v>40.537239074707031</v>
      </c>
      <c r="Z54">
        <v>14.65201473236084</v>
      </c>
      <c r="AJ54" s="1"/>
      <c r="AL54" s="1"/>
    </row>
    <row r="55" spans="1:38">
      <c r="A55">
        <f>A54+A$1</f>
        <v>565</v>
      </c>
      <c r="B55">
        <v>9.2796096801757812</v>
      </c>
      <c r="C55">
        <v>13.675213813781738</v>
      </c>
      <c r="D55">
        <v>28.815628051757813</v>
      </c>
      <c r="E55">
        <v>274.969482421875</v>
      </c>
      <c r="F55">
        <v>475.70208740234375</v>
      </c>
      <c r="G55">
        <v>633.4554443359375</v>
      </c>
      <c r="H55">
        <v>703.29669189453125</v>
      </c>
      <c r="I55">
        <v>684.73748779296875</v>
      </c>
      <c r="J55">
        <v>665.20147705078125</v>
      </c>
      <c r="K55">
        <v>739.9267578125</v>
      </c>
      <c r="L55">
        <v>814.16363525390625</v>
      </c>
      <c r="M55">
        <v>828.81561279296875</v>
      </c>
      <c r="N55">
        <v>836.14166259765625</v>
      </c>
      <c r="O55">
        <v>832.23443603515625</v>
      </c>
      <c r="P55">
        <v>811.23321533203125</v>
      </c>
      <c r="Q55">
        <v>749.20635986328125</v>
      </c>
      <c r="R55">
        <v>632.967041015625</v>
      </c>
      <c r="S55">
        <v>678.876708984375</v>
      </c>
      <c r="T55">
        <v>690.5982666015625</v>
      </c>
      <c r="U55">
        <v>620.75701904296875</v>
      </c>
      <c r="V55">
        <v>638.33941650390625</v>
      </c>
      <c r="W55">
        <v>526.4957275390625</v>
      </c>
      <c r="X55">
        <v>276.92306518554688</v>
      </c>
      <c r="Y55">
        <v>38.095237731933594</v>
      </c>
      <c r="Z55">
        <v>13.675213813781738</v>
      </c>
      <c r="AJ55" s="1"/>
      <c r="AL55" s="1"/>
    </row>
    <row r="56" spans="1:38">
      <c r="A56">
        <f>A55+A$1</f>
        <v>570</v>
      </c>
      <c r="B56">
        <v>8.3028087615966797</v>
      </c>
      <c r="C56">
        <v>12.210012435913086</v>
      </c>
      <c r="D56">
        <v>25.885225296020508</v>
      </c>
      <c r="E56">
        <v>240.78144836425781</v>
      </c>
      <c r="F56">
        <v>416.60562133789062</v>
      </c>
      <c r="G56">
        <v>568.4981689453125</v>
      </c>
      <c r="H56">
        <v>626.6177978515625</v>
      </c>
      <c r="I56">
        <v>637.85101318359375</v>
      </c>
      <c r="J56">
        <v>600.73260498046875</v>
      </c>
      <c r="K56">
        <v>609.5238037109375</v>
      </c>
      <c r="L56">
        <v>680.34185791015625</v>
      </c>
      <c r="M56">
        <v>713.5531005859375</v>
      </c>
      <c r="N56">
        <v>727.71673583984375</v>
      </c>
      <c r="O56">
        <v>716.4835205078125</v>
      </c>
      <c r="P56">
        <v>674.4810791015625</v>
      </c>
      <c r="Q56">
        <v>603.17462158203125</v>
      </c>
      <c r="R56">
        <v>578.75457763671875</v>
      </c>
      <c r="S56">
        <v>625.64105224609375</v>
      </c>
      <c r="T56">
        <v>624.66424560546875</v>
      </c>
      <c r="U56">
        <v>546.5201416015625</v>
      </c>
      <c r="V56">
        <v>538.21734619140625</v>
      </c>
      <c r="W56">
        <v>441.5140380859375</v>
      </c>
      <c r="X56">
        <v>280.83029174804687</v>
      </c>
      <c r="Y56">
        <v>33.211235046386719</v>
      </c>
      <c r="Z56">
        <v>12.210012435913086</v>
      </c>
      <c r="AJ56" s="1"/>
      <c r="AL56" s="1"/>
    </row>
    <row r="57" spans="1:38">
      <c r="A57">
        <f>A56+A$1</f>
        <v>575</v>
      </c>
      <c r="B57">
        <v>7.3260073661804199</v>
      </c>
      <c r="C57">
        <v>10.744811058044434</v>
      </c>
      <c r="D57">
        <v>23.44322395324707</v>
      </c>
      <c r="E57">
        <v>201.70939636230469</v>
      </c>
      <c r="F57">
        <v>336.996337890625</v>
      </c>
      <c r="G57">
        <v>501.58731079101562</v>
      </c>
      <c r="H57">
        <v>519.65814208984375</v>
      </c>
      <c r="I57">
        <v>554.33453369140625</v>
      </c>
      <c r="J57">
        <v>539.68255615234375</v>
      </c>
      <c r="K57">
        <v>508.42489624023437</v>
      </c>
      <c r="L57">
        <v>528.4493408203125</v>
      </c>
      <c r="M57">
        <v>555.31134033203125</v>
      </c>
      <c r="N57">
        <v>568.4981689453125</v>
      </c>
      <c r="O57">
        <v>552.86932373046875</v>
      </c>
      <c r="P57">
        <v>516.72772216796875</v>
      </c>
      <c r="Q57">
        <v>498.65689086914063</v>
      </c>
      <c r="R57">
        <v>526.984130859375</v>
      </c>
      <c r="S57">
        <v>532.35650634765625</v>
      </c>
      <c r="T57">
        <v>504.5177001953125</v>
      </c>
      <c r="U57">
        <v>502.07571411132813</v>
      </c>
      <c r="V57">
        <v>435.65322875976562</v>
      </c>
      <c r="W57">
        <v>335.5311279296875</v>
      </c>
      <c r="X57">
        <v>262.75946044921875</v>
      </c>
      <c r="Y57">
        <v>26.373626708984375</v>
      </c>
      <c r="Z57">
        <v>10.256410598754883</v>
      </c>
      <c r="AJ57" s="1"/>
      <c r="AL57" s="1"/>
    </row>
    <row r="58" spans="1:38">
      <c r="A58">
        <f>A57+A$1</f>
        <v>580</v>
      </c>
      <c r="B58">
        <v>5.8608059883117676</v>
      </c>
      <c r="C58">
        <v>9.2796096801757812</v>
      </c>
      <c r="D58">
        <v>21.489622116088867</v>
      </c>
      <c r="E58">
        <v>173.38217163085937</v>
      </c>
      <c r="F58">
        <v>262.75946044921875</v>
      </c>
      <c r="G58">
        <v>417.58242797851562</v>
      </c>
      <c r="H58">
        <v>421.001220703125</v>
      </c>
      <c r="I58">
        <v>454.70086669921875</v>
      </c>
      <c r="J58">
        <v>457.63125610351562</v>
      </c>
      <c r="K58">
        <v>440.048828125</v>
      </c>
      <c r="L58">
        <v>424.90841674804687</v>
      </c>
      <c r="M58">
        <v>421.4896240234375</v>
      </c>
      <c r="N58">
        <v>425.39682006835937</v>
      </c>
      <c r="O58">
        <v>417.09402465820312</v>
      </c>
      <c r="P58">
        <v>414.16360473632812</v>
      </c>
      <c r="Q58">
        <v>437.11843872070312</v>
      </c>
      <c r="R58">
        <v>436.63003540039062</v>
      </c>
      <c r="S58">
        <v>441.5140380859375</v>
      </c>
      <c r="T58">
        <v>389.25518798828125</v>
      </c>
      <c r="U58">
        <v>414.65200805664062</v>
      </c>
      <c r="V58">
        <v>355.5555419921875</v>
      </c>
      <c r="W58">
        <v>277.41146850585937</v>
      </c>
      <c r="X58">
        <v>220.26861572265625</v>
      </c>
      <c r="Y58">
        <v>20.512821197509766</v>
      </c>
      <c r="Z58">
        <v>8.3028087615966797</v>
      </c>
      <c r="AJ58" s="1"/>
      <c r="AL58" s="1"/>
    </row>
    <row r="59" spans="1:38">
      <c r="A59">
        <f>A58+A$1</f>
        <v>585</v>
      </c>
      <c r="B59">
        <v>4.884005069732666</v>
      </c>
      <c r="C59">
        <v>7.3260073661804199</v>
      </c>
      <c r="D59">
        <v>18.559219360351562</v>
      </c>
      <c r="E59">
        <v>156.77655029296875</v>
      </c>
      <c r="F59">
        <v>194.87179565429687</v>
      </c>
      <c r="G59">
        <v>324.78631591796875</v>
      </c>
      <c r="H59">
        <v>347.74114990234375</v>
      </c>
      <c r="I59">
        <v>352.62515258789063</v>
      </c>
      <c r="J59">
        <v>369.71917724609375</v>
      </c>
      <c r="K59">
        <v>365.81195068359375</v>
      </c>
      <c r="L59">
        <v>357.020751953125</v>
      </c>
      <c r="M59">
        <v>342.85714721679687</v>
      </c>
      <c r="N59">
        <v>339.4383544921875</v>
      </c>
      <c r="O59">
        <v>339.4383544921875</v>
      </c>
      <c r="P59">
        <v>352.62515258789063</v>
      </c>
      <c r="Q59">
        <v>360.4395751953125</v>
      </c>
      <c r="R59">
        <v>347.25274658203125</v>
      </c>
      <c r="S59">
        <v>332.11233520507812</v>
      </c>
      <c r="T59">
        <v>327.71673583984375</v>
      </c>
      <c r="U59">
        <v>304.27349853515625</v>
      </c>
      <c r="V59">
        <v>261.78265380859375</v>
      </c>
      <c r="W59">
        <v>255.43345642089844</v>
      </c>
      <c r="X59">
        <v>172.89376831054687</v>
      </c>
      <c r="Y59">
        <v>16.117216110229492</v>
      </c>
      <c r="Z59">
        <v>6.8376069068908691</v>
      </c>
      <c r="AJ59" s="1"/>
      <c r="AL59" s="1"/>
    </row>
    <row r="60" spans="1:38">
      <c r="A60">
        <f>A59+A$1</f>
        <v>590</v>
      </c>
      <c r="B60">
        <v>3.9072039127349854</v>
      </c>
      <c r="C60">
        <v>6.3492064476013184</v>
      </c>
      <c r="D60">
        <v>15.140415191650391</v>
      </c>
      <c r="E60">
        <v>142.12454223632812</v>
      </c>
      <c r="F60">
        <v>140.65934753417969</v>
      </c>
      <c r="G60">
        <v>248.10745239257812</v>
      </c>
      <c r="H60">
        <v>285.71429443359375</v>
      </c>
      <c r="I60">
        <v>271.5506591796875</v>
      </c>
      <c r="J60">
        <v>291.08670043945312</v>
      </c>
      <c r="K60">
        <v>294.01708984375</v>
      </c>
      <c r="L60">
        <v>294.01708984375</v>
      </c>
      <c r="M60">
        <v>288.15628051757812</v>
      </c>
      <c r="N60">
        <v>286.69110107421875</v>
      </c>
      <c r="O60">
        <v>286.69110107421875</v>
      </c>
      <c r="P60">
        <v>288.64468383789062</v>
      </c>
      <c r="Q60">
        <v>285.22589111328125</v>
      </c>
      <c r="R60">
        <v>272.0390625</v>
      </c>
      <c r="S60">
        <v>243.71183776855469</v>
      </c>
      <c r="T60">
        <v>274.969482421875</v>
      </c>
      <c r="U60">
        <v>232.96702575683594</v>
      </c>
      <c r="V60">
        <v>182.17338562011719</v>
      </c>
      <c r="W60">
        <v>226.12942504882812</v>
      </c>
      <c r="X60">
        <v>127.47252655029297</v>
      </c>
      <c r="Y60">
        <v>13.186813354492187</v>
      </c>
      <c r="Z60">
        <v>5.3724055290222168</v>
      </c>
      <c r="AJ60" s="1"/>
      <c r="AL60" s="1"/>
    </row>
    <row r="61" spans="1:38">
      <c r="A61">
        <f>A60+A$1</f>
        <v>595</v>
      </c>
      <c r="B61">
        <v>3.4188034534454346</v>
      </c>
      <c r="C61">
        <v>5.3724055290222168</v>
      </c>
      <c r="D61">
        <v>12.698412895202637</v>
      </c>
      <c r="E61">
        <v>122.58852386474609</v>
      </c>
      <c r="F61">
        <v>109.89010620117187</v>
      </c>
      <c r="G61">
        <v>192.42979431152344</v>
      </c>
      <c r="H61">
        <v>226.61782836914062</v>
      </c>
      <c r="I61">
        <v>226.61782836914062</v>
      </c>
      <c r="J61">
        <v>225.64102172851562</v>
      </c>
      <c r="K61">
        <v>237.85104370117187</v>
      </c>
      <c r="L61">
        <v>240.29304504394531</v>
      </c>
      <c r="M61">
        <v>237.85104370117187</v>
      </c>
      <c r="N61">
        <v>239.31623840332031</v>
      </c>
      <c r="O61">
        <v>235.89743041992187</v>
      </c>
      <c r="P61">
        <v>234.92063903808594</v>
      </c>
      <c r="Q61">
        <v>231.990234375</v>
      </c>
      <c r="R61">
        <v>202.68620300292969</v>
      </c>
      <c r="S61">
        <v>207.08180236816406</v>
      </c>
      <c r="T61">
        <v>208.54701232910156</v>
      </c>
      <c r="U61">
        <v>186.08058166503906</v>
      </c>
      <c r="V61">
        <v>149.93894958496094</v>
      </c>
      <c r="W61">
        <v>183.15017700195312</v>
      </c>
      <c r="X61">
        <v>90.842491149902344</v>
      </c>
      <c r="Y61">
        <v>10.744811058044434</v>
      </c>
      <c r="Z61">
        <v>4.3956046104431152</v>
      </c>
      <c r="AJ61" s="1"/>
      <c r="AL61" s="1"/>
    </row>
    <row r="62" spans="1:38">
      <c r="A62">
        <f>A61+A$1</f>
        <v>600</v>
      </c>
      <c r="B62">
        <v>2.9304029941558838</v>
      </c>
      <c r="C62">
        <v>4.3956046104431152</v>
      </c>
      <c r="D62">
        <v>10.256410598754883</v>
      </c>
      <c r="E62">
        <v>100.12210083007812</v>
      </c>
      <c r="F62">
        <v>98.168495178222656</v>
      </c>
      <c r="G62">
        <v>148.96214294433594</v>
      </c>
      <c r="H62">
        <v>180.70817565917969</v>
      </c>
      <c r="I62">
        <v>196.82539367675781</v>
      </c>
      <c r="J62">
        <v>183.63858032226562</v>
      </c>
      <c r="K62">
        <v>190.96458435058594</v>
      </c>
      <c r="L62">
        <v>200.73260498046875</v>
      </c>
      <c r="M62">
        <v>200.73260498046875</v>
      </c>
      <c r="N62">
        <v>201.70939636230469</v>
      </c>
      <c r="O62">
        <v>198.77899169921875</v>
      </c>
      <c r="P62">
        <v>198.29060363769531</v>
      </c>
      <c r="Q62">
        <v>183.63858032226562</v>
      </c>
      <c r="R62">
        <v>161.66056823730469</v>
      </c>
      <c r="S62">
        <v>184.61538696289062</v>
      </c>
      <c r="T62">
        <v>162.14895629882812</v>
      </c>
      <c r="U62">
        <v>137.72894287109375</v>
      </c>
      <c r="V62">
        <v>146.03175354003906</v>
      </c>
      <c r="W62">
        <v>147.008544921875</v>
      </c>
      <c r="X62">
        <v>71.306472778320313</v>
      </c>
      <c r="Y62">
        <v>8.7912092208862305</v>
      </c>
      <c r="Z62">
        <v>3.4188034534454346</v>
      </c>
      <c r="AJ62" s="1"/>
      <c r="AL62" s="1"/>
    </row>
    <row r="63" spans="1:38">
      <c r="A63">
        <f>A62+A$1</f>
        <v>605</v>
      </c>
      <c r="B63">
        <v>2.442002534866333</v>
      </c>
      <c r="C63">
        <v>3.9072039127349854</v>
      </c>
      <c r="D63">
        <v>8.3028087615966797</v>
      </c>
      <c r="E63">
        <v>80.586082458496094</v>
      </c>
      <c r="F63">
        <v>93.284492492675781</v>
      </c>
      <c r="G63">
        <v>124.05372619628906</v>
      </c>
      <c r="H63">
        <v>151.40414428710937</v>
      </c>
      <c r="I63">
        <v>168.009765625</v>
      </c>
      <c r="J63">
        <v>168.4981689453125</v>
      </c>
      <c r="K63">
        <v>160.19535827636719</v>
      </c>
      <c r="L63">
        <v>169.4749755859375</v>
      </c>
      <c r="M63">
        <v>174.84738159179687</v>
      </c>
      <c r="N63">
        <v>177.28938293457031</v>
      </c>
      <c r="O63">
        <v>173.38217163085937</v>
      </c>
      <c r="P63">
        <v>165.07936096191406</v>
      </c>
      <c r="Q63">
        <v>149.93894958496094</v>
      </c>
      <c r="R63">
        <v>153.84616088867187</v>
      </c>
      <c r="S63">
        <v>152.86935424804687</v>
      </c>
      <c r="T63">
        <v>141.14773559570312</v>
      </c>
      <c r="U63">
        <v>108.91330718994141</v>
      </c>
      <c r="V63">
        <v>138.70573425292969</v>
      </c>
      <c r="W63">
        <v>116.72771453857422</v>
      </c>
      <c r="X63">
        <v>66.910865783691406</v>
      </c>
      <c r="Y63">
        <v>7.3260073661804199</v>
      </c>
      <c r="Z63">
        <v>2.9304029941558838</v>
      </c>
      <c r="AJ63" s="1"/>
      <c r="AL63" s="1"/>
    </row>
    <row r="64" spans="1:38">
      <c r="A64">
        <f>A63+A$1</f>
        <v>610</v>
      </c>
      <c r="B64">
        <v>2.442002534866333</v>
      </c>
      <c r="C64">
        <v>3.4188034534454346</v>
      </c>
      <c r="D64">
        <v>7.3260073661804199</v>
      </c>
      <c r="E64">
        <v>65.934066772460938</v>
      </c>
      <c r="F64">
        <v>86.935287475585938</v>
      </c>
      <c r="G64">
        <v>119.16971588134766</v>
      </c>
      <c r="H64">
        <v>128.44932556152344</v>
      </c>
      <c r="I64">
        <v>145.05494689941406</v>
      </c>
      <c r="J64">
        <v>156.77655029296875</v>
      </c>
      <c r="K64">
        <v>150.42735290527344</v>
      </c>
      <c r="L64">
        <v>146.5201416015625</v>
      </c>
      <c r="M64">
        <v>149.45054626464844</v>
      </c>
      <c r="N64">
        <v>152.38095092773437</v>
      </c>
      <c r="O64">
        <v>147.008544921875</v>
      </c>
      <c r="P64">
        <v>140.65934753417969</v>
      </c>
      <c r="Q64">
        <v>143.10134887695312</v>
      </c>
      <c r="R64">
        <v>145.54335021972656</v>
      </c>
      <c r="S64">
        <v>128.93772888183594</v>
      </c>
      <c r="T64">
        <v>119.65811920166016</v>
      </c>
      <c r="U64">
        <v>107.44810485839844</v>
      </c>
      <c r="V64">
        <v>124.54212188720703</v>
      </c>
      <c r="W64">
        <v>91.330894470214844</v>
      </c>
      <c r="X64">
        <v>65.934066772460938</v>
      </c>
      <c r="Y64">
        <v>6.8376069068908691</v>
      </c>
      <c r="Z64">
        <v>2.9304029941558838</v>
      </c>
      <c r="AJ64" s="1"/>
      <c r="AL64" s="1"/>
    </row>
    <row r="65" spans="1:38">
      <c r="A65">
        <f>A64+A$1</f>
        <v>615</v>
      </c>
      <c r="B65">
        <v>2.442002534866333</v>
      </c>
      <c r="C65">
        <v>3.4188034534454346</v>
      </c>
      <c r="D65">
        <v>7.3260073661804199</v>
      </c>
      <c r="E65">
        <v>58.119659423828125</v>
      </c>
      <c r="F65">
        <v>79.120880126953125</v>
      </c>
      <c r="G65">
        <v>124.05372619628906</v>
      </c>
      <c r="H65">
        <v>111.84371185302734</v>
      </c>
      <c r="I65">
        <v>131.37973022460937</v>
      </c>
      <c r="J65">
        <v>141.63613891601562</v>
      </c>
      <c r="K65">
        <v>148.96214294433594</v>
      </c>
      <c r="L65">
        <v>142.61294555664062</v>
      </c>
      <c r="M65">
        <v>137.24053955078125</v>
      </c>
      <c r="N65">
        <v>137.24053955078125</v>
      </c>
      <c r="O65">
        <v>134.31013488769531</v>
      </c>
      <c r="P65">
        <v>138.70573425292969</v>
      </c>
      <c r="Q65">
        <v>145.05494689941406</v>
      </c>
      <c r="R65">
        <v>126.98412322998047</v>
      </c>
      <c r="S65">
        <v>121.12332153320312</v>
      </c>
      <c r="T65">
        <v>98.656898498535156</v>
      </c>
      <c r="U65">
        <v>117.70452117919922</v>
      </c>
      <c r="V65">
        <v>112.82051086425781</v>
      </c>
      <c r="W65">
        <v>79.120880126953125</v>
      </c>
      <c r="X65">
        <v>60.073261260986328</v>
      </c>
      <c r="Y65">
        <v>6.3492064476013184</v>
      </c>
      <c r="Z65">
        <v>2.442002534866333</v>
      </c>
      <c r="AJ65" s="1"/>
      <c r="AL65" s="1"/>
    </row>
    <row r="66" spans="1:38">
      <c r="A66">
        <f>A65+A$1</f>
        <v>620</v>
      </c>
      <c r="B66">
        <v>1.9536019563674927</v>
      </c>
      <c r="C66">
        <v>2.9304029941558838</v>
      </c>
      <c r="D66">
        <v>6.8376069068908691</v>
      </c>
      <c r="E66">
        <v>57.631256103515625</v>
      </c>
      <c r="F66">
        <v>70.329673767089844</v>
      </c>
      <c r="G66">
        <v>127.47252655029297</v>
      </c>
      <c r="H66">
        <v>108.91330718994141</v>
      </c>
      <c r="I66">
        <v>119.65811920166016</v>
      </c>
      <c r="J66">
        <v>130.40292358398438</v>
      </c>
      <c r="K66">
        <v>140.17094421386719</v>
      </c>
      <c r="L66">
        <v>146.03175354003906</v>
      </c>
      <c r="M66">
        <v>141.63613891601562</v>
      </c>
      <c r="N66">
        <v>140.17094421386719</v>
      </c>
      <c r="O66">
        <v>140.17094421386719</v>
      </c>
      <c r="P66">
        <v>144.07814025878906</v>
      </c>
      <c r="Q66">
        <v>135.28694152832031</v>
      </c>
      <c r="R66">
        <v>116.72771453857422</v>
      </c>
      <c r="S66">
        <v>110.86691284179687</v>
      </c>
      <c r="T66">
        <v>95.726493835449219</v>
      </c>
      <c r="U66">
        <v>120.63491821289062</v>
      </c>
      <c r="V66">
        <v>100.61050415039062</v>
      </c>
      <c r="W66">
        <v>82.539680480957031</v>
      </c>
      <c r="X66">
        <v>54.212455749511719</v>
      </c>
      <c r="Y66">
        <v>6.3492064476013184</v>
      </c>
      <c r="Z66">
        <v>2.442002534866333</v>
      </c>
      <c r="AJ66" s="1"/>
      <c r="AL66" s="1"/>
    </row>
    <row r="67" spans="1:38">
      <c r="A67">
        <f>A66+A$1</f>
        <v>625</v>
      </c>
      <c r="B67">
        <v>1.9536019563674927</v>
      </c>
      <c r="C67">
        <v>2.9304029941558838</v>
      </c>
      <c r="D67">
        <v>6.3492064476013184</v>
      </c>
      <c r="E67">
        <v>60.561660766601562</v>
      </c>
      <c r="F67">
        <v>62.515262603759766</v>
      </c>
      <c r="G67">
        <v>125.51892852783203</v>
      </c>
      <c r="H67">
        <v>119.16971588134766</v>
      </c>
      <c r="I67">
        <v>107.44810485839844</v>
      </c>
      <c r="J67">
        <v>124.05372619628906</v>
      </c>
      <c r="K67">
        <v>129.91453552246094</v>
      </c>
      <c r="L67">
        <v>139.68254089355469</v>
      </c>
      <c r="M67">
        <v>144.07814025878906</v>
      </c>
      <c r="N67">
        <v>145.54335021972656</v>
      </c>
      <c r="O67">
        <v>143.10134887695312</v>
      </c>
      <c r="P67">
        <v>137.24053955078125</v>
      </c>
      <c r="Q67">
        <v>122.58852386474609</v>
      </c>
      <c r="R67">
        <v>114.28571319580078</v>
      </c>
      <c r="S67">
        <v>95.726493835449219</v>
      </c>
      <c r="T67">
        <v>107.93650817871094</v>
      </c>
      <c r="U67">
        <v>117.21611785888672</v>
      </c>
      <c r="V67">
        <v>86.446884155273437</v>
      </c>
      <c r="W67">
        <v>91.819290161132812</v>
      </c>
      <c r="X67">
        <v>53.235652923583984</v>
      </c>
      <c r="Y67">
        <v>6.3492064476013184</v>
      </c>
      <c r="Z67">
        <v>2.442002534866333</v>
      </c>
      <c r="AJ67" s="1"/>
      <c r="AL67" s="1"/>
    </row>
    <row r="68" spans="1:38">
      <c r="A68">
        <f>A67+A$1</f>
        <v>630</v>
      </c>
      <c r="B68">
        <v>1.9536019563674927</v>
      </c>
      <c r="C68">
        <v>2.9304029941558838</v>
      </c>
      <c r="D68">
        <v>6.3492064476013184</v>
      </c>
      <c r="E68">
        <v>61.538459777832031</v>
      </c>
      <c r="F68">
        <v>58.119659423828125</v>
      </c>
      <c r="G68">
        <v>118.68132019042969</v>
      </c>
      <c r="H68">
        <v>129.91453552246094</v>
      </c>
      <c r="I68">
        <v>105.4945068359375</v>
      </c>
      <c r="J68">
        <v>115.26251220703125</v>
      </c>
      <c r="K68">
        <v>125.51892852783203</v>
      </c>
      <c r="L68">
        <v>129.91453552246094</v>
      </c>
      <c r="M68">
        <v>135.28694152832031</v>
      </c>
      <c r="N68">
        <v>138.21733093261719</v>
      </c>
      <c r="O68">
        <v>133.33332824707031</v>
      </c>
      <c r="P68">
        <v>125.51892852783203</v>
      </c>
      <c r="Q68">
        <v>120.14652252197266</v>
      </c>
      <c r="R68">
        <v>105.4945068359375</v>
      </c>
      <c r="S68">
        <v>92.307693481445313</v>
      </c>
      <c r="T68">
        <v>120.63491821289062</v>
      </c>
      <c r="U68">
        <v>112.82051086425781</v>
      </c>
      <c r="V68">
        <v>80.097679138183594</v>
      </c>
      <c r="W68">
        <v>91.819290161132812</v>
      </c>
      <c r="X68">
        <v>56.166057586669922</v>
      </c>
      <c r="Y68">
        <v>6.3492064476013184</v>
      </c>
      <c r="Z68">
        <v>2.442002534866333</v>
      </c>
      <c r="AJ68" s="1"/>
      <c r="AL68" s="1"/>
    </row>
    <row r="69" spans="1:38">
      <c r="A69">
        <f>A68+A$1</f>
        <v>635</v>
      </c>
      <c r="B69">
        <v>1.9536019563674927</v>
      </c>
      <c r="C69">
        <v>3.4188034534454346</v>
      </c>
      <c r="D69">
        <v>6.3492064476013184</v>
      </c>
      <c r="E69">
        <v>59.584857940673828</v>
      </c>
      <c r="F69">
        <v>59.584857940673828</v>
      </c>
      <c r="G69">
        <v>108.91330718994141</v>
      </c>
      <c r="H69">
        <v>134.31013488769531</v>
      </c>
      <c r="I69">
        <v>115.75091552734375</v>
      </c>
      <c r="J69">
        <v>105.4945068359375</v>
      </c>
      <c r="K69">
        <v>120.14652252197266</v>
      </c>
      <c r="L69">
        <v>126.00732421875</v>
      </c>
      <c r="M69">
        <v>126.4957275390625</v>
      </c>
      <c r="N69">
        <v>127.96092987060547</v>
      </c>
      <c r="O69">
        <v>125.03052520751953</v>
      </c>
      <c r="P69">
        <v>123.07691955566406</v>
      </c>
      <c r="Q69">
        <v>116.72771453857422</v>
      </c>
      <c r="R69">
        <v>93.284492492675781</v>
      </c>
      <c r="S69">
        <v>104.51770782470703</v>
      </c>
      <c r="T69">
        <v>123.56532287597656</v>
      </c>
      <c r="U69">
        <v>102.56410217285156</v>
      </c>
      <c r="V69">
        <v>85.958488464355469</v>
      </c>
      <c r="W69">
        <v>83.516487121582031</v>
      </c>
      <c r="X69">
        <v>57.631256103515625</v>
      </c>
      <c r="Y69">
        <v>6.3492064476013184</v>
      </c>
      <c r="Z69">
        <v>2.442002534866333</v>
      </c>
      <c r="AJ69" s="1"/>
      <c r="AL69" s="1"/>
    </row>
    <row r="70" spans="1:38">
      <c r="A70">
        <f>A69+A$1</f>
        <v>640</v>
      </c>
      <c r="B70">
        <v>1.9536019563674927</v>
      </c>
      <c r="C70">
        <v>3.4188034534454346</v>
      </c>
      <c r="D70">
        <v>6.8376069068908691</v>
      </c>
      <c r="E70">
        <v>58.119659423828125</v>
      </c>
      <c r="F70">
        <v>63.980464935302734</v>
      </c>
      <c r="G70">
        <v>99.145301818847656</v>
      </c>
      <c r="H70">
        <v>131.86813354492187</v>
      </c>
      <c r="I70">
        <v>128.93772888183594</v>
      </c>
      <c r="J70">
        <v>105.006103515625</v>
      </c>
      <c r="K70">
        <v>109.40171051025391</v>
      </c>
      <c r="L70">
        <v>121.61172485351563</v>
      </c>
      <c r="M70">
        <v>124.54212188720703</v>
      </c>
      <c r="N70">
        <v>125.51892852783203</v>
      </c>
      <c r="O70">
        <v>123.56532287597656</v>
      </c>
      <c r="P70">
        <v>120.14652252197266</v>
      </c>
      <c r="Q70">
        <v>104.51770782470703</v>
      </c>
      <c r="R70">
        <v>92.796089172363281</v>
      </c>
      <c r="S70">
        <v>119.16971588134766</v>
      </c>
      <c r="T70">
        <v>121.12332153320312</v>
      </c>
      <c r="U70">
        <v>90.354087829589844</v>
      </c>
      <c r="V70">
        <v>97.680099487304688</v>
      </c>
      <c r="W70">
        <v>80.097679138183594</v>
      </c>
      <c r="X70">
        <v>56.166057586669922</v>
      </c>
      <c r="Y70">
        <v>6.3492064476013184</v>
      </c>
      <c r="Z70">
        <v>2.442002534866333</v>
      </c>
      <c r="AJ70" s="1"/>
      <c r="AL70" s="1"/>
    </row>
    <row r="71" spans="1:38">
      <c r="A71">
        <f>A70+A$1</f>
        <v>645</v>
      </c>
      <c r="B71">
        <v>1.9536019563674927</v>
      </c>
      <c r="C71">
        <v>3.4188034534454346</v>
      </c>
      <c r="D71">
        <v>6.8376069068908691</v>
      </c>
      <c r="E71">
        <v>59.584857940673828</v>
      </c>
      <c r="F71">
        <v>65.445663452148438</v>
      </c>
      <c r="G71">
        <v>95.726493835449219</v>
      </c>
      <c r="H71">
        <v>124.05372619628906</v>
      </c>
      <c r="I71">
        <v>135.77532958984375</v>
      </c>
      <c r="J71">
        <v>116.23931884765625</v>
      </c>
      <c r="K71">
        <v>103.05250549316406</v>
      </c>
      <c r="L71">
        <v>111.35530853271484</v>
      </c>
      <c r="M71">
        <v>118.68132019042969</v>
      </c>
      <c r="N71">
        <v>121.61172485351563</v>
      </c>
      <c r="O71">
        <v>117.70452117919922</v>
      </c>
      <c r="P71">
        <v>108.91330718994141</v>
      </c>
      <c r="Q71">
        <v>96.214897155761719</v>
      </c>
      <c r="R71">
        <v>105.006103515625</v>
      </c>
      <c r="S71">
        <v>125.03052520751953</v>
      </c>
      <c r="T71">
        <v>115.26251220703125</v>
      </c>
      <c r="U71">
        <v>84.4932861328125</v>
      </c>
      <c r="V71">
        <v>100.12210083007812</v>
      </c>
      <c r="W71">
        <v>84.4932861328125</v>
      </c>
      <c r="X71">
        <v>55.677654266357422</v>
      </c>
      <c r="Y71">
        <v>6.3492064476013184</v>
      </c>
      <c r="Z71">
        <v>2.442002534866333</v>
      </c>
      <c r="AJ71" s="1"/>
      <c r="AL71" s="1"/>
    </row>
    <row r="72" spans="1:38">
      <c r="A72">
        <f>A71+A$1</f>
        <v>650</v>
      </c>
      <c r="B72">
        <v>1.9536019563674927</v>
      </c>
      <c r="C72">
        <v>3.4188034534454346</v>
      </c>
      <c r="D72">
        <v>6.8376069068908691</v>
      </c>
      <c r="E72">
        <v>61.538459777832031</v>
      </c>
      <c r="F72">
        <v>63.492061614990234</v>
      </c>
      <c r="G72">
        <v>101.09889984130859</v>
      </c>
      <c r="H72">
        <v>112.82051086425781</v>
      </c>
      <c r="I72">
        <v>135.77532958984375</v>
      </c>
      <c r="J72">
        <v>129.91453552246094</v>
      </c>
      <c r="K72">
        <v>109.40171051025391</v>
      </c>
      <c r="L72">
        <v>103.05250549316406</v>
      </c>
      <c r="M72">
        <v>106.95970916748047</v>
      </c>
      <c r="N72">
        <v>109.89010620117187</v>
      </c>
      <c r="O72">
        <v>105.4945068359375</v>
      </c>
      <c r="P72">
        <v>99.633697509765625</v>
      </c>
      <c r="Q72">
        <v>103.05250549316406</v>
      </c>
      <c r="R72">
        <v>119.65811920166016</v>
      </c>
      <c r="S72">
        <v>123.07691955566406</v>
      </c>
      <c r="T72">
        <v>104.02930450439453</v>
      </c>
      <c r="U72">
        <v>90.842491149902344</v>
      </c>
      <c r="V72">
        <v>91.330894470214844</v>
      </c>
      <c r="W72">
        <v>89.865692138671875</v>
      </c>
      <c r="X72">
        <v>58.608058929443359</v>
      </c>
      <c r="Y72">
        <v>6.3492064476013184</v>
      </c>
      <c r="Z72">
        <v>2.442002534866333</v>
      </c>
      <c r="AJ72" s="1"/>
      <c r="AL72" s="1"/>
    </row>
    <row r="73" spans="1:38">
      <c r="A73">
        <f>A72+A$1</f>
        <v>655</v>
      </c>
      <c r="B73">
        <v>2.442002534866333</v>
      </c>
      <c r="C73">
        <v>3.4188034534454346</v>
      </c>
      <c r="D73">
        <v>6.8376069068908691</v>
      </c>
      <c r="E73">
        <v>62.515262603759766</v>
      </c>
      <c r="F73">
        <v>60.073261260986328</v>
      </c>
      <c r="G73">
        <v>108.91330718994141</v>
      </c>
      <c r="H73">
        <v>103.05250549316406</v>
      </c>
      <c r="I73">
        <v>129.42613220214844</v>
      </c>
      <c r="J73">
        <v>136.75213623046875</v>
      </c>
      <c r="K73">
        <v>123.56532287597656</v>
      </c>
      <c r="L73">
        <v>107.93650817871094</v>
      </c>
      <c r="M73">
        <v>102.07569885253906</v>
      </c>
      <c r="N73">
        <v>102.07569885253906</v>
      </c>
      <c r="O73">
        <v>100.12210083007812</v>
      </c>
      <c r="P73">
        <v>104.51770782470703</v>
      </c>
      <c r="Q73">
        <v>118.68132019042969</v>
      </c>
      <c r="R73">
        <v>123.56532287597656</v>
      </c>
      <c r="S73">
        <v>118.19291687011719</v>
      </c>
      <c r="T73">
        <v>92.307693481445313</v>
      </c>
      <c r="U73">
        <v>103.54090118408203</v>
      </c>
      <c r="V73">
        <v>84.981681823730469</v>
      </c>
      <c r="W73">
        <v>89.377288818359375</v>
      </c>
      <c r="X73">
        <v>62.515262603759766</v>
      </c>
      <c r="Y73">
        <v>6.3492064476013184</v>
      </c>
      <c r="Z73">
        <v>2.442002534866333</v>
      </c>
      <c r="AJ73" s="1"/>
      <c r="AL73" s="1"/>
    </row>
    <row r="74" spans="1:38">
      <c r="A74">
        <f>A73+A$1</f>
        <v>660</v>
      </c>
      <c r="B74">
        <v>2.442002534866333</v>
      </c>
      <c r="C74">
        <v>3.4188034534454346</v>
      </c>
      <c r="D74">
        <v>7.3260073661804199</v>
      </c>
      <c r="E74">
        <v>64.468864440917969</v>
      </c>
      <c r="F74">
        <v>60.073261260986328</v>
      </c>
      <c r="G74">
        <v>112.33211517333984</v>
      </c>
      <c r="H74">
        <v>104.51770782470703</v>
      </c>
      <c r="I74">
        <v>120.14652252197266</v>
      </c>
      <c r="J74">
        <v>137.72894287109375</v>
      </c>
      <c r="K74">
        <v>136.75213623046875</v>
      </c>
      <c r="L74">
        <v>124.54212188720703</v>
      </c>
      <c r="M74">
        <v>113.79731750488281</v>
      </c>
      <c r="N74">
        <v>110.86691284179687</v>
      </c>
      <c r="O74">
        <v>111.84371185302734</v>
      </c>
      <c r="P74">
        <v>122.58852386474609</v>
      </c>
      <c r="Q74">
        <v>131.37973022460937</v>
      </c>
      <c r="R74">
        <v>122.10012054443359</v>
      </c>
      <c r="S74">
        <v>109.89010620117187</v>
      </c>
      <c r="T74">
        <v>90.842491149902344</v>
      </c>
      <c r="U74">
        <v>107.93650817871094</v>
      </c>
      <c r="V74">
        <v>89.865692138671875</v>
      </c>
      <c r="W74">
        <v>87.912086486816406</v>
      </c>
      <c r="X74">
        <v>64.468864440917969</v>
      </c>
      <c r="Y74">
        <v>6.3492064476013184</v>
      </c>
      <c r="Z74">
        <v>2.9304029941558838</v>
      </c>
      <c r="AJ74" s="1"/>
      <c r="AL74" s="1"/>
    </row>
    <row r="75" spans="1:38">
      <c r="A75">
        <f>A74+A$1</f>
        <v>665</v>
      </c>
      <c r="B75">
        <v>2.442002534866333</v>
      </c>
      <c r="C75">
        <v>3.4188034534454346</v>
      </c>
      <c r="D75">
        <v>7.8144078254699707</v>
      </c>
      <c r="E75">
        <v>71.794868469238281</v>
      </c>
      <c r="F75">
        <v>64.957267761230469</v>
      </c>
      <c r="G75">
        <v>113.30891418457031</v>
      </c>
      <c r="H75">
        <v>120.14652252197266</v>
      </c>
      <c r="I75">
        <v>114.28571319580078</v>
      </c>
      <c r="J75">
        <v>138.21733093261719</v>
      </c>
      <c r="K75">
        <v>146.03175354003906</v>
      </c>
      <c r="L75">
        <v>144.56654357910156</v>
      </c>
      <c r="M75">
        <v>136.26373291015625</v>
      </c>
      <c r="N75">
        <v>134.31013488769531</v>
      </c>
      <c r="O75">
        <v>134.79853820800781</v>
      </c>
      <c r="P75">
        <v>141.63613891601562</v>
      </c>
      <c r="Q75">
        <v>138.21733093261719</v>
      </c>
      <c r="R75">
        <v>122.58852386474609</v>
      </c>
      <c r="S75">
        <v>102.07569885253906</v>
      </c>
      <c r="T75">
        <v>105.4945068359375</v>
      </c>
      <c r="U75">
        <v>103.05250549316406</v>
      </c>
      <c r="V75">
        <v>102.56410217285156</v>
      </c>
      <c r="W75">
        <v>95.726493835449219</v>
      </c>
      <c r="X75">
        <v>65.445663452148438</v>
      </c>
      <c r="Y75">
        <v>6.8376069068908691</v>
      </c>
      <c r="Z75">
        <v>2.9304029941558838</v>
      </c>
      <c r="AJ75" s="1"/>
      <c r="AL75" s="1"/>
    </row>
    <row r="76" spans="1:38">
      <c r="A76">
        <f>A75+A$1</f>
        <v>670</v>
      </c>
      <c r="B76">
        <v>2.442002534866333</v>
      </c>
      <c r="C76">
        <v>3.9072039127349854</v>
      </c>
      <c r="D76">
        <v>8.7912092208862305</v>
      </c>
      <c r="E76">
        <v>85.470085144042969</v>
      </c>
      <c r="F76">
        <v>70.818069458007812</v>
      </c>
      <c r="G76">
        <v>119.16971588134766</v>
      </c>
      <c r="H76">
        <v>140.65934753417969</v>
      </c>
      <c r="I76">
        <v>118.68132019042969</v>
      </c>
      <c r="J76">
        <v>138.21733093261719</v>
      </c>
      <c r="K76">
        <v>154.33454895019531</v>
      </c>
      <c r="L76">
        <v>159.21855163574219</v>
      </c>
      <c r="M76">
        <v>157.75335693359375</v>
      </c>
      <c r="N76">
        <v>158.24176025390625</v>
      </c>
      <c r="O76">
        <v>155.79975891113281</v>
      </c>
      <c r="P76">
        <v>155.31135559082031</v>
      </c>
      <c r="Q76">
        <v>144.56654357910156</v>
      </c>
      <c r="R76">
        <v>122.10012054443359</v>
      </c>
      <c r="S76">
        <v>102.56410217285156</v>
      </c>
      <c r="T76">
        <v>128.44932556152344</v>
      </c>
      <c r="U76">
        <v>104.02930450439453</v>
      </c>
      <c r="V76">
        <v>112.82051086425781</v>
      </c>
      <c r="W76">
        <v>113.30891418457031</v>
      </c>
      <c r="X76">
        <v>69.352867126464844</v>
      </c>
      <c r="Y76">
        <v>7.8144078254699707</v>
      </c>
      <c r="Z76">
        <v>2.9304029941558838</v>
      </c>
      <c r="AJ76" s="1"/>
      <c r="AL76" s="1"/>
    </row>
    <row r="77" spans="1:38">
      <c r="A77">
        <f>A76+A$1</f>
        <v>675</v>
      </c>
      <c r="B77">
        <v>2.442002534866333</v>
      </c>
      <c r="C77">
        <v>4.3956046104431152</v>
      </c>
      <c r="D77">
        <v>9.2796096801757812</v>
      </c>
      <c r="E77">
        <v>100.12210083007812</v>
      </c>
      <c r="F77">
        <v>75.213676452636719</v>
      </c>
      <c r="G77">
        <v>133.33332824707031</v>
      </c>
      <c r="H77">
        <v>152.38095092773437</v>
      </c>
      <c r="I77">
        <v>137.24053955078125</v>
      </c>
      <c r="J77">
        <v>135.77532958984375</v>
      </c>
      <c r="K77">
        <v>157.75335693359375</v>
      </c>
      <c r="L77">
        <v>167.5213623046875</v>
      </c>
      <c r="M77">
        <v>170.45176696777344</v>
      </c>
      <c r="N77">
        <v>172.89376831054687</v>
      </c>
      <c r="O77">
        <v>167.5213623046875</v>
      </c>
      <c r="P77">
        <v>162.63735961914062</v>
      </c>
      <c r="Q77">
        <v>147.9853515625</v>
      </c>
      <c r="R77">
        <v>118.19291687011719</v>
      </c>
      <c r="S77">
        <v>116.23931884765625</v>
      </c>
      <c r="T77">
        <v>138.70573425292969</v>
      </c>
      <c r="U77">
        <v>118.19291687011719</v>
      </c>
      <c r="V77">
        <v>118.68132019042969</v>
      </c>
      <c r="W77">
        <v>131.37973022460937</v>
      </c>
      <c r="X77">
        <v>75.702072143554688</v>
      </c>
      <c r="Y77">
        <v>8.7912092208862305</v>
      </c>
      <c r="Z77">
        <v>3.4188034534454346</v>
      </c>
      <c r="AJ77" s="1"/>
      <c r="AL77" s="1"/>
    </row>
    <row r="78" spans="1:38">
      <c r="A78">
        <f>A77+A$1</f>
        <v>680</v>
      </c>
      <c r="B78">
        <v>2.9304029941558838</v>
      </c>
      <c r="C78">
        <v>4.884005069732666</v>
      </c>
      <c r="D78">
        <v>10.256410598754883</v>
      </c>
      <c r="E78">
        <v>110.86691284179687</v>
      </c>
      <c r="F78">
        <v>79.609275817871094</v>
      </c>
      <c r="G78">
        <v>151.40414428710937</v>
      </c>
      <c r="H78">
        <v>154.33454895019531</v>
      </c>
      <c r="I78">
        <v>163.12576293945312</v>
      </c>
      <c r="J78">
        <v>137.24053955078125</v>
      </c>
      <c r="K78">
        <v>155.31135559082031</v>
      </c>
      <c r="L78">
        <v>169.96336364746094</v>
      </c>
      <c r="M78">
        <v>175.33576965332031</v>
      </c>
      <c r="N78">
        <v>178.26617431640625</v>
      </c>
      <c r="O78">
        <v>171.91697692871094</v>
      </c>
      <c r="P78">
        <v>165.07936096191406</v>
      </c>
      <c r="Q78">
        <v>144.56654357910156</v>
      </c>
      <c r="R78">
        <v>116.23931884765625</v>
      </c>
      <c r="S78">
        <v>143.10134887695312</v>
      </c>
      <c r="T78">
        <v>132.84494018554687</v>
      </c>
      <c r="U78">
        <v>138.70573425292969</v>
      </c>
      <c r="V78">
        <v>127.47252655029297</v>
      </c>
      <c r="W78">
        <v>139.19413757324219</v>
      </c>
      <c r="X78">
        <v>83.516487121582031</v>
      </c>
      <c r="Y78">
        <v>9.768010139465332</v>
      </c>
      <c r="Z78">
        <v>3.9072039127349854</v>
      </c>
      <c r="AJ78" s="1"/>
      <c r="AL78" s="1"/>
    </row>
    <row r="79" spans="1:38">
      <c r="A79">
        <f>A78+A$1</f>
        <v>685</v>
      </c>
      <c r="B79">
        <v>2.9304029941558838</v>
      </c>
      <c r="C79">
        <v>5.3724055290222168</v>
      </c>
      <c r="D79">
        <v>11.233211517333984</v>
      </c>
      <c r="E79">
        <v>117.21611785888672</v>
      </c>
      <c r="F79">
        <v>85.958488464355469</v>
      </c>
      <c r="G79">
        <v>164.59095764160156</v>
      </c>
      <c r="H79">
        <v>159.21855163574219</v>
      </c>
      <c r="I79">
        <v>178.26617431640625</v>
      </c>
      <c r="J79">
        <v>151.89254760742187</v>
      </c>
      <c r="K79">
        <v>148.4737548828125</v>
      </c>
      <c r="L79">
        <v>165.07936096191406</v>
      </c>
      <c r="M79">
        <v>173.87057495117187</v>
      </c>
      <c r="N79">
        <v>177.77777099609375</v>
      </c>
      <c r="O79">
        <v>170.45176696777344</v>
      </c>
      <c r="P79">
        <v>160.68376159667969</v>
      </c>
      <c r="Q79">
        <v>135.77532958984375</v>
      </c>
      <c r="R79">
        <v>126.00732421875</v>
      </c>
      <c r="S79">
        <v>159.70695495605469</v>
      </c>
      <c r="T79">
        <v>132.84494018554687</v>
      </c>
      <c r="U79">
        <v>149.45054626464844</v>
      </c>
      <c r="V79">
        <v>144.07814025878906</v>
      </c>
      <c r="W79">
        <v>137.72894287109375</v>
      </c>
      <c r="X79">
        <v>88.888885498046875</v>
      </c>
      <c r="Y79">
        <v>10.256410598754883</v>
      </c>
      <c r="Z79">
        <v>3.9072039127349854</v>
      </c>
      <c r="AJ79" s="1"/>
      <c r="AL79" s="1"/>
    </row>
    <row r="80" spans="1:38">
      <c r="A80">
        <f>A79+A$1</f>
        <v>690</v>
      </c>
      <c r="B80">
        <v>2.9304029941558838</v>
      </c>
      <c r="C80">
        <v>5.3724055290222168</v>
      </c>
      <c r="D80">
        <v>12.210012435913086</v>
      </c>
      <c r="E80">
        <v>121.61172485351563</v>
      </c>
      <c r="F80">
        <v>92.307693481445313</v>
      </c>
      <c r="G80">
        <v>170.45176696777344</v>
      </c>
      <c r="H80">
        <v>172.40536499023437</v>
      </c>
      <c r="I80">
        <v>174.35897827148437</v>
      </c>
      <c r="J80">
        <v>174.35897827148437</v>
      </c>
      <c r="K80">
        <v>147.4969482421875</v>
      </c>
      <c r="L80">
        <v>152.86935424804687</v>
      </c>
      <c r="M80">
        <v>164.59095764160156</v>
      </c>
      <c r="N80">
        <v>168.986572265625</v>
      </c>
      <c r="O80">
        <v>161.17216491699219</v>
      </c>
      <c r="P80">
        <v>147.9853515625</v>
      </c>
      <c r="Q80">
        <v>131.37973022460937</v>
      </c>
      <c r="R80">
        <v>148.4737548828125</v>
      </c>
      <c r="S80">
        <v>148.4737548828125</v>
      </c>
      <c r="T80">
        <v>146.03175354003906</v>
      </c>
      <c r="U80">
        <v>149.45054626464844</v>
      </c>
      <c r="V80">
        <v>161.17216491699219</v>
      </c>
      <c r="W80">
        <v>136.75213623046875</v>
      </c>
      <c r="X80">
        <v>92.796089172363281</v>
      </c>
      <c r="Y80">
        <v>11.233211517333984</v>
      </c>
      <c r="Z80">
        <v>4.3956046104431152</v>
      </c>
      <c r="AJ80" s="1"/>
      <c r="AL80" s="1"/>
    </row>
    <row r="81" spans="1:38">
      <c r="A81">
        <f>A80+A$1</f>
        <v>695</v>
      </c>
      <c r="B81">
        <v>2.9304029941558838</v>
      </c>
      <c r="C81">
        <v>5.8608059883117676</v>
      </c>
      <c r="D81">
        <v>12.698412895202637</v>
      </c>
      <c r="E81">
        <v>126.4957275390625</v>
      </c>
      <c r="F81">
        <v>92.796089172363281</v>
      </c>
      <c r="G81">
        <v>174.35897827148437</v>
      </c>
      <c r="H81">
        <v>183.63858032226562</v>
      </c>
      <c r="I81">
        <v>164.59095764160156</v>
      </c>
      <c r="J81">
        <v>183.63858032226562</v>
      </c>
      <c r="K81">
        <v>159.70695495605469</v>
      </c>
      <c r="L81">
        <v>143.58973693847656</v>
      </c>
      <c r="M81">
        <v>148.4737548828125</v>
      </c>
      <c r="N81">
        <v>152.38095092773437</v>
      </c>
      <c r="O81">
        <v>145.05494689941406</v>
      </c>
      <c r="P81">
        <v>137.24053955078125</v>
      </c>
      <c r="Q81">
        <v>142.12454223632812</v>
      </c>
      <c r="R81">
        <v>157.75335693359375</v>
      </c>
      <c r="S81">
        <v>132.84494018554687</v>
      </c>
      <c r="T81">
        <v>158.24176025390625</v>
      </c>
      <c r="U81">
        <v>147.4969482421875</v>
      </c>
      <c r="V81">
        <v>164.10256958007812</v>
      </c>
      <c r="W81">
        <v>139.68254089355469</v>
      </c>
      <c r="X81">
        <v>97.680099487304688</v>
      </c>
      <c r="Y81">
        <v>11.233211517333984</v>
      </c>
      <c r="Z81">
        <v>4.3956046104431152</v>
      </c>
      <c r="AJ81" s="1"/>
      <c r="AL81" s="1"/>
    </row>
    <row r="82" spans="1:38">
      <c r="A82">
        <f>A81+A$1</f>
        <v>700</v>
      </c>
      <c r="B82">
        <v>2.9304029941558838</v>
      </c>
      <c r="C82">
        <v>5.8608059883117676</v>
      </c>
      <c r="D82">
        <v>13.186813354492187</v>
      </c>
      <c r="E82">
        <v>130.40292358398438</v>
      </c>
      <c r="F82">
        <v>85.958488464355469</v>
      </c>
      <c r="G82">
        <v>180.70817565917969</v>
      </c>
      <c r="H82">
        <v>184.61538696289062</v>
      </c>
      <c r="I82">
        <v>164.10256958007812</v>
      </c>
      <c r="J82">
        <v>170.45176696777344</v>
      </c>
      <c r="K82">
        <v>174.84738159179687</v>
      </c>
      <c r="L82">
        <v>148.4737548828125</v>
      </c>
      <c r="M82">
        <v>138.21733093261719</v>
      </c>
      <c r="N82">
        <v>137.72894287109375</v>
      </c>
      <c r="O82">
        <v>134.31013488769531</v>
      </c>
      <c r="P82">
        <v>141.14773559570312</v>
      </c>
      <c r="Q82">
        <v>160.19535827636719</v>
      </c>
      <c r="R82">
        <v>136.75213623046875</v>
      </c>
      <c r="S82">
        <v>132.84494018554687</v>
      </c>
      <c r="T82">
        <v>156.77655029296875</v>
      </c>
      <c r="U82">
        <v>151.40414428710937</v>
      </c>
      <c r="V82">
        <v>149.45054626464844</v>
      </c>
      <c r="W82">
        <v>139.19413757324219</v>
      </c>
      <c r="X82">
        <v>104.51770782470703</v>
      </c>
      <c r="Y82">
        <v>10.744811058044434</v>
      </c>
      <c r="Z82">
        <v>4.3956046104431152</v>
      </c>
      <c r="AJ82" s="1"/>
      <c r="AL82" s="1"/>
    </row>
    <row r="83" spans="1:38">
      <c r="A83">
        <f>A82+A$1</f>
        <v>705</v>
      </c>
      <c r="B83">
        <v>2.9304029941558838</v>
      </c>
      <c r="C83">
        <v>5.8608059883117676</v>
      </c>
      <c r="D83">
        <v>13.675213813781738</v>
      </c>
      <c r="E83">
        <v>131.86813354492187</v>
      </c>
      <c r="F83">
        <v>76.678878784179687</v>
      </c>
      <c r="G83">
        <v>185.10379028320312</v>
      </c>
      <c r="H83">
        <v>177.28938293457031</v>
      </c>
      <c r="I83">
        <v>170.45176696777344</v>
      </c>
      <c r="J83">
        <v>151.40414428710937</v>
      </c>
      <c r="K83">
        <v>169.96336364746094</v>
      </c>
      <c r="L83">
        <v>162.63735961914062</v>
      </c>
      <c r="M83">
        <v>146.5201416015625</v>
      </c>
      <c r="N83">
        <v>141.14773559570312</v>
      </c>
      <c r="O83">
        <v>141.63613891601562</v>
      </c>
      <c r="P83">
        <v>158.24176025390625</v>
      </c>
      <c r="Q83">
        <v>153.35775756835937</v>
      </c>
      <c r="R83">
        <v>115.26251220703125</v>
      </c>
      <c r="S83">
        <v>140.17094421386719</v>
      </c>
      <c r="T83">
        <v>145.54335021972656</v>
      </c>
      <c r="U83">
        <v>158.24176025390625</v>
      </c>
      <c r="V83">
        <v>135.28694152832031</v>
      </c>
      <c r="W83">
        <v>130.40292358398438</v>
      </c>
      <c r="X83">
        <v>109.40171051025391</v>
      </c>
      <c r="Y83">
        <v>10.744811058044434</v>
      </c>
      <c r="Z83">
        <v>4.3956046104431152</v>
      </c>
      <c r="AJ83" s="1"/>
      <c r="AL83" s="1"/>
    </row>
    <row r="84" spans="1:38">
      <c r="A84">
        <f>A83+A$1</f>
        <v>710</v>
      </c>
      <c r="B84">
        <v>2.9304029941558838</v>
      </c>
      <c r="C84">
        <v>5.8608059883117676</v>
      </c>
      <c r="D84">
        <v>13.675213813781738</v>
      </c>
      <c r="E84">
        <v>131.86813354492187</v>
      </c>
      <c r="F84">
        <v>70.329673767089844</v>
      </c>
      <c r="G84">
        <v>181.68498229980469</v>
      </c>
      <c r="H84">
        <v>172.40536499023437</v>
      </c>
      <c r="I84">
        <v>170.45176696777344</v>
      </c>
      <c r="J84">
        <v>146.5201416015625</v>
      </c>
      <c r="K84">
        <v>148.4737548828125</v>
      </c>
      <c r="L84">
        <v>161.66056823730469</v>
      </c>
      <c r="M84">
        <v>159.70695495605469</v>
      </c>
      <c r="N84">
        <v>156.77655029296875</v>
      </c>
      <c r="O84">
        <v>155.79975891113281</v>
      </c>
      <c r="P84">
        <v>157.75335693359375</v>
      </c>
      <c r="Q84">
        <v>126.00732421875</v>
      </c>
      <c r="R84">
        <v>113.79731750488281</v>
      </c>
      <c r="S84">
        <v>140.65934753417969</v>
      </c>
      <c r="T84">
        <v>137.72894287109375</v>
      </c>
      <c r="U84">
        <v>156.77655029296875</v>
      </c>
      <c r="V84">
        <v>131.37973022460937</v>
      </c>
      <c r="W84">
        <v>124.05372619628906</v>
      </c>
      <c r="X84">
        <v>107.93650817871094</v>
      </c>
      <c r="Y84">
        <v>10.256410598754883</v>
      </c>
      <c r="Z84">
        <v>3.9072039127349854</v>
      </c>
      <c r="AJ84" s="1"/>
      <c r="AL84" s="1"/>
    </row>
    <row r="85" spans="1:38">
      <c r="A85">
        <f>A84+A$1</f>
        <v>715</v>
      </c>
      <c r="B85">
        <v>2.9304029941558838</v>
      </c>
      <c r="C85">
        <v>5.8608059883117676</v>
      </c>
      <c r="D85">
        <v>14.163614273071289</v>
      </c>
      <c r="E85">
        <v>132.84494018554687</v>
      </c>
      <c r="F85">
        <v>65.934066772460938</v>
      </c>
      <c r="G85">
        <v>169.96336364746094</v>
      </c>
      <c r="H85">
        <v>175.82417297363281</v>
      </c>
      <c r="I85">
        <v>162.63735961914062</v>
      </c>
      <c r="J85">
        <v>151.40414428710937</v>
      </c>
      <c r="K85">
        <v>134.79853820800781</v>
      </c>
      <c r="L85">
        <v>141.14773559570312</v>
      </c>
      <c r="M85">
        <v>151.40414428710937</v>
      </c>
      <c r="N85">
        <v>155.79975891113281</v>
      </c>
      <c r="O85">
        <v>147.008544921875</v>
      </c>
      <c r="P85">
        <v>133.33332824707031</v>
      </c>
      <c r="Q85">
        <v>113.30891418457031</v>
      </c>
      <c r="R85">
        <v>121.12332153320312</v>
      </c>
      <c r="S85">
        <v>132.35653686523437</v>
      </c>
      <c r="T85">
        <v>139.19413757324219</v>
      </c>
      <c r="U85">
        <v>142.12454223632812</v>
      </c>
      <c r="V85">
        <v>129.42613220214844</v>
      </c>
      <c r="W85">
        <v>127.47252655029297</v>
      </c>
      <c r="X85">
        <v>102.56410217285156</v>
      </c>
      <c r="Y85">
        <v>10.256410598754883</v>
      </c>
      <c r="Z85">
        <v>3.9072039127349854</v>
      </c>
      <c r="AJ85" s="1"/>
      <c r="AL85" s="1"/>
    </row>
    <row r="86" spans="1:38">
      <c r="A86">
        <f>A85+A$1</f>
        <v>720</v>
      </c>
      <c r="B86">
        <v>2.9304029941558838</v>
      </c>
      <c r="C86">
        <v>5.8608059883117676</v>
      </c>
      <c r="D86">
        <v>13.675213813781738</v>
      </c>
      <c r="E86">
        <v>136.75213623046875</v>
      </c>
      <c r="F86">
        <v>61.538459777832031</v>
      </c>
      <c r="G86">
        <v>156.77655029296875</v>
      </c>
      <c r="H86">
        <v>180.21978759765625</v>
      </c>
      <c r="I86">
        <v>154.33454895019531</v>
      </c>
      <c r="J86">
        <v>153.84616088867187</v>
      </c>
      <c r="K86">
        <v>136.26373291015625</v>
      </c>
      <c r="L86">
        <v>126.00732421875</v>
      </c>
      <c r="M86">
        <v>129.42613220214844</v>
      </c>
      <c r="N86">
        <v>133.82173156738281</v>
      </c>
      <c r="O86">
        <v>124.05372619628906</v>
      </c>
      <c r="P86">
        <v>118.68132019042969</v>
      </c>
      <c r="Q86">
        <v>118.68132019042969</v>
      </c>
      <c r="R86">
        <v>124.05372619628906</v>
      </c>
      <c r="S86">
        <v>123.07691955566406</v>
      </c>
      <c r="T86">
        <v>147.4969482421875</v>
      </c>
      <c r="U86">
        <v>127.96092987060547</v>
      </c>
      <c r="V86">
        <v>121.12332153320312</v>
      </c>
      <c r="W86">
        <v>135.28694152832031</v>
      </c>
      <c r="X86">
        <v>96.703300476074219</v>
      </c>
      <c r="Y86">
        <v>9.768010139465332</v>
      </c>
      <c r="Z86">
        <v>3.9072039127349854</v>
      </c>
      <c r="AJ86" s="1"/>
      <c r="AL86" s="1"/>
    </row>
    <row r="87" spans="1:38">
      <c r="A87">
        <f>A86+A$1</f>
        <v>725</v>
      </c>
      <c r="B87">
        <v>2.9304029941558838</v>
      </c>
      <c r="C87">
        <v>5.3724055290222168</v>
      </c>
      <c r="D87">
        <v>13.186813354492187</v>
      </c>
      <c r="E87">
        <v>139.19413757324219</v>
      </c>
      <c r="F87">
        <v>57.142856597900391</v>
      </c>
      <c r="G87">
        <v>148.96214294433594</v>
      </c>
      <c r="H87">
        <v>177.28938293457031</v>
      </c>
      <c r="I87">
        <v>153.84616088867187</v>
      </c>
      <c r="J87">
        <v>148.96214294433594</v>
      </c>
      <c r="K87">
        <v>142.12454223632812</v>
      </c>
      <c r="L87">
        <v>126.00732421875</v>
      </c>
      <c r="M87">
        <v>119.65811920166016</v>
      </c>
      <c r="N87">
        <v>120.14652252197266</v>
      </c>
      <c r="O87">
        <v>115.75091552734375</v>
      </c>
      <c r="P87">
        <v>121.12332153320312</v>
      </c>
      <c r="Q87">
        <v>126.4957275390625</v>
      </c>
      <c r="R87">
        <v>118.68132019042969</v>
      </c>
      <c r="S87">
        <v>119.16971588134766</v>
      </c>
      <c r="T87">
        <v>147.008544921875</v>
      </c>
      <c r="U87">
        <v>124.54212188720703</v>
      </c>
      <c r="V87">
        <v>112.82051086425781</v>
      </c>
      <c r="W87">
        <v>138.21733093261719</v>
      </c>
      <c r="X87">
        <v>93.284492492675781</v>
      </c>
      <c r="Y87">
        <v>9.768010139465332</v>
      </c>
      <c r="Z87">
        <v>3.9072039127349854</v>
      </c>
      <c r="AJ87" s="1"/>
      <c r="AL87" s="1"/>
    </row>
    <row r="88" spans="1:38">
      <c r="A88">
        <f>A87+A$1</f>
        <v>730</v>
      </c>
      <c r="B88">
        <v>2.9304029941558838</v>
      </c>
      <c r="C88">
        <v>5.3724055290222168</v>
      </c>
      <c r="D88">
        <v>12.698412895202637</v>
      </c>
      <c r="E88">
        <v>138.70573425292969</v>
      </c>
      <c r="F88">
        <v>54.212455749511719</v>
      </c>
      <c r="G88">
        <v>143.58973693847656</v>
      </c>
      <c r="H88">
        <v>164.59095764160156</v>
      </c>
      <c r="I88">
        <v>159.21855163574219</v>
      </c>
      <c r="J88">
        <v>139.68254089355469</v>
      </c>
      <c r="K88">
        <v>142.12454223632812</v>
      </c>
      <c r="L88">
        <v>131.37973022460937</v>
      </c>
      <c r="M88">
        <v>122.58852386474609</v>
      </c>
      <c r="N88">
        <v>121.12332153320312</v>
      </c>
      <c r="O88">
        <v>119.16971588134766</v>
      </c>
      <c r="P88">
        <v>127.47252655029297</v>
      </c>
      <c r="Q88">
        <v>126.00732421875</v>
      </c>
      <c r="R88">
        <v>108.42491149902344</v>
      </c>
      <c r="S88">
        <v>123.07691955566406</v>
      </c>
      <c r="T88">
        <v>131.86813354492187</v>
      </c>
      <c r="U88">
        <v>123.07691955566406</v>
      </c>
      <c r="V88">
        <v>111.35530853271484</v>
      </c>
      <c r="W88">
        <v>133.33332824707031</v>
      </c>
      <c r="X88">
        <v>91.330894470214844</v>
      </c>
      <c r="Y88">
        <v>9.768010139465332</v>
      </c>
      <c r="Z88">
        <v>3.9072039127349854</v>
      </c>
      <c r="AJ88" s="1"/>
      <c r="AL88" s="1"/>
    </row>
    <row r="89" spans="1:38">
      <c r="A89">
        <f>A88+A$1</f>
        <v>735</v>
      </c>
      <c r="B89">
        <v>2.442002534866333</v>
      </c>
      <c r="C89">
        <v>5.3724055290222168</v>
      </c>
      <c r="D89">
        <v>12.210012435913086</v>
      </c>
      <c r="E89">
        <v>134.79853820800781</v>
      </c>
      <c r="F89">
        <v>53.235652923583984</v>
      </c>
      <c r="G89">
        <v>136.26373291015625</v>
      </c>
      <c r="H89">
        <v>150.42735290527344</v>
      </c>
      <c r="I89">
        <v>161.17216491699219</v>
      </c>
      <c r="J89">
        <v>133.33332824707031</v>
      </c>
      <c r="K89">
        <v>133.82173156738281</v>
      </c>
      <c r="L89">
        <v>131.86813354492187</v>
      </c>
      <c r="M89">
        <v>126.4957275390625</v>
      </c>
      <c r="N89">
        <v>125.03052520751953</v>
      </c>
      <c r="O89">
        <v>122.58852386474609</v>
      </c>
      <c r="P89">
        <v>126.98412322998047</v>
      </c>
      <c r="Q89">
        <v>115.75091552734375</v>
      </c>
      <c r="R89">
        <v>99.145301818847656</v>
      </c>
      <c r="S89">
        <v>126.98412322998047</v>
      </c>
      <c r="T89">
        <v>117.21611785888672</v>
      </c>
      <c r="U89">
        <v>113.30891418457031</v>
      </c>
      <c r="V89">
        <v>116.23931884765625</v>
      </c>
      <c r="W89">
        <v>125.51892852783203</v>
      </c>
      <c r="X89">
        <v>90.842491149902344</v>
      </c>
      <c r="Y89">
        <v>9.2796096801757812</v>
      </c>
      <c r="Z89">
        <v>3.9072039127349854</v>
      </c>
      <c r="AJ89" s="1"/>
      <c r="AL89" s="1"/>
    </row>
    <row r="90" spans="1:38">
      <c r="A90">
        <f>A89+A$1</f>
        <v>740</v>
      </c>
      <c r="B90">
        <v>2.442002534866333</v>
      </c>
      <c r="C90">
        <v>5.3724055290222168</v>
      </c>
      <c r="D90">
        <v>12.698412895202637</v>
      </c>
      <c r="E90">
        <v>130.89132690429687</v>
      </c>
      <c r="F90">
        <v>50.793651580810547</v>
      </c>
      <c r="G90">
        <v>127.47252655029297</v>
      </c>
      <c r="H90">
        <v>141.63613891601562</v>
      </c>
      <c r="I90">
        <v>151.40414428710937</v>
      </c>
      <c r="J90">
        <v>133.33332824707031</v>
      </c>
      <c r="K90">
        <v>121.12332153320312</v>
      </c>
      <c r="L90">
        <v>122.58852386474609</v>
      </c>
      <c r="M90">
        <v>123.07691955566406</v>
      </c>
      <c r="N90">
        <v>123.07691955566406</v>
      </c>
      <c r="O90">
        <v>118.19291687011719</v>
      </c>
      <c r="P90">
        <v>117.70452117919922</v>
      </c>
      <c r="Q90">
        <v>100.61050415039062</v>
      </c>
      <c r="R90">
        <v>95.23809814453125</v>
      </c>
      <c r="S90">
        <v>115.75091552734375</v>
      </c>
      <c r="T90">
        <v>112.33211517333984</v>
      </c>
      <c r="U90">
        <v>98.168495178222656</v>
      </c>
      <c r="V90">
        <v>118.19291687011719</v>
      </c>
      <c r="W90">
        <v>117.21611785888672</v>
      </c>
      <c r="X90">
        <v>90.842491149902344</v>
      </c>
      <c r="Y90">
        <v>8.7912092208862305</v>
      </c>
      <c r="Z90">
        <v>3.4188034534454346</v>
      </c>
      <c r="AJ90" s="1"/>
      <c r="AL90" s="1"/>
    </row>
    <row r="91" spans="1:38">
      <c r="A91">
        <f>A90+A$1</f>
        <v>745</v>
      </c>
      <c r="B91">
        <v>2.442002534866333</v>
      </c>
      <c r="C91">
        <v>5.3724055290222168</v>
      </c>
      <c r="D91">
        <v>12.698412895202637</v>
      </c>
      <c r="E91">
        <v>128.93772888183594</v>
      </c>
      <c r="F91">
        <v>44.932846069335937</v>
      </c>
      <c r="G91">
        <v>121.61172485351563</v>
      </c>
      <c r="H91">
        <v>134.31013488769531</v>
      </c>
      <c r="I91">
        <v>133.82173156738281</v>
      </c>
      <c r="J91">
        <v>133.33332824707031</v>
      </c>
      <c r="K91">
        <v>111.84371185302734</v>
      </c>
      <c r="L91">
        <v>107.44810485839844</v>
      </c>
      <c r="M91">
        <v>110.37850952148437</v>
      </c>
      <c r="N91">
        <v>112.82051086425781</v>
      </c>
      <c r="O91">
        <v>105.98290252685547</v>
      </c>
      <c r="P91">
        <v>101.58730316162109</v>
      </c>
      <c r="Q91">
        <v>87.423690795898438</v>
      </c>
      <c r="R91">
        <v>93.772895812988281</v>
      </c>
      <c r="S91">
        <v>95.23809814453125</v>
      </c>
      <c r="T91">
        <v>107.44810485839844</v>
      </c>
      <c r="U91">
        <v>88.888885498046875</v>
      </c>
      <c r="V91">
        <v>109.89010620117187</v>
      </c>
      <c r="W91">
        <v>108.91330718994141</v>
      </c>
      <c r="X91">
        <v>88.400489807128906</v>
      </c>
      <c r="Y91">
        <v>8.3028087615966797</v>
      </c>
      <c r="Z91">
        <v>3.4188034534454346</v>
      </c>
      <c r="AJ91" s="1"/>
      <c r="AL91" s="1"/>
    </row>
    <row r="92" spans="1:38">
      <c r="A92">
        <f>A91+A$1</f>
        <v>750</v>
      </c>
      <c r="B92">
        <v>2.442002534866333</v>
      </c>
      <c r="C92">
        <v>5.3724055290222168</v>
      </c>
      <c r="D92">
        <v>12.698412895202637</v>
      </c>
      <c r="E92">
        <v>129.91453552246094</v>
      </c>
      <c r="F92">
        <v>36.630035400390625</v>
      </c>
      <c r="G92">
        <v>121.61172485351563</v>
      </c>
      <c r="H92">
        <v>122.58852386474609</v>
      </c>
      <c r="I92">
        <v>120.63491821289062</v>
      </c>
      <c r="J92">
        <v>123.07691955566406</v>
      </c>
      <c r="K92">
        <v>109.40171051025391</v>
      </c>
      <c r="L92">
        <v>93.284492492675781</v>
      </c>
      <c r="M92">
        <v>92.796089172363281</v>
      </c>
      <c r="N92">
        <v>95.23809814453125</v>
      </c>
      <c r="O92">
        <v>87.912086486816406</v>
      </c>
      <c r="P92">
        <v>85.470085144042969</v>
      </c>
      <c r="Q92">
        <v>83.516487121582031</v>
      </c>
      <c r="R92">
        <v>81.074478149414063</v>
      </c>
      <c r="S92">
        <v>84.981681823730469</v>
      </c>
      <c r="T92">
        <v>91.330894470214844</v>
      </c>
      <c r="U92">
        <v>91.330894470214844</v>
      </c>
      <c r="V92">
        <v>97.191696166992188</v>
      </c>
      <c r="W92">
        <v>100.61050415039062</v>
      </c>
      <c r="X92">
        <v>84.4932861328125</v>
      </c>
      <c r="Y92">
        <v>7.8144078254699707</v>
      </c>
      <c r="Z92">
        <v>3.4188034534454346</v>
      </c>
      <c r="AJ92" s="1"/>
      <c r="AL92" s="1"/>
    </row>
    <row r="93" spans="1:38">
      <c r="A93">
        <f>A92+A$1</f>
        <v>755</v>
      </c>
      <c r="B93">
        <v>1.9536019563674927</v>
      </c>
      <c r="C93">
        <v>5.3724055290222168</v>
      </c>
      <c r="D93">
        <v>12.210012435913086</v>
      </c>
      <c r="E93">
        <v>131.86813354492187</v>
      </c>
      <c r="F93">
        <v>28.815628051757813</v>
      </c>
      <c r="G93">
        <v>122.10012054443359</v>
      </c>
      <c r="H93">
        <v>108.42491149902344</v>
      </c>
      <c r="I93">
        <v>114.28571319580078</v>
      </c>
      <c r="J93">
        <v>105.98290252685547</v>
      </c>
      <c r="K93">
        <v>106.47130584716797</v>
      </c>
      <c r="L93">
        <v>88.400489807128906</v>
      </c>
      <c r="M93">
        <v>79.609275817871094</v>
      </c>
      <c r="N93">
        <v>79.609275817871094</v>
      </c>
      <c r="O93">
        <v>73.74847412109375</v>
      </c>
      <c r="P93">
        <v>79.120880126953125</v>
      </c>
      <c r="Q93">
        <v>82.051284790039062</v>
      </c>
      <c r="R93">
        <v>61.050060272216797</v>
      </c>
      <c r="S93">
        <v>84.4932861328125</v>
      </c>
      <c r="T93">
        <v>69.841270446777344</v>
      </c>
      <c r="U93">
        <v>93.772895812988281</v>
      </c>
      <c r="V93">
        <v>87.912086486816406</v>
      </c>
      <c r="W93">
        <v>94.26129150390625</v>
      </c>
      <c r="X93">
        <v>80.097679138183594</v>
      </c>
      <c r="Y93">
        <v>7.3260073661804199</v>
      </c>
      <c r="Z93">
        <v>2.9304029941558838</v>
      </c>
      <c r="AJ93" s="1"/>
      <c r="AL93" s="1"/>
    </row>
    <row r="94" spans="1:38">
      <c r="A94">
        <f>A93+A$1</f>
        <v>760</v>
      </c>
      <c r="B94">
        <v>1.9536019563674927</v>
      </c>
      <c r="C94">
        <v>4.884005069732666</v>
      </c>
      <c r="D94">
        <v>12.210012435913086</v>
      </c>
      <c r="E94">
        <v>133.33332824707031</v>
      </c>
      <c r="F94">
        <v>22.954822540283203</v>
      </c>
      <c r="G94">
        <v>117.70452117919922</v>
      </c>
      <c r="H94">
        <v>101.58730316162109</v>
      </c>
      <c r="I94">
        <v>104.51770782470703</v>
      </c>
      <c r="J94">
        <v>95.23809814453125</v>
      </c>
      <c r="K94">
        <v>94.26129150390625</v>
      </c>
      <c r="L94">
        <v>87.912086486816406</v>
      </c>
      <c r="M94">
        <v>77.655677795410156</v>
      </c>
      <c r="N94">
        <v>74.725273132324219</v>
      </c>
      <c r="O94">
        <v>70.818069458007812</v>
      </c>
      <c r="P94">
        <v>80.097679138183594</v>
      </c>
      <c r="Q94">
        <v>67.399269104003906</v>
      </c>
      <c r="R94">
        <v>54.700855255126953</v>
      </c>
      <c r="S94">
        <v>75.702072143554688</v>
      </c>
      <c r="T94">
        <v>62.026863098144531</v>
      </c>
      <c r="U94">
        <v>85.958488464355469</v>
      </c>
      <c r="V94">
        <v>80.097679138183594</v>
      </c>
      <c r="W94">
        <v>89.865692138671875</v>
      </c>
      <c r="X94">
        <v>76.678878784179687</v>
      </c>
      <c r="Y94">
        <v>6.8376069068908691</v>
      </c>
      <c r="Z94">
        <v>2.9304029941558838</v>
      </c>
      <c r="AJ94" s="1"/>
      <c r="AL94" s="1"/>
    </row>
    <row r="95" spans="1:38">
      <c r="A95">
        <f>A94+A$1</f>
        <v>765</v>
      </c>
      <c r="B95">
        <v>1.9536019563674927</v>
      </c>
      <c r="C95">
        <v>4.884005069732666</v>
      </c>
      <c r="D95">
        <v>11.721611976623535</v>
      </c>
      <c r="E95">
        <v>132.35653686523437</v>
      </c>
      <c r="F95">
        <v>17.094017028808594</v>
      </c>
      <c r="G95">
        <v>108.91330718994141</v>
      </c>
      <c r="H95">
        <v>104.02930450439453</v>
      </c>
      <c r="I95">
        <v>88.888885498046875</v>
      </c>
      <c r="J95">
        <v>92.307693481445313</v>
      </c>
      <c r="K95">
        <v>81.562881469726563</v>
      </c>
      <c r="L95">
        <v>79.609275817871094</v>
      </c>
      <c r="M95">
        <v>78.144081115722656</v>
      </c>
      <c r="N95">
        <v>77.167274475097656</v>
      </c>
      <c r="O95">
        <v>72.283271789550781</v>
      </c>
      <c r="P95">
        <v>71.306472778320313</v>
      </c>
      <c r="Q95">
        <v>52.258853912353516</v>
      </c>
      <c r="R95">
        <v>60.561660766601562</v>
      </c>
      <c r="S95">
        <v>54.212455749511719</v>
      </c>
      <c r="T95">
        <v>69.352867126464844</v>
      </c>
      <c r="U95">
        <v>74.23687744140625</v>
      </c>
      <c r="V95">
        <v>71.794868469238281</v>
      </c>
      <c r="W95">
        <v>86.446884155273437</v>
      </c>
      <c r="X95">
        <v>74.23687744140625</v>
      </c>
      <c r="Y95">
        <v>6.3492064476013184</v>
      </c>
      <c r="Z95">
        <v>2.442002534866333</v>
      </c>
      <c r="AJ95" s="1"/>
      <c r="AL95" s="1"/>
    </row>
    <row r="96" spans="1:38">
      <c r="A96">
        <f>A95+A$1</f>
        <v>770</v>
      </c>
      <c r="B96">
        <v>1.9536019563674927</v>
      </c>
      <c r="C96">
        <v>4.884005069732666</v>
      </c>
      <c r="D96">
        <v>11.233211517333984</v>
      </c>
      <c r="E96">
        <v>128.93772888183594</v>
      </c>
      <c r="F96">
        <v>11.721611976623535</v>
      </c>
      <c r="G96">
        <v>101.09889984130859</v>
      </c>
      <c r="H96">
        <v>107.44810485839844</v>
      </c>
      <c r="I96">
        <v>77.655677795410156</v>
      </c>
      <c r="J96">
        <v>86.446884155273437</v>
      </c>
      <c r="K96">
        <v>79.120880126953125</v>
      </c>
      <c r="L96">
        <v>67.887664794921875</v>
      </c>
      <c r="M96">
        <v>68.376068115234375</v>
      </c>
      <c r="N96">
        <v>70.818069458007812</v>
      </c>
      <c r="O96">
        <v>62.026863098144531</v>
      </c>
      <c r="P96">
        <v>56.166057586669922</v>
      </c>
      <c r="Q96">
        <v>54.700855255126953</v>
      </c>
      <c r="R96">
        <v>58.608058929443359</v>
      </c>
      <c r="S96">
        <v>39.072040557861328</v>
      </c>
      <c r="T96">
        <v>74.725273132324219</v>
      </c>
      <c r="U96">
        <v>68.864471435546875</v>
      </c>
      <c r="V96">
        <v>64.957267761230469</v>
      </c>
      <c r="W96">
        <v>82.051284790039062</v>
      </c>
      <c r="X96">
        <v>71.794868469238281</v>
      </c>
      <c r="Y96">
        <v>5.8608059883117676</v>
      </c>
      <c r="Z96">
        <v>2.442002534866333</v>
      </c>
      <c r="AJ96" s="1"/>
      <c r="AL96" s="1"/>
    </row>
    <row r="97" spans="1:38">
      <c r="A97">
        <f>A96+A$1</f>
        <v>775</v>
      </c>
      <c r="B97">
        <v>1.9536019563674927</v>
      </c>
      <c r="C97">
        <v>4.3956046104431152</v>
      </c>
      <c r="D97">
        <v>11.233211517333984</v>
      </c>
      <c r="E97">
        <v>125.03052520751953</v>
      </c>
      <c r="F97">
        <v>8.7912092208862305</v>
      </c>
      <c r="G97">
        <v>94.74969482421875</v>
      </c>
      <c r="H97">
        <v>105.006103515625</v>
      </c>
      <c r="I97">
        <v>78.144081115722656</v>
      </c>
      <c r="J97">
        <v>72.283271789550781</v>
      </c>
      <c r="K97">
        <v>80.586082458496094</v>
      </c>
      <c r="L97">
        <v>64.957267761230469</v>
      </c>
      <c r="M97">
        <v>57.631256103515625</v>
      </c>
      <c r="N97">
        <v>58.119659423828125</v>
      </c>
      <c r="O97">
        <v>51.282051086425781</v>
      </c>
      <c r="P97">
        <v>56.166057586669922</v>
      </c>
      <c r="Q97">
        <v>62.515262603759766</v>
      </c>
      <c r="R97">
        <v>41.025642395019531</v>
      </c>
      <c r="S97">
        <v>42.490840911865234</v>
      </c>
      <c r="T97">
        <v>68.376068115234375</v>
      </c>
      <c r="U97">
        <v>66.910865783691406</v>
      </c>
      <c r="V97">
        <v>61.538459777832031</v>
      </c>
      <c r="W97">
        <v>78.632476806640625</v>
      </c>
      <c r="X97">
        <v>69.352867126464844</v>
      </c>
      <c r="Y97">
        <v>5.3724055290222168</v>
      </c>
      <c r="Z97">
        <v>2.442002534866333</v>
      </c>
      <c r="AJ97" s="1"/>
      <c r="AL97" s="1"/>
    </row>
    <row r="98" spans="1:38">
      <c r="A98">
        <f>A97+A$1</f>
        <v>780</v>
      </c>
      <c r="B98">
        <v>1.9536019563674927</v>
      </c>
      <c r="C98">
        <v>4.3956046104431152</v>
      </c>
      <c r="D98">
        <v>10.744811058044434</v>
      </c>
      <c r="E98">
        <v>121.61172485351563</v>
      </c>
      <c r="F98">
        <v>6.8376069068908691</v>
      </c>
      <c r="G98">
        <v>88.888885498046875</v>
      </c>
      <c r="H98">
        <v>98.168495178222656</v>
      </c>
      <c r="I98">
        <v>84.4932861328125</v>
      </c>
      <c r="J98">
        <v>59.584857940673828</v>
      </c>
      <c r="K98">
        <v>72.771675109863281</v>
      </c>
      <c r="L98">
        <v>69.841270446777344</v>
      </c>
      <c r="M98">
        <v>59.584857940673828</v>
      </c>
      <c r="N98">
        <v>57.142856597900391</v>
      </c>
      <c r="O98">
        <v>55.189254760742187</v>
      </c>
      <c r="P98">
        <v>65.445663452148438</v>
      </c>
      <c r="Q98">
        <v>57.142856597900391</v>
      </c>
      <c r="R98">
        <v>23.931623458862305</v>
      </c>
      <c r="S98">
        <v>53.724052429199219</v>
      </c>
      <c r="T98">
        <v>58.119659423828125</v>
      </c>
      <c r="U98">
        <v>62.026863098144531</v>
      </c>
      <c r="V98">
        <v>59.584857940673828</v>
      </c>
      <c r="W98">
        <v>75.702072143554688</v>
      </c>
      <c r="X98">
        <v>66.910865783691406</v>
      </c>
      <c r="Y98">
        <v>4.884005069732666</v>
      </c>
      <c r="Z98">
        <v>2.442002534866333</v>
      </c>
      <c r="AJ98" s="1"/>
      <c r="AL98" s="1"/>
    </row>
    <row r="99" spans="1:38">
      <c r="A99">
        <f>A98+A$1</f>
        <v>785</v>
      </c>
      <c r="B99">
        <v>1.4652014970779419</v>
      </c>
      <c r="C99">
        <v>4.3956046104431152</v>
      </c>
      <c r="D99">
        <v>9.768010139465332</v>
      </c>
      <c r="E99">
        <v>118.19291687011719</v>
      </c>
      <c r="F99">
        <v>5.3724055290222168</v>
      </c>
      <c r="G99">
        <v>83.028083801269531</v>
      </c>
      <c r="H99">
        <v>90.842491149902344</v>
      </c>
      <c r="I99">
        <v>86.446884155273437</v>
      </c>
      <c r="J99">
        <v>58.119659423828125</v>
      </c>
      <c r="K99">
        <v>56.654457092285156</v>
      </c>
      <c r="L99">
        <v>66.422470092773437</v>
      </c>
      <c r="M99">
        <v>64.957267761230469</v>
      </c>
      <c r="N99">
        <v>63.980464935302734</v>
      </c>
      <c r="O99">
        <v>62.515262603759766</v>
      </c>
      <c r="P99">
        <v>63.492061614990234</v>
      </c>
      <c r="Q99">
        <v>37.118438720703125</v>
      </c>
      <c r="R99">
        <v>23.931623458862305</v>
      </c>
      <c r="S99">
        <v>54.700855255126953</v>
      </c>
      <c r="T99">
        <v>55.189254760742187</v>
      </c>
      <c r="U99">
        <v>55.677654266357422</v>
      </c>
      <c r="V99">
        <v>57.142856597900391</v>
      </c>
      <c r="W99">
        <v>71.306472778320313</v>
      </c>
      <c r="X99">
        <v>62.026863098144531</v>
      </c>
      <c r="Y99">
        <v>4.884005069732666</v>
      </c>
      <c r="Z99">
        <v>1.9536019563674927</v>
      </c>
      <c r="AJ99" s="1"/>
      <c r="AL99" s="1"/>
    </row>
    <row r="100" spans="1:38">
      <c r="A100">
        <f>A99+A$1</f>
        <v>790</v>
      </c>
      <c r="B100">
        <v>1.4652014970779419</v>
      </c>
      <c r="C100">
        <v>3.9072039127349854</v>
      </c>
      <c r="D100">
        <v>9.2796096801757812</v>
      </c>
      <c r="E100">
        <v>113.79731750488281</v>
      </c>
      <c r="F100">
        <v>3.4188034534454346</v>
      </c>
      <c r="G100">
        <v>78.632476806640625</v>
      </c>
      <c r="H100">
        <v>84.0048828125</v>
      </c>
      <c r="I100">
        <v>80.097679138183594</v>
      </c>
      <c r="J100">
        <v>63.980464935302734</v>
      </c>
      <c r="K100">
        <v>44.444442749023438</v>
      </c>
      <c r="L100">
        <v>49.816848754882812</v>
      </c>
      <c r="M100">
        <v>57.631256103515625</v>
      </c>
      <c r="N100">
        <v>61.050060272216797</v>
      </c>
      <c r="O100">
        <v>55.677654266357422</v>
      </c>
      <c r="P100">
        <v>44.932846069335937</v>
      </c>
      <c r="Q100">
        <v>21.001220703125</v>
      </c>
      <c r="R100">
        <v>33.699634552001953</v>
      </c>
      <c r="S100">
        <v>42.979244232177734</v>
      </c>
      <c r="T100">
        <v>54.212455749511719</v>
      </c>
      <c r="U100">
        <v>50.305252075195313</v>
      </c>
      <c r="V100">
        <v>53.235652923583984</v>
      </c>
      <c r="W100">
        <v>65.445663452148438</v>
      </c>
      <c r="X100">
        <v>54.700855255126953</v>
      </c>
      <c r="Y100">
        <v>4.3956046104431152</v>
      </c>
      <c r="Z100">
        <v>1.9536019563674927</v>
      </c>
      <c r="AJ100" s="1"/>
      <c r="AL100" s="1"/>
    </row>
    <row r="101" spans="1:38">
      <c r="A101">
        <f>A100+A$1</f>
        <v>795</v>
      </c>
      <c r="B101">
        <v>1.4652014970779419</v>
      </c>
      <c r="C101">
        <v>3.9072039127349854</v>
      </c>
      <c r="D101">
        <v>8.7912092208862305</v>
      </c>
      <c r="E101">
        <v>107.93650817871094</v>
      </c>
      <c r="F101">
        <v>0.48840048909187317</v>
      </c>
      <c r="G101">
        <v>74.23687744140625</v>
      </c>
      <c r="H101">
        <v>76.678878784179687</v>
      </c>
      <c r="I101">
        <v>70.329673767089844</v>
      </c>
      <c r="J101">
        <v>65.445663452148438</v>
      </c>
      <c r="K101">
        <v>44.932846069335937</v>
      </c>
      <c r="L101">
        <v>32.234432220458984</v>
      </c>
      <c r="M101">
        <v>38.095237731933594</v>
      </c>
      <c r="N101">
        <v>42.979244232177734</v>
      </c>
      <c r="O101">
        <v>34.676433563232422</v>
      </c>
      <c r="P101">
        <v>24.908424377441406</v>
      </c>
      <c r="Q101">
        <v>22.466423034667969</v>
      </c>
      <c r="R101">
        <v>35.653236389160156</v>
      </c>
      <c r="S101">
        <v>31.746030807495117</v>
      </c>
      <c r="T101">
        <v>49.328449249267578</v>
      </c>
      <c r="U101">
        <v>45.421245574951172</v>
      </c>
      <c r="V101">
        <v>49.328449249267578</v>
      </c>
      <c r="W101">
        <v>62.515262603759766</v>
      </c>
      <c r="X101">
        <v>46.886447906494141</v>
      </c>
      <c r="Y101">
        <v>4.3956046104431152</v>
      </c>
      <c r="Z101">
        <v>1.9536019563674927</v>
      </c>
      <c r="AJ101" s="1"/>
      <c r="AL101" s="1"/>
    </row>
    <row r="102" spans="1:38">
      <c r="A102">
        <f>A101+A$1</f>
        <v>800</v>
      </c>
      <c r="B102">
        <v>1.4652014970779419</v>
      </c>
      <c r="C102">
        <v>3.9072039127349854</v>
      </c>
      <c r="D102">
        <v>8.3028087615966797</v>
      </c>
      <c r="E102">
        <v>101.09889984130859</v>
      </c>
      <c r="F102">
        <v>0.48840048909187317</v>
      </c>
      <c r="G102">
        <v>69.352867126464844</v>
      </c>
      <c r="H102">
        <v>69.841270446777344</v>
      </c>
      <c r="I102">
        <v>62.515262603759766</v>
      </c>
      <c r="J102">
        <v>58.119659423828125</v>
      </c>
      <c r="K102">
        <v>50.305252075195313</v>
      </c>
      <c r="L102">
        <v>27.838827133178711</v>
      </c>
      <c r="M102">
        <v>21.001220703125</v>
      </c>
      <c r="N102">
        <v>22.466423034667969</v>
      </c>
      <c r="O102">
        <v>16.117216110229492</v>
      </c>
      <c r="P102">
        <v>20.024419784545898</v>
      </c>
      <c r="Q102">
        <v>31.257631301879883</v>
      </c>
      <c r="R102">
        <v>23.44322395324707</v>
      </c>
      <c r="S102">
        <v>28.327228546142578</v>
      </c>
      <c r="T102">
        <v>41.025642395019531</v>
      </c>
      <c r="U102">
        <v>39.560440063476563</v>
      </c>
      <c r="V102">
        <v>43.956043243408203</v>
      </c>
      <c r="W102">
        <v>62.026863098144531</v>
      </c>
      <c r="X102">
        <v>39.072040557861328</v>
      </c>
      <c r="Y102">
        <v>4.3956046104431152</v>
      </c>
      <c r="Z102">
        <v>1.9536019563674927</v>
      </c>
      <c r="AJ102" s="1"/>
      <c r="AL102" s="1"/>
    </row>
    <row r="103" spans="1:38">
      <c r="A103">
        <f>A102+A$1</f>
        <v>805</v>
      </c>
      <c r="B103">
        <v>1.4652014970779419</v>
      </c>
      <c r="C103">
        <v>3.9072039127349854</v>
      </c>
      <c r="D103">
        <v>7.8144078254699707</v>
      </c>
      <c r="E103">
        <v>93.284492492675781</v>
      </c>
      <c r="F103">
        <v>0.48840048909187317</v>
      </c>
      <c r="G103">
        <v>63.980464935302734</v>
      </c>
      <c r="H103">
        <v>63.492061614990234</v>
      </c>
      <c r="I103">
        <v>56.654457092285156</v>
      </c>
      <c r="J103">
        <v>46.886447906494141</v>
      </c>
      <c r="K103">
        <v>48.840049743652344</v>
      </c>
      <c r="L103">
        <v>34.676433563232422</v>
      </c>
      <c r="M103">
        <v>20.024419784545898</v>
      </c>
      <c r="N103">
        <v>17.094017028808594</v>
      </c>
      <c r="O103">
        <v>15.628815650939941</v>
      </c>
      <c r="P103">
        <v>29.30402946472168</v>
      </c>
      <c r="Q103">
        <v>30.769229888916016</v>
      </c>
      <c r="R103">
        <v>6.8376069068908691</v>
      </c>
      <c r="S103">
        <v>27.350427627563477</v>
      </c>
      <c r="T103">
        <v>32.722831726074219</v>
      </c>
      <c r="U103">
        <v>33.699634552001953</v>
      </c>
      <c r="V103">
        <v>34.676433563232422</v>
      </c>
      <c r="W103">
        <v>56.654457092285156</v>
      </c>
      <c r="X103">
        <v>35.164836883544922</v>
      </c>
      <c r="Y103">
        <v>3.9072039127349854</v>
      </c>
      <c r="Z103">
        <v>1.4652014970779419</v>
      </c>
      <c r="AJ103" s="1"/>
      <c r="AL103" s="1"/>
    </row>
    <row r="104" spans="1:38">
      <c r="A104">
        <f>A103+A$1</f>
        <v>810</v>
      </c>
      <c r="B104">
        <v>1.4652014970779419</v>
      </c>
      <c r="C104">
        <v>3.9072039127349854</v>
      </c>
      <c r="D104">
        <v>7.8144078254699707</v>
      </c>
      <c r="E104">
        <v>85.470085144042969</v>
      </c>
      <c r="F104">
        <v>0.48840048909187317</v>
      </c>
      <c r="G104">
        <v>58.608058929443359</v>
      </c>
      <c r="H104">
        <v>58.608058929443359</v>
      </c>
      <c r="I104">
        <v>50.305252075195313</v>
      </c>
      <c r="J104">
        <v>39.560440063476563</v>
      </c>
      <c r="K104">
        <v>38.095237731933594</v>
      </c>
      <c r="L104">
        <v>37.606838226318359</v>
      </c>
      <c r="M104">
        <v>28.815628051757813</v>
      </c>
      <c r="N104">
        <v>25.885225296020508</v>
      </c>
      <c r="O104">
        <v>25.396825790405273</v>
      </c>
      <c r="P104">
        <v>33.211235046386719</v>
      </c>
      <c r="Q104">
        <v>15.628815650939941</v>
      </c>
      <c r="R104">
        <v>0.97680097818374634</v>
      </c>
      <c r="S104">
        <v>21.978021621704102</v>
      </c>
      <c r="T104">
        <v>25.885225296020508</v>
      </c>
      <c r="U104">
        <v>30.280830383300781</v>
      </c>
      <c r="V104">
        <v>26.862026214599609</v>
      </c>
      <c r="W104">
        <v>44.932846069335937</v>
      </c>
      <c r="X104">
        <v>35.653236389160156</v>
      </c>
      <c r="Y104">
        <v>3.4188034534454346</v>
      </c>
      <c r="Z104">
        <v>1.4652014970779419</v>
      </c>
      <c r="AJ104" s="1"/>
      <c r="AL104" s="1"/>
    </row>
    <row r="105" spans="1:38">
      <c r="A105">
        <f>A104+A$1</f>
        <v>815</v>
      </c>
      <c r="B105">
        <v>0.97680097818374634</v>
      </c>
      <c r="C105">
        <v>3.4188034534454346</v>
      </c>
      <c r="D105">
        <v>7.3260073661804199</v>
      </c>
      <c r="E105">
        <v>78.632476806640625</v>
      </c>
      <c r="F105">
        <v>0.48840048909187317</v>
      </c>
      <c r="G105">
        <v>54.212455749511719</v>
      </c>
      <c r="H105">
        <v>53.724052429199219</v>
      </c>
      <c r="I105">
        <v>43.956043243408203</v>
      </c>
      <c r="J105">
        <v>36.630035400390625</v>
      </c>
      <c r="K105">
        <v>26.862026214599609</v>
      </c>
      <c r="L105">
        <v>28.327228546142578</v>
      </c>
      <c r="M105">
        <v>29.792428970336914</v>
      </c>
      <c r="N105">
        <v>31.257631301879883</v>
      </c>
      <c r="O105">
        <v>26.862026214599609</v>
      </c>
      <c r="P105">
        <v>21.978021621704102</v>
      </c>
      <c r="Q105">
        <v>0.48840048909187317</v>
      </c>
      <c r="R105">
        <v>2.9304029941558838</v>
      </c>
      <c r="S105">
        <v>14.65201473236084</v>
      </c>
      <c r="T105">
        <v>19.047618865966797</v>
      </c>
      <c r="U105">
        <v>27.350427627563477</v>
      </c>
      <c r="V105">
        <v>26.373626708984375</v>
      </c>
      <c r="W105">
        <v>27.838827133178711</v>
      </c>
      <c r="X105">
        <v>38.583637237548828</v>
      </c>
      <c r="Y105">
        <v>2.9304029941558838</v>
      </c>
      <c r="Z105">
        <v>1.4652014970779419</v>
      </c>
      <c r="AJ105" s="1"/>
      <c r="AL105" s="1"/>
    </row>
    <row r="106" spans="1:38">
      <c r="A106">
        <f>A105+A$1</f>
        <v>820</v>
      </c>
      <c r="B106">
        <v>0.97680097818374634</v>
      </c>
      <c r="C106">
        <v>3.4188034534454346</v>
      </c>
      <c r="D106">
        <v>7.3260073661804199</v>
      </c>
      <c r="E106">
        <v>74.725273132324219</v>
      </c>
      <c r="F106">
        <v>0.48840048909187317</v>
      </c>
      <c r="G106">
        <v>48.840049743652344</v>
      </c>
      <c r="H106">
        <v>49.816848754882812</v>
      </c>
      <c r="I106">
        <v>39.072040557861328</v>
      </c>
      <c r="J106">
        <v>33.211235046386719</v>
      </c>
      <c r="K106">
        <v>22.954822540283203</v>
      </c>
      <c r="L106">
        <v>14.65201473236084</v>
      </c>
      <c r="M106">
        <v>18.070817947387695</v>
      </c>
      <c r="N106">
        <v>22.466423034667969</v>
      </c>
      <c r="O106">
        <v>14.163614273071289</v>
      </c>
      <c r="P106">
        <v>5.3724055290222168</v>
      </c>
      <c r="Q106">
        <v>0.48840048909187317</v>
      </c>
      <c r="R106">
        <v>2.442002534866333</v>
      </c>
      <c r="S106">
        <v>8.3028087615966797</v>
      </c>
      <c r="T106">
        <v>14.163614273071289</v>
      </c>
      <c r="U106">
        <v>21.001220703125</v>
      </c>
      <c r="V106">
        <v>30.769229888916016</v>
      </c>
      <c r="W106">
        <v>12.698412895202637</v>
      </c>
      <c r="X106">
        <v>39.560440063476563</v>
      </c>
      <c r="Y106">
        <v>2.442002534866333</v>
      </c>
      <c r="Z106">
        <v>0.97680097818374634</v>
      </c>
      <c r="AJ106" s="1"/>
      <c r="AL106" s="1"/>
    </row>
    <row r="107" spans="1:38">
      <c r="A107">
        <f>A106+A$1</f>
        <v>825</v>
      </c>
      <c r="B107">
        <v>0.97680097818374634</v>
      </c>
      <c r="C107">
        <v>3.4188034534454346</v>
      </c>
      <c r="D107">
        <v>7.3260073661804199</v>
      </c>
      <c r="E107">
        <v>73.74847412109375</v>
      </c>
      <c r="F107">
        <v>0.48840048909187317</v>
      </c>
      <c r="G107">
        <v>43.467643737792969</v>
      </c>
      <c r="H107">
        <v>46.886447906494141</v>
      </c>
      <c r="I107">
        <v>34.676433563232422</v>
      </c>
      <c r="J107">
        <v>28.327228546142578</v>
      </c>
      <c r="K107">
        <v>23.44322395324707</v>
      </c>
      <c r="L107">
        <v>7.8144078254699707</v>
      </c>
      <c r="M107">
        <v>3.9072039127349854</v>
      </c>
      <c r="N107">
        <v>6.8376069068908691</v>
      </c>
      <c r="O107">
        <v>0.48840048909187317</v>
      </c>
      <c r="P107">
        <v>0.48840048909187317</v>
      </c>
      <c r="Q107">
        <v>0.48840048909187317</v>
      </c>
      <c r="R107">
        <v>0.48840048909187317</v>
      </c>
      <c r="S107">
        <v>1.9536019563674927</v>
      </c>
      <c r="T107">
        <v>13.675213813781738</v>
      </c>
      <c r="U107">
        <v>11.721611976623535</v>
      </c>
      <c r="V107">
        <v>28.815628051757813</v>
      </c>
      <c r="W107">
        <v>5.3724055290222168</v>
      </c>
      <c r="X107">
        <v>35.653236389160156</v>
      </c>
      <c r="Y107">
        <v>2.442002534866333</v>
      </c>
      <c r="Z107">
        <v>0.97680097818374634</v>
      </c>
      <c r="AJ107" s="1"/>
      <c r="AL107" s="1"/>
    </row>
    <row r="108" spans="1:38">
      <c r="A108">
        <f>A107+A$1</f>
        <v>830</v>
      </c>
      <c r="B108">
        <v>0.97680097818374634</v>
      </c>
      <c r="C108">
        <v>2.9304029941558838</v>
      </c>
      <c r="D108">
        <v>6.8376069068908691</v>
      </c>
      <c r="E108">
        <v>76.190475463867187</v>
      </c>
      <c r="F108">
        <v>0.48840048909187317</v>
      </c>
      <c r="G108">
        <v>40.537239074707031</v>
      </c>
      <c r="H108">
        <v>44.444442749023438</v>
      </c>
      <c r="I108">
        <v>30.280830383300781</v>
      </c>
      <c r="J108">
        <v>23.931623458862305</v>
      </c>
      <c r="K108">
        <v>21.489622116088867</v>
      </c>
      <c r="L108">
        <v>8.7912092208862305</v>
      </c>
      <c r="M108">
        <v>0.48840048909187317</v>
      </c>
      <c r="N108">
        <v>0.48840048909187317</v>
      </c>
      <c r="O108">
        <v>0.48840048909187317</v>
      </c>
      <c r="P108">
        <v>1.4652014970779419</v>
      </c>
      <c r="Q108">
        <v>0.48840048909187317</v>
      </c>
      <c r="R108">
        <v>0.48840048909187317</v>
      </c>
      <c r="S108">
        <v>0.48840048909187317</v>
      </c>
      <c r="T108">
        <v>14.65201473236084</v>
      </c>
      <c r="U108">
        <v>7.8144078254699707</v>
      </c>
      <c r="V108">
        <v>17.094017028808594</v>
      </c>
      <c r="W108">
        <v>8.7912092208862305</v>
      </c>
      <c r="X108">
        <v>31.746030807495117</v>
      </c>
      <c r="Y108">
        <v>2.442002534866333</v>
      </c>
      <c r="Z108">
        <v>0.97680097818374634</v>
      </c>
      <c r="AJ108" s="1"/>
      <c r="AL108" s="1"/>
    </row>
    <row r="109" spans="1:38">
      <c r="A109">
        <f>A108+A$1</f>
        <v>835</v>
      </c>
      <c r="B109">
        <v>0.97680097818374634</v>
      </c>
      <c r="C109">
        <v>2.9304029941558838</v>
      </c>
      <c r="D109">
        <v>6.8376069068908691</v>
      </c>
      <c r="E109">
        <v>80.097679138183594</v>
      </c>
      <c r="F109">
        <v>0.48840048909187317</v>
      </c>
      <c r="G109">
        <v>41.025642395019531</v>
      </c>
      <c r="H109">
        <v>40.537239074707031</v>
      </c>
      <c r="I109">
        <v>27.350427627563477</v>
      </c>
      <c r="J109">
        <v>19.536020278930664</v>
      </c>
      <c r="K109">
        <v>18.070817947387695</v>
      </c>
      <c r="L109">
        <v>9.768010139465332</v>
      </c>
      <c r="M109">
        <v>2.442002534866333</v>
      </c>
      <c r="N109">
        <v>1.9536019563674927</v>
      </c>
      <c r="O109">
        <v>0.48840048909187317</v>
      </c>
      <c r="P109">
        <v>3.9072039127349854</v>
      </c>
      <c r="Q109">
        <v>0.48840048909187317</v>
      </c>
      <c r="R109">
        <v>0.48840048909187317</v>
      </c>
      <c r="S109">
        <v>0.48840048909187317</v>
      </c>
      <c r="T109">
        <v>11.233211517333984</v>
      </c>
      <c r="U109">
        <v>14.163614273071289</v>
      </c>
      <c r="V109">
        <v>0.48840048909187317</v>
      </c>
      <c r="W109">
        <v>17.582418441772461</v>
      </c>
      <c r="X109">
        <v>29.30402946472168</v>
      </c>
      <c r="Y109">
        <v>1.9536019563674927</v>
      </c>
      <c r="Z109">
        <v>0.97680097818374634</v>
      </c>
      <c r="AJ109" s="1"/>
      <c r="AL109" s="1"/>
    </row>
    <row r="110" spans="1:38">
      <c r="A110">
        <f>A109+A$1</f>
        <v>840</v>
      </c>
      <c r="B110">
        <v>0.48840048909187317</v>
      </c>
      <c r="C110">
        <v>2.9304029941558838</v>
      </c>
      <c r="D110">
        <v>6.3492064476013184</v>
      </c>
      <c r="E110">
        <v>83.028083801269531</v>
      </c>
      <c r="F110">
        <v>0.48840048909187317</v>
      </c>
      <c r="G110">
        <v>41.025642395019531</v>
      </c>
      <c r="H110">
        <v>35.653236389160156</v>
      </c>
      <c r="I110">
        <v>27.350427627563477</v>
      </c>
      <c r="J110">
        <v>15.628815650939941</v>
      </c>
      <c r="K110">
        <v>15.140415191650391</v>
      </c>
      <c r="L110">
        <v>8.3028087615966797</v>
      </c>
      <c r="M110">
        <v>3.4188034534454346</v>
      </c>
      <c r="N110">
        <v>4.3956046104431152</v>
      </c>
      <c r="O110">
        <v>0.97680097818374634</v>
      </c>
      <c r="P110">
        <v>2.442002534866333</v>
      </c>
      <c r="Q110">
        <v>0.48840048909187317</v>
      </c>
      <c r="R110">
        <v>0.48840048909187317</v>
      </c>
      <c r="S110">
        <v>0.48840048909187317</v>
      </c>
      <c r="T110">
        <v>1.9536019563674927</v>
      </c>
      <c r="U110">
        <v>21.489622116088867</v>
      </c>
      <c r="V110">
        <v>0.48840048909187317</v>
      </c>
      <c r="W110">
        <v>22.466423034667969</v>
      </c>
      <c r="X110">
        <v>29.792428970336914</v>
      </c>
      <c r="Y110">
        <v>1.9536019563674927</v>
      </c>
      <c r="Z110">
        <v>0.97680097818374634</v>
      </c>
      <c r="AJ110" s="1"/>
      <c r="AL110" s="1"/>
    </row>
    <row r="111" spans="1:38">
      <c r="A111">
        <f>A110+A$1</f>
        <v>845</v>
      </c>
      <c r="B111">
        <v>0.48840048909187317</v>
      </c>
      <c r="C111">
        <v>2.9304029941558838</v>
      </c>
      <c r="D111">
        <v>6.3492064476013184</v>
      </c>
      <c r="E111">
        <v>83.516487121582031</v>
      </c>
      <c r="F111">
        <v>0.48840048909187317</v>
      </c>
      <c r="G111">
        <v>35.164836883544922</v>
      </c>
      <c r="H111">
        <v>33.211235046386719</v>
      </c>
      <c r="I111">
        <v>28.327228546142578</v>
      </c>
      <c r="J111">
        <v>12.698412895202637</v>
      </c>
      <c r="K111">
        <v>11.233211517333984</v>
      </c>
      <c r="L111">
        <v>6.3492064476013184</v>
      </c>
      <c r="M111">
        <v>2.442002534866333</v>
      </c>
      <c r="N111">
        <v>3.9072039127349854</v>
      </c>
      <c r="O111">
        <v>0.48840048909187317</v>
      </c>
      <c r="P111">
        <v>0.48840048909187317</v>
      </c>
      <c r="Q111">
        <v>0.48840048909187317</v>
      </c>
      <c r="R111">
        <v>0.48840048909187317</v>
      </c>
      <c r="S111">
        <v>0.48840048909187317</v>
      </c>
      <c r="T111">
        <v>0.48840048909187317</v>
      </c>
      <c r="U111">
        <v>18.559219360351562</v>
      </c>
      <c r="V111">
        <v>0.48840048909187317</v>
      </c>
      <c r="W111">
        <v>19.047618865966797</v>
      </c>
      <c r="X111">
        <v>30.280830383300781</v>
      </c>
      <c r="Y111">
        <v>1.4652014970779419</v>
      </c>
      <c r="Z111">
        <v>0.97680097818374634</v>
      </c>
      <c r="AJ111" s="1"/>
      <c r="AL111" s="1"/>
    </row>
    <row r="112" spans="1:38">
      <c r="A112">
        <f>A111+A$1</f>
        <v>850</v>
      </c>
      <c r="B112">
        <v>0.48840048909187317</v>
      </c>
      <c r="C112">
        <v>2.9304029941558838</v>
      </c>
      <c r="D112">
        <v>6.3492064476013184</v>
      </c>
      <c r="E112">
        <v>82.051284790039062</v>
      </c>
      <c r="F112">
        <v>0.48840048909187317</v>
      </c>
      <c r="G112">
        <v>24.420024871826172</v>
      </c>
      <c r="H112">
        <v>35.164836883544922</v>
      </c>
      <c r="I112">
        <v>25.885225296020508</v>
      </c>
      <c r="J112">
        <v>13.186813354492187</v>
      </c>
      <c r="K112">
        <v>7.3260073661804199</v>
      </c>
      <c r="L112">
        <v>3.9072039127349854</v>
      </c>
      <c r="M112">
        <v>1.4652014970779419</v>
      </c>
      <c r="N112">
        <v>2.442002534866333</v>
      </c>
      <c r="O112">
        <v>0.48840048909187317</v>
      </c>
      <c r="P112">
        <v>0.48840048909187317</v>
      </c>
      <c r="Q112">
        <v>0.48840048909187317</v>
      </c>
      <c r="R112">
        <v>0.48840048909187317</v>
      </c>
      <c r="S112">
        <v>0.48840048909187317</v>
      </c>
      <c r="T112">
        <v>0.48840048909187317</v>
      </c>
      <c r="U112">
        <v>5.3724055290222168</v>
      </c>
      <c r="V112">
        <v>0.48840048909187317</v>
      </c>
      <c r="W112">
        <v>12.698412895202637</v>
      </c>
      <c r="X112">
        <v>29.30402946472168</v>
      </c>
      <c r="Y112">
        <v>1.4652014970779419</v>
      </c>
      <c r="Z112">
        <v>0.97680097818374634</v>
      </c>
      <c r="AJ112" s="1"/>
      <c r="AL112" s="1"/>
    </row>
    <row r="113" spans="1:38">
      <c r="A113">
        <f>A112+A$1</f>
        <v>855</v>
      </c>
      <c r="B113">
        <v>0.48840048909187317</v>
      </c>
      <c r="C113">
        <v>2.9304029941558838</v>
      </c>
      <c r="D113">
        <v>6.3492064476013184</v>
      </c>
      <c r="E113">
        <v>80.097679138183594</v>
      </c>
      <c r="F113">
        <v>0.48840048909187317</v>
      </c>
      <c r="G113">
        <v>12.210012435913086</v>
      </c>
      <c r="H113">
        <v>38.583637237548828</v>
      </c>
      <c r="I113">
        <v>21.001220703125</v>
      </c>
      <c r="J113">
        <v>16.605617523193359</v>
      </c>
      <c r="K113">
        <v>4.3956046104431152</v>
      </c>
      <c r="L113">
        <v>0.48840048909187317</v>
      </c>
      <c r="M113">
        <v>0.48840048909187317</v>
      </c>
      <c r="N113">
        <v>0.97680097818374634</v>
      </c>
      <c r="O113">
        <v>0.48840048909187317</v>
      </c>
      <c r="P113">
        <v>0.48840048909187317</v>
      </c>
      <c r="Q113">
        <v>0.48840048909187317</v>
      </c>
      <c r="R113">
        <v>0.48840048909187317</v>
      </c>
      <c r="S113">
        <v>0.48840048909187317</v>
      </c>
      <c r="T113">
        <v>12.698412895202637</v>
      </c>
      <c r="U113">
        <v>0.48840048909187317</v>
      </c>
      <c r="V113">
        <v>0.48840048909187317</v>
      </c>
      <c r="W113">
        <v>9.2796096801757812</v>
      </c>
      <c r="X113">
        <v>26.862026214599609</v>
      </c>
      <c r="Y113">
        <v>1.4652014970779419</v>
      </c>
      <c r="Z113">
        <v>0.97680097818374634</v>
      </c>
      <c r="AJ113" s="1"/>
      <c r="AL113" s="1"/>
    </row>
    <row r="114" spans="1:38">
      <c r="A114">
        <f>A113+A$1</f>
        <v>860</v>
      </c>
      <c r="B114">
        <v>0.48840048909187317</v>
      </c>
      <c r="C114">
        <v>2.9304029941558838</v>
      </c>
      <c r="D114">
        <v>6.3492064476013184</v>
      </c>
      <c r="E114">
        <v>79.120880126953125</v>
      </c>
      <c r="F114">
        <v>0.48840048909187317</v>
      </c>
      <c r="G114">
        <v>4.3956046104431152</v>
      </c>
      <c r="H114">
        <v>37.118438720703125</v>
      </c>
      <c r="I114">
        <v>18.559219360351562</v>
      </c>
      <c r="J114">
        <v>17.094017028808594</v>
      </c>
      <c r="K114">
        <v>6.3492064476013184</v>
      </c>
      <c r="L114">
        <v>0.48840048909187317</v>
      </c>
      <c r="M114">
        <v>0.48840048909187317</v>
      </c>
      <c r="N114">
        <v>0.48840048909187317</v>
      </c>
      <c r="O114">
        <v>0.48840048909187317</v>
      </c>
      <c r="P114">
        <v>0.48840048909187317</v>
      </c>
      <c r="Q114">
        <v>0.48840048909187317</v>
      </c>
      <c r="R114">
        <v>0.48840048909187317</v>
      </c>
      <c r="S114">
        <v>0.48840048909187317</v>
      </c>
      <c r="T114">
        <v>16.117216110229492</v>
      </c>
      <c r="U114">
        <v>0.48840048909187317</v>
      </c>
      <c r="V114">
        <v>3.9072039127349854</v>
      </c>
      <c r="W114">
        <v>10.744811058044434</v>
      </c>
      <c r="X114">
        <v>24.908424377441406</v>
      </c>
      <c r="Y114">
        <v>1.4652014970779419</v>
      </c>
      <c r="Z114">
        <v>0.97680097818374634</v>
      </c>
      <c r="AJ114" s="1"/>
      <c r="AL114" s="1"/>
    </row>
    <row r="115" spans="1:38">
      <c r="A115">
        <f>A114+A$1</f>
        <v>865</v>
      </c>
      <c r="B115">
        <v>0.48840048909187317</v>
      </c>
      <c r="C115">
        <v>2.9304029941558838</v>
      </c>
      <c r="D115">
        <v>5.8608059883117676</v>
      </c>
      <c r="E115">
        <v>78.144081115722656</v>
      </c>
      <c r="F115">
        <v>0.48840048909187317</v>
      </c>
      <c r="G115">
        <v>4.884005069732666</v>
      </c>
      <c r="H115">
        <v>27.350427627563477</v>
      </c>
      <c r="I115">
        <v>21.489622116088867</v>
      </c>
      <c r="J115">
        <v>12.210012435913086</v>
      </c>
      <c r="K115">
        <v>10.744811058044434</v>
      </c>
      <c r="L115">
        <v>0.48840048909187317</v>
      </c>
      <c r="M115">
        <v>0.48840048909187317</v>
      </c>
      <c r="N115">
        <v>0.48840048909187317</v>
      </c>
      <c r="O115">
        <v>0.48840048909187317</v>
      </c>
      <c r="P115">
        <v>0.48840048909187317</v>
      </c>
      <c r="Q115">
        <v>0.48840048909187317</v>
      </c>
      <c r="R115">
        <v>0.48840048909187317</v>
      </c>
      <c r="S115">
        <v>0.48840048909187317</v>
      </c>
      <c r="T115">
        <v>6.8376069068908691</v>
      </c>
      <c r="U115">
        <v>0.48840048909187317</v>
      </c>
      <c r="V115">
        <v>0.48840048909187317</v>
      </c>
      <c r="W115">
        <v>13.186813354492187</v>
      </c>
      <c r="X115">
        <v>23.44322395324707</v>
      </c>
      <c r="Y115">
        <v>1.4652014970779419</v>
      </c>
      <c r="Z115">
        <v>0.48840048909187317</v>
      </c>
      <c r="AJ115" s="1"/>
      <c r="AL115" s="1"/>
    </row>
    <row r="116" spans="1:38">
      <c r="A116">
        <f>A115+A$1</f>
        <v>870</v>
      </c>
      <c r="B116">
        <v>0.48840048909187317</v>
      </c>
      <c r="C116">
        <v>2.9304029941558838</v>
      </c>
      <c r="D116">
        <v>5.8608059883117676</v>
      </c>
      <c r="E116">
        <v>77.167274475097656</v>
      </c>
      <c r="F116">
        <v>0.48840048909187317</v>
      </c>
      <c r="G116">
        <v>12.210012435913086</v>
      </c>
      <c r="H116">
        <v>14.163614273071289</v>
      </c>
      <c r="I116">
        <v>26.862026214599609</v>
      </c>
      <c r="J116">
        <v>6.8376069068908691</v>
      </c>
      <c r="K116">
        <v>11.233211517333984</v>
      </c>
      <c r="L116">
        <v>0.48840048909187317</v>
      </c>
      <c r="M116">
        <v>0.48840048909187317</v>
      </c>
      <c r="N116">
        <v>0.48840048909187317</v>
      </c>
      <c r="O116">
        <v>0.48840048909187317</v>
      </c>
      <c r="P116">
        <v>0.48840048909187317</v>
      </c>
      <c r="Q116">
        <v>0.48840048909187317</v>
      </c>
      <c r="R116">
        <v>0.48840048909187317</v>
      </c>
      <c r="S116">
        <v>1.4652014970779419</v>
      </c>
      <c r="T116">
        <v>0.48840048909187317</v>
      </c>
      <c r="U116">
        <v>0.48840048909187317</v>
      </c>
      <c r="V116">
        <v>0.48840048909187317</v>
      </c>
      <c r="W116">
        <v>13.675213813781738</v>
      </c>
      <c r="X116">
        <v>22.954822540283203</v>
      </c>
      <c r="Y116">
        <v>1.4652014970779419</v>
      </c>
      <c r="Z116">
        <v>0.48840048909187317</v>
      </c>
      <c r="AJ116" s="1"/>
      <c r="AL116" s="1"/>
    </row>
    <row r="117" spans="1:38">
      <c r="A117">
        <f>A116+A$1</f>
        <v>875</v>
      </c>
      <c r="B117">
        <v>0.48840048909187317</v>
      </c>
      <c r="C117">
        <v>2.9304029941558838</v>
      </c>
      <c r="D117">
        <v>5.3724055290222168</v>
      </c>
      <c r="E117">
        <v>75.213676452636719</v>
      </c>
      <c r="F117">
        <v>0.48840048909187317</v>
      </c>
      <c r="G117">
        <v>20.024419784545898</v>
      </c>
      <c r="H117">
        <v>3.4188034534454346</v>
      </c>
      <c r="I117">
        <v>26.373626708984375</v>
      </c>
      <c r="J117">
        <v>7.3260073661804199</v>
      </c>
      <c r="K117">
        <v>5.8608059883117676</v>
      </c>
      <c r="L117">
        <v>3.4188034534454346</v>
      </c>
      <c r="M117">
        <v>0.48840048909187317</v>
      </c>
      <c r="N117">
        <v>0.48840048909187317</v>
      </c>
      <c r="O117">
        <v>0.48840048909187317</v>
      </c>
      <c r="P117">
        <v>0.48840048909187317</v>
      </c>
      <c r="Q117">
        <v>0.48840048909187317</v>
      </c>
      <c r="R117">
        <v>0.48840048909187317</v>
      </c>
      <c r="S117">
        <v>6.3492064476013184</v>
      </c>
      <c r="T117">
        <v>0.48840048909187317</v>
      </c>
      <c r="U117">
        <v>0.48840048909187317</v>
      </c>
      <c r="V117">
        <v>0.48840048909187317</v>
      </c>
      <c r="W117">
        <v>11.721611976623535</v>
      </c>
      <c r="X117">
        <v>22.954822540283203</v>
      </c>
      <c r="Y117">
        <v>1.4652014970779419</v>
      </c>
      <c r="Z117">
        <v>0.48840048909187317</v>
      </c>
      <c r="AJ117" s="1"/>
      <c r="AL117" s="1"/>
    </row>
    <row r="118" spans="1:38">
      <c r="A118">
        <f>A117+A$1</f>
        <v>880</v>
      </c>
      <c r="B118">
        <v>0.48840048909187317</v>
      </c>
      <c r="C118">
        <v>2.9304029941558838</v>
      </c>
      <c r="D118">
        <v>5.3724055290222168</v>
      </c>
      <c r="E118">
        <v>72.283271789550781</v>
      </c>
      <c r="F118">
        <v>0.48840048909187317</v>
      </c>
      <c r="G118">
        <v>23.931623458862305</v>
      </c>
      <c r="H118">
        <v>0.97680097818374634</v>
      </c>
      <c r="I118">
        <v>17.582418441772461</v>
      </c>
      <c r="J118">
        <v>14.163614273071289</v>
      </c>
      <c r="K118">
        <v>0.48840048909187317</v>
      </c>
      <c r="L118">
        <v>0.48840048909187317</v>
      </c>
      <c r="M118">
        <v>0.48840048909187317</v>
      </c>
      <c r="N118">
        <v>0.48840048909187317</v>
      </c>
      <c r="O118">
        <v>0.48840048909187317</v>
      </c>
      <c r="P118">
        <v>0.48840048909187317</v>
      </c>
      <c r="Q118">
        <v>0.48840048909187317</v>
      </c>
      <c r="R118">
        <v>0.48840048909187317</v>
      </c>
      <c r="S118">
        <v>0.48840048909187317</v>
      </c>
      <c r="T118">
        <v>0.48840048909187317</v>
      </c>
      <c r="U118">
        <v>2.9304029941558838</v>
      </c>
      <c r="V118">
        <v>0.48840048909187317</v>
      </c>
      <c r="W118">
        <v>9.2796096801757812</v>
      </c>
      <c r="X118">
        <v>22.954822540283203</v>
      </c>
      <c r="Y118">
        <v>0.97680097818374634</v>
      </c>
      <c r="Z118">
        <v>0.48840048909187317</v>
      </c>
      <c r="AJ118" s="1"/>
      <c r="AL118" s="1"/>
    </row>
    <row r="119" spans="1:38">
      <c r="A119">
        <f>A118+A$1</f>
        <v>885</v>
      </c>
      <c r="B119">
        <v>0.48840048909187317</v>
      </c>
      <c r="C119">
        <v>2.9304029941558838</v>
      </c>
      <c r="D119">
        <v>5.3724055290222168</v>
      </c>
      <c r="E119">
        <v>69.352867126464844</v>
      </c>
      <c r="F119">
        <v>0.48840048909187317</v>
      </c>
      <c r="G119">
        <v>22.466423034667969</v>
      </c>
      <c r="H119">
        <v>6.3492064476013184</v>
      </c>
      <c r="I119">
        <v>4.3956046104431152</v>
      </c>
      <c r="J119">
        <v>20.024419784545898</v>
      </c>
      <c r="K119">
        <v>0.48840048909187317</v>
      </c>
      <c r="L119">
        <v>0.48840048909187317</v>
      </c>
      <c r="M119">
        <v>0.48840048909187317</v>
      </c>
      <c r="N119">
        <v>0.48840048909187317</v>
      </c>
      <c r="O119">
        <v>0.48840048909187317</v>
      </c>
      <c r="P119">
        <v>0.48840048909187317</v>
      </c>
      <c r="Q119">
        <v>0.48840048909187317</v>
      </c>
      <c r="R119">
        <v>0.48840048909187317</v>
      </c>
      <c r="S119">
        <v>0.48840048909187317</v>
      </c>
      <c r="T119">
        <v>0.48840048909187317</v>
      </c>
      <c r="U119">
        <v>0.48840048909187317</v>
      </c>
      <c r="V119">
        <v>0.48840048909187317</v>
      </c>
      <c r="W119">
        <v>7.3260073661804199</v>
      </c>
      <c r="X119">
        <v>23.44322395324707</v>
      </c>
      <c r="Y119">
        <v>0.97680097818374634</v>
      </c>
      <c r="Z119">
        <v>0.48840048909187317</v>
      </c>
      <c r="AJ119" s="1"/>
      <c r="AL119" s="1"/>
    </row>
    <row r="120" spans="1:38">
      <c r="A120">
        <f>A119+A$1</f>
        <v>890</v>
      </c>
      <c r="B120">
        <v>0.48840048909187317</v>
      </c>
      <c r="C120">
        <v>2.442002534866333</v>
      </c>
      <c r="D120">
        <v>5.3724055290222168</v>
      </c>
      <c r="E120">
        <v>67.399269104003906</v>
      </c>
      <c r="F120">
        <v>0.48840048909187317</v>
      </c>
      <c r="G120">
        <v>18.559219360351562</v>
      </c>
      <c r="H120">
        <v>15.628815650939941</v>
      </c>
      <c r="I120">
        <v>0.48840048909187317</v>
      </c>
      <c r="J120">
        <v>16.605617523193359</v>
      </c>
      <c r="K120">
        <v>7.3260073661804199</v>
      </c>
      <c r="L120">
        <v>0.48840048909187317</v>
      </c>
      <c r="M120">
        <v>0.48840048909187317</v>
      </c>
      <c r="N120">
        <v>0.48840048909187317</v>
      </c>
      <c r="O120">
        <v>0.48840048909187317</v>
      </c>
      <c r="P120">
        <v>0.48840048909187317</v>
      </c>
      <c r="Q120">
        <v>0.48840048909187317</v>
      </c>
      <c r="R120">
        <v>0.48840048909187317</v>
      </c>
      <c r="S120">
        <v>0.48840048909187317</v>
      </c>
      <c r="T120">
        <v>0.48840048909187317</v>
      </c>
      <c r="U120">
        <v>0.48840048909187317</v>
      </c>
      <c r="V120">
        <v>0.48840048909187317</v>
      </c>
      <c r="W120">
        <v>6.3492064476013184</v>
      </c>
      <c r="X120">
        <v>23.931623458862305</v>
      </c>
      <c r="Y120">
        <v>0.97680097818374634</v>
      </c>
      <c r="Z120">
        <v>0.48840048909187317</v>
      </c>
      <c r="AJ120" s="1"/>
      <c r="AL120" s="1"/>
    </row>
    <row r="121" spans="1:38">
      <c r="A121">
        <f>A120+A$1</f>
        <v>895</v>
      </c>
      <c r="B121">
        <v>0.48840048909187317</v>
      </c>
      <c r="C121">
        <v>2.442002534866333</v>
      </c>
      <c r="D121">
        <v>5.3724055290222168</v>
      </c>
      <c r="E121">
        <v>65.934066772460938</v>
      </c>
      <c r="F121">
        <v>0.48840048909187317</v>
      </c>
      <c r="G121">
        <v>16.117216110229492</v>
      </c>
      <c r="H121">
        <v>22.954822540283203</v>
      </c>
      <c r="I121">
        <v>0.48840048909187317</v>
      </c>
      <c r="J121">
        <v>4.3956046104431152</v>
      </c>
      <c r="K121">
        <v>14.65201473236084</v>
      </c>
      <c r="L121">
        <v>0.48840048909187317</v>
      </c>
      <c r="M121">
        <v>0.48840048909187317</v>
      </c>
      <c r="N121">
        <v>0.48840048909187317</v>
      </c>
      <c r="O121">
        <v>0.48840048909187317</v>
      </c>
      <c r="P121">
        <v>0.48840048909187317</v>
      </c>
      <c r="Q121">
        <v>0.48840048909187317</v>
      </c>
      <c r="R121">
        <v>0.48840048909187317</v>
      </c>
      <c r="S121">
        <v>0.48840048909187317</v>
      </c>
      <c r="T121">
        <v>0.48840048909187317</v>
      </c>
      <c r="U121">
        <v>0.48840048909187317</v>
      </c>
      <c r="V121">
        <v>0.48840048909187317</v>
      </c>
      <c r="W121">
        <v>5.3724055290222168</v>
      </c>
      <c r="X121">
        <v>23.931623458862305</v>
      </c>
      <c r="Y121">
        <v>0.97680097818374634</v>
      </c>
      <c r="Z121">
        <v>0.48840048909187317</v>
      </c>
      <c r="AJ121" s="1"/>
      <c r="AL121" s="1"/>
    </row>
    <row r="122" spans="1:38">
      <c r="A122">
        <f>A121+A$1</f>
        <v>900</v>
      </c>
      <c r="B122">
        <v>0.48840048909187317</v>
      </c>
      <c r="C122">
        <v>2.442002534866333</v>
      </c>
      <c r="D122">
        <v>5.3724055290222168</v>
      </c>
      <c r="E122">
        <v>65.445663452148438</v>
      </c>
      <c r="F122">
        <v>0.48840048909187317</v>
      </c>
      <c r="G122">
        <v>16.117216110229492</v>
      </c>
      <c r="H122">
        <v>23.44322395324707</v>
      </c>
      <c r="I122">
        <v>0.48840048909187317</v>
      </c>
      <c r="J122">
        <v>0.48840048909187317</v>
      </c>
      <c r="K122">
        <v>12.210012435913086</v>
      </c>
      <c r="L122">
        <v>2.9304029941558838</v>
      </c>
      <c r="M122">
        <v>0.48840048909187317</v>
      </c>
      <c r="N122">
        <v>0.48840048909187317</v>
      </c>
      <c r="O122">
        <v>0.48840048909187317</v>
      </c>
      <c r="P122">
        <v>0.48840048909187317</v>
      </c>
      <c r="Q122">
        <v>0.48840048909187317</v>
      </c>
      <c r="R122">
        <v>0.48840048909187317</v>
      </c>
      <c r="S122">
        <v>0.48840048909187317</v>
      </c>
      <c r="T122">
        <v>0.48840048909187317</v>
      </c>
      <c r="U122">
        <v>0.48840048909187317</v>
      </c>
      <c r="V122">
        <v>0.48840048909187317</v>
      </c>
      <c r="W122">
        <v>4.884005069732666</v>
      </c>
      <c r="X122">
        <v>22.466423034667969</v>
      </c>
      <c r="Y122">
        <v>0.97680097818374634</v>
      </c>
      <c r="Z122">
        <v>0.48840048909187317</v>
      </c>
      <c r="AJ122" s="1"/>
      <c r="AL122" s="1"/>
    </row>
    <row r="123" spans="1:38">
      <c r="A123">
        <f>A122+A$1</f>
        <v>905</v>
      </c>
      <c r="B123">
        <v>0.48840048909187317</v>
      </c>
      <c r="C123">
        <v>2.442002534866333</v>
      </c>
      <c r="D123">
        <v>4.884005069732666</v>
      </c>
      <c r="E123">
        <v>65.445663452148438</v>
      </c>
      <c r="F123">
        <v>0.48840048909187317</v>
      </c>
      <c r="G123">
        <v>17.582418441772461</v>
      </c>
      <c r="H123">
        <v>19.536020278930664</v>
      </c>
      <c r="I123">
        <v>6.3492064476013184</v>
      </c>
      <c r="J123">
        <v>0.48840048909187317</v>
      </c>
      <c r="K123">
        <v>0.48840048909187317</v>
      </c>
      <c r="L123">
        <v>6.8376069068908691</v>
      </c>
      <c r="M123">
        <v>0.48840048909187317</v>
      </c>
      <c r="N123">
        <v>0.48840048909187317</v>
      </c>
      <c r="O123">
        <v>0.48840048909187317</v>
      </c>
      <c r="P123">
        <v>2.9304029941558838</v>
      </c>
      <c r="Q123">
        <v>0.48840048909187317</v>
      </c>
      <c r="R123">
        <v>0.48840048909187317</v>
      </c>
      <c r="S123">
        <v>0.48840048909187317</v>
      </c>
      <c r="T123">
        <v>0.48840048909187317</v>
      </c>
      <c r="U123">
        <v>0.48840048909187317</v>
      </c>
      <c r="V123">
        <v>0.48840048909187317</v>
      </c>
      <c r="W123">
        <v>5.3724055290222168</v>
      </c>
      <c r="X123">
        <v>20.024419784545898</v>
      </c>
      <c r="Y123">
        <v>0.97680097818374634</v>
      </c>
      <c r="Z123">
        <v>0.48840048909187317</v>
      </c>
      <c r="AJ123" s="1"/>
      <c r="AL123" s="1"/>
    </row>
    <row r="124" spans="1:38">
      <c r="A124">
        <f>A123+A$1</f>
        <v>910</v>
      </c>
      <c r="B124">
        <v>0.48840048909187317</v>
      </c>
      <c r="C124">
        <v>2.442002534866333</v>
      </c>
      <c r="D124">
        <v>4.884005069732666</v>
      </c>
      <c r="E124">
        <v>64.957267761230469</v>
      </c>
      <c r="F124">
        <v>0.48840048909187317</v>
      </c>
      <c r="G124">
        <v>18.559219360351562</v>
      </c>
      <c r="H124">
        <v>15.628815650939941</v>
      </c>
      <c r="I124">
        <v>13.675213813781738</v>
      </c>
      <c r="J124">
        <v>0.48840048909187317</v>
      </c>
      <c r="K124">
        <v>0.48840048909187317</v>
      </c>
      <c r="L124">
        <v>0.48840048909187317</v>
      </c>
      <c r="M124">
        <v>2.9304029941558838</v>
      </c>
      <c r="N124">
        <v>4.884005069732666</v>
      </c>
      <c r="O124">
        <v>1.9536019563674927</v>
      </c>
      <c r="P124">
        <v>0.48840048909187317</v>
      </c>
      <c r="Q124">
        <v>0.48840048909187317</v>
      </c>
      <c r="R124">
        <v>0.48840048909187317</v>
      </c>
      <c r="S124">
        <v>0.48840048909187317</v>
      </c>
      <c r="T124">
        <v>0.48840048909187317</v>
      </c>
      <c r="U124">
        <v>0.48840048909187317</v>
      </c>
      <c r="V124">
        <v>0.48840048909187317</v>
      </c>
      <c r="W124">
        <v>6.8376069068908691</v>
      </c>
      <c r="X124">
        <v>18.070817947387695</v>
      </c>
      <c r="Y124">
        <v>0.97680097818374634</v>
      </c>
      <c r="Z124">
        <v>0.48840048909187317</v>
      </c>
      <c r="AJ124" s="1"/>
      <c r="AL124" s="1"/>
    </row>
    <row r="125" spans="1:38">
      <c r="A125">
        <f>A124+A$1</f>
        <v>915</v>
      </c>
      <c r="B125">
        <v>0.48840048909187317</v>
      </c>
      <c r="C125">
        <v>2.442002534866333</v>
      </c>
      <c r="D125">
        <v>4.3956046104431152</v>
      </c>
      <c r="E125">
        <v>63.003662109375</v>
      </c>
      <c r="F125">
        <v>0.48840048909187317</v>
      </c>
      <c r="G125">
        <v>17.582418441772461</v>
      </c>
      <c r="H125">
        <v>14.163614273071289</v>
      </c>
      <c r="I125">
        <v>14.65201473236084</v>
      </c>
      <c r="J125">
        <v>0.48840048909187317</v>
      </c>
      <c r="K125">
        <v>0.48840048909187317</v>
      </c>
      <c r="L125">
        <v>0.48840048909187317</v>
      </c>
      <c r="M125">
        <v>0.48840048909187317</v>
      </c>
      <c r="N125">
        <v>0.48840048909187317</v>
      </c>
      <c r="O125">
        <v>0.48840048909187317</v>
      </c>
      <c r="P125">
        <v>0.48840048909187317</v>
      </c>
      <c r="Q125">
        <v>0.48840048909187317</v>
      </c>
      <c r="R125">
        <v>0.48840048909187317</v>
      </c>
      <c r="S125">
        <v>0.48840048909187317</v>
      </c>
      <c r="T125">
        <v>0.48840048909187317</v>
      </c>
      <c r="U125">
        <v>0.48840048909187317</v>
      </c>
      <c r="V125">
        <v>0.48840048909187317</v>
      </c>
      <c r="W125">
        <v>8.7912092208862305</v>
      </c>
      <c r="X125">
        <v>16.605617523193359</v>
      </c>
      <c r="Y125">
        <v>0.97680097818374634</v>
      </c>
      <c r="Z125">
        <v>0.48840048909187317</v>
      </c>
      <c r="AJ125" s="1"/>
      <c r="AL125" s="1"/>
    </row>
    <row r="126" spans="1:38">
      <c r="A126">
        <f>A125+A$1</f>
        <v>920</v>
      </c>
      <c r="B126">
        <v>0.48840048909187317</v>
      </c>
      <c r="C126">
        <v>2.442002534866333</v>
      </c>
      <c r="D126">
        <v>4.3956046104431152</v>
      </c>
      <c r="E126">
        <v>60.561660766601562</v>
      </c>
      <c r="F126">
        <v>0.48840048909187317</v>
      </c>
      <c r="G126">
        <v>15.628815650939941</v>
      </c>
      <c r="H126">
        <v>15.140415191650391</v>
      </c>
      <c r="I126">
        <v>11.233211517333984</v>
      </c>
      <c r="J126">
        <v>4.3956046104431152</v>
      </c>
      <c r="K126">
        <v>0.48840048909187317</v>
      </c>
      <c r="L126">
        <v>0.48840048909187317</v>
      </c>
      <c r="M126">
        <v>0.48840048909187317</v>
      </c>
      <c r="N126">
        <v>0.48840048909187317</v>
      </c>
      <c r="O126">
        <v>0.48840048909187317</v>
      </c>
      <c r="P126">
        <v>0.48840048909187317</v>
      </c>
      <c r="Q126">
        <v>0.48840048909187317</v>
      </c>
      <c r="R126">
        <v>0.48840048909187317</v>
      </c>
      <c r="S126">
        <v>0.48840048909187317</v>
      </c>
      <c r="T126">
        <v>0.48840048909187317</v>
      </c>
      <c r="U126">
        <v>0.48840048909187317</v>
      </c>
      <c r="V126">
        <v>0.48840048909187317</v>
      </c>
      <c r="W126">
        <v>8.7912092208862305</v>
      </c>
      <c r="X126">
        <v>16.605617523193359</v>
      </c>
      <c r="Y126">
        <v>0.97680097818374634</v>
      </c>
      <c r="Z126">
        <v>0.48840048909187317</v>
      </c>
      <c r="AJ126" s="1"/>
      <c r="AL126" s="1"/>
    </row>
    <row r="127" spans="1:38">
      <c r="A127">
        <f>A126+A$1</f>
        <v>925</v>
      </c>
      <c r="B127">
        <v>0.48840048909187317</v>
      </c>
      <c r="C127">
        <v>2.442002534866333</v>
      </c>
      <c r="D127">
        <v>3.9072039127349854</v>
      </c>
      <c r="E127">
        <v>56.654457092285156</v>
      </c>
      <c r="F127">
        <v>0.48840048909187317</v>
      </c>
      <c r="G127">
        <v>14.163614273071289</v>
      </c>
      <c r="H127">
        <v>16.605617523193359</v>
      </c>
      <c r="I127">
        <v>7.3260073661804199</v>
      </c>
      <c r="J127">
        <v>9.2796096801757812</v>
      </c>
      <c r="K127">
        <v>0.48840048909187317</v>
      </c>
      <c r="L127">
        <v>0.48840048909187317</v>
      </c>
      <c r="M127">
        <v>0.48840048909187317</v>
      </c>
      <c r="N127">
        <v>0.48840048909187317</v>
      </c>
      <c r="O127">
        <v>0.48840048909187317</v>
      </c>
      <c r="P127">
        <v>0.48840048909187317</v>
      </c>
      <c r="Q127">
        <v>0.48840048909187317</v>
      </c>
      <c r="R127">
        <v>0.48840048909187317</v>
      </c>
      <c r="S127">
        <v>0.48840048909187317</v>
      </c>
      <c r="T127">
        <v>0.48840048909187317</v>
      </c>
      <c r="U127">
        <v>0.48840048909187317</v>
      </c>
      <c r="V127">
        <v>0.48840048909187317</v>
      </c>
      <c r="W127">
        <v>6.8376069068908691</v>
      </c>
      <c r="X127">
        <v>17.582418441772461</v>
      </c>
      <c r="Y127">
        <v>0.97680097818374634</v>
      </c>
      <c r="Z127">
        <v>0.48840048909187317</v>
      </c>
      <c r="AJ127" s="1"/>
      <c r="AL127" s="1"/>
    </row>
    <row r="128" spans="1:38">
      <c r="A128">
        <f>A127+A$1</f>
        <v>930</v>
      </c>
      <c r="B128">
        <v>0.48840048909187317</v>
      </c>
      <c r="C128">
        <v>2.442002534866333</v>
      </c>
      <c r="D128">
        <v>3.9072039127349854</v>
      </c>
      <c r="E128">
        <v>52.74725341796875</v>
      </c>
      <c r="F128">
        <v>0.48840048909187317</v>
      </c>
      <c r="G128">
        <v>12.698412895202637</v>
      </c>
      <c r="H128">
        <v>17.094017028808594</v>
      </c>
      <c r="I128">
        <v>5.8608059883117676</v>
      </c>
      <c r="J128">
        <v>8.3028087615966797</v>
      </c>
      <c r="K128">
        <v>0.97680097818374634</v>
      </c>
      <c r="L128">
        <v>0.48840048909187317</v>
      </c>
      <c r="M128">
        <v>0.48840048909187317</v>
      </c>
      <c r="N128">
        <v>0.48840048909187317</v>
      </c>
      <c r="O128">
        <v>0.48840048909187317</v>
      </c>
      <c r="P128">
        <v>0.48840048909187317</v>
      </c>
      <c r="Q128">
        <v>0.48840048909187317</v>
      </c>
      <c r="R128">
        <v>0.48840048909187317</v>
      </c>
      <c r="S128">
        <v>0.48840048909187317</v>
      </c>
      <c r="T128">
        <v>0.48840048909187317</v>
      </c>
      <c r="U128">
        <v>0.48840048909187317</v>
      </c>
      <c r="V128">
        <v>0.48840048909187317</v>
      </c>
      <c r="W128">
        <v>3.4188034534454346</v>
      </c>
      <c r="X128">
        <v>18.070817947387695</v>
      </c>
      <c r="Y128">
        <v>0.48840048909187317</v>
      </c>
      <c r="Z128">
        <v>0.48840048909187317</v>
      </c>
      <c r="AJ128" s="1"/>
      <c r="AL128" s="1"/>
    </row>
    <row r="129" spans="1:38">
      <c r="A129">
        <f>A128+A$1</f>
        <v>935</v>
      </c>
      <c r="B129">
        <v>0.48840048909187317</v>
      </c>
      <c r="C129">
        <v>2.442002534866333</v>
      </c>
      <c r="D129">
        <v>3.9072039127349854</v>
      </c>
      <c r="E129">
        <v>48.840049743652344</v>
      </c>
      <c r="F129">
        <v>0.48840048909187317</v>
      </c>
      <c r="G129">
        <v>11.721611976623535</v>
      </c>
      <c r="H129">
        <v>16.117216110229492</v>
      </c>
      <c r="I129">
        <v>7.3260073661804199</v>
      </c>
      <c r="J129">
        <v>3.9072039127349854</v>
      </c>
      <c r="K129">
        <v>6.3492064476013184</v>
      </c>
      <c r="L129">
        <v>0.48840048909187317</v>
      </c>
      <c r="M129">
        <v>0.48840048909187317</v>
      </c>
      <c r="N129">
        <v>0.48840048909187317</v>
      </c>
      <c r="O129">
        <v>0.48840048909187317</v>
      </c>
      <c r="P129">
        <v>0.48840048909187317</v>
      </c>
      <c r="Q129">
        <v>0.48840048909187317</v>
      </c>
      <c r="R129">
        <v>0.48840048909187317</v>
      </c>
      <c r="S129">
        <v>0.48840048909187317</v>
      </c>
      <c r="T129">
        <v>0.48840048909187317</v>
      </c>
      <c r="U129">
        <v>0.48840048909187317</v>
      </c>
      <c r="V129">
        <v>0.48840048909187317</v>
      </c>
      <c r="W129">
        <v>1.4652014970779419</v>
      </c>
      <c r="X129">
        <v>17.582418441772461</v>
      </c>
      <c r="Y129">
        <v>0.48840048909187317</v>
      </c>
      <c r="Z129">
        <v>0.48840048909187317</v>
      </c>
      <c r="AJ129" s="1"/>
      <c r="AL129" s="1"/>
    </row>
    <row r="130" spans="1:38">
      <c r="A130">
        <f>A129+A$1</f>
        <v>940</v>
      </c>
      <c r="B130">
        <v>0.48840048909187317</v>
      </c>
      <c r="C130">
        <v>2.442002534866333</v>
      </c>
      <c r="D130">
        <v>3.9072039127349854</v>
      </c>
      <c r="E130">
        <v>46.398044586181641</v>
      </c>
      <c r="F130">
        <v>0.48840048909187317</v>
      </c>
      <c r="G130">
        <v>10.744811058044434</v>
      </c>
      <c r="H130">
        <v>14.65201473236084</v>
      </c>
      <c r="I130">
        <v>8.7912092208862305</v>
      </c>
      <c r="J130">
        <v>0.97680097818374634</v>
      </c>
      <c r="K130">
        <v>5.3724055290222168</v>
      </c>
      <c r="L130">
        <v>0.48840048909187317</v>
      </c>
      <c r="M130">
        <v>0.48840048909187317</v>
      </c>
      <c r="N130">
        <v>0.48840048909187317</v>
      </c>
      <c r="O130">
        <v>0.48840048909187317</v>
      </c>
      <c r="P130">
        <v>0.48840048909187317</v>
      </c>
      <c r="Q130">
        <v>0.48840048909187317</v>
      </c>
      <c r="R130">
        <v>0.48840048909187317</v>
      </c>
      <c r="S130">
        <v>0.48840048909187317</v>
      </c>
      <c r="T130">
        <v>0.48840048909187317</v>
      </c>
      <c r="U130">
        <v>0.48840048909187317</v>
      </c>
      <c r="V130">
        <v>0.48840048909187317</v>
      </c>
      <c r="W130">
        <v>0.97680097818374634</v>
      </c>
      <c r="X130">
        <v>16.117216110229492</v>
      </c>
      <c r="Y130">
        <v>0.97680097818374634</v>
      </c>
      <c r="Z130">
        <v>0.48840048909187317</v>
      </c>
      <c r="AJ130" s="1"/>
      <c r="AL130" s="1"/>
    </row>
    <row r="131" spans="1:38">
      <c r="A131">
        <f>A130+A$1</f>
        <v>945</v>
      </c>
      <c r="B131">
        <v>0.48840048909187317</v>
      </c>
      <c r="C131">
        <v>1.9536019563674927</v>
      </c>
      <c r="D131">
        <v>3.9072039127349854</v>
      </c>
      <c r="E131">
        <v>44.444442749023438</v>
      </c>
      <c r="F131">
        <v>0.48840048909187317</v>
      </c>
      <c r="G131">
        <v>10.744811058044434</v>
      </c>
      <c r="H131">
        <v>12.698412895202637</v>
      </c>
      <c r="I131">
        <v>9.768010139465332</v>
      </c>
      <c r="J131">
        <v>0.97680097818374634</v>
      </c>
      <c r="K131">
        <v>1.4652014970779419</v>
      </c>
      <c r="L131">
        <v>1.9536019563674927</v>
      </c>
      <c r="M131">
        <v>0.48840048909187317</v>
      </c>
      <c r="N131">
        <v>0.48840048909187317</v>
      </c>
      <c r="O131">
        <v>0.48840048909187317</v>
      </c>
      <c r="P131">
        <v>0.48840048909187317</v>
      </c>
      <c r="Q131">
        <v>0.48840048909187317</v>
      </c>
      <c r="R131">
        <v>0.48840048909187317</v>
      </c>
      <c r="S131">
        <v>0.48840048909187317</v>
      </c>
      <c r="T131">
        <v>0.48840048909187317</v>
      </c>
      <c r="U131">
        <v>0.48840048909187317</v>
      </c>
      <c r="V131">
        <v>0.48840048909187317</v>
      </c>
      <c r="W131">
        <v>2.9304029941558838</v>
      </c>
      <c r="X131">
        <v>13.675213813781738</v>
      </c>
      <c r="Y131">
        <v>0.97680097818374634</v>
      </c>
      <c r="Z131">
        <v>0.48840048909187317</v>
      </c>
      <c r="AJ131" s="1"/>
      <c r="AL131" s="1"/>
    </row>
    <row r="132" spans="1:38">
      <c r="A132">
        <f>A131+A$1</f>
        <v>950</v>
      </c>
      <c r="B132">
        <v>0.48840048909187317</v>
      </c>
      <c r="C132">
        <v>1.9536019563674927</v>
      </c>
      <c r="D132">
        <v>3.4188034534454346</v>
      </c>
      <c r="E132">
        <v>43.467643737792969</v>
      </c>
      <c r="F132">
        <v>0.48840048909187317</v>
      </c>
      <c r="G132">
        <v>11.233211517333984</v>
      </c>
      <c r="H132">
        <v>11.233211517333984</v>
      </c>
      <c r="I132">
        <v>9.2796096801757812</v>
      </c>
      <c r="J132">
        <v>2.442002534866333</v>
      </c>
      <c r="K132">
        <v>0.48840048909187317</v>
      </c>
      <c r="L132">
        <v>0.48840048909187317</v>
      </c>
      <c r="M132">
        <v>0.48840048909187317</v>
      </c>
      <c r="N132">
        <v>0.97680097818374634</v>
      </c>
      <c r="O132">
        <v>0.48840048909187317</v>
      </c>
      <c r="P132">
        <v>0.48840048909187317</v>
      </c>
      <c r="Q132">
        <v>0.48840048909187317</v>
      </c>
      <c r="R132">
        <v>0.48840048909187317</v>
      </c>
      <c r="S132">
        <v>0.48840048909187317</v>
      </c>
      <c r="T132">
        <v>0.48840048909187317</v>
      </c>
      <c r="U132">
        <v>0.48840048909187317</v>
      </c>
      <c r="V132">
        <v>0.48840048909187317</v>
      </c>
      <c r="W132">
        <v>5.3724055290222168</v>
      </c>
      <c r="X132">
        <v>11.721611976623535</v>
      </c>
      <c r="Y132">
        <v>0.97680097818374634</v>
      </c>
      <c r="Z132">
        <v>0.48840048909187317</v>
      </c>
      <c r="AJ132" s="1"/>
      <c r="AL132" s="1"/>
    </row>
    <row r="133" spans="1:38">
      <c r="A133">
        <f>A132+A$1</f>
        <v>955</v>
      </c>
      <c r="B133">
        <v>0.48840048909187317</v>
      </c>
      <c r="C133">
        <v>1.9536019563674927</v>
      </c>
      <c r="D133">
        <v>3.4188034534454346</v>
      </c>
      <c r="E133">
        <v>42.490840911865234</v>
      </c>
      <c r="F133">
        <v>0.48840048909187317</v>
      </c>
      <c r="G133">
        <v>12.210012435913086</v>
      </c>
      <c r="H133">
        <v>9.768010139465332</v>
      </c>
      <c r="I133">
        <v>7.8144078254699707</v>
      </c>
      <c r="J133">
        <v>4.3956046104431152</v>
      </c>
      <c r="K133">
        <v>0.48840048909187317</v>
      </c>
      <c r="L133">
        <v>0.48840048909187317</v>
      </c>
      <c r="M133">
        <v>0.48840048909187317</v>
      </c>
      <c r="N133">
        <v>0.48840048909187317</v>
      </c>
      <c r="O133">
        <v>0.48840048909187317</v>
      </c>
      <c r="P133">
        <v>0.48840048909187317</v>
      </c>
      <c r="Q133">
        <v>0.48840048909187317</v>
      </c>
      <c r="R133">
        <v>0.48840048909187317</v>
      </c>
      <c r="S133">
        <v>0.48840048909187317</v>
      </c>
      <c r="T133">
        <v>0.48840048909187317</v>
      </c>
      <c r="U133">
        <v>0.48840048909187317</v>
      </c>
      <c r="V133">
        <v>0.48840048909187317</v>
      </c>
      <c r="W133">
        <v>7.3260073661804199</v>
      </c>
      <c r="X133">
        <v>11.233211517333984</v>
      </c>
      <c r="Y133">
        <v>0.97680097818374634</v>
      </c>
      <c r="Z133">
        <v>0.48840048909187317</v>
      </c>
      <c r="AJ133" s="1"/>
      <c r="AL133" s="1"/>
    </row>
    <row r="134" spans="1:38">
      <c r="A134">
        <f>A133+A$1</f>
        <v>960</v>
      </c>
      <c r="B134">
        <v>0.48840048909187317</v>
      </c>
      <c r="C134">
        <v>1.9536019563674927</v>
      </c>
      <c r="D134">
        <v>2.9304029941558838</v>
      </c>
      <c r="E134">
        <v>40.537239074707031</v>
      </c>
      <c r="F134">
        <v>0.48840048909187317</v>
      </c>
      <c r="G134">
        <v>12.698412895202637</v>
      </c>
      <c r="H134">
        <v>8.7912092208862305</v>
      </c>
      <c r="I134">
        <v>6.8376069068908691</v>
      </c>
      <c r="J134">
        <v>4.884005069732666</v>
      </c>
      <c r="K134">
        <v>0.48840048909187317</v>
      </c>
      <c r="L134">
        <v>0.48840048909187317</v>
      </c>
      <c r="M134">
        <v>0.48840048909187317</v>
      </c>
      <c r="N134">
        <v>0.48840048909187317</v>
      </c>
      <c r="O134">
        <v>0.48840048909187317</v>
      </c>
      <c r="P134">
        <v>0.48840048909187317</v>
      </c>
      <c r="Q134">
        <v>0.48840048909187317</v>
      </c>
      <c r="R134">
        <v>0.48840048909187317</v>
      </c>
      <c r="S134">
        <v>0.48840048909187317</v>
      </c>
      <c r="T134">
        <v>0.48840048909187317</v>
      </c>
      <c r="U134">
        <v>0.48840048909187317</v>
      </c>
      <c r="V134">
        <v>0.48840048909187317</v>
      </c>
      <c r="W134">
        <v>7.3260073661804199</v>
      </c>
      <c r="X134">
        <v>11.233211517333984</v>
      </c>
      <c r="Y134">
        <v>0.97680097818374634</v>
      </c>
      <c r="Z134">
        <v>0.48840048909187317</v>
      </c>
      <c r="AJ134" s="1"/>
      <c r="AL134" s="1"/>
    </row>
    <row r="135" spans="1:38">
      <c r="A135">
        <f>A134+A$1</f>
        <v>965</v>
      </c>
      <c r="B135">
        <v>0.48840048909187317</v>
      </c>
      <c r="C135">
        <v>1.9536019563674927</v>
      </c>
      <c r="D135">
        <v>2.9304029941558838</v>
      </c>
      <c r="E135">
        <v>37.606838226318359</v>
      </c>
      <c r="F135">
        <v>0.48840048909187317</v>
      </c>
      <c r="G135">
        <v>11.721611976623535</v>
      </c>
      <c r="H135">
        <v>8.7912092208862305</v>
      </c>
      <c r="I135">
        <v>6.3492064476013184</v>
      </c>
      <c r="J135">
        <v>4.3956046104431152</v>
      </c>
      <c r="K135">
        <v>0.97680097818374634</v>
      </c>
      <c r="L135">
        <v>0.48840048909187317</v>
      </c>
      <c r="M135">
        <v>0.48840048909187317</v>
      </c>
      <c r="N135">
        <v>0.48840048909187317</v>
      </c>
      <c r="O135">
        <v>0.48840048909187317</v>
      </c>
      <c r="P135">
        <v>0.48840048909187317</v>
      </c>
      <c r="Q135">
        <v>0.48840048909187317</v>
      </c>
      <c r="R135">
        <v>0.48840048909187317</v>
      </c>
      <c r="S135">
        <v>0.48840048909187317</v>
      </c>
      <c r="T135">
        <v>0.48840048909187317</v>
      </c>
      <c r="U135">
        <v>0.48840048909187317</v>
      </c>
      <c r="V135">
        <v>0.48840048909187317</v>
      </c>
      <c r="W135">
        <v>4.884005069732666</v>
      </c>
      <c r="X135">
        <v>12.210012435913086</v>
      </c>
      <c r="Y135">
        <v>0.97680097818374634</v>
      </c>
      <c r="Z135">
        <v>0.48840048909187317</v>
      </c>
      <c r="AJ135" s="1"/>
      <c r="AL135" s="1"/>
    </row>
    <row r="136" spans="1:38">
      <c r="A136">
        <f>A135+A$1</f>
        <v>970</v>
      </c>
      <c r="B136">
        <v>0.48840048909187317</v>
      </c>
      <c r="C136">
        <v>1.9536019563674927</v>
      </c>
      <c r="D136">
        <v>2.442002534866333</v>
      </c>
      <c r="E136">
        <v>34.188034057617187</v>
      </c>
      <c r="F136">
        <v>0.48840048909187317</v>
      </c>
      <c r="G136">
        <v>9.768010139465332</v>
      </c>
      <c r="H136">
        <v>9.768010139465332</v>
      </c>
      <c r="I136">
        <v>5.3724055290222168</v>
      </c>
      <c r="J136">
        <v>3.9072039127349854</v>
      </c>
      <c r="K136">
        <v>2.442002534866333</v>
      </c>
      <c r="L136">
        <v>0.48840048909187317</v>
      </c>
      <c r="M136">
        <v>0.48840048909187317</v>
      </c>
      <c r="N136">
        <v>0.48840048909187317</v>
      </c>
      <c r="O136">
        <v>0.48840048909187317</v>
      </c>
      <c r="P136">
        <v>0.48840048909187317</v>
      </c>
      <c r="Q136">
        <v>0.48840048909187317</v>
      </c>
      <c r="R136">
        <v>0.48840048909187317</v>
      </c>
      <c r="S136">
        <v>0.48840048909187317</v>
      </c>
      <c r="T136">
        <v>0.48840048909187317</v>
      </c>
      <c r="U136">
        <v>0.48840048909187317</v>
      </c>
      <c r="V136">
        <v>0.48840048909187317</v>
      </c>
      <c r="W136">
        <v>1.9536019563674927</v>
      </c>
      <c r="X136">
        <v>12.698412895202637</v>
      </c>
      <c r="Y136">
        <v>0.97680097818374634</v>
      </c>
      <c r="Z136">
        <v>0.48840048909187317</v>
      </c>
      <c r="AJ136" s="1"/>
      <c r="AL136" s="1"/>
    </row>
    <row r="137" spans="1:38">
      <c r="A137">
        <f>A136+A$1</f>
        <v>975</v>
      </c>
      <c r="B137">
        <v>0.97680097818374634</v>
      </c>
      <c r="C137">
        <v>1.9536019563674927</v>
      </c>
      <c r="D137">
        <v>2.442002534866333</v>
      </c>
      <c r="E137">
        <v>30.769229888916016</v>
      </c>
      <c r="F137">
        <v>0.48840048909187317</v>
      </c>
      <c r="G137">
        <v>7.3260073661804199</v>
      </c>
      <c r="H137">
        <v>10.744811058044434</v>
      </c>
      <c r="I137">
        <v>4.3956046104431152</v>
      </c>
      <c r="J137">
        <v>3.4188034534454346</v>
      </c>
      <c r="K137">
        <v>2.442002534866333</v>
      </c>
      <c r="L137">
        <v>0.48840048909187317</v>
      </c>
      <c r="M137">
        <v>0.48840048909187317</v>
      </c>
      <c r="N137">
        <v>0.48840048909187317</v>
      </c>
      <c r="O137">
        <v>0.48840048909187317</v>
      </c>
      <c r="P137">
        <v>0.48840048909187317</v>
      </c>
      <c r="Q137">
        <v>0.48840048909187317</v>
      </c>
      <c r="R137">
        <v>0.48840048909187317</v>
      </c>
      <c r="S137">
        <v>0.48840048909187317</v>
      </c>
      <c r="T137">
        <v>0.48840048909187317</v>
      </c>
      <c r="U137">
        <v>0.48840048909187317</v>
      </c>
      <c r="V137">
        <v>0.48840048909187317</v>
      </c>
      <c r="W137">
        <v>0.48840048909187317</v>
      </c>
      <c r="X137">
        <v>12.698412895202637</v>
      </c>
      <c r="Y137">
        <v>0.97680097818374634</v>
      </c>
      <c r="Z137">
        <v>0.48840048909187317</v>
      </c>
      <c r="AJ137" s="1"/>
      <c r="AL137" s="1"/>
    </row>
    <row r="138" spans="1:38">
      <c r="A138">
        <f>A137+A$1</f>
        <v>980</v>
      </c>
      <c r="B138">
        <v>0.97680097818374634</v>
      </c>
      <c r="C138">
        <v>1.4652014970779419</v>
      </c>
      <c r="D138">
        <v>2.442002534866333</v>
      </c>
      <c r="E138">
        <v>27.838827133178711</v>
      </c>
      <c r="F138">
        <v>0.48840048909187317</v>
      </c>
      <c r="G138">
        <v>5.8608059883117676</v>
      </c>
      <c r="H138">
        <v>11.233211517333984</v>
      </c>
      <c r="I138">
        <v>3.9072039127349854</v>
      </c>
      <c r="J138">
        <v>2.9304029941558838</v>
      </c>
      <c r="K138">
        <v>1.9536019563674927</v>
      </c>
      <c r="L138">
        <v>0.48840048909187317</v>
      </c>
      <c r="M138">
        <v>0.48840048909187317</v>
      </c>
      <c r="N138">
        <v>0.48840048909187317</v>
      </c>
      <c r="O138">
        <v>0.48840048909187317</v>
      </c>
      <c r="P138">
        <v>0.48840048909187317</v>
      </c>
      <c r="Q138">
        <v>0.48840048909187317</v>
      </c>
      <c r="R138">
        <v>0.48840048909187317</v>
      </c>
      <c r="S138">
        <v>0.48840048909187317</v>
      </c>
      <c r="T138">
        <v>0.48840048909187317</v>
      </c>
      <c r="U138">
        <v>0.48840048909187317</v>
      </c>
      <c r="V138">
        <v>1.4652014970779419</v>
      </c>
      <c r="W138">
        <v>1.4652014970779419</v>
      </c>
      <c r="X138">
        <v>12.210012435913086</v>
      </c>
      <c r="Y138">
        <v>0.97680097818374634</v>
      </c>
      <c r="Z138">
        <v>0.48840048909187317</v>
      </c>
      <c r="AJ138" s="1"/>
      <c r="AL138" s="1"/>
    </row>
    <row r="139" spans="1:38">
      <c r="A139">
        <f>A138+A$1</f>
        <v>985</v>
      </c>
      <c r="B139">
        <v>0.97680097818374634</v>
      </c>
      <c r="C139">
        <v>1.4652014970779419</v>
      </c>
      <c r="D139">
        <v>2.442002534866333</v>
      </c>
      <c r="E139">
        <v>25.885225296020508</v>
      </c>
      <c r="F139">
        <v>0.48840048909187317</v>
      </c>
      <c r="G139">
        <v>5.8608059883117676</v>
      </c>
      <c r="H139">
        <v>10.256410598754883</v>
      </c>
      <c r="I139">
        <v>4.3956046104431152</v>
      </c>
      <c r="J139">
        <v>2.442002534866333</v>
      </c>
      <c r="K139">
        <v>1.9536019563674927</v>
      </c>
      <c r="L139">
        <v>0.48840048909187317</v>
      </c>
      <c r="M139">
        <v>0.48840048909187317</v>
      </c>
      <c r="N139">
        <v>0.48840048909187317</v>
      </c>
      <c r="O139">
        <v>0.48840048909187317</v>
      </c>
      <c r="P139">
        <v>0.48840048909187317</v>
      </c>
      <c r="Q139">
        <v>0.48840048909187317</v>
      </c>
      <c r="R139">
        <v>0.48840048909187317</v>
      </c>
      <c r="S139">
        <v>0.48840048909187317</v>
      </c>
      <c r="T139">
        <v>0.48840048909187317</v>
      </c>
      <c r="U139">
        <v>0.48840048909187317</v>
      </c>
      <c r="V139">
        <v>0.97680097818374634</v>
      </c>
      <c r="W139">
        <v>2.9304029941558838</v>
      </c>
      <c r="X139">
        <v>11.233211517333984</v>
      </c>
      <c r="Y139">
        <v>0.97680097818374634</v>
      </c>
      <c r="Z139">
        <v>0.48840048909187317</v>
      </c>
      <c r="AJ139" s="1"/>
      <c r="AL139" s="1"/>
    </row>
    <row r="140" spans="1:38">
      <c r="A140">
        <f>A139+A$1</f>
        <v>990</v>
      </c>
      <c r="B140">
        <v>0.97680097818374634</v>
      </c>
      <c r="C140">
        <v>1.4652014970779419</v>
      </c>
      <c r="D140">
        <v>2.442002534866333</v>
      </c>
      <c r="E140">
        <v>24.420024871826172</v>
      </c>
      <c r="F140">
        <v>0.48840048909187317</v>
      </c>
      <c r="G140">
        <v>6.8376069068908691</v>
      </c>
      <c r="H140">
        <v>8.7912092208862305</v>
      </c>
      <c r="I140">
        <v>5.8608059883117676</v>
      </c>
      <c r="J140">
        <v>1.4652014970779419</v>
      </c>
      <c r="K140">
        <v>1.9536019563674927</v>
      </c>
      <c r="L140">
        <v>0.48840048909187317</v>
      </c>
      <c r="M140">
        <v>0.48840048909187317</v>
      </c>
      <c r="N140">
        <v>0.48840048909187317</v>
      </c>
      <c r="O140">
        <v>0.48840048909187317</v>
      </c>
      <c r="P140">
        <v>0.48840048909187317</v>
      </c>
      <c r="Q140">
        <v>0.48840048909187317</v>
      </c>
      <c r="R140">
        <v>0.48840048909187317</v>
      </c>
      <c r="S140">
        <v>0.48840048909187317</v>
      </c>
      <c r="T140">
        <v>0.48840048909187317</v>
      </c>
      <c r="U140">
        <v>0.48840048909187317</v>
      </c>
      <c r="V140">
        <v>0.48840048909187317</v>
      </c>
      <c r="W140">
        <v>5.3724055290222168</v>
      </c>
      <c r="X140">
        <v>9.768010139465332</v>
      </c>
      <c r="Y140">
        <v>0.97680097818374634</v>
      </c>
      <c r="Z140">
        <v>0.48840048909187317</v>
      </c>
      <c r="AJ140" s="1"/>
      <c r="AL140" s="1"/>
    </row>
    <row r="141" spans="1:38">
      <c r="A141">
        <f>A140+A$1</f>
        <v>995</v>
      </c>
      <c r="B141">
        <v>0.97680097818374634</v>
      </c>
      <c r="C141">
        <v>1.4652014970779419</v>
      </c>
      <c r="D141">
        <v>2.442002534866333</v>
      </c>
      <c r="E141">
        <v>23.44322395324707</v>
      </c>
      <c r="F141">
        <v>0.48840048909187317</v>
      </c>
      <c r="G141">
        <v>8.7912092208862305</v>
      </c>
      <c r="H141">
        <v>6.8376069068908691</v>
      </c>
      <c r="I141">
        <v>7.3260073661804199</v>
      </c>
      <c r="J141">
        <v>1.4652014970779419</v>
      </c>
      <c r="K141">
        <v>1.4652014970779419</v>
      </c>
      <c r="L141">
        <v>0.48840048909187317</v>
      </c>
      <c r="M141">
        <v>0.48840048909187317</v>
      </c>
      <c r="N141">
        <v>0.48840048909187317</v>
      </c>
      <c r="O141">
        <v>0.48840048909187317</v>
      </c>
      <c r="P141">
        <v>0.48840048909187317</v>
      </c>
      <c r="Q141">
        <v>0.48840048909187317</v>
      </c>
      <c r="R141">
        <v>0.48840048909187317</v>
      </c>
      <c r="S141">
        <v>0.48840048909187317</v>
      </c>
      <c r="T141">
        <v>0.48840048909187317</v>
      </c>
      <c r="U141">
        <v>0.48840048909187317</v>
      </c>
      <c r="V141">
        <v>0.48840048909187317</v>
      </c>
      <c r="W141">
        <v>6.8376069068908691</v>
      </c>
      <c r="X141">
        <v>8.7912092208862305</v>
      </c>
      <c r="Y141">
        <v>0.97680097818374634</v>
      </c>
      <c r="Z141">
        <v>0.48840048909187317</v>
      </c>
      <c r="AJ141" s="1"/>
      <c r="AL141" s="1"/>
    </row>
    <row r="142" spans="1:38">
      <c r="A142">
        <f>A141+A$1</f>
        <v>1000</v>
      </c>
      <c r="B142">
        <v>0.97680097818374634</v>
      </c>
      <c r="C142">
        <v>1.4652014970779419</v>
      </c>
      <c r="D142">
        <v>1.9536019563674927</v>
      </c>
      <c r="E142">
        <v>22.466423034667969</v>
      </c>
      <c r="F142">
        <v>0.48840048909187317</v>
      </c>
      <c r="G142">
        <v>9.768010139465332</v>
      </c>
      <c r="H142">
        <v>5.8608059883117676</v>
      </c>
      <c r="I142">
        <v>7.8144078254699707</v>
      </c>
      <c r="J142">
        <v>2.442002534866333</v>
      </c>
      <c r="K142">
        <v>0.97680097818374634</v>
      </c>
      <c r="L142">
        <v>0.48840048909187317</v>
      </c>
      <c r="M142">
        <v>0.48840048909187317</v>
      </c>
      <c r="N142">
        <v>0.48840048909187317</v>
      </c>
      <c r="O142">
        <v>0.48840048909187317</v>
      </c>
      <c r="P142">
        <v>0.48840048909187317</v>
      </c>
      <c r="Q142">
        <v>0.48840048909187317</v>
      </c>
      <c r="R142">
        <v>0.48840048909187317</v>
      </c>
      <c r="S142">
        <v>0.48840048909187317</v>
      </c>
      <c r="T142">
        <v>0.48840048909187317</v>
      </c>
      <c r="U142">
        <v>2.9304029941558838</v>
      </c>
      <c r="V142">
        <v>0.48840048909187317</v>
      </c>
      <c r="W142">
        <v>7.8144078254699707</v>
      </c>
      <c r="X142">
        <v>8.3028087615966797</v>
      </c>
      <c r="Y142">
        <v>0.97680097818374634</v>
      </c>
      <c r="Z142">
        <v>0.48840048909187317</v>
      </c>
      <c r="AJ142" s="1"/>
      <c r="AL142" s="1"/>
    </row>
    <row r="143" spans="1:38">
      <c r="A143">
        <f>A142+A$1</f>
        <v>1005</v>
      </c>
      <c r="B143">
        <v>0.97680097818374634</v>
      </c>
      <c r="C143">
        <v>1.4652014970779419</v>
      </c>
      <c r="D143">
        <v>1.9536019563674927</v>
      </c>
      <c r="E143">
        <v>21.489622116088867</v>
      </c>
      <c r="F143">
        <v>0.48840048909187317</v>
      </c>
      <c r="G143">
        <v>9.768010139465332</v>
      </c>
      <c r="H143">
        <v>5.8608059883117676</v>
      </c>
      <c r="I143">
        <v>6.8376069068908691</v>
      </c>
      <c r="J143">
        <v>4.3956046104431152</v>
      </c>
      <c r="K143">
        <v>0.48840048909187317</v>
      </c>
      <c r="L143">
        <v>0.48840048909187317</v>
      </c>
      <c r="M143">
        <v>0.48840048909187317</v>
      </c>
      <c r="N143">
        <v>0.48840048909187317</v>
      </c>
      <c r="O143">
        <v>0.48840048909187317</v>
      </c>
      <c r="P143">
        <v>0.48840048909187317</v>
      </c>
      <c r="Q143">
        <v>0.48840048909187317</v>
      </c>
      <c r="R143">
        <v>0.48840048909187317</v>
      </c>
      <c r="S143">
        <v>0.48840048909187317</v>
      </c>
      <c r="T143">
        <v>0.48840048909187317</v>
      </c>
      <c r="U143">
        <v>3.9072039127349854</v>
      </c>
      <c r="V143">
        <v>0.48840048909187317</v>
      </c>
      <c r="W143">
        <v>7.3260073661804199</v>
      </c>
      <c r="X143">
        <v>8.3028087615966797</v>
      </c>
      <c r="Y143">
        <v>0.97680097818374634</v>
      </c>
      <c r="Z143">
        <v>0.48840048909187317</v>
      </c>
      <c r="AJ143" s="1"/>
      <c r="AL143" s="1"/>
    </row>
    <row r="144" spans="1:38">
      <c r="A144">
        <f>A143+A$1</f>
        <v>1010</v>
      </c>
      <c r="B144">
        <v>0.97680097818374634</v>
      </c>
      <c r="C144">
        <v>1.4652014970779419</v>
      </c>
      <c r="D144">
        <v>1.9536019563674927</v>
      </c>
      <c r="E144">
        <v>20.512821197509766</v>
      </c>
      <c r="F144">
        <v>0.48840048909187317</v>
      </c>
      <c r="G144">
        <v>8.7912092208862305</v>
      </c>
      <c r="H144">
        <v>6.8376069068908691</v>
      </c>
      <c r="I144">
        <v>5.8608059883117676</v>
      </c>
      <c r="J144">
        <v>6.3492064476013184</v>
      </c>
      <c r="K144">
        <v>1.4652014970779419</v>
      </c>
      <c r="L144">
        <v>0.48840048909187317</v>
      </c>
      <c r="M144">
        <v>0.48840048909187317</v>
      </c>
      <c r="N144">
        <v>0.48840048909187317</v>
      </c>
      <c r="O144">
        <v>0.48840048909187317</v>
      </c>
      <c r="P144">
        <v>0.48840048909187317</v>
      </c>
      <c r="Q144">
        <v>0.48840048909187317</v>
      </c>
      <c r="R144">
        <v>0.48840048909187317</v>
      </c>
      <c r="S144">
        <v>0.48840048909187317</v>
      </c>
      <c r="T144">
        <v>0.48840048909187317</v>
      </c>
      <c r="U144">
        <v>3.4188034534454346</v>
      </c>
      <c r="V144">
        <v>1.9536019563674927</v>
      </c>
      <c r="W144">
        <v>6.8376069068908691</v>
      </c>
      <c r="X144">
        <v>8.3028087615966797</v>
      </c>
      <c r="Y144">
        <v>0.97680097818374634</v>
      </c>
      <c r="Z144">
        <v>0.48840048909187317</v>
      </c>
      <c r="AJ144" s="1"/>
      <c r="AL144" s="1"/>
    </row>
    <row r="145" spans="1:38">
      <c r="A145">
        <f>A144+A$1</f>
        <v>1015</v>
      </c>
      <c r="B145">
        <v>0.97680097818374634</v>
      </c>
      <c r="C145">
        <v>1.4652014970779419</v>
      </c>
      <c r="D145">
        <v>1.9536019563674927</v>
      </c>
      <c r="E145">
        <v>19.047618865966797</v>
      </c>
      <c r="F145">
        <v>0.48840048909187317</v>
      </c>
      <c r="G145">
        <v>7.8144078254699707</v>
      </c>
      <c r="H145">
        <v>8.3028087615966797</v>
      </c>
      <c r="I145">
        <v>4.884005069732666</v>
      </c>
      <c r="J145">
        <v>6.8376069068908691</v>
      </c>
      <c r="K145">
        <v>3.9072039127349854</v>
      </c>
      <c r="L145">
        <v>0.48840048909187317</v>
      </c>
      <c r="M145">
        <v>0.48840048909187317</v>
      </c>
      <c r="N145">
        <v>0.48840048909187317</v>
      </c>
      <c r="O145">
        <v>0.48840048909187317</v>
      </c>
      <c r="P145">
        <v>0.48840048909187317</v>
      </c>
      <c r="Q145">
        <v>0.48840048909187317</v>
      </c>
      <c r="R145">
        <v>0.48840048909187317</v>
      </c>
      <c r="S145">
        <v>0.48840048909187317</v>
      </c>
      <c r="T145">
        <v>2.442002534866333</v>
      </c>
      <c r="U145">
        <v>1.9536019563674927</v>
      </c>
      <c r="V145">
        <v>3.9072039127349854</v>
      </c>
      <c r="W145">
        <v>5.8608059883117676</v>
      </c>
      <c r="X145">
        <v>8.3028087615966797</v>
      </c>
      <c r="Y145">
        <v>0.97680097818374634</v>
      </c>
      <c r="Z145">
        <v>0.48840048909187317</v>
      </c>
      <c r="AJ145" s="1"/>
      <c r="AL145" s="1"/>
    </row>
    <row r="146" spans="1:38">
      <c r="A146">
        <f>A145+A$1</f>
        <v>1020</v>
      </c>
      <c r="B146">
        <v>0.97680097818374634</v>
      </c>
      <c r="C146">
        <v>1.4652014970779419</v>
      </c>
      <c r="D146">
        <v>1.4652014970779419</v>
      </c>
      <c r="E146">
        <v>17.582418441772461</v>
      </c>
      <c r="F146">
        <v>0.48840048909187317</v>
      </c>
      <c r="G146">
        <v>6.8376069068908691</v>
      </c>
      <c r="H146">
        <v>9.2796096801757812</v>
      </c>
      <c r="I146">
        <v>4.884005069732666</v>
      </c>
      <c r="J146">
        <v>6.3492064476013184</v>
      </c>
      <c r="K146">
        <v>5.8608059883117676</v>
      </c>
      <c r="L146">
        <v>1.4652014970779419</v>
      </c>
      <c r="M146">
        <v>0.48840048909187317</v>
      </c>
      <c r="N146">
        <v>0.48840048909187317</v>
      </c>
      <c r="O146">
        <v>0.48840048909187317</v>
      </c>
      <c r="P146">
        <v>0.48840048909187317</v>
      </c>
      <c r="Q146">
        <v>1.4652014970779419</v>
      </c>
      <c r="R146">
        <v>0.48840048909187317</v>
      </c>
      <c r="S146">
        <v>0.48840048909187317</v>
      </c>
      <c r="T146">
        <v>4.3956046104431152</v>
      </c>
      <c r="U146">
        <v>1.4652014970779419</v>
      </c>
      <c r="V146">
        <v>5.3724055290222168</v>
      </c>
      <c r="W146">
        <v>4.884005069732666</v>
      </c>
      <c r="X146">
        <v>7.8144078254699707</v>
      </c>
      <c r="Y146">
        <v>0.97680097818374634</v>
      </c>
      <c r="Z146">
        <v>0.48840048909187317</v>
      </c>
      <c r="AJ146" s="1"/>
      <c r="AL146" s="1"/>
    </row>
    <row r="147" spans="1:38">
      <c r="A147">
        <f>A146+A$1</f>
        <v>1025</v>
      </c>
      <c r="B147">
        <v>0.97680097818374634</v>
      </c>
      <c r="C147">
        <v>0.97680097818374634</v>
      </c>
      <c r="D147">
        <v>1.4652014970779419</v>
      </c>
      <c r="E147">
        <v>16.117216110229492</v>
      </c>
      <c r="F147">
        <v>0.48840048909187317</v>
      </c>
      <c r="G147">
        <v>7.3260073661804199</v>
      </c>
      <c r="H147">
        <v>10.256410598754883</v>
      </c>
      <c r="I147">
        <v>5.3724055290222168</v>
      </c>
      <c r="J147">
        <v>5.8608059883117676</v>
      </c>
      <c r="K147">
        <v>6.8376069068908691</v>
      </c>
      <c r="L147">
        <v>3.9072039127349854</v>
      </c>
      <c r="M147">
        <v>1.4652014970779419</v>
      </c>
      <c r="N147">
        <v>0.97680097818374634</v>
      </c>
      <c r="O147">
        <v>0.48840048909187317</v>
      </c>
      <c r="P147">
        <v>2.442002534866333</v>
      </c>
      <c r="Q147">
        <v>2.9304029941558838</v>
      </c>
      <c r="R147">
        <v>0.48840048909187317</v>
      </c>
      <c r="S147">
        <v>0.48840048909187317</v>
      </c>
      <c r="T147">
        <v>5.3724055290222168</v>
      </c>
      <c r="U147">
        <v>2.442002534866333</v>
      </c>
      <c r="V147">
        <v>6.3492064476013184</v>
      </c>
      <c r="W147">
        <v>4.884005069732666</v>
      </c>
      <c r="X147">
        <v>7.3260073661804199</v>
      </c>
      <c r="Y147">
        <v>0.97680097818374634</v>
      </c>
      <c r="Z147">
        <v>0.48840048909187317</v>
      </c>
      <c r="AJ147" s="1"/>
      <c r="AL147" s="1"/>
    </row>
    <row r="148" spans="1:38">
      <c r="A148">
        <f>A147+A$1</f>
        <v>1030</v>
      </c>
      <c r="B148">
        <v>0.97680097818374634</v>
      </c>
      <c r="C148">
        <v>0.97680097818374634</v>
      </c>
      <c r="D148">
        <v>1.4652014970779419</v>
      </c>
      <c r="E148">
        <v>14.65201473236084</v>
      </c>
      <c r="F148">
        <v>0.48840048909187317</v>
      </c>
      <c r="G148">
        <v>7.8144078254699707</v>
      </c>
      <c r="H148">
        <v>9.768010139465332</v>
      </c>
      <c r="I148">
        <v>6.3492064476013184</v>
      </c>
      <c r="J148">
        <v>5.3724055290222168</v>
      </c>
      <c r="K148">
        <v>6.8376069068908691</v>
      </c>
      <c r="L148">
        <v>5.8608059883117676</v>
      </c>
      <c r="M148">
        <v>3.9072039127349854</v>
      </c>
      <c r="N148">
        <v>3.4188034534454346</v>
      </c>
      <c r="O148">
        <v>3.4188034534454346</v>
      </c>
      <c r="P148">
        <v>4.884005069732666</v>
      </c>
      <c r="Q148">
        <v>3.4188034534454346</v>
      </c>
      <c r="R148">
        <v>0.48840048909187317</v>
      </c>
      <c r="S148">
        <v>1.9536019563674927</v>
      </c>
      <c r="T148">
        <v>5.8608059883117676</v>
      </c>
      <c r="U148">
        <v>4.3956046104431152</v>
      </c>
      <c r="V148">
        <v>6.3492064476013184</v>
      </c>
      <c r="W148">
        <v>5.8608059883117676</v>
      </c>
      <c r="X148">
        <v>7.3260073661804199</v>
      </c>
      <c r="Y148">
        <v>0.97680097818374634</v>
      </c>
      <c r="Z148">
        <v>0.48840048909187317</v>
      </c>
      <c r="AJ148" s="1"/>
      <c r="AL148" s="1"/>
    </row>
    <row r="149" spans="1:38">
      <c r="A149">
        <f>A148+A$1</f>
        <v>1035</v>
      </c>
      <c r="B149">
        <v>0.97680097818374634</v>
      </c>
      <c r="C149">
        <v>0.97680097818374634</v>
      </c>
      <c r="D149">
        <v>1.4652014970779419</v>
      </c>
      <c r="E149">
        <v>13.675213813781738</v>
      </c>
      <c r="F149">
        <v>0.48840048909187317</v>
      </c>
      <c r="G149">
        <v>9.2796096801757812</v>
      </c>
      <c r="H149">
        <v>9.2796096801757812</v>
      </c>
      <c r="I149">
        <v>7.8144078254699707</v>
      </c>
      <c r="J149">
        <v>5.3724055290222168</v>
      </c>
      <c r="K149">
        <v>6.8376069068908691</v>
      </c>
      <c r="L149">
        <v>6.8376069068908691</v>
      </c>
      <c r="M149">
        <v>6.3492064476013184</v>
      </c>
      <c r="N149">
        <v>5.8608059883117676</v>
      </c>
      <c r="O149">
        <v>5.8608059883117676</v>
      </c>
      <c r="P149">
        <v>5.8608059883117676</v>
      </c>
      <c r="Q149">
        <v>3.4188034534454346</v>
      </c>
      <c r="R149">
        <v>0.97680097818374634</v>
      </c>
      <c r="S149">
        <v>3.9072039127349854</v>
      </c>
      <c r="T149">
        <v>4.884005069732666</v>
      </c>
      <c r="U149">
        <v>6.3492064476013184</v>
      </c>
      <c r="V149">
        <v>6.3492064476013184</v>
      </c>
      <c r="W149">
        <v>6.3492064476013184</v>
      </c>
      <c r="X149">
        <v>6.8376069068908691</v>
      </c>
      <c r="Y149">
        <v>0.97680097818374634</v>
      </c>
      <c r="Z149">
        <v>0.48840048909187317</v>
      </c>
      <c r="AJ149" s="1"/>
      <c r="AL149" s="1"/>
    </row>
    <row r="150" spans="1:38">
      <c r="A150">
        <f>A149+A$1</f>
        <v>1040</v>
      </c>
      <c r="B150">
        <v>0.97680097818374634</v>
      </c>
      <c r="C150">
        <v>0.97680097818374634</v>
      </c>
      <c r="D150">
        <v>1.4652014970779419</v>
      </c>
      <c r="E150">
        <v>12.698412895202637</v>
      </c>
      <c r="F150">
        <v>0.97680097818374634</v>
      </c>
      <c r="G150">
        <v>10.256410598754883</v>
      </c>
      <c r="H150">
        <v>8.7912092208862305</v>
      </c>
      <c r="I150">
        <v>9.2796096801757812</v>
      </c>
      <c r="J150">
        <v>5.8608059883117676</v>
      </c>
      <c r="K150">
        <v>6.3492064476013184</v>
      </c>
      <c r="L150">
        <v>6.8376069068908691</v>
      </c>
      <c r="M150">
        <v>7.3260073661804199</v>
      </c>
      <c r="N150">
        <v>7.3260073661804199</v>
      </c>
      <c r="O150">
        <v>6.8376069068908691</v>
      </c>
      <c r="P150">
        <v>5.8608059883117676</v>
      </c>
      <c r="Q150">
        <v>3.4188034534454346</v>
      </c>
      <c r="R150">
        <v>1.9536019563674927</v>
      </c>
      <c r="S150">
        <v>5.8608059883117676</v>
      </c>
      <c r="T150">
        <v>4.3956046104431152</v>
      </c>
      <c r="U150">
        <v>7.8144078254699707</v>
      </c>
      <c r="V150">
        <v>5.3724055290222168</v>
      </c>
      <c r="W150">
        <v>7.3260073661804199</v>
      </c>
      <c r="X150">
        <v>6.8376069068908691</v>
      </c>
      <c r="Y150">
        <v>0.97680097818374634</v>
      </c>
      <c r="Z150">
        <v>0.48840048909187317</v>
      </c>
      <c r="AJ150" s="1"/>
      <c r="AL150" s="1"/>
    </row>
    <row r="151" spans="1:38">
      <c r="A151">
        <f>A150+A$1</f>
        <v>1045</v>
      </c>
      <c r="B151">
        <v>0.97680097818374634</v>
      </c>
      <c r="C151">
        <v>0.97680097818374634</v>
      </c>
      <c r="D151">
        <v>1.4652014970779419</v>
      </c>
      <c r="E151">
        <v>11.721611976623535</v>
      </c>
      <c r="F151">
        <v>0.97680097818374634</v>
      </c>
      <c r="G151">
        <v>10.744811058044434</v>
      </c>
      <c r="H151">
        <v>8.7912092208862305</v>
      </c>
      <c r="I151">
        <v>9.768010139465332</v>
      </c>
      <c r="J151">
        <v>6.3492064476013184</v>
      </c>
      <c r="K151">
        <v>6.3492064476013184</v>
      </c>
      <c r="L151">
        <v>6.8376069068908691</v>
      </c>
      <c r="M151">
        <v>7.3260073661804199</v>
      </c>
      <c r="N151">
        <v>7.8144078254699707</v>
      </c>
      <c r="O151">
        <v>6.8376069068908691</v>
      </c>
      <c r="P151">
        <v>5.8608059883117676</v>
      </c>
      <c r="Q151">
        <v>3.9072039127349854</v>
      </c>
      <c r="R151">
        <v>2.9304029941558838</v>
      </c>
      <c r="S151">
        <v>6.8376069068908691</v>
      </c>
      <c r="T151">
        <v>5.3724055290222168</v>
      </c>
      <c r="U151">
        <v>8.7912092208862305</v>
      </c>
      <c r="V151">
        <v>5.3724055290222168</v>
      </c>
      <c r="W151">
        <v>7.8144078254699707</v>
      </c>
      <c r="X151">
        <v>6.3492064476013184</v>
      </c>
      <c r="Y151">
        <v>0.97680097818374634</v>
      </c>
      <c r="Z151">
        <v>0.48840048909187317</v>
      </c>
      <c r="AJ151" s="1"/>
      <c r="AL151" s="1"/>
    </row>
    <row r="152" spans="1:38">
      <c r="A152">
        <f>A151+A$1</f>
        <v>1050</v>
      </c>
      <c r="B152">
        <v>0.97680097818374634</v>
      </c>
      <c r="C152">
        <v>0.97680097818374634</v>
      </c>
      <c r="D152">
        <v>1.4652014970779419</v>
      </c>
      <c r="E152">
        <v>10.744811058044434</v>
      </c>
      <c r="F152">
        <v>1.9536019563674927</v>
      </c>
      <c r="G152">
        <v>10.744811058044434</v>
      </c>
      <c r="H152">
        <v>9.2796096801757812</v>
      </c>
      <c r="I152">
        <v>9.768010139465332</v>
      </c>
      <c r="J152">
        <v>7.8144078254699707</v>
      </c>
      <c r="K152">
        <v>6.3492064476013184</v>
      </c>
      <c r="L152">
        <v>6.8376069068908691</v>
      </c>
      <c r="M152">
        <v>7.3260073661804199</v>
      </c>
      <c r="N152">
        <v>7.8144078254699707</v>
      </c>
      <c r="O152">
        <v>6.8376069068908691</v>
      </c>
      <c r="P152">
        <v>6.3492064476013184</v>
      </c>
      <c r="Q152">
        <v>4.3956046104431152</v>
      </c>
      <c r="R152">
        <v>4.884005069732666</v>
      </c>
      <c r="S152">
        <v>7.3260073661804199</v>
      </c>
      <c r="T152">
        <v>6.8376069068908691</v>
      </c>
      <c r="U152">
        <v>8.7912092208862305</v>
      </c>
      <c r="V152">
        <v>5.3724055290222168</v>
      </c>
      <c r="W152">
        <v>7.8144078254699707</v>
      </c>
      <c r="X152">
        <v>6.3492064476013184</v>
      </c>
      <c r="Y152">
        <v>0.97680097818374634</v>
      </c>
      <c r="Z152">
        <v>0.48840048909187317</v>
      </c>
      <c r="AJ152" s="1"/>
      <c r="AL152" s="1"/>
    </row>
    <row r="153" spans="1:38">
      <c r="A153">
        <f>A152+A$1</f>
        <v>1055</v>
      </c>
      <c r="B153">
        <v>0.97680097818374634</v>
      </c>
      <c r="C153">
        <v>0.97680097818374634</v>
      </c>
      <c r="D153">
        <v>1.4652014970779419</v>
      </c>
      <c r="E153">
        <v>9.768010139465332</v>
      </c>
      <c r="F153">
        <v>2.442002534866333</v>
      </c>
      <c r="G153">
        <v>10.744811058044434</v>
      </c>
      <c r="H153">
        <v>10.256410598754883</v>
      </c>
      <c r="I153">
        <v>9.2796096801757812</v>
      </c>
      <c r="J153">
        <v>9.2796096801757812</v>
      </c>
      <c r="K153">
        <v>6.8376069068908691</v>
      </c>
      <c r="L153">
        <v>6.8376069068908691</v>
      </c>
      <c r="M153">
        <v>7.3260073661804199</v>
      </c>
      <c r="N153">
        <v>7.8144078254699707</v>
      </c>
      <c r="O153">
        <v>7.3260073661804199</v>
      </c>
      <c r="P153">
        <v>6.3492064476013184</v>
      </c>
      <c r="Q153">
        <v>4.884005069732666</v>
      </c>
      <c r="R153">
        <v>6.3492064476013184</v>
      </c>
      <c r="S153">
        <v>6.8376069068908691</v>
      </c>
      <c r="T153">
        <v>8.3028087615966797</v>
      </c>
      <c r="U153">
        <v>8.7912092208862305</v>
      </c>
      <c r="V153">
        <v>6.3492064476013184</v>
      </c>
      <c r="W153">
        <v>7.8144078254699707</v>
      </c>
      <c r="X153">
        <v>5.8608059883117676</v>
      </c>
      <c r="Y153">
        <v>0.97680097818374634</v>
      </c>
      <c r="Z153">
        <v>0.48840048909187317</v>
      </c>
      <c r="AJ153" s="1"/>
      <c r="AL153" s="1"/>
    </row>
    <row r="154" spans="1:38">
      <c r="A154">
        <f>A153+A$1</f>
        <v>1060</v>
      </c>
      <c r="B154">
        <v>0.97680097818374634</v>
      </c>
      <c r="C154">
        <v>0.97680097818374634</v>
      </c>
      <c r="D154">
        <v>1.4652014970779419</v>
      </c>
      <c r="E154">
        <v>9.2796096801757812</v>
      </c>
      <c r="F154">
        <v>3.4188034534454346</v>
      </c>
      <c r="G154">
        <v>10.256410598754883</v>
      </c>
      <c r="H154">
        <v>11.233211517333984</v>
      </c>
      <c r="I154">
        <v>9.2796096801757812</v>
      </c>
      <c r="J154">
        <v>10.256410598754883</v>
      </c>
      <c r="K154">
        <v>7.8144078254699707</v>
      </c>
      <c r="L154">
        <v>6.8376069068908691</v>
      </c>
      <c r="M154">
        <v>7.3260073661804199</v>
      </c>
      <c r="N154">
        <v>7.8144078254699707</v>
      </c>
      <c r="O154">
        <v>7.3260073661804199</v>
      </c>
      <c r="P154">
        <v>6.3492064476013184</v>
      </c>
      <c r="Q154">
        <v>5.8608059883117676</v>
      </c>
      <c r="R154">
        <v>8.3028087615966797</v>
      </c>
      <c r="S154">
        <v>6.8376069068908691</v>
      </c>
      <c r="T154">
        <v>9.768010139465332</v>
      </c>
      <c r="U154">
        <v>8.7912092208862305</v>
      </c>
      <c r="V154">
        <v>7.3260073661804199</v>
      </c>
      <c r="W154">
        <v>8.3028087615966797</v>
      </c>
      <c r="X154">
        <v>6.3492064476013184</v>
      </c>
      <c r="Y154">
        <v>0.97680097818374634</v>
      </c>
      <c r="Z154">
        <v>0.48840048909187317</v>
      </c>
      <c r="AJ154" s="1"/>
      <c r="AL154" s="1"/>
    </row>
    <row r="155" spans="1:38">
      <c r="A155">
        <f>A154+A$1</f>
        <v>1065</v>
      </c>
      <c r="B155">
        <v>0.97680097818374634</v>
      </c>
      <c r="C155">
        <v>0.97680097818374634</v>
      </c>
      <c r="D155">
        <v>1.4652014970779419</v>
      </c>
      <c r="E155">
        <v>8.7912092208862305</v>
      </c>
      <c r="F155">
        <v>4.3956046104431152</v>
      </c>
      <c r="G155">
        <v>9.768010139465332</v>
      </c>
      <c r="H155">
        <v>11.721611976623535</v>
      </c>
      <c r="I155">
        <v>9.768010139465332</v>
      </c>
      <c r="J155">
        <v>10.744811058044434</v>
      </c>
      <c r="K155">
        <v>9.2796096801757812</v>
      </c>
      <c r="L155">
        <v>7.3260073661804199</v>
      </c>
      <c r="M155">
        <v>7.3260073661804199</v>
      </c>
      <c r="N155">
        <v>7.8144078254699707</v>
      </c>
      <c r="O155">
        <v>6.8376069068908691</v>
      </c>
      <c r="P155">
        <v>6.3492064476013184</v>
      </c>
      <c r="Q155">
        <v>7.3260073661804199</v>
      </c>
      <c r="R155">
        <v>8.7912092208862305</v>
      </c>
      <c r="S155">
        <v>7.8144078254699707</v>
      </c>
      <c r="T155">
        <v>10.256410598754883</v>
      </c>
      <c r="U155">
        <v>8.3028087615966797</v>
      </c>
      <c r="V155">
        <v>8.3028087615966797</v>
      </c>
      <c r="W155">
        <v>8.3028087615966797</v>
      </c>
      <c r="X155">
        <v>6.3492064476013184</v>
      </c>
      <c r="Y155">
        <v>0.97680097818374634</v>
      </c>
      <c r="Z155">
        <v>0.48840048909187317</v>
      </c>
      <c r="AJ155" s="1"/>
      <c r="AL155" s="1"/>
    </row>
    <row r="156" spans="1:38">
      <c r="A156">
        <f>A155+A$1</f>
        <v>1070</v>
      </c>
      <c r="B156">
        <v>0.97680097818374634</v>
      </c>
      <c r="C156">
        <v>0.97680097818374634</v>
      </c>
      <c r="D156">
        <v>1.4652014970779419</v>
      </c>
      <c r="E156">
        <v>8.3028087615966797</v>
      </c>
      <c r="F156">
        <v>5.3724055290222168</v>
      </c>
      <c r="G156">
        <v>9.768010139465332</v>
      </c>
      <c r="H156">
        <v>12.210012435913086</v>
      </c>
      <c r="I156">
        <v>10.744811058044434</v>
      </c>
      <c r="J156">
        <v>10.744811058044434</v>
      </c>
      <c r="K156">
        <v>10.744811058044434</v>
      </c>
      <c r="L156">
        <v>8.3028087615966797</v>
      </c>
      <c r="M156">
        <v>7.3260073661804199</v>
      </c>
      <c r="N156">
        <v>7.3260073661804199</v>
      </c>
      <c r="O156">
        <v>7.3260073661804199</v>
      </c>
      <c r="P156">
        <v>7.3260073661804199</v>
      </c>
      <c r="Q156">
        <v>9.768010139465332</v>
      </c>
      <c r="R156">
        <v>8.7912092208862305</v>
      </c>
      <c r="S156">
        <v>9.2796096801757812</v>
      </c>
      <c r="T156">
        <v>10.744811058044434</v>
      </c>
      <c r="U156">
        <v>7.8144078254699707</v>
      </c>
      <c r="V156">
        <v>8.7912092208862305</v>
      </c>
      <c r="W156">
        <v>8.7912092208862305</v>
      </c>
      <c r="X156">
        <v>6.3492064476013184</v>
      </c>
      <c r="Y156">
        <v>0.97680097818374634</v>
      </c>
      <c r="Z156">
        <v>0.48840048909187317</v>
      </c>
      <c r="AJ156" s="1"/>
      <c r="AL156" s="1"/>
    </row>
    <row r="157" spans="1:38">
      <c r="A157">
        <f>A156+A$1</f>
        <v>1075</v>
      </c>
      <c r="B157">
        <v>0.97680097818374634</v>
      </c>
      <c r="C157">
        <v>0.97680097818374634</v>
      </c>
      <c r="D157">
        <v>1.4652014970779419</v>
      </c>
      <c r="E157">
        <v>8.3028087615966797</v>
      </c>
      <c r="F157">
        <v>5.8608059883117676</v>
      </c>
      <c r="G157">
        <v>9.768010139465332</v>
      </c>
      <c r="H157">
        <v>12.210012435913086</v>
      </c>
      <c r="I157">
        <v>11.721611976623535</v>
      </c>
      <c r="J157">
        <v>10.256410598754883</v>
      </c>
      <c r="K157">
        <v>11.721611976623535</v>
      </c>
      <c r="L157">
        <v>9.768010139465332</v>
      </c>
      <c r="M157">
        <v>8.3028087615966797</v>
      </c>
      <c r="N157">
        <v>7.8144078254699707</v>
      </c>
      <c r="O157">
        <v>7.8144078254699707</v>
      </c>
      <c r="P157">
        <v>9.2796096801757812</v>
      </c>
      <c r="Q157">
        <v>10.744811058044434</v>
      </c>
      <c r="R157">
        <v>8.3028087615966797</v>
      </c>
      <c r="S157">
        <v>10.744811058044434</v>
      </c>
      <c r="T157">
        <v>11.233211517333984</v>
      </c>
      <c r="U157">
        <v>8.3028087615966797</v>
      </c>
      <c r="V157">
        <v>9.2796096801757812</v>
      </c>
      <c r="W157">
        <v>8.7912092208862305</v>
      </c>
      <c r="X157">
        <v>6.8376069068908691</v>
      </c>
      <c r="Y157">
        <v>0.97680097818374634</v>
      </c>
      <c r="Z157">
        <v>0.48840048909187317</v>
      </c>
      <c r="AJ157" s="1"/>
      <c r="AL157" s="1"/>
    </row>
    <row r="158" spans="1:38">
      <c r="A158">
        <f>A157+A$1</f>
        <v>1080</v>
      </c>
      <c r="B158">
        <v>0.97680097818374634</v>
      </c>
      <c r="C158">
        <v>0.97680097818374634</v>
      </c>
      <c r="D158">
        <v>1.4652014970779419</v>
      </c>
      <c r="E158">
        <v>7.8144078254699707</v>
      </c>
      <c r="F158">
        <v>6.3492064476013184</v>
      </c>
      <c r="G158">
        <v>10.256410598754883</v>
      </c>
      <c r="H158">
        <v>11.721611976623535</v>
      </c>
      <c r="I158">
        <v>12.698412895202637</v>
      </c>
      <c r="J158">
        <v>10.744811058044434</v>
      </c>
      <c r="K158">
        <v>11.721611976623535</v>
      </c>
      <c r="L158">
        <v>11.721611976623535</v>
      </c>
      <c r="M158">
        <v>9.768010139465332</v>
      </c>
      <c r="N158">
        <v>9.2796096801757812</v>
      </c>
      <c r="O158">
        <v>9.768010139465332</v>
      </c>
      <c r="P158">
        <v>11.233211517333984</v>
      </c>
      <c r="Q158">
        <v>11.233211517333984</v>
      </c>
      <c r="R158">
        <v>9.2796096801757812</v>
      </c>
      <c r="S158">
        <v>11.721611976623535</v>
      </c>
      <c r="T158">
        <v>10.744811058044434</v>
      </c>
      <c r="U158">
        <v>8.7912092208862305</v>
      </c>
      <c r="V158">
        <v>9.2796096801757812</v>
      </c>
      <c r="W158">
        <v>8.7912092208862305</v>
      </c>
      <c r="X158">
        <v>6.3492064476013184</v>
      </c>
      <c r="Y158">
        <v>0.97680097818374634</v>
      </c>
      <c r="Z158">
        <v>0.48840048909187317</v>
      </c>
      <c r="AJ158" s="1"/>
      <c r="AL158" s="1"/>
    </row>
    <row r="159" spans="1:38">
      <c r="A159">
        <f>A158+A$1</f>
        <v>1085</v>
      </c>
      <c r="B159">
        <v>0.97680097818374634</v>
      </c>
      <c r="C159">
        <v>0.97680097818374634</v>
      </c>
      <c r="D159">
        <v>1.4652014970779419</v>
      </c>
      <c r="E159">
        <v>7.8144078254699707</v>
      </c>
      <c r="F159">
        <v>6.8376069068908691</v>
      </c>
      <c r="G159">
        <v>11.233211517333984</v>
      </c>
      <c r="H159">
        <v>11.721611976623535</v>
      </c>
      <c r="I159">
        <v>13.186813354492187</v>
      </c>
      <c r="J159">
        <v>12.210012435913086</v>
      </c>
      <c r="K159">
        <v>11.721611976623535</v>
      </c>
      <c r="L159">
        <v>12.698412895202637</v>
      </c>
      <c r="M159">
        <v>11.721611976623535</v>
      </c>
      <c r="N159">
        <v>11.233211517333984</v>
      </c>
      <c r="O159">
        <v>11.721611976623535</v>
      </c>
      <c r="P159">
        <v>12.698412895202637</v>
      </c>
      <c r="Q159">
        <v>10.744811058044434</v>
      </c>
      <c r="R159">
        <v>10.744811058044434</v>
      </c>
      <c r="S159">
        <v>12.210012435913086</v>
      </c>
      <c r="T159">
        <v>10.256410598754883</v>
      </c>
      <c r="U159">
        <v>10.256410598754883</v>
      </c>
      <c r="V159">
        <v>10.256410598754883</v>
      </c>
      <c r="W159">
        <v>8.7912092208862305</v>
      </c>
      <c r="X159">
        <v>6.3492064476013184</v>
      </c>
      <c r="Y159">
        <v>0.97680097818374634</v>
      </c>
      <c r="Z159">
        <v>0.48840048909187317</v>
      </c>
      <c r="AJ159" s="1"/>
      <c r="AL159" s="1"/>
    </row>
    <row r="160" spans="1:38">
      <c r="A160">
        <f>A159+A$1</f>
        <v>1090</v>
      </c>
      <c r="B160">
        <v>0.97680097818374634</v>
      </c>
      <c r="C160">
        <v>0.97680097818374634</v>
      </c>
      <c r="D160">
        <v>1.4652014970779419</v>
      </c>
      <c r="E160">
        <v>7.3260073661804199</v>
      </c>
      <c r="F160">
        <v>7.3260073661804199</v>
      </c>
      <c r="G160">
        <v>11.721611976623535</v>
      </c>
      <c r="H160">
        <v>11.233211517333984</v>
      </c>
      <c r="I160">
        <v>13.675213813781738</v>
      </c>
      <c r="J160">
        <v>13.186813354492187</v>
      </c>
      <c r="K160">
        <v>11.721611976623535</v>
      </c>
      <c r="L160">
        <v>12.698412895202637</v>
      </c>
      <c r="M160">
        <v>13.186813354492187</v>
      </c>
      <c r="N160">
        <v>13.186813354492187</v>
      </c>
      <c r="O160">
        <v>13.186813354492187</v>
      </c>
      <c r="P160">
        <v>12.210012435913086</v>
      </c>
      <c r="Q160">
        <v>10.744811058044434</v>
      </c>
      <c r="R160">
        <v>12.210012435913086</v>
      </c>
      <c r="S160">
        <v>12.698412895202637</v>
      </c>
      <c r="T160">
        <v>9.768010139465332</v>
      </c>
      <c r="U160">
        <v>10.744811058044434</v>
      </c>
      <c r="V160">
        <v>10.744811058044434</v>
      </c>
      <c r="W160">
        <v>9.768010139465332</v>
      </c>
      <c r="X160">
        <v>6.3492064476013184</v>
      </c>
      <c r="Y160">
        <v>0.97680097818374634</v>
      </c>
      <c r="Z160">
        <v>0.48840048909187317</v>
      </c>
      <c r="AJ160" s="1"/>
      <c r="AL160" s="1"/>
    </row>
    <row r="161" spans="1:38">
      <c r="A161">
        <f>A160+A$1</f>
        <v>1095</v>
      </c>
      <c r="B161">
        <v>0.97680097818374634</v>
      </c>
      <c r="C161">
        <v>0.97680097818374634</v>
      </c>
      <c r="D161">
        <v>1.4652014970779419</v>
      </c>
      <c r="E161">
        <v>7.3260073661804199</v>
      </c>
      <c r="F161">
        <v>7.8144078254699707</v>
      </c>
      <c r="G161">
        <v>12.210012435913086</v>
      </c>
      <c r="H161">
        <v>11.233211517333984</v>
      </c>
      <c r="I161">
        <v>13.675213813781738</v>
      </c>
      <c r="J161">
        <v>14.163614273071289</v>
      </c>
      <c r="K161">
        <v>12.698412895202637</v>
      </c>
      <c r="L161">
        <v>12.698412895202637</v>
      </c>
      <c r="M161">
        <v>13.186813354492187</v>
      </c>
      <c r="N161">
        <v>13.675213813781738</v>
      </c>
      <c r="O161">
        <v>13.186813354492187</v>
      </c>
      <c r="P161">
        <v>12.210012435913086</v>
      </c>
      <c r="Q161">
        <v>12.210012435913086</v>
      </c>
      <c r="R161">
        <v>13.186813354492187</v>
      </c>
      <c r="S161">
        <v>12.698412895202637</v>
      </c>
      <c r="T161">
        <v>9.768010139465332</v>
      </c>
      <c r="U161">
        <v>11.233211517333984</v>
      </c>
      <c r="V161">
        <v>11.233211517333984</v>
      </c>
      <c r="W161">
        <v>10.256410598754883</v>
      </c>
      <c r="X161">
        <v>6.8376069068908691</v>
      </c>
      <c r="Y161">
        <v>0.97680097818374634</v>
      </c>
      <c r="Z161">
        <v>0.48840048909187317</v>
      </c>
      <c r="AJ161" s="1"/>
      <c r="AL161" s="1"/>
    </row>
    <row r="162" spans="1:38">
      <c r="A162">
        <f>A161+A$1</f>
        <v>1100</v>
      </c>
      <c r="B162">
        <v>0.97680097818374634</v>
      </c>
      <c r="C162">
        <v>0.97680097818374634</v>
      </c>
      <c r="D162">
        <v>1.4652014970779419</v>
      </c>
      <c r="E162">
        <v>7.3260073661804199</v>
      </c>
      <c r="F162">
        <v>8.3028087615966797</v>
      </c>
      <c r="G162">
        <v>12.698412895202637</v>
      </c>
      <c r="H162">
        <v>11.721611976623535</v>
      </c>
      <c r="I162">
        <v>13.186813354492187</v>
      </c>
      <c r="J162">
        <v>14.65201473236084</v>
      </c>
      <c r="K162">
        <v>13.675213813781738</v>
      </c>
      <c r="L162">
        <v>12.698412895202637</v>
      </c>
      <c r="M162">
        <v>12.698412895202637</v>
      </c>
      <c r="N162">
        <v>13.186813354492187</v>
      </c>
      <c r="O162">
        <v>12.698412895202637</v>
      </c>
      <c r="P162">
        <v>12.210012435913086</v>
      </c>
      <c r="Q162">
        <v>13.186813354492187</v>
      </c>
      <c r="R162">
        <v>13.675213813781738</v>
      </c>
      <c r="S162">
        <v>12.210012435913086</v>
      </c>
      <c r="T162">
        <v>10.744811058044434</v>
      </c>
      <c r="U162">
        <v>11.721611976623535</v>
      </c>
      <c r="V162">
        <v>10.744811058044434</v>
      </c>
      <c r="W162">
        <v>11.233211517333984</v>
      </c>
      <c r="X162">
        <v>6.8376069068908691</v>
      </c>
      <c r="Y162">
        <v>0.97680097818374634</v>
      </c>
      <c r="Z162">
        <v>0.48840048909187317</v>
      </c>
      <c r="AJ162" s="1"/>
      <c r="AL162" s="1"/>
    </row>
    <row r="163" spans="1:38">
      <c r="AJ163" s="1"/>
      <c r="AL163" s="1"/>
    </row>
    <row r="164" spans="1:38">
      <c r="A164" s="4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5"/>
      <c r="AI164" s="3"/>
    </row>
    <row r="165" spans="1:38">
      <c r="A165" s="7"/>
      <c r="AH165" s="5"/>
      <c r="AI165" s="3"/>
    </row>
    <row r="166" spans="1:38">
      <c r="A166" s="7"/>
      <c r="AH166" s="5"/>
      <c r="AI166" s="3"/>
    </row>
    <row r="167" spans="1:38">
      <c r="AH167" s="5"/>
      <c r="AI167" s="3"/>
    </row>
    <row r="168" spans="1:38">
      <c r="AH168" s="5"/>
      <c r="AI168" s="3"/>
    </row>
    <row r="169" spans="1:38">
      <c r="AH169" s="5"/>
      <c r="AI169" s="3"/>
    </row>
    <row r="170" spans="1:38">
      <c r="AH170" s="5"/>
      <c r="AI170" s="3"/>
    </row>
    <row r="171" spans="1:38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AK162"/>
  <sheetViews>
    <sheetView zoomScale="80" zoomScaleNormal="80" workbookViewId="0">
      <pane ySplit="4080" topLeftCell="A144"/>
      <selection activeCell="B1" sqref="B1:AK1"/>
      <selection pane="bottomLeft" activeCell="A19" sqref="A19"/>
    </sheetView>
  </sheetViews>
  <sheetFormatPr defaultRowHeight="15"/>
  <sheetData>
    <row r="1" spans="1:37">
      <c r="A1">
        <v>5</v>
      </c>
      <c r="B1">
        <v>0</v>
      </c>
      <c r="C1">
        <f>B1+1</f>
        <v>1</v>
      </c>
      <c r="D1">
        <f t="shared" ref="D1:AK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</row>
    <row r="2" spans="1:37">
      <c r="A2">
        <v>300</v>
      </c>
      <c r="B2">
        <v>0.11023622047244094</v>
      </c>
      <c r="C2">
        <v>0.10236220472440945</v>
      </c>
      <c r="D2">
        <v>0.11023622047244094</v>
      </c>
      <c r="E2">
        <v>0.11811023622047244</v>
      </c>
      <c r="F2">
        <v>0.11811023622047244</v>
      </c>
      <c r="G2">
        <v>0.11023622047244094</v>
      </c>
      <c r="H2">
        <v>0.11811023622047244</v>
      </c>
      <c r="J2">
        <v>0.11811023622047244</v>
      </c>
      <c r="K2">
        <v>0.11023622047244094</v>
      </c>
    </row>
    <row r="3" spans="1:37">
      <c r="A3">
        <f>A2+A$1</f>
        <v>305</v>
      </c>
      <c r="B3">
        <v>0.11023622047244094</v>
      </c>
      <c r="C3">
        <v>0.10236220472440945</v>
      </c>
      <c r="D3">
        <v>0.11023622047244094</v>
      </c>
      <c r="E3">
        <v>0.11811023622047244</v>
      </c>
      <c r="F3">
        <v>0.11811023622047244</v>
      </c>
      <c r="G3">
        <v>0.11023622047244094</v>
      </c>
      <c r="H3">
        <v>0.11811023622047244</v>
      </c>
      <c r="J3">
        <v>0.11811023622047244</v>
      </c>
      <c r="K3">
        <v>0.11023622047244094</v>
      </c>
    </row>
    <row r="4" spans="1:37">
      <c r="A4">
        <f t="shared" ref="A4:A67" si="1">A3+A$1</f>
        <v>310</v>
      </c>
      <c r="B4">
        <v>0.11023622047244094</v>
      </c>
      <c r="C4">
        <v>0.10236220472440945</v>
      </c>
      <c r="D4">
        <v>0.11023622047244094</v>
      </c>
      <c r="E4">
        <v>0.11811023622047244</v>
      </c>
      <c r="F4">
        <v>0.11811023622047244</v>
      </c>
      <c r="G4">
        <v>0.11023622047244094</v>
      </c>
      <c r="H4">
        <v>0.11811023622047244</v>
      </c>
      <c r="J4">
        <v>0.11811023622047244</v>
      </c>
      <c r="K4">
        <v>0.11023622047244094</v>
      </c>
    </row>
    <row r="5" spans="1:37">
      <c r="A5">
        <f t="shared" si="1"/>
        <v>315</v>
      </c>
      <c r="B5">
        <v>0.11023622047244094</v>
      </c>
      <c r="C5">
        <v>0.10236220472440945</v>
      </c>
      <c r="D5">
        <v>0.11023622047244094</v>
      </c>
      <c r="E5">
        <v>0.11811023622047244</v>
      </c>
      <c r="F5">
        <v>0.11811023622047244</v>
      </c>
      <c r="G5">
        <v>0.11023622047244094</v>
      </c>
      <c r="H5">
        <v>0.11811023622047244</v>
      </c>
      <c r="J5">
        <v>0.11811023622047244</v>
      </c>
      <c r="K5">
        <v>0.11023622047244094</v>
      </c>
    </row>
    <row r="6" spans="1:37">
      <c r="A6">
        <f t="shared" si="1"/>
        <v>320</v>
      </c>
      <c r="B6">
        <v>0.11023622047244094</v>
      </c>
      <c r="C6">
        <v>0.10236220472440945</v>
      </c>
      <c r="D6">
        <v>0.11023622047244094</v>
      </c>
      <c r="E6">
        <v>0.11811023622047244</v>
      </c>
      <c r="F6">
        <v>0.11811023622047244</v>
      </c>
      <c r="G6">
        <v>0.11023622047244094</v>
      </c>
      <c r="H6">
        <v>0.11811023622047244</v>
      </c>
      <c r="J6">
        <v>0.11811023622047244</v>
      </c>
      <c r="K6">
        <v>0.11023622047244094</v>
      </c>
    </row>
    <row r="7" spans="1:37">
      <c r="A7">
        <f t="shared" si="1"/>
        <v>325</v>
      </c>
      <c r="B7">
        <v>0.11023622047244094</v>
      </c>
      <c r="C7">
        <v>0.10236220472440945</v>
      </c>
      <c r="D7">
        <v>0.11023622047244094</v>
      </c>
      <c r="E7">
        <v>0.11811023622047244</v>
      </c>
      <c r="F7">
        <v>0.11811023622047244</v>
      </c>
      <c r="G7">
        <v>0.11023622047244094</v>
      </c>
      <c r="H7">
        <v>0.11811023622047244</v>
      </c>
      <c r="J7">
        <v>0.11811023622047244</v>
      </c>
      <c r="K7">
        <v>0.11023622047244094</v>
      </c>
    </row>
    <row r="8" spans="1:37">
      <c r="A8">
        <f t="shared" si="1"/>
        <v>330</v>
      </c>
      <c r="B8">
        <v>0.11023622047244094</v>
      </c>
      <c r="C8">
        <v>0.10236220472440945</v>
      </c>
      <c r="D8">
        <v>0.11023622047244094</v>
      </c>
      <c r="E8">
        <v>0.11811023622047244</v>
      </c>
      <c r="F8">
        <v>0.11811023622047244</v>
      </c>
      <c r="G8">
        <v>0.11023622047244094</v>
      </c>
      <c r="H8">
        <v>0.11811023622047244</v>
      </c>
      <c r="J8">
        <v>0.11811023622047244</v>
      </c>
      <c r="K8">
        <v>0.11023622047244094</v>
      </c>
    </row>
    <row r="9" spans="1:37">
      <c r="A9">
        <f t="shared" si="1"/>
        <v>335</v>
      </c>
      <c r="B9">
        <v>0.11023622047244094</v>
      </c>
      <c r="C9">
        <v>0.10236220472440945</v>
      </c>
      <c r="D9">
        <v>0.11023622047244094</v>
      </c>
      <c r="E9">
        <v>0.11811023622047244</v>
      </c>
      <c r="F9">
        <v>0.11811023622047244</v>
      </c>
      <c r="G9">
        <v>0.11023622047244094</v>
      </c>
      <c r="H9">
        <v>0.11811023622047244</v>
      </c>
      <c r="J9">
        <v>0.11811023622047244</v>
      </c>
      <c r="K9">
        <v>0.11023622047244094</v>
      </c>
    </row>
    <row r="10" spans="1:37">
      <c r="A10">
        <f t="shared" si="1"/>
        <v>340</v>
      </c>
      <c r="B10">
        <v>0.11023622047244094</v>
      </c>
      <c r="C10">
        <v>0.10236220472440945</v>
      </c>
      <c r="D10">
        <v>0.11023622047244094</v>
      </c>
      <c r="E10">
        <v>0.11811023622047244</v>
      </c>
      <c r="F10">
        <v>0.11811023622047244</v>
      </c>
      <c r="G10">
        <v>0.11023622047244094</v>
      </c>
      <c r="H10">
        <v>0.11811023622047244</v>
      </c>
      <c r="J10">
        <v>0.11811023622047244</v>
      </c>
      <c r="K10">
        <v>0.11023622047244094</v>
      </c>
    </row>
    <row r="11" spans="1:37">
      <c r="A11">
        <f t="shared" si="1"/>
        <v>345</v>
      </c>
      <c r="B11">
        <v>0.11023622047244094</v>
      </c>
      <c r="C11">
        <v>0.10236220472440945</v>
      </c>
      <c r="D11">
        <v>0.11023622047244094</v>
      </c>
      <c r="E11">
        <v>0.11811023622047244</v>
      </c>
      <c r="F11">
        <v>0.11811023622047244</v>
      </c>
      <c r="G11">
        <v>0.11811023622047244</v>
      </c>
      <c r="H11">
        <v>0.11811023622047244</v>
      </c>
      <c r="J11">
        <v>0.11811023622047244</v>
      </c>
      <c r="K11">
        <v>0.11023622047244094</v>
      </c>
    </row>
    <row r="12" spans="1:37">
      <c r="A12">
        <f t="shared" si="1"/>
        <v>350</v>
      </c>
      <c r="B12">
        <v>0.11023622047244094</v>
      </c>
      <c r="C12">
        <v>0.10236220472440945</v>
      </c>
      <c r="D12">
        <v>0.11023622047244094</v>
      </c>
      <c r="E12">
        <v>0.11811023622047244</v>
      </c>
      <c r="F12">
        <v>0.11811023622047244</v>
      </c>
      <c r="G12">
        <v>0.11023622047244094</v>
      </c>
      <c r="H12">
        <v>0.11811023622047244</v>
      </c>
      <c r="J12">
        <v>0.11811023622047244</v>
      </c>
      <c r="K12">
        <v>0.11023622047244094</v>
      </c>
    </row>
    <row r="13" spans="1:37">
      <c r="A13">
        <f t="shared" si="1"/>
        <v>355</v>
      </c>
      <c r="B13">
        <v>0.11023622047244094</v>
      </c>
      <c r="C13">
        <v>0.10236220472440945</v>
      </c>
      <c r="D13">
        <v>0.11023622047244094</v>
      </c>
      <c r="E13">
        <v>0.11811023622047244</v>
      </c>
      <c r="F13">
        <v>0.11811023622047244</v>
      </c>
      <c r="G13">
        <v>0.11023622047244094</v>
      </c>
      <c r="H13">
        <v>0.11811023622047244</v>
      </c>
      <c r="J13">
        <v>0.11811023622047244</v>
      </c>
      <c r="K13">
        <v>0.11023622047244094</v>
      </c>
    </row>
    <row r="14" spans="1:37">
      <c r="A14">
        <f t="shared" si="1"/>
        <v>360</v>
      </c>
      <c r="B14">
        <v>0.11023622047244094</v>
      </c>
      <c r="C14">
        <v>0.10236220472440945</v>
      </c>
      <c r="D14">
        <v>0.11023622047244094</v>
      </c>
      <c r="E14">
        <v>0.11811023622047244</v>
      </c>
      <c r="F14">
        <v>0.11811023622047244</v>
      </c>
      <c r="G14">
        <v>0.11023622047244094</v>
      </c>
      <c r="H14">
        <v>0.11811023622047244</v>
      </c>
      <c r="J14">
        <v>0.11811023622047244</v>
      </c>
      <c r="K14">
        <v>0.11023622047244094</v>
      </c>
    </row>
    <row r="15" spans="1:37">
      <c r="A15">
        <f t="shared" si="1"/>
        <v>365</v>
      </c>
      <c r="B15">
        <v>0.11023622047244094</v>
      </c>
      <c r="C15">
        <v>0.10236220472440945</v>
      </c>
      <c r="D15">
        <v>0.11023622047244094</v>
      </c>
      <c r="E15">
        <v>0.11811023622047244</v>
      </c>
      <c r="F15">
        <v>0.11811023622047244</v>
      </c>
      <c r="G15">
        <v>0.11023622047244094</v>
      </c>
      <c r="H15">
        <v>0.11811023622047244</v>
      </c>
      <c r="J15">
        <v>0.11811023622047244</v>
      </c>
      <c r="K15">
        <v>0.11023622047244094</v>
      </c>
    </row>
    <row r="16" spans="1:37">
      <c r="A16">
        <f t="shared" si="1"/>
        <v>370</v>
      </c>
      <c r="B16">
        <v>0.11023622047244094</v>
      </c>
      <c r="C16">
        <v>0.11023622047244094</v>
      </c>
      <c r="D16">
        <v>0.11023622047244094</v>
      </c>
      <c r="E16">
        <v>0.11811023622047244</v>
      </c>
      <c r="F16">
        <v>0.11811023622047244</v>
      </c>
      <c r="G16">
        <v>0.11023622047244094</v>
      </c>
      <c r="H16">
        <v>0.11811023622047244</v>
      </c>
      <c r="J16">
        <v>0.11811023622047244</v>
      </c>
      <c r="K16">
        <v>0.11023622047244094</v>
      </c>
    </row>
    <row r="17" spans="1:11">
      <c r="A17">
        <f t="shared" si="1"/>
        <v>375</v>
      </c>
      <c r="B17">
        <v>0.11023622047244094</v>
      </c>
      <c r="C17">
        <v>0.10236220472440945</v>
      </c>
      <c r="D17">
        <v>0.11023622047244094</v>
      </c>
      <c r="E17">
        <v>0.11811023622047244</v>
      </c>
      <c r="F17">
        <v>0.11811023622047244</v>
      </c>
      <c r="G17">
        <v>0.11023622047244094</v>
      </c>
      <c r="H17">
        <v>0.11811023622047244</v>
      </c>
      <c r="J17">
        <v>0.11811023622047244</v>
      </c>
      <c r="K17">
        <v>0.11023622047244094</v>
      </c>
    </row>
    <row r="18" spans="1:11">
      <c r="A18">
        <f t="shared" si="1"/>
        <v>380</v>
      </c>
      <c r="B18">
        <v>0.11023622047244094</v>
      </c>
      <c r="C18">
        <v>0.10236220472440945</v>
      </c>
      <c r="D18">
        <v>0.11023622047244094</v>
      </c>
      <c r="E18">
        <v>0.11811023622047244</v>
      </c>
      <c r="F18">
        <v>0.11811023622047244</v>
      </c>
      <c r="G18">
        <v>0.11023622047244094</v>
      </c>
      <c r="H18">
        <v>0.11811023622047244</v>
      </c>
      <c r="J18">
        <v>0.11811023622047244</v>
      </c>
      <c r="K18">
        <v>0.11023622047244094</v>
      </c>
    </row>
    <row r="19" spans="1:11">
      <c r="A19">
        <f t="shared" si="1"/>
        <v>385</v>
      </c>
      <c r="B19">
        <v>0.11023622047244094</v>
      </c>
      <c r="C19">
        <v>0.10236220472440945</v>
      </c>
      <c r="D19">
        <v>0.11023622047244094</v>
      </c>
      <c r="E19">
        <v>0.11811023622047244</v>
      </c>
      <c r="F19">
        <v>0.11811023622047244</v>
      </c>
      <c r="G19">
        <v>0.11023622047244094</v>
      </c>
      <c r="H19">
        <v>0.11811023622047244</v>
      </c>
      <c r="J19">
        <v>0.11811023622047244</v>
      </c>
      <c r="K19">
        <v>0.11023622047244094</v>
      </c>
    </row>
    <row r="20" spans="1:11">
      <c r="A20">
        <f t="shared" si="1"/>
        <v>390</v>
      </c>
      <c r="B20">
        <v>0.11023622047244094</v>
      </c>
      <c r="C20">
        <v>0.10236220472440945</v>
      </c>
      <c r="D20">
        <v>0.11023622047244094</v>
      </c>
      <c r="E20">
        <v>0.11811023622047244</v>
      </c>
      <c r="F20">
        <v>0.11811023622047244</v>
      </c>
      <c r="G20">
        <v>0.11023622047244094</v>
      </c>
      <c r="H20">
        <v>0.11811023622047244</v>
      </c>
      <c r="J20">
        <v>0.11811023622047244</v>
      </c>
      <c r="K20">
        <v>0.11023622047244094</v>
      </c>
    </row>
    <row r="21" spans="1:11">
      <c r="A21">
        <f t="shared" si="1"/>
        <v>395</v>
      </c>
      <c r="B21">
        <v>0.11023622047244094</v>
      </c>
      <c r="C21">
        <v>0.10236220472440945</v>
      </c>
      <c r="D21">
        <v>0.11023622047244094</v>
      </c>
      <c r="E21">
        <v>0.11811023622047244</v>
      </c>
      <c r="F21">
        <v>0.11811023622047244</v>
      </c>
      <c r="G21">
        <v>0.11023622047244094</v>
      </c>
      <c r="H21">
        <v>0.11811023622047244</v>
      </c>
      <c r="J21">
        <v>0.11811023622047244</v>
      </c>
      <c r="K21">
        <v>0.11023622047244094</v>
      </c>
    </row>
    <row r="22" spans="1:11">
      <c r="A22">
        <f t="shared" si="1"/>
        <v>400</v>
      </c>
      <c r="B22">
        <v>0.11023622047244094</v>
      </c>
      <c r="C22">
        <v>0.10236220472440945</v>
      </c>
      <c r="D22">
        <v>0.11023622047244094</v>
      </c>
      <c r="E22">
        <v>0.11811023622047244</v>
      </c>
      <c r="F22">
        <v>0.11811023622047244</v>
      </c>
      <c r="G22">
        <v>0.11023622047244094</v>
      </c>
      <c r="H22">
        <v>0.11811023622047244</v>
      </c>
      <c r="J22">
        <v>0.11811023622047244</v>
      </c>
      <c r="K22">
        <v>0.11023622047244094</v>
      </c>
    </row>
    <row r="23" spans="1:11">
      <c r="A23">
        <f t="shared" si="1"/>
        <v>405</v>
      </c>
      <c r="B23">
        <v>0.11023622047244094</v>
      </c>
      <c r="C23">
        <v>0.10236220472440945</v>
      </c>
      <c r="D23">
        <v>0.11023622047244094</v>
      </c>
      <c r="E23">
        <v>0.11811023622047244</v>
      </c>
      <c r="F23">
        <v>0.11811023622047244</v>
      </c>
      <c r="G23">
        <v>0.11023622047244094</v>
      </c>
      <c r="H23">
        <v>0.11811023622047244</v>
      </c>
      <c r="J23">
        <v>0.11811023622047244</v>
      </c>
      <c r="K23">
        <v>0.11023622047244094</v>
      </c>
    </row>
    <row r="24" spans="1:11">
      <c r="A24">
        <f t="shared" si="1"/>
        <v>410</v>
      </c>
      <c r="B24">
        <v>0.11023622047244094</v>
      </c>
      <c r="C24">
        <v>0.10236220472440945</v>
      </c>
      <c r="D24">
        <v>0.11023622047244094</v>
      </c>
      <c r="E24">
        <v>0.11811023622047244</v>
      </c>
      <c r="F24">
        <v>0.11811023622047244</v>
      </c>
      <c r="G24">
        <v>0.11023622047244094</v>
      </c>
      <c r="H24">
        <v>0.11811023622047244</v>
      </c>
      <c r="J24">
        <v>0.11811023622047244</v>
      </c>
      <c r="K24">
        <v>0.11023622047244094</v>
      </c>
    </row>
    <row r="25" spans="1:11">
      <c r="A25">
        <f t="shared" si="1"/>
        <v>415</v>
      </c>
      <c r="B25">
        <v>0.11023622047244094</v>
      </c>
      <c r="C25">
        <v>0.10236220472440945</v>
      </c>
      <c r="D25">
        <v>0.11023622047244094</v>
      </c>
      <c r="E25">
        <v>0.11811023622047244</v>
      </c>
      <c r="F25">
        <v>0.11811023622047244</v>
      </c>
      <c r="G25">
        <v>0.11023622047244094</v>
      </c>
      <c r="H25">
        <v>0.11811023622047244</v>
      </c>
      <c r="J25">
        <v>0.11811023622047244</v>
      </c>
      <c r="K25">
        <v>0.11023622047244094</v>
      </c>
    </row>
    <row r="26" spans="1:11">
      <c r="A26">
        <f t="shared" si="1"/>
        <v>420</v>
      </c>
      <c r="B26">
        <v>0.11023622047244094</v>
      </c>
      <c r="C26">
        <v>0.10236220472440945</v>
      </c>
      <c r="D26">
        <v>0.11023622047244094</v>
      </c>
      <c r="E26">
        <v>0.11811023622047244</v>
      </c>
      <c r="F26">
        <v>0.11811023622047244</v>
      </c>
      <c r="G26">
        <v>0.11023622047244094</v>
      </c>
      <c r="H26">
        <v>0.11811023622047244</v>
      </c>
      <c r="J26">
        <v>0.11811023622047244</v>
      </c>
      <c r="K26">
        <v>0.11023622047244094</v>
      </c>
    </row>
    <row r="27" spans="1:11">
      <c r="A27">
        <f t="shared" si="1"/>
        <v>425</v>
      </c>
      <c r="B27">
        <v>0.11023622047244094</v>
      </c>
      <c r="C27">
        <v>0.10236220472440945</v>
      </c>
      <c r="D27">
        <v>0.11023622047244094</v>
      </c>
      <c r="E27">
        <v>0.11811023622047244</v>
      </c>
      <c r="F27">
        <v>0.11811023622047244</v>
      </c>
      <c r="G27">
        <v>0.11023622047244094</v>
      </c>
      <c r="H27">
        <v>0.11811023622047244</v>
      </c>
      <c r="J27">
        <v>0.11811023622047244</v>
      </c>
      <c r="K27">
        <v>0.11023622047244094</v>
      </c>
    </row>
    <row r="28" spans="1:11">
      <c r="A28">
        <f t="shared" si="1"/>
        <v>430</v>
      </c>
      <c r="B28">
        <v>0.11023622047244094</v>
      </c>
      <c r="C28">
        <v>0.10236220472440945</v>
      </c>
      <c r="D28">
        <v>0.11023622047244094</v>
      </c>
      <c r="E28">
        <v>0.11811023622047244</v>
      </c>
      <c r="F28">
        <v>0.11811023622047244</v>
      </c>
      <c r="G28">
        <v>0.11811023622047244</v>
      </c>
      <c r="H28">
        <v>0.11811023622047244</v>
      </c>
      <c r="J28">
        <v>0.11811023622047244</v>
      </c>
      <c r="K28">
        <v>0.11023622047244094</v>
      </c>
    </row>
    <row r="29" spans="1:11">
      <c r="A29">
        <f t="shared" si="1"/>
        <v>435</v>
      </c>
      <c r="B29">
        <v>0.11023622047244094</v>
      </c>
      <c r="C29">
        <v>0.11023622047244094</v>
      </c>
      <c r="D29">
        <v>0.11023622047244094</v>
      </c>
      <c r="E29">
        <v>0.11811023622047244</v>
      </c>
      <c r="F29">
        <v>0.11811023622047244</v>
      </c>
      <c r="G29">
        <v>0.11023622047244094</v>
      </c>
      <c r="H29">
        <v>0.11811023622047244</v>
      </c>
      <c r="J29">
        <v>0.11811023622047244</v>
      </c>
      <c r="K29">
        <v>0.11023622047244094</v>
      </c>
    </row>
    <row r="30" spans="1:11">
      <c r="A30">
        <f t="shared" si="1"/>
        <v>440</v>
      </c>
      <c r="B30">
        <v>0.11023622047244094</v>
      </c>
      <c r="C30">
        <v>0.10236220472440945</v>
      </c>
      <c r="D30">
        <v>0.11811023622047244</v>
      </c>
      <c r="E30">
        <v>0.11811023622047244</v>
      </c>
      <c r="F30">
        <v>0.11811023622047244</v>
      </c>
      <c r="G30">
        <v>0.11811023622047244</v>
      </c>
      <c r="H30">
        <v>0.11811023622047244</v>
      </c>
      <c r="J30">
        <v>0.11811023622047244</v>
      </c>
      <c r="K30">
        <v>0.11023622047244094</v>
      </c>
    </row>
    <row r="31" spans="1:11">
      <c r="A31">
        <f t="shared" si="1"/>
        <v>445</v>
      </c>
      <c r="B31">
        <v>0.11023622047244094</v>
      </c>
      <c r="C31">
        <v>0.10236220472440945</v>
      </c>
      <c r="D31">
        <v>0.11023622047244094</v>
      </c>
      <c r="E31">
        <v>0.11811023622047244</v>
      </c>
      <c r="F31">
        <v>0.11811023622047244</v>
      </c>
      <c r="G31">
        <v>0.11023622047244094</v>
      </c>
      <c r="H31">
        <v>0.11811023622047244</v>
      </c>
      <c r="J31">
        <v>0.11811023622047244</v>
      </c>
      <c r="K31">
        <v>0.11023622047244094</v>
      </c>
    </row>
    <row r="32" spans="1:11">
      <c r="A32">
        <f t="shared" si="1"/>
        <v>450</v>
      </c>
      <c r="B32">
        <v>0.11023622047244094</v>
      </c>
      <c r="C32">
        <v>0.10236220472440945</v>
      </c>
      <c r="D32">
        <v>0.11023622047244094</v>
      </c>
      <c r="E32">
        <v>0.11811023622047244</v>
      </c>
      <c r="F32">
        <v>0.11811023622047244</v>
      </c>
      <c r="G32">
        <v>0.11811023622047244</v>
      </c>
      <c r="H32">
        <v>0.11811023622047244</v>
      </c>
      <c r="J32">
        <v>0.11811023622047244</v>
      </c>
      <c r="K32">
        <v>0.11023622047244094</v>
      </c>
    </row>
    <row r="33" spans="1:11">
      <c r="A33">
        <f t="shared" si="1"/>
        <v>455</v>
      </c>
      <c r="B33">
        <v>0.11023622047244094</v>
      </c>
      <c r="C33">
        <v>0.11023622047244094</v>
      </c>
      <c r="D33">
        <v>0.11023622047244094</v>
      </c>
      <c r="E33">
        <v>0.11811023622047244</v>
      </c>
      <c r="F33">
        <v>0.11811023622047244</v>
      </c>
      <c r="G33">
        <v>0.11811023622047244</v>
      </c>
      <c r="H33">
        <v>0.11811023622047244</v>
      </c>
      <c r="J33">
        <v>0.11811023622047244</v>
      </c>
      <c r="K33">
        <v>0.11023622047244094</v>
      </c>
    </row>
    <row r="34" spans="1:11">
      <c r="A34">
        <f t="shared" si="1"/>
        <v>460</v>
      </c>
      <c r="B34">
        <v>0.11023622047244094</v>
      </c>
      <c r="C34">
        <v>0.11023622047244094</v>
      </c>
      <c r="D34">
        <v>0.11811023622047244</v>
      </c>
      <c r="E34">
        <v>0.11811023622047244</v>
      </c>
      <c r="F34">
        <v>0.11811023622047244</v>
      </c>
      <c r="G34">
        <v>0.11811023622047244</v>
      </c>
      <c r="H34">
        <v>0.11811023622047244</v>
      </c>
      <c r="J34">
        <v>0.11811023622047244</v>
      </c>
      <c r="K34">
        <v>0.11023622047244094</v>
      </c>
    </row>
    <row r="35" spans="1:11">
      <c r="A35">
        <f t="shared" si="1"/>
        <v>465</v>
      </c>
      <c r="B35">
        <v>0.11023622047244094</v>
      </c>
      <c r="C35">
        <v>0.10236220472440945</v>
      </c>
      <c r="D35">
        <v>0.11023622047244094</v>
      </c>
      <c r="E35">
        <v>0.11811023622047244</v>
      </c>
      <c r="F35">
        <v>0.11811023622047244</v>
      </c>
      <c r="G35">
        <v>0.11023622047244094</v>
      </c>
      <c r="H35">
        <v>0.11811023622047244</v>
      </c>
      <c r="J35">
        <v>0.11811023622047244</v>
      </c>
      <c r="K35">
        <v>0.11023622047244094</v>
      </c>
    </row>
    <row r="36" spans="1:11">
      <c r="A36">
        <f t="shared" si="1"/>
        <v>470</v>
      </c>
      <c r="B36">
        <v>0.11023622047244094</v>
      </c>
      <c r="C36">
        <v>0.10236220472440945</v>
      </c>
      <c r="D36">
        <v>0.11023622047244094</v>
      </c>
      <c r="E36">
        <v>0.11811023622047244</v>
      </c>
      <c r="F36">
        <v>0.11811023622047244</v>
      </c>
      <c r="G36">
        <v>0.11811023622047244</v>
      </c>
      <c r="H36">
        <v>0.11811023622047244</v>
      </c>
      <c r="J36">
        <v>0.11811023622047244</v>
      </c>
      <c r="K36">
        <v>0.11023622047244094</v>
      </c>
    </row>
    <row r="37" spans="1:11">
      <c r="A37">
        <f t="shared" si="1"/>
        <v>475</v>
      </c>
      <c r="B37">
        <v>0.11023622047244094</v>
      </c>
      <c r="C37">
        <v>0.10236220472440945</v>
      </c>
      <c r="D37">
        <v>0.11023622047244094</v>
      </c>
      <c r="E37">
        <v>0.11811023622047244</v>
      </c>
      <c r="F37">
        <v>0.11811023622047244</v>
      </c>
      <c r="G37">
        <v>0.11811023622047244</v>
      </c>
      <c r="H37">
        <v>0.11811023622047244</v>
      </c>
      <c r="J37">
        <v>0.11811023622047244</v>
      </c>
      <c r="K37">
        <v>0.11023622047244094</v>
      </c>
    </row>
    <row r="38" spans="1:11">
      <c r="A38">
        <f t="shared" si="1"/>
        <v>480</v>
      </c>
      <c r="B38">
        <v>0.11023622047244094</v>
      </c>
      <c r="C38">
        <v>0.10236220472440945</v>
      </c>
      <c r="D38">
        <v>0.11023622047244094</v>
      </c>
      <c r="E38">
        <v>0.11811023622047244</v>
      </c>
      <c r="F38">
        <v>0.11811023622047244</v>
      </c>
      <c r="G38">
        <v>0.11811023622047244</v>
      </c>
      <c r="H38">
        <v>0.11811023622047244</v>
      </c>
      <c r="J38">
        <v>0.11811023622047244</v>
      </c>
      <c r="K38">
        <v>0.11023622047244094</v>
      </c>
    </row>
    <row r="39" spans="1:11">
      <c r="A39">
        <f t="shared" si="1"/>
        <v>485</v>
      </c>
      <c r="B39">
        <v>0.11023622047244094</v>
      </c>
      <c r="C39">
        <v>0.11023622047244094</v>
      </c>
      <c r="D39">
        <v>0.11023622047244094</v>
      </c>
      <c r="E39">
        <v>0.11811023622047244</v>
      </c>
      <c r="F39">
        <v>0.11811023622047244</v>
      </c>
      <c r="G39">
        <v>0.11811023622047244</v>
      </c>
      <c r="H39">
        <v>0.11811023622047244</v>
      </c>
      <c r="J39">
        <v>0.11811023622047244</v>
      </c>
      <c r="K39">
        <v>0.11023622047244094</v>
      </c>
    </row>
    <row r="40" spans="1:11">
      <c r="A40">
        <f t="shared" si="1"/>
        <v>490</v>
      </c>
      <c r="B40">
        <v>0.11023622047244094</v>
      </c>
      <c r="C40">
        <v>0.11023622047244094</v>
      </c>
      <c r="D40">
        <v>0.11023622047244094</v>
      </c>
      <c r="E40">
        <v>0.11811023622047244</v>
      </c>
      <c r="F40">
        <v>0.11811023622047244</v>
      </c>
      <c r="G40">
        <v>0.11811023622047244</v>
      </c>
      <c r="H40">
        <v>0.11811023622047244</v>
      </c>
      <c r="J40">
        <v>0.11811023622047244</v>
      </c>
      <c r="K40">
        <v>0.11023622047244094</v>
      </c>
    </row>
    <row r="41" spans="1:11">
      <c r="A41">
        <f t="shared" si="1"/>
        <v>495</v>
      </c>
      <c r="B41">
        <v>0.11023622047244094</v>
      </c>
      <c r="C41">
        <v>0.11023622047244094</v>
      </c>
      <c r="D41">
        <v>0.11811023622047244</v>
      </c>
      <c r="E41">
        <v>0.11811023622047244</v>
      </c>
      <c r="F41">
        <v>0.11811023622047244</v>
      </c>
      <c r="G41">
        <v>0.11811023622047244</v>
      </c>
      <c r="H41">
        <v>0.11811023622047244</v>
      </c>
      <c r="J41">
        <v>0.11811023622047244</v>
      </c>
      <c r="K41">
        <v>0.11023622047244094</v>
      </c>
    </row>
    <row r="42" spans="1:11">
      <c r="A42">
        <f t="shared" si="1"/>
        <v>500</v>
      </c>
      <c r="B42">
        <v>0.11023622047244094</v>
      </c>
      <c r="C42">
        <v>0.11023622047244094</v>
      </c>
      <c r="D42">
        <v>0.11811023622047244</v>
      </c>
      <c r="E42">
        <v>0.11811023622047244</v>
      </c>
      <c r="F42">
        <v>0.11811023622047244</v>
      </c>
      <c r="G42">
        <v>0.11811023622047244</v>
      </c>
      <c r="H42">
        <v>0.11811023622047244</v>
      </c>
      <c r="J42">
        <v>0.11811023622047244</v>
      </c>
      <c r="K42">
        <v>0.11023622047244094</v>
      </c>
    </row>
    <row r="43" spans="1:11">
      <c r="A43">
        <f t="shared" si="1"/>
        <v>505</v>
      </c>
      <c r="B43">
        <v>0.11023622047244094</v>
      </c>
      <c r="C43">
        <v>0.11023622047244094</v>
      </c>
      <c r="D43">
        <v>0.11811023622047244</v>
      </c>
      <c r="E43">
        <v>0.11811023622047244</v>
      </c>
      <c r="F43">
        <v>0.11811023622047244</v>
      </c>
      <c r="G43">
        <v>0.11811023622047244</v>
      </c>
      <c r="H43">
        <v>0.11811023622047244</v>
      </c>
      <c r="J43">
        <v>0.11811023622047244</v>
      </c>
      <c r="K43">
        <v>0.11023622047244094</v>
      </c>
    </row>
    <row r="44" spans="1:11">
      <c r="A44">
        <f t="shared" si="1"/>
        <v>510</v>
      </c>
      <c r="B44">
        <v>0.11023622047244094</v>
      </c>
      <c r="C44">
        <v>0.11023622047244094</v>
      </c>
      <c r="D44">
        <v>0.11023622047244094</v>
      </c>
      <c r="E44">
        <v>0.11811023622047244</v>
      </c>
      <c r="F44">
        <v>0.11811023622047244</v>
      </c>
      <c r="G44">
        <v>0.11811023622047244</v>
      </c>
      <c r="H44">
        <v>0.11811023622047244</v>
      </c>
      <c r="J44">
        <v>0.11811023622047244</v>
      </c>
      <c r="K44">
        <v>0.11023622047244094</v>
      </c>
    </row>
    <row r="45" spans="1:11">
      <c r="A45">
        <f t="shared" si="1"/>
        <v>515</v>
      </c>
      <c r="B45">
        <v>0.11023622047244094</v>
      </c>
      <c r="C45">
        <v>0.11023622047244094</v>
      </c>
      <c r="D45">
        <v>0.11023622047244094</v>
      </c>
      <c r="E45">
        <v>0.11811023622047244</v>
      </c>
      <c r="F45">
        <v>0.11811023622047244</v>
      </c>
      <c r="G45">
        <v>0.11811023622047244</v>
      </c>
      <c r="H45">
        <v>0.11811023622047244</v>
      </c>
      <c r="J45">
        <v>0.11811023622047244</v>
      </c>
      <c r="K45">
        <v>0.11023622047244094</v>
      </c>
    </row>
    <row r="46" spans="1:11">
      <c r="A46">
        <f t="shared" si="1"/>
        <v>520</v>
      </c>
      <c r="B46">
        <v>0.11023622047244094</v>
      </c>
      <c r="C46">
        <v>0.11023622047244094</v>
      </c>
      <c r="D46">
        <v>0.11023622047244094</v>
      </c>
      <c r="E46">
        <v>0.11811023622047244</v>
      </c>
      <c r="F46">
        <v>0.11811023622047244</v>
      </c>
      <c r="G46">
        <v>0.11811023622047244</v>
      </c>
      <c r="H46">
        <v>0.11811023622047244</v>
      </c>
      <c r="J46">
        <v>0.11811023622047244</v>
      </c>
      <c r="K46">
        <v>0.11023622047244094</v>
      </c>
    </row>
    <row r="47" spans="1:11">
      <c r="A47">
        <f t="shared" si="1"/>
        <v>525</v>
      </c>
      <c r="B47">
        <v>0.11023622047244094</v>
      </c>
      <c r="C47">
        <v>0.11023622047244094</v>
      </c>
      <c r="D47">
        <v>0.11023622047244094</v>
      </c>
      <c r="E47">
        <v>0.11811023622047244</v>
      </c>
      <c r="F47">
        <v>0.11811023622047244</v>
      </c>
      <c r="G47">
        <v>0.11811023622047244</v>
      </c>
      <c r="H47">
        <v>0.11811023622047244</v>
      </c>
      <c r="J47">
        <v>0.11811023622047244</v>
      </c>
      <c r="K47">
        <v>0.11023622047244094</v>
      </c>
    </row>
    <row r="48" spans="1:11">
      <c r="A48">
        <f t="shared" si="1"/>
        <v>530</v>
      </c>
      <c r="B48">
        <v>0.11023622047244094</v>
      </c>
      <c r="C48">
        <v>0.11023622047244094</v>
      </c>
      <c r="D48">
        <v>0.11023622047244094</v>
      </c>
      <c r="E48">
        <v>0.11811023622047244</v>
      </c>
      <c r="F48">
        <v>0.11811023622047244</v>
      </c>
      <c r="G48">
        <v>0.11811023622047244</v>
      </c>
      <c r="H48">
        <v>0.11811023622047244</v>
      </c>
      <c r="J48">
        <v>0.11811023622047244</v>
      </c>
      <c r="K48">
        <v>0.11023622047244094</v>
      </c>
    </row>
    <row r="49" spans="1:11">
      <c r="A49">
        <f t="shared" si="1"/>
        <v>535</v>
      </c>
      <c r="B49">
        <v>0.11023622047244094</v>
      </c>
      <c r="C49">
        <v>0.11023622047244094</v>
      </c>
      <c r="D49">
        <v>0.11023622047244094</v>
      </c>
      <c r="E49">
        <v>0.11811023622047244</v>
      </c>
      <c r="F49">
        <v>0.11811023622047244</v>
      </c>
      <c r="G49">
        <v>0.11811023622047244</v>
      </c>
      <c r="H49">
        <v>0.11811023622047244</v>
      </c>
      <c r="J49">
        <v>0.11811023622047244</v>
      </c>
      <c r="K49">
        <v>0.11023622047244094</v>
      </c>
    </row>
    <row r="50" spans="1:11">
      <c r="A50">
        <f t="shared" si="1"/>
        <v>540</v>
      </c>
      <c r="B50">
        <v>0.11023622047244094</v>
      </c>
      <c r="C50">
        <v>0.11023622047244094</v>
      </c>
      <c r="D50">
        <v>0.11811023622047244</v>
      </c>
      <c r="E50">
        <v>0.11811023622047244</v>
      </c>
      <c r="F50">
        <v>0.11811023622047244</v>
      </c>
      <c r="G50">
        <v>0.11811023622047244</v>
      </c>
      <c r="H50">
        <v>0.11811023622047244</v>
      </c>
      <c r="J50">
        <v>0.11811023622047244</v>
      </c>
      <c r="K50">
        <v>0.11023622047244094</v>
      </c>
    </row>
    <row r="51" spans="1:11">
      <c r="A51">
        <f t="shared" si="1"/>
        <v>545</v>
      </c>
      <c r="B51">
        <v>0.11023622047244094</v>
      </c>
      <c r="C51">
        <v>0.11023622047244094</v>
      </c>
      <c r="D51">
        <v>0.11811023622047244</v>
      </c>
      <c r="E51">
        <v>0.11811023622047244</v>
      </c>
      <c r="F51">
        <v>0.11811023622047244</v>
      </c>
      <c r="G51">
        <v>0.11811023622047244</v>
      </c>
      <c r="H51">
        <v>0.11811023622047244</v>
      </c>
      <c r="J51">
        <v>0.11811023622047244</v>
      </c>
      <c r="K51">
        <v>0.11023622047244094</v>
      </c>
    </row>
    <row r="52" spans="1:11">
      <c r="A52">
        <f t="shared" si="1"/>
        <v>550</v>
      </c>
      <c r="B52">
        <v>0.11023622047244094</v>
      </c>
      <c r="C52">
        <v>0.11023622047244094</v>
      </c>
      <c r="D52">
        <v>0.11023622047244094</v>
      </c>
      <c r="E52">
        <v>0.11811023622047244</v>
      </c>
      <c r="F52">
        <v>0.12598425196850394</v>
      </c>
      <c r="G52">
        <v>0.11811023622047244</v>
      </c>
      <c r="H52">
        <v>0.11811023622047244</v>
      </c>
      <c r="J52">
        <v>0.11811023622047244</v>
      </c>
      <c r="K52">
        <v>0.11023622047244094</v>
      </c>
    </row>
    <row r="53" spans="1:11">
      <c r="A53">
        <f t="shared" si="1"/>
        <v>555</v>
      </c>
      <c r="B53">
        <v>0.11023622047244094</v>
      </c>
      <c r="C53">
        <v>0.11023622047244094</v>
      </c>
      <c r="D53">
        <v>0.11023622047244094</v>
      </c>
      <c r="E53">
        <v>0.11811023622047244</v>
      </c>
      <c r="F53">
        <v>0.11811023622047244</v>
      </c>
      <c r="G53">
        <v>0.11811023622047244</v>
      </c>
      <c r="H53">
        <v>0.11811023622047244</v>
      </c>
      <c r="J53">
        <v>0.11811023622047244</v>
      </c>
      <c r="K53">
        <v>0.11023622047244094</v>
      </c>
    </row>
    <row r="54" spans="1:11">
      <c r="A54">
        <f t="shared" si="1"/>
        <v>560</v>
      </c>
      <c r="B54">
        <v>0.11023622047244094</v>
      </c>
      <c r="C54">
        <v>0.11023622047244094</v>
      </c>
      <c r="D54">
        <v>0.11023622047244094</v>
      </c>
      <c r="E54">
        <v>0.11811023622047244</v>
      </c>
      <c r="F54">
        <v>0.11811023622047244</v>
      </c>
      <c r="G54">
        <v>0.11811023622047244</v>
      </c>
      <c r="H54">
        <v>0.11811023622047244</v>
      </c>
      <c r="J54">
        <v>0.11811023622047244</v>
      </c>
      <c r="K54">
        <v>0.11023622047244094</v>
      </c>
    </row>
    <row r="55" spans="1:11">
      <c r="A55">
        <f t="shared" si="1"/>
        <v>565</v>
      </c>
      <c r="B55">
        <v>0.11023622047244094</v>
      </c>
      <c r="C55">
        <v>0.11023622047244094</v>
      </c>
      <c r="D55">
        <v>0.11023622047244094</v>
      </c>
      <c r="E55">
        <v>0.11811023622047244</v>
      </c>
      <c r="F55">
        <v>0.11811023622047244</v>
      </c>
      <c r="G55">
        <v>0.11811023622047244</v>
      </c>
      <c r="H55">
        <v>0.11811023622047244</v>
      </c>
      <c r="J55">
        <v>0.11811023622047244</v>
      </c>
      <c r="K55">
        <v>0.11023622047244094</v>
      </c>
    </row>
    <row r="56" spans="1:11">
      <c r="A56">
        <f t="shared" si="1"/>
        <v>570</v>
      </c>
      <c r="B56">
        <v>0.11023622047244094</v>
      </c>
      <c r="C56">
        <v>0.11023622047244094</v>
      </c>
      <c r="D56">
        <v>0.11023622047244094</v>
      </c>
      <c r="E56">
        <v>0.11811023622047244</v>
      </c>
      <c r="F56">
        <v>0.11811023622047244</v>
      </c>
      <c r="G56">
        <v>0.11811023622047244</v>
      </c>
      <c r="H56">
        <v>0.11811023622047244</v>
      </c>
      <c r="J56">
        <v>0.11811023622047244</v>
      </c>
      <c r="K56">
        <v>0.11023622047244094</v>
      </c>
    </row>
    <row r="57" spans="1:11">
      <c r="A57">
        <f t="shared" si="1"/>
        <v>575</v>
      </c>
      <c r="B57">
        <v>0.11023622047244094</v>
      </c>
      <c r="C57">
        <v>0.11023622047244094</v>
      </c>
      <c r="D57">
        <v>0.11811023622047244</v>
      </c>
      <c r="E57">
        <v>0.11811023622047244</v>
      </c>
      <c r="F57">
        <v>0.11811023622047244</v>
      </c>
      <c r="G57">
        <v>0.11811023622047244</v>
      </c>
      <c r="H57">
        <v>0.11811023622047244</v>
      </c>
      <c r="J57">
        <v>0.11811023622047244</v>
      </c>
      <c r="K57">
        <v>0.11023622047244094</v>
      </c>
    </row>
    <row r="58" spans="1:11">
      <c r="A58">
        <f t="shared" si="1"/>
        <v>580</v>
      </c>
      <c r="B58">
        <v>0.11023622047244094</v>
      </c>
      <c r="C58">
        <v>0.11023622047244094</v>
      </c>
      <c r="D58">
        <v>0.11811023622047244</v>
      </c>
      <c r="E58">
        <v>0.11811023622047244</v>
      </c>
      <c r="F58">
        <v>0.11811023622047244</v>
      </c>
      <c r="G58">
        <v>0.11811023622047244</v>
      </c>
      <c r="H58">
        <v>0.11811023622047244</v>
      </c>
      <c r="J58">
        <v>0.11811023622047244</v>
      </c>
      <c r="K58">
        <v>0.11023622047244094</v>
      </c>
    </row>
    <row r="59" spans="1:11">
      <c r="A59">
        <f t="shared" si="1"/>
        <v>585</v>
      </c>
      <c r="B59">
        <v>0.11023622047244094</v>
      </c>
      <c r="C59">
        <v>0.11023622047244094</v>
      </c>
      <c r="D59">
        <v>0.11811023622047244</v>
      </c>
      <c r="E59">
        <v>0.11811023622047244</v>
      </c>
      <c r="F59">
        <v>0.12598425196850394</v>
      </c>
      <c r="G59">
        <v>0.11811023622047244</v>
      </c>
      <c r="H59">
        <v>0.11811023622047244</v>
      </c>
      <c r="J59">
        <v>0.11811023622047244</v>
      </c>
      <c r="K59">
        <v>0.11023622047244094</v>
      </c>
    </row>
    <row r="60" spans="1:11">
      <c r="A60">
        <f t="shared" si="1"/>
        <v>590</v>
      </c>
      <c r="B60">
        <v>0.11811023622047244</v>
      </c>
      <c r="C60">
        <v>0.11023622047244094</v>
      </c>
      <c r="D60">
        <v>0.11811023622047244</v>
      </c>
      <c r="E60">
        <v>0.11811023622047244</v>
      </c>
      <c r="F60">
        <v>0.12598425196850394</v>
      </c>
      <c r="G60">
        <v>0.11811023622047244</v>
      </c>
      <c r="H60">
        <v>0.11811023622047244</v>
      </c>
      <c r="J60">
        <v>0.11811023622047244</v>
      </c>
      <c r="K60">
        <v>0.11023622047244094</v>
      </c>
    </row>
    <row r="61" spans="1:11">
      <c r="A61">
        <f t="shared" si="1"/>
        <v>595</v>
      </c>
      <c r="B61">
        <v>0.11811023622047244</v>
      </c>
      <c r="C61">
        <v>0.11023622047244094</v>
      </c>
      <c r="D61">
        <v>0.11811023622047244</v>
      </c>
      <c r="E61">
        <v>0.11811023622047244</v>
      </c>
      <c r="F61">
        <v>0.12598425196850394</v>
      </c>
      <c r="G61">
        <v>0.11811023622047244</v>
      </c>
      <c r="H61">
        <v>0.11811023622047244</v>
      </c>
      <c r="J61">
        <v>0.11811023622047244</v>
      </c>
      <c r="K61">
        <v>0.11023622047244094</v>
      </c>
    </row>
    <row r="62" spans="1:11">
      <c r="A62">
        <f t="shared" si="1"/>
        <v>600</v>
      </c>
      <c r="B62">
        <v>0.11023622047244094</v>
      </c>
      <c r="C62">
        <v>0.11023622047244094</v>
      </c>
      <c r="D62">
        <v>0.11811023622047244</v>
      </c>
      <c r="E62">
        <v>0.11811023622047244</v>
      </c>
      <c r="F62">
        <v>0.12598425196850394</v>
      </c>
      <c r="G62">
        <v>0.11811023622047244</v>
      </c>
      <c r="H62">
        <v>0.11811023622047244</v>
      </c>
      <c r="J62">
        <v>0.11811023622047244</v>
      </c>
      <c r="K62">
        <v>0.11023622047244094</v>
      </c>
    </row>
    <row r="63" spans="1:11">
      <c r="A63">
        <f t="shared" si="1"/>
        <v>605</v>
      </c>
      <c r="B63">
        <v>0.11023622047244094</v>
      </c>
      <c r="C63">
        <v>0.11023622047244094</v>
      </c>
      <c r="D63">
        <v>0.11811023622047244</v>
      </c>
      <c r="E63">
        <v>0.11811023622047244</v>
      </c>
      <c r="F63">
        <v>0.11811023622047244</v>
      </c>
      <c r="G63">
        <v>0.11811023622047244</v>
      </c>
      <c r="H63">
        <v>0.11811023622047244</v>
      </c>
      <c r="J63">
        <v>0.11811023622047244</v>
      </c>
      <c r="K63">
        <v>0.11023622047244094</v>
      </c>
    </row>
    <row r="64" spans="1:11">
      <c r="A64">
        <f t="shared" si="1"/>
        <v>610</v>
      </c>
      <c r="B64">
        <v>0.11023622047244094</v>
      </c>
      <c r="C64">
        <v>0.11023622047244094</v>
      </c>
      <c r="D64">
        <v>0.11811023622047244</v>
      </c>
      <c r="E64">
        <v>0.12598425196850394</v>
      </c>
      <c r="F64">
        <v>0.12598425196850394</v>
      </c>
      <c r="G64">
        <v>0.11811023622047244</v>
      </c>
      <c r="H64">
        <v>0.11811023622047244</v>
      </c>
      <c r="J64">
        <v>0.11811023622047244</v>
      </c>
      <c r="K64">
        <v>0.11023622047244094</v>
      </c>
    </row>
    <row r="65" spans="1:11">
      <c r="A65">
        <f t="shared" si="1"/>
        <v>615</v>
      </c>
      <c r="B65">
        <v>0.11023622047244094</v>
      </c>
      <c r="C65">
        <v>0.11023622047244094</v>
      </c>
      <c r="D65">
        <v>0.11811023622047244</v>
      </c>
      <c r="E65">
        <v>0.11811023622047244</v>
      </c>
      <c r="F65">
        <v>0.12598425196850394</v>
      </c>
      <c r="G65">
        <v>0.11811023622047244</v>
      </c>
      <c r="H65">
        <v>0.11811023622047244</v>
      </c>
      <c r="J65">
        <v>0.11811023622047244</v>
      </c>
      <c r="K65">
        <v>0.11023622047244094</v>
      </c>
    </row>
    <row r="66" spans="1:11">
      <c r="A66">
        <f t="shared" si="1"/>
        <v>620</v>
      </c>
      <c r="B66">
        <v>0.11023622047244094</v>
      </c>
      <c r="C66">
        <v>0.11023622047244094</v>
      </c>
      <c r="D66">
        <v>0.11811023622047244</v>
      </c>
      <c r="E66">
        <v>0.11811023622047244</v>
      </c>
      <c r="F66">
        <v>0.12598425196850394</v>
      </c>
      <c r="G66">
        <v>0.11811023622047244</v>
      </c>
      <c r="H66">
        <v>0.11811023622047244</v>
      </c>
      <c r="J66">
        <v>0.11811023622047244</v>
      </c>
      <c r="K66">
        <v>0.11023622047244094</v>
      </c>
    </row>
    <row r="67" spans="1:11">
      <c r="A67">
        <f t="shared" si="1"/>
        <v>625</v>
      </c>
      <c r="B67">
        <v>0.11023622047244094</v>
      </c>
      <c r="C67">
        <v>0.11023622047244094</v>
      </c>
      <c r="D67">
        <v>0.11811023622047244</v>
      </c>
      <c r="E67">
        <v>0.11811023622047244</v>
      </c>
      <c r="F67">
        <v>0.12598425196850394</v>
      </c>
      <c r="G67">
        <v>0.11811023622047244</v>
      </c>
      <c r="H67">
        <v>0.11811023622047244</v>
      </c>
      <c r="J67">
        <v>0.11811023622047244</v>
      </c>
      <c r="K67">
        <v>0.11023622047244094</v>
      </c>
    </row>
    <row r="68" spans="1:11">
      <c r="A68">
        <f t="shared" ref="A68:A131" si="2">A67+A$1</f>
        <v>630</v>
      </c>
      <c r="B68">
        <v>0.11023622047244094</v>
      </c>
      <c r="C68">
        <v>0.11023622047244094</v>
      </c>
      <c r="D68">
        <v>0.11811023622047244</v>
      </c>
      <c r="E68">
        <v>0.11811023622047244</v>
      </c>
      <c r="F68">
        <v>0.12598425196850394</v>
      </c>
      <c r="G68">
        <v>0.11811023622047244</v>
      </c>
      <c r="H68">
        <v>0.11811023622047244</v>
      </c>
      <c r="J68">
        <v>0.11811023622047244</v>
      </c>
      <c r="K68">
        <v>0.11023622047244094</v>
      </c>
    </row>
    <row r="69" spans="1:11">
      <c r="A69">
        <f t="shared" si="2"/>
        <v>635</v>
      </c>
      <c r="B69">
        <v>0.11023622047244094</v>
      </c>
      <c r="C69">
        <v>0.11023622047244094</v>
      </c>
      <c r="D69">
        <v>0.11811023622047244</v>
      </c>
      <c r="E69">
        <v>0.11811023622047244</v>
      </c>
      <c r="F69">
        <v>0.12598425196850394</v>
      </c>
      <c r="G69">
        <v>0.11811023622047244</v>
      </c>
      <c r="H69">
        <v>0.11811023622047244</v>
      </c>
      <c r="J69">
        <v>0.11811023622047244</v>
      </c>
      <c r="K69">
        <v>0.11023622047244094</v>
      </c>
    </row>
    <row r="70" spans="1:11">
      <c r="A70">
        <f t="shared" si="2"/>
        <v>640</v>
      </c>
      <c r="B70">
        <v>0.11023622047244094</v>
      </c>
      <c r="C70">
        <v>0.11023622047244094</v>
      </c>
      <c r="D70">
        <v>0.11811023622047244</v>
      </c>
      <c r="E70">
        <v>0.11811023622047244</v>
      </c>
      <c r="F70">
        <v>0.12598425196850394</v>
      </c>
      <c r="G70">
        <v>0.11811023622047244</v>
      </c>
      <c r="H70">
        <v>0.11811023622047244</v>
      </c>
      <c r="J70">
        <v>0.11811023622047244</v>
      </c>
      <c r="K70">
        <v>0.11023622047244094</v>
      </c>
    </row>
    <row r="71" spans="1:11">
      <c r="A71">
        <f t="shared" si="2"/>
        <v>645</v>
      </c>
      <c r="B71">
        <v>0.11023622047244094</v>
      </c>
      <c r="C71">
        <v>0.11023622047244094</v>
      </c>
      <c r="D71">
        <v>0.11811023622047244</v>
      </c>
      <c r="E71">
        <v>0.11811023622047244</v>
      </c>
      <c r="F71">
        <v>0.12598425196850394</v>
      </c>
      <c r="G71">
        <v>0.11811023622047244</v>
      </c>
      <c r="H71">
        <v>0.11811023622047244</v>
      </c>
      <c r="J71">
        <v>0.11811023622047244</v>
      </c>
      <c r="K71">
        <v>0.11023622047244094</v>
      </c>
    </row>
    <row r="72" spans="1:11">
      <c r="A72">
        <f t="shared" si="2"/>
        <v>650</v>
      </c>
      <c r="B72">
        <v>0.11023622047244094</v>
      </c>
      <c r="C72">
        <v>0.11023622047244094</v>
      </c>
      <c r="D72">
        <v>0.11811023622047244</v>
      </c>
      <c r="E72">
        <v>0.11811023622047244</v>
      </c>
      <c r="F72">
        <v>0.12598425196850394</v>
      </c>
      <c r="G72">
        <v>0.11811023622047244</v>
      </c>
      <c r="H72">
        <v>0.11811023622047244</v>
      </c>
      <c r="J72">
        <v>0.11811023622047244</v>
      </c>
      <c r="K72">
        <v>0.11023622047244094</v>
      </c>
    </row>
    <row r="73" spans="1:11">
      <c r="A73">
        <f t="shared" si="2"/>
        <v>655</v>
      </c>
      <c r="B73">
        <v>0.11811023622047244</v>
      </c>
      <c r="C73">
        <v>0.11023622047244094</v>
      </c>
      <c r="D73">
        <v>0.11811023622047244</v>
      </c>
      <c r="E73">
        <v>0.11811023622047244</v>
      </c>
      <c r="F73">
        <v>0.12598425196850394</v>
      </c>
      <c r="G73">
        <v>0.11811023622047244</v>
      </c>
      <c r="H73">
        <v>0.12598425196850394</v>
      </c>
      <c r="J73">
        <v>0.11811023622047244</v>
      </c>
      <c r="K73">
        <v>0.11023622047244094</v>
      </c>
    </row>
    <row r="74" spans="1:11">
      <c r="A74">
        <f t="shared" si="2"/>
        <v>660</v>
      </c>
      <c r="B74">
        <v>0.11023622047244094</v>
      </c>
      <c r="C74">
        <v>0.11023622047244094</v>
      </c>
      <c r="D74">
        <v>0.11811023622047244</v>
      </c>
      <c r="E74">
        <v>0.12598425196850394</v>
      </c>
      <c r="F74">
        <v>0.12598425196850394</v>
      </c>
      <c r="G74">
        <v>0.11811023622047244</v>
      </c>
      <c r="H74">
        <v>0.12598425196850394</v>
      </c>
      <c r="J74">
        <v>0.11811023622047244</v>
      </c>
      <c r="K74">
        <v>0.11023622047244094</v>
      </c>
    </row>
    <row r="75" spans="1:11">
      <c r="A75">
        <f t="shared" si="2"/>
        <v>665</v>
      </c>
      <c r="B75">
        <v>0.11023622047244094</v>
      </c>
      <c r="C75">
        <v>0.11023622047244094</v>
      </c>
      <c r="D75">
        <v>0.11811023622047244</v>
      </c>
      <c r="E75">
        <v>0.12598425196850394</v>
      </c>
      <c r="F75">
        <v>0.12598425196850394</v>
      </c>
      <c r="G75">
        <v>0.11811023622047244</v>
      </c>
      <c r="H75">
        <v>0.11811023622047244</v>
      </c>
      <c r="J75">
        <v>0.11811023622047244</v>
      </c>
      <c r="K75">
        <v>0.11023622047244094</v>
      </c>
    </row>
    <row r="76" spans="1:11">
      <c r="A76">
        <f t="shared" si="2"/>
        <v>670</v>
      </c>
      <c r="B76">
        <v>0.11811023622047244</v>
      </c>
      <c r="C76">
        <v>0.11023622047244094</v>
      </c>
      <c r="D76">
        <v>0.11811023622047244</v>
      </c>
      <c r="E76">
        <v>0.12598425196850394</v>
      </c>
      <c r="F76">
        <v>0.12598425196850394</v>
      </c>
      <c r="G76">
        <v>0.11811023622047244</v>
      </c>
      <c r="H76">
        <v>0.12598425196850394</v>
      </c>
      <c r="J76">
        <v>0.11811023622047244</v>
      </c>
      <c r="K76">
        <v>0.11023622047244094</v>
      </c>
    </row>
    <row r="77" spans="1:11">
      <c r="A77">
        <f t="shared" si="2"/>
        <v>675</v>
      </c>
      <c r="B77">
        <v>0.11811023622047244</v>
      </c>
      <c r="C77">
        <v>0.11023622047244094</v>
      </c>
      <c r="D77">
        <v>0.11811023622047244</v>
      </c>
      <c r="E77">
        <v>0.12598425196850394</v>
      </c>
      <c r="F77">
        <v>0.12598425196850394</v>
      </c>
      <c r="G77">
        <v>0.11811023622047244</v>
      </c>
      <c r="H77">
        <v>0.12598425196850394</v>
      </c>
      <c r="J77">
        <v>0.11811023622047244</v>
      </c>
      <c r="K77">
        <v>0.11023622047244094</v>
      </c>
    </row>
    <row r="78" spans="1:11">
      <c r="A78">
        <f t="shared" si="2"/>
        <v>680</v>
      </c>
      <c r="B78">
        <v>0.11023622047244094</v>
      </c>
      <c r="C78">
        <v>0.11023622047244094</v>
      </c>
      <c r="D78">
        <v>0.11811023622047244</v>
      </c>
      <c r="E78">
        <v>0.12598425196850394</v>
      </c>
      <c r="F78">
        <v>0.12598425196850394</v>
      </c>
      <c r="G78">
        <v>0.11811023622047244</v>
      </c>
      <c r="H78">
        <v>0.12598425196850394</v>
      </c>
      <c r="J78">
        <v>0.11811023622047244</v>
      </c>
      <c r="K78">
        <v>0.11023622047244094</v>
      </c>
    </row>
    <row r="79" spans="1:11">
      <c r="A79">
        <f t="shared" si="2"/>
        <v>685</v>
      </c>
      <c r="B79">
        <v>0.11811023622047244</v>
      </c>
      <c r="C79">
        <v>0.11023622047244094</v>
      </c>
      <c r="D79">
        <v>0.11811023622047244</v>
      </c>
      <c r="E79">
        <v>0.12598425196850394</v>
      </c>
      <c r="F79">
        <v>0.12598425196850394</v>
      </c>
      <c r="G79">
        <v>0.11811023622047244</v>
      </c>
      <c r="H79">
        <v>0.12598425196850394</v>
      </c>
      <c r="J79">
        <v>0.11811023622047244</v>
      </c>
      <c r="K79">
        <v>0.11023622047244094</v>
      </c>
    </row>
    <row r="80" spans="1:11">
      <c r="A80">
        <f t="shared" si="2"/>
        <v>690</v>
      </c>
      <c r="B80">
        <v>0.11811023622047244</v>
      </c>
      <c r="C80">
        <v>0.11023622047244094</v>
      </c>
      <c r="D80">
        <v>0.11811023622047244</v>
      </c>
      <c r="E80">
        <v>0.12598425196850394</v>
      </c>
      <c r="F80">
        <v>0.12598425196850394</v>
      </c>
      <c r="G80">
        <v>0.11811023622047244</v>
      </c>
      <c r="H80">
        <v>0.12598425196850394</v>
      </c>
      <c r="J80">
        <v>0.11811023622047244</v>
      </c>
      <c r="K80">
        <v>0.11023622047244094</v>
      </c>
    </row>
    <row r="81" spans="1:11">
      <c r="A81">
        <f t="shared" si="2"/>
        <v>695</v>
      </c>
      <c r="B81">
        <v>0.11811023622047244</v>
      </c>
      <c r="C81">
        <v>0.11023622047244094</v>
      </c>
      <c r="D81">
        <v>0.11811023622047244</v>
      </c>
      <c r="E81">
        <v>0.12598425196850394</v>
      </c>
      <c r="F81">
        <v>0.12598425196850394</v>
      </c>
      <c r="G81">
        <v>0.11811023622047244</v>
      </c>
      <c r="H81">
        <v>0.12598425196850394</v>
      </c>
      <c r="J81">
        <v>0.11811023622047244</v>
      </c>
      <c r="K81">
        <v>0.11023622047244094</v>
      </c>
    </row>
    <row r="82" spans="1:11">
      <c r="A82">
        <f t="shared" si="2"/>
        <v>700</v>
      </c>
      <c r="B82">
        <v>0.11811023622047244</v>
      </c>
      <c r="C82">
        <v>0.11023622047244094</v>
      </c>
      <c r="D82">
        <v>0.11811023622047244</v>
      </c>
      <c r="E82">
        <v>0.12598425196850394</v>
      </c>
      <c r="F82">
        <v>0.12598425196850394</v>
      </c>
      <c r="G82">
        <v>0.11811023622047244</v>
      </c>
      <c r="H82">
        <v>0.12598425196850394</v>
      </c>
      <c r="J82">
        <v>0.11811023622047244</v>
      </c>
      <c r="K82">
        <v>0.11023622047244094</v>
      </c>
    </row>
    <row r="83" spans="1:11">
      <c r="A83">
        <f t="shared" si="2"/>
        <v>705</v>
      </c>
      <c r="B83">
        <v>0.11811023622047244</v>
      </c>
      <c r="C83">
        <v>0.11023622047244094</v>
      </c>
      <c r="D83">
        <v>0.11811023622047244</v>
      </c>
      <c r="E83">
        <v>0.12598425196850394</v>
      </c>
      <c r="F83">
        <v>0.12598425196850394</v>
      </c>
      <c r="G83">
        <v>0.11811023622047244</v>
      </c>
      <c r="H83">
        <v>0.12598425196850394</v>
      </c>
      <c r="J83">
        <v>0.11811023622047244</v>
      </c>
      <c r="K83">
        <v>0.11023622047244094</v>
      </c>
    </row>
    <row r="84" spans="1:11">
      <c r="A84">
        <f t="shared" si="2"/>
        <v>710</v>
      </c>
      <c r="B84">
        <v>0.11811023622047244</v>
      </c>
      <c r="C84">
        <v>0.11023622047244094</v>
      </c>
      <c r="D84">
        <v>0.11811023622047244</v>
      </c>
      <c r="E84">
        <v>0.12598425196850394</v>
      </c>
      <c r="F84">
        <v>0.12598425196850394</v>
      </c>
      <c r="G84">
        <v>0.11811023622047244</v>
      </c>
      <c r="H84">
        <v>0.12598425196850394</v>
      </c>
      <c r="J84">
        <v>0.11811023622047244</v>
      </c>
      <c r="K84">
        <v>0.11023622047244094</v>
      </c>
    </row>
    <row r="85" spans="1:11">
      <c r="A85">
        <f t="shared" si="2"/>
        <v>715</v>
      </c>
      <c r="B85">
        <v>0.11023622047244094</v>
      </c>
      <c r="C85">
        <v>0.11023622047244094</v>
      </c>
      <c r="D85">
        <v>0.11811023622047244</v>
      </c>
      <c r="E85">
        <v>0.12598425196850394</v>
      </c>
      <c r="F85">
        <v>0.12598425196850394</v>
      </c>
      <c r="G85">
        <v>0.11811023622047244</v>
      </c>
      <c r="H85">
        <v>0.12598425196850394</v>
      </c>
      <c r="J85">
        <v>0.11811023622047244</v>
      </c>
      <c r="K85">
        <v>0.11023622047244094</v>
      </c>
    </row>
    <row r="86" spans="1:11">
      <c r="A86">
        <f t="shared" si="2"/>
        <v>720</v>
      </c>
      <c r="B86">
        <v>0.11023622047244094</v>
      </c>
      <c r="C86">
        <v>0.11023622047244094</v>
      </c>
      <c r="D86">
        <v>0.11811023622047244</v>
      </c>
      <c r="E86">
        <v>0.12598425196850394</v>
      </c>
      <c r="F86">
        <v>0.12598425196850394</v>
      </c>
      <c r="G86">
        <v>0.11811023622047244</v>
      </c>
      <c r="H86">
        <v>0.11811023622047244</v>
      </c>
      <c r="J86">
        <v>0.11811023622047244</v>
      </c>
      <c r="K86">
        <v>0.11023622047244094</v>
      </c>
    </row>
    <row r="87" spans="1:11">
      <c r="A87">
        <f t="shared" si="2"/>
        <v>725</v>
      </c>
      <c r="B87">
        <v>0.11023622047244094</v>
      </c>
      <c r="C87">
        <v>0.11023622047244094</v>
      </c>
      <c r="D87">
        <v>0.11811023622047244</v>
      </c>
      <c r="E87">
        <v>0.12598425196850394</v>
      </c>
      <c r="F87">
        <v>0.12598425196850394</v>
      </c>
      <c r="G87">
        <v>0.11811023622047244</v>
      </c>
      <c r="H87">
        <v>0.11811023622047244</v>
      </c>
      <c r="J87">
        <v>0.11811023622047244</v>
      </c>
      <c r="K87">
        <v>0.11023622047244094</v>
      </c>
    </row>
    <row r="88" spans="1:11">
      <c r="A88">
        <f t="shared" si="2"/>
        <v>730</v>
      </c>
      <c r="B88">
        <v>0.11811023622047244</v>
      </c>
      <c r="C88">
        <v>0.11023622047244094</v>
      </c>
      <c r="D88">
        <v>0.11811023622047244</v>
      </c>
      <c r="E88">
        <v>0.12598425196850394</v>
      </c>
      <c r="F88">
        <v>0.12598425196850394</v>
      </c>
      <c r="G88">
        <v>0.11811023622047244</v>
      </c>
      <c r="H88">
        <v>0.11811023622047244</v>
      </c>
      <c r="J88">
        <v>0.11811023622047244</v>
      </c>
      <c r="K88">
        <v>0.11023622047244094</v>
      </c>
    </row>
    <row r="89" spans="1:11">
      <c r="A89">
        <f t="shared" si="2"/>
        <v>735</v>
      </c>
      <c r="B89">
        <v>0.11023622047244094</v>
      </c>
      <c r="C89">
        <v>0.11023622047244094</v>
      </c>
      <c r="D89">
        <v>0.11811023622047244</v>
      </c>
      <c r="E89">
        <v>0.12598425196850394</v>
      </c>
      <c r="F89">
        <v>0.12598425196850394</v>
      </c>
      <c r="G89">
        <v>0.11811023622047244</v>
      </c>
      <c r="H89">
        <v>0.11811023622047244</v>
      </c>
      <c r="J89">
        <v>0.11811023622047244</v>
      </c>
      <c r="K89">
        <v>0.11023622047244094</v>
      </c>
    </row>
    <row r="90" spans="1:11">
      <c r="A90">
        <f t="shared" si="2"/>
        <v>740</v>
      </c>
      <c r="B90">
        <v>0.11023622047244094</v>
      </c>
      <c r="C90">
        <v>0.11023622047244094</v>
      </c>
      <c r="D90">
        <v>0.11811023622047244</v>
      </c>
      <c r="E90">
        <v>0.12598425196850394</v>
      </c>
      <c r="F90">
        <v>0.12598425196850394</v>
      </c>
      <c r="G90">
        <v>0.11811023622047244</v>
      </c>
      <c r="H90">
        <v>0.11811023622047244</v>
      </c>
      <c r="J90">
        <v>0.11811023622047244</v>
      </c>
      <c r="K90">
        <v>0.11023622047244094</v>
      </c>
    </row>
    <row r="91" spans="1:11">
      <c r="A91">
        <f t="shared" si="2"/>
        <v>745</v>
      </c>
      <c r="B91">
        <v>0.11811023622047244</v>
      </c>
      <c r="C91">
        <v>0.11023622047244094</v>
      </c>
      <c r="D91">
        <v>0.11811023622047244</v>
      </c>
      <c r="E91">
        <v>0.12598425196850394</v>
      </c>
      <c r="F91">
        <v>0.12598425196850394</v>
      </c>
      <c r="G91">
        <v>0.11811023622047244</v>
      </c>
      <c r="H91">
        <v>0.11811023622047244</v>
      </c>
      <c r="J91">
        <v>0.11811023622047244</v>
      </c>
      <c r="K91">
        <v>0.11023622047244094</v>
      </c>
    </row>
    <row r="92" spans="1:11">
      <c r="A92">
        <f t="shared" si="2"/>
        <v>750</v>
      </c>
      <c r="B92">
        <v>0.11023622047244094</v>
      </c>
      <c r="C92">
        <v>0.11023622047244094</v>
      </c>
      <c r="D92">
        <v>0.11811023622047244</v>
      </c>
      <c r="E92">
        <v>0.12598425196850394</v>
      </c>
      <c r="F92">
        <v>0.12598425196850394</v>
      </c>
      <c r="G92">
        <v>0.11811023622047244</v>
      </c>
      <c r="H92">
        <v>0.11811023622047244</v>
      </c>
      <c r="J92">
        <v>0.11811023622047244</v>
      </c>
      <c r="K92">
        <v>0.11023622047244094</v>
      </c>
    </row>
    <row r="93" spans="1:11">
      <c r="A93">
        <f t="shared" si="2"/>
        <v>755</v>
      </c>
      <c r="B93">
        <v>0.11023622047244094</v>
      </c>
      <c r="C93">
        <v>0.11023622047244094</v>
      </c>
      <c r="D93">
        <v>0.11811023622047244</v>
      </c>
      <c r="E93">
        <v>0.12598425196850394</v>
      </c>
      <c r="F93">
        <v>0.12598425196850394</v>
      </c>
      <c r="G93">
        <v>0.11811023622047244</v>
      </c>
      <c r="H93">
        <v>0.11811023622047244</v>
      </c>
      <c r="J93">
        <v>0.11811023622047244</v>
      </c>
      <c r="K93">
        <v>0.11023622047244094</v>
      </c>
    </row>
    <row r="94" spans="1:11">
      <c r="A94">
        <f t="shared" si="2"/>
        <v>760</v>
      </c>
      <c r="B94">
        <v>0.11023622047244094</v>
      </c>
      <c r="C94">
        <v>0.11023622047244094</v>
      </c>
      <c r="D94">
        <v>0.11811023622047244</v>
      </c>
      <c r="E94">
        <v>0.12598425196850394</v>
      </c>
      <c r="F94">
        <v>0.12598425196850394</v>
      </c>
      <c r="G94">
        <v>0.11811023622047244</v>
      </c>
      <c r="H94">
        <v>0.11811023622047244</v>
      </c>
      <c r="J94">
        <v>0.11811023622047244</v>
      </c>
      <c r="K94">
        <v>0.11023622047244094</v>
      </c>
    </row>
    <row r="95" spans="1:11">
      <c r="A95">
        <f t="shared" si="2"/>
        <v>765</v>
      </c>
      <c r="B95">
        <v>0.11023622047244094</v>
      </c>
      <c r="C95">
        <v>0.11023622047244094</v>
      </c>
      <c r="D95">
        <v>0.11811023622047244</v>
      </c>
      <c r="E95">
        <v>0.12598425196850394</v>
      </c>
      <c r="F95">
        <v>0.12598425196850394</v>
      </c>
      <c r="G95">
        <v>0.11811023622047244</v>
      </c>
      <c r="H95">
        <v>0.11811023622047244</v>
      </c>
      <c r="J95">
        <v>0.11811023622047244</v>
      </c>
      <c r="K95">
        <v>0.11023622047244094</v>
      </c>
    </row>
    <row r="96" spans="1:11">
      <c r="A96">
        <f t="shared" si="2"/>
        <v>770</v>
      </c>
      <c r="B96">
        <v>0.11023622047244094</v>
      </c>
      <c r="C96">
        <v>0.11023622047244094</v>
      </c>
      <c r="D96">
        <v>0.11811023622047244</v>
      </c>
      <c r="E96">
        <v>0.12598425196850394</v>
      </c>
      <c r="F96">
        <v>0.12598425196850394</v>
      </c>
      <c r="G96">
        <v>0.11811023622047244</v>
      </c>
      <c r="H96">
        <v>0.11811023622047244</v>
      </c>
      <c r="J96">
        <v>0.11811023622047244</v>
      </c>
      <c r="K96">
        <v>0.11023622047244094</v>
      </c>
    </row>
    <row r="97" spans="1:11">
      <c r="A97">
        <f t="shared" si="2"/>
        <v>775</v>
      </c>
      <c r="B97">
        <v>0.11023622047244094</v>
      </c>
      <c r="C97">
        <v>0.11023622047244094</v>
      </c>
      <c r="D97">
        <v>0.11811023622047244</v>
      </c>
      <c r="E97">
        <v>0.12598425196850394</v>
      </c>
      <c r="F97">
        <v>0.12598425196850394</v>
      </c>
      <c r="G97">
        <v>0.11811023622047244</v>
      </c>
      <c r="H97">
        <v>0.11811023622047244</v>
      </c>
      <c r="J97">
        <v>0.11811023622047244</v>
      </c>
      <c r="K97">
        <v>0.11023622047244094</v>
      </c>
    </row>
    <row r="98" spans="1:11">
      <c r="A98">
        <f t="shared" si="2"/>
        <v>780</v>
      </c>
      <c r="B98">
        <v>0.11023622047244094</v>
      </c>
      <c r="C98">
        <v>0.11023622047244094</v>
      </c>
      <c r="D98">
        <v>0.11811023622047244</v>
      </c>
      <c r="E98">
        <v>0.12598425196850394</v>
      </c>
      <c r="F98">
        <v>0.12598425196850394</v>
      </c>
      <c r="G98">
        <v>0.11811023622047244</v>
      </c>
      <c r="H98">
        <v>0.11811023622047244</v>
      </c>
      <c r="J98">
        <v>0.11811023622047244</v>
      </c>
      <c r="K98">
        <v>0.11023622047244094</v>
      </c>
    </row>
    <row r="99" spans="1:11">
      <c r="A99">
        <f t="shared" si="2"/>
        <v>785</v>
      </c>
      <c r="B99">
        <v>0.11023622047244094</v>
      </c>
      <c r="C99">
        <v>0.11023622047244094</v>
      </c>
      <c r="D99">
        <v>0.11811023622047244</v>
      </c>
      <c r="E99">
        <v>0.12598425196850394</v>
      </c>
      <c r="F99">
        <v>0.12598425196850394</v>
      </c>
      <c r="G99">
        <v>0.11811023622047244</v>
      </c>
      <c r="H99">
        <v>0.11811023622047244</v>
      </c>
      <c r="J99">
        <v>0.11811023622047244</v>
      </c>
      <c r="K99">
        <v>0.11023622047244094</v>
      </c>
    </row>
    <row r="100" spans="1:11">
      <c r="A100">
        <f t="shared" si="2"/>
        <v>790</v>
      </c>
      <c r="B100">
        <v>0.11023622047244094</v>
      </c>
      <c r="C100">
        <v>0.11023622047244094</v>
      </c>
      <c r="D100">
        <v>0.11811023622047244</v>
      </c>
      <c r="E100">
        <v>0.12598425196850394</v>
      </c>
      <c r="F100">
        <v>0.12598425196850394</v>
      </c>
      <c r="G100">
        <v>0.11811023622047244</v>
      </c>
      <c r="H100">
        <v>0.11811023622047244</v>
      </c>
      <c r="J100">
        <v>0.11811023622047244</v>
      </c>
      <c r="K100">
        <v>0.11023622047244094</v>
      </c>
    </row>
    <row r="101" spans="1:11">
      <c r="A101">
        <f t="shared" si="2"/>
        <v>795</v>
      </c>
      <c r="B101">
        <v>0.11811023622047244</v>
      </c>
      <c r="C101">
        <v>0.11023622047244094</v>
      </c>
      <c r="D101">
        <v>0.11811023622047244</v>
      </c>
      <c r="E101">
        <v>0.12598425196850394</v>
      </c>
      <c r="F101">
        <v>0.12598425196850394</v>
      </c>
      <c r="G101">
        <v>0.11811023622047244</v>
      </c>
      <c r="H101">
        <v>0.11811023622047244</v>
      </c>
      <c r="J101">
        <v>0.11811023622047244</v>
      </c>
      <c r="K101">
        <v>0.11023622047244094</v>
      </c>
    </row>
    <row r="102" spans="1:11">
      <c r="A102">
        <f t="shared" si="2"/>
        <v>800</v>
      </c>
      <c r="B102">
        <v>0.11811023622047244</v>
      </c>
      <c r="C102">
        <v>0.11023622047244094</v>
      </c>
      <c r="D102">
        <v>0.11811023622047244</v>
      </c>
      <c r="E102">
        <v>0.12598425196850394</v>
      </c>
      <c r="F102">
        <v>0.12598425196850394</v>
      </c>
      <c r="G102">
        <v>0.11811023622047244</v>
      </c>
      <c r="H102">
        <v>0.12598425196850394</v>
      </c>
      <c r="J102">
        <v>0.11811023622047244</v>
      </c>
      <c r="K102">
        <v>0.11023622047244094</v>
      </c>
    </row>
    <row r="103" spans="1:11">
      <c r="A103">
        <f t="shared" si="2"/>
        <v>805</v>
      </c>
      <c r="B103">
        <v>0.11811023622047244</v>
      </c>
      <c r="C103">
        <v>0.11811023622047244</v>
      </c>
      <c r="D103">
        <v>0.11811023622047244</v>
      </c>
      <c r="E103">
        <v>0.12598425196850394</v>
      </c>
      <c r="F103">
        <v>0.12598425196850394</v>
      </c>
      <c r="G103">
        <v>0.11811023622047244</v>
      </c>
      <c r="H103">
        <v>0.12598425196850394</v>
      </c>
      <c r="J103">
        <v>0.12598425196850394</v>
      </c>
      <c r="K103">
        <v>0.11811023622047244</v>
      </c>
    </row>
    <row r="104" spans="1:11">
      <c r="A104">
        <f t="shared" si="2"/>
        <v>810</v>
      </c>
      <c r="B104">
        <v>0.11811023622047244</v>
      </c>
      <c r="C104">
        <v>0.11811023622047244</v>
      </c>
      <c r="D104">
        <v>0.12598425196850394</v>
      </c>
      <c r="E104">
        <v>0.13385826771653545</v>
      </c>
      <c r="F104">
        <v>0.13385826771653545</v>
      </c>
      <c r="G104">
        <v>0.12598425196850394</v>
      </c>
      <c r="H104">
        <v>0.12598425196850394</v>
      </c>
      <c r="J104">
        <v>0.13385826771653545</v>
      </c>
      <c r="K104">
        <v>0.11811023622047244</v>
      </c>
    </row>
    <row r="105" spans="1:11">
      <c r="A105">
        <f t="shared" si="2"/>
        <v>815</v>
      </c>
      <c r="B105">
        <v>0.12598425196850394</v>
      </c>
      <c r="C105">
        <v>0.12598425196850394</v>
      </c>
      <c r="D105">
        <v>0.13385826771653545</v>
      </c>
      <c r="E105">
        <v>0.14173228346456693</v>
      </c>
      <c r="F105">
        <v>0.13385826771653545</v>
      </c>
      <c r="G105">
        <v>0.12598425196850394</v>
      </c>
      <c r="H105">
        <v>0.13385826771653545</v>
      </c>
      <c r="J105">
        <v>0.13385826771653545</v>
      </c>
      <c r="K105">
        <v>0.12598425196850394</v>
      </c>
    </row>
    <row r="106" spans="1:11">
      <c r="A106">
        <f t="shared" si="2"/>
        <v>820</v>
      </c>
      <c r="B106">
        <v>0.13385826771653545</v>
      </c>
      <c r="C106">
        <v>0.12598425196850394</v>
      </c>
      <c r="D106">
        <v>0.13385826771653545</v>
      </c>
      <c r="E106">
        <v>0.14173228346456693</v>
      </c>
      <c r="F106">
        <v>0.13385826771653545</v>
      </c>
      <c r="G106">
        <v>0.13385826771653545</v>
      </c>
      <c r="H106">
        <v>0.13385826771653545</v>
      </c>
      <c r="J106">
        <v>0.13385826771653545</v>
      </c>
      <c r="K106">
        <v>0.12598425196850394</v>
      </c>
    </row>
    <row r="107" spans="1:11">
      <c r="A107">
        <f t="shared" si="2"/>
        <v>825</v>
      </c>
      <c r="B107">
        <v>0.13385826771653545</v>
      </c>
      <c r="C107">
        <v>0.13385826771653545</v>
      </c>
      <c r="D107">
        <v>0.13385826771653545</v>
      </c>
      <c r="E107">
        <v>0.14173228346456693</v>
      </c>
      <c r="F107">
        <v>0.14173228346456693</v>
      </c>
      <c r="G107">
        <v>0.14173228346456693</v>
      </c>
      <c r="H107">
        <v>0.14173228346456693</v>
      </c>
      <c r="J107">
        <v>0.14173228346456693</v>
      </c>
      <c r="K107">
        <v>0.13385826771653545</v>
      </c>
    </row>
    <row r="108" spans="1:11">
      <c r="A108">
        <f t="shared" si="2"/>
        <v>830</v>
      </c>
      <c r="B108">
        <v>0.13385826771653545</v>
      </c>
      <c r="C108">
        <v>0.13385826771653545</v>
      </c>
      <c r="D108">
        <v>0.14173228346456693</v>
      </c>
      <c r="E108">
        <v>0.14173228346456693</v>
      </c>
      <c r="F108">
        <v>0.14960629921259844</v>
      </c>
      <c r="G108">
        <v>0.14173228346456693</v>
      </c>
      <c r="H108">
        <v>0.14173228346456693</v>
      </c>
      <c r="J108">
        <v>0.14173228346456693</v>
      </c>
      <c r="K108">
        <v>0.13385826771653545</v>
      </c>
    </row>
    <row r="109" spans="1:11">
      <c r="A109">
        <f t="shared" si="2"/>
        <v>835</v>
      </c>
      <c r="B109">
        <v>0.13385826771653545</v>
      </c>
      <c r="C109">
        <v>0.13385826771653545</v>
      </c>
      <c r="D109">
        <v>0.13385826771653545</v>
      </c>
      <c r="E109">
        <v>0.14173228346456693</v>
      </c>
      <c r="F109">
        <v>0.14173228346456693</v>
      </c>
      <c r="G109">
        <v>0.14173228346456693</v>
      </c>
      <c r="H109">
        <v>0.14173228346456693</v>
      </c>
      <c r="J109">
        <v>0.14173228346456693</v>
      </c>
      <c r="K109">
        <v>0.13385826771653545</v>
      </c>
    </row>
    <row r="110" spans="1:11">
      <c r="A110">
        <f t="shared" si="2"/>
        <v>840</v>
      </c>
      <c r="B110">
        <v>0.13385826771653545</v>
      </c>
      <c r="C110">
        <v>0.12598425196850394</v>
      </c>
      <c r="D110">
        <v>0.13385826771653545</v>
      </c>
      <c r="E110">
        <v>0.14173228346456693</v>
      </c>
      <c r="F110">
        <v>0.14960629921259844</v>
      </c>
      <c r="G110">
        <v>0.13385826771653545</v>
      </c>
      <c r="H110">
        <v>0.14173228346456693</v>
      </c>
      <c r="J110">
        <v>0.14173228346456693</v>
      </c>
      <c r="K110">
        <v>0.13385826771653545</v>
      </c>
    </row>
    <row r="111" spans="1:11">
      <c r="A111">
        <f t="shared" si="2"/>
        <v>845</v>
      </c>
      <c r="B111">
        <v>0.13385826771653545</v>
      </c>
      <c r="C111">
        <v>0.12598425196850394</v>
      </c>
      <c r="D111">
        <v>0.13385826771653545</v>
      </c>
      <c r="E111">
        <v>0.14173228346456693</v>
      </c>
      <c r="F111">
        <v>0.14173228346456693</v>
      </c>
      <c r="G111">
        <v>0.13385826771653545</v>
      </c>
      <c r="H111">
        <v>0.14173228346456693</v>
      </c>
      <c r="J111">
        <v>0.14173228346456693</v>
      </c>
      <c r="K111">
        <v>0.13385826771653545</v>
      </c>
    </row>
    <row r="112" spans="1:11">
      <c r="A112">
        <f t="shared" si="2"/>
        <v>850</v>
      </c>
      <c r="B112">
        <v>0.13385826771653545</v>
      </c>
      <c r="C112">
        <v>0.12598425196850394</v>
      </c>
      <c r="D112">
        <v>0.13385826771653545</v>
      </c>
      <c r="E112">
        <v>0.14173228346456693</v>
      </c>
      <c r="F112">
        <v>0.14173228346456693</v>
      </c>
      <c r="G112">
        <v>0.13385826771653545</v>
      </c>
      <c r="H112">
        <v>0.13385826771653545</v>
      </c>
      <c r="J112">
        <v>0.13385826771653545</v>
      </c>
      <c r="K112">
        <v>0.12598425196850394</v>
      </c>
    </row>
    <row r="113" spans="1:11">
      <c r="A113">
        <f t="shared" si="2"/>
        <v>855</v>
      </c>
      <c r="B113">
        <v>0.13385826771653545</v>
      </c>
      <c r="C113">
        <v>0.12598425196850394</v>
      </c>
      <c r="D113">
        <v>0.13385826771653545</v>
      </c>
      <c r="E113">
        <v>0.14173228346456693</v>
      </c>
      <c r="F113">
        <v>0.14173228346456693</v>
      </c>
      <c r="G113">
        <v>0.13385826771653545</v>
      </c>
      <c r="H113">
        <v>0.13385826771653545</v>
      </c>
      <c r="J113">
        <v>0.13385826771653545</v>
      </c>
      <c r="K113">
        <v>0.12598425196850394</v>
      </c>
    </row>
    <row r="114" spans="1:11">
      <c r="A114">
        <f t="shared" si="2"/>
        <v>860</v>
      </c>
      <c r="B114">
        <v>0.13385826771653545</v>
      </c>
      <c r="C114">
        <v>0.12598425196850394</v>
      </c>
      <c r="D114">
        <v>0.13385826771653545</v>
      </c>
      <c r="E114">
        <v>0.13385826771653545</v>
      </c>
      <c r="F114">
        <v>0.14173228346456693</v>
      </c>
      <c r="G114">
        <v>0.13385826771653545</v>
      </c>
      <c r="H114">
        <v>0.14173228346456693</v>
      </c>
      <c r="J114">
        <v>0.13385826771653545</v>
      </c>
      <c r="K114">
        <v>0.12598425196850394</v>
      </c>
    </row>
    <row r="115" spans="1:11">
      <c r="A115">
        <f t="shared" si="2"/>
        <v>865</v>
      </c>
      <c r="B115">
        <v>0.13385826771653545</v>
      </c>
      <c r="C115">
        <v>0.12598425196850394</v>
      </c>
      <c r="D115">
        <v>0.13385826771653545</v>
      </c>
      <c r="E115">
        <v>0.14173228346456693</v>
      </c>
      <c r="F115">
        <v>0.14173228346456693</v>
      </c>
      <c r="G115">
        <v>0.13385826771653545</v>
      </c>
      <c r="H115">
        <v>0.14173228346456693</v>
      </c>
      <c r="J115">
        <v>0.13385826771653545</v>
      </c>
      <c r="K115">
        <v>0.12598425196850394</v>
      </c>
    </row>
    <row r="116" spans="1:11">
      <c r="A116">
        <f t="shared" si="2"/>
        <v>870</v>
      </c>
      <c r="B116">
        <v>0.12598425196850394</v>
      </c>
      <c r="C116">
        <v>0.12598425196850394</v>
      </c>
      <c r="D116">
        <v>0.13385826771653545</v>
      </c>
      <c r="E116">
        <v>0.14173228346456693</v>
      </c>
      <c r="F116">
        <v>0.13385826771653545</v>
      </c>
      <c r="G116">
        <v>0.13385826771653545</v>
      </c>
      <c r="H116">
        <v>0.13385826771653545</v>
      </c>
      <c r="J116">
        <v>0.13385826771653545</v>
      </c>
      <c r="K116">
        <v>0.12598425196850394</v>
      </c>
    </row>
    <row r="117" spans="1:11">
      <c r="A117">
        <f t="shared" si="2"/>
        <v>875</v>
      </c>
      <c r="B117">
        <v>0.12598425196850394</v>
      </c>
      <c r="C117">
        <v>0.12598425196850394</v>
      </c>
      <c r="D117">
        <v>0.12598425196850394</v>
      </c>
      <c r="E117">
        <v>0.14173228346456693</v>
      </c>
      <c r="F117">
        <v>0.14173228346456693</v>
      </c>
      <c r="G117">
        <v>0.13385826771653545</v>
      </c>
      <c r="H117">
        <v>0.13385826771653545</v>
      </c>
      <c r="J117">
        <v>0.13385826771653545</v>
      </c>
      <c r="K117">
        <v>0.12598425196850394</v>
      </c>
    </row>
    <row r="118" spans="1:11">
      <c r="A118">
        <f t="shared" si="2"/>
        <v>880</v>
      </c>
      <c r="B118">
        <v>0.12598425196850394</v>
      </c>
      <c r="C118">
        <v>0.12598425196850394</v>
      </c>
      <c r="D118">
        <v>0.13385826771653545</v>
      </c>
      <c r="E118">
        <v>0.13385826771653545</v>
      </c>
      <c r="F118">
        <v>0.14173228346456693</v>
      </c>
      <c r="G118">
        <v>0.13385826771653545</v>
      </c>
      <c r="H118">
        <v>0.13385826771653545</v>
      </c>
      <c r="J118">
        <v>0.13385826771653545</v>
      </c>
      <c r="K118">
        <v>0.12598425196850394</v>
      </c>
    </row>
    <row r="119" spans="1:11">
      <c r="A119">
        <f t="shared" si="2"/>
        <v>885</v>
      </c>
      <c r="B119">
        <v>0.12598425196850394</v>
      </c>
      <c r="C119">
        <v>0.12598425196850394</v>
      </c>
      <c r="D119">
        <v>0.13385826771653545</v>
      </c>
      <c r="E119">
        <v>0.13385826771653545</v>
      </c>
      <c r="F119">
        <v>0.14173228346456693</v>
      </c>
      <c r="G119">
        <v>0.13385826771653545</v>
      </c>
      <c r="H119">
        <v>0.13385826771653545</v>
      </c>
      <c r="J119">
        <v>0.13385826771653545</v>
      </c>
      <c r="K119">
        <v>0.12598425196850394</v>
      </c>
    </row>
    <row r="120" spans="1:11">
      <c r="A120">
        <f t="shared" si="2"/>
        <v>890</v>
      </c>
      <c r="B120">
        <v>0.12598425196850394</v>
      </c>
      <c r="C120">
        <v>0.11811023622047244</v>
      </c>
      <c r="D120">
        <v>0.13385826771653545</v>
      </c>
      <c r="E120">
        <v>0.13385826771653545</v>
      </c>
      <c r="F120">
        <v>0.13385826771653545</v>
      </c>
      <c r="G120">
        <v>0.12598425196850394</v>
      </c>
      <c r="H120">
        <v>0.13385826771653545</v>
      </c>
      <c r="J120">
        <v>0.13385826771653545</v>
      </c>
      <c r="K120">
        <v>0.12598425196850394</v>
      </c>
    </row>
    <row r="121" spans="1:11">
      <c r="A121">
        <f t="shared" si="2"/>
        <v>895</v>
      </c>
      <c r="B121">
        <v>0.12598425196850394</v>
      </c>
      <c r="C121">
        <v>0.11811023622047244</v>
      </c>
      <c r="D121">
        <v>0.12598425196850394</v>
      </c>
      <c r="E121">
        <v>0.13385826771653545</v>
      </c>
      <c r="F121">
        <v>0.13385826771653545</v>
      </c>
      <c r="G121">
        <v>0.12598425196850394</v>
      </c>
      <c r="H121">
        <v>0.13385826771653545</v>
      </c>
      <c r="J121">
        <v>0.12598425196850394</v>
      </c>
      <c r="K121">
        <v>0.11811023622047244</v>
      </c>
    </row>
    <row r="122" spans="1:11">
      <c r="A122">
        <f t="shared" si="2"/>
        <v>900</v>
      </c>
      <c r="B122">
        <v>0.12598425196850394</v>
      </c>
      <c r="C122">
        <v>0.11811023622047244</v>
      </c>
      <c r="D122">
        <v>0.12598425196850394</v>
      </c>
      <c r="E122">
        <v>0.13385826771653545</v>
      </c>
      <c r="F122">
        <v>0.13385826771653545</v>
      </c>
      <c r="G122">
        <v>0.13385826771653545</v>
      </c>
      <c r="H122">
        <v>0.13385826771653545</v>
      </c>
      <c r="J122">
        <v>0.13385826771653545</v>
      </c>
      <c r="K122">
        <v>0.11811023622047244</v>
      </c>
    </row>
    <row r="123" spans="1:11">
      <c r="A123">
        <f t="shared" si="2"/>
        <v>905</v>
      </c>
      <c r="B123">
        <v>0.12598425196850394</v>
      </c>
      <c r="C123">
        <v>0.12598425196850394</v>
      </c>
      <c r="D123">
        <v>0.12598425196850394</v>
      </c>
      <c r="E123">
        <v>0.13385826771653545</v>
      </c>
      <c r="F123">
        <v>0.13385826771653545</v>
      </c>
      <c r="G123">
        <v>0.13385826771653545</v>
      </c>
      <c r="H123">
        <v>0.13385826771653545</v>
      </c>
      <c r="J123">
        <v>0.13385826771653545</v>
      </c>
      <c r="K123">
        <v>0.12598425196850394</v>
      </c>
    </row>
    <row r="124" spans="1:11">
      <c r="A124">
        <f t="shared" si="2"/>
        <v>910</v>
      </c>
      <c r="B124">
        <v>0.12598425196850394</v>
      </c>
      <c r="C124">
        <v>0.11811023622047244</v>
      </c>
      <c r="D124">
        <v>0.12598425196850394</v>
      </c>
      <c r="E124">
        <v>0.13385826771653545</v>
      </c>
      <c r="F124">
        <v>0.13385826771653545</v>
      </c>
      <c r="G124">
        <v>0.13385826771653545</v>
      </c>
      <c r="H124">
        <v>0.13385826771653545</v>
      </c>
      <c r="J124">
        <v>0.13385826771653545</v>
      </c>
      <c r="K124">
        <v>0.12598425196850394</v>
      </c>
    </row>
    <row r="125" spans="1:11">
      <c r="A125">
        <f t="shared" si="2"/>
        <v>915</v>
      </c>
      <c r="B125">
        <v>0.12598425196850394</v>
      </c>
      <c r="C125">
        <v>0.11811023622047244</v>
      </c>
      <c r="D125">
        <v>0.12598425196850394</v>
      </c>
      <c r="E125">
        <v>0.13385826771653545</v>
      </c>
      <c r="F125">
        <v>0.13385826771653545</v>
      </c>
      <c r="G125">
        <v>0.12598425196850394</v>
      </c>
      <c r="H125">
        <v>0.13385826771653545</v>
      </c>
      <c r="J125">
        <v>0.13385826771653545</v>
      </c>
      <c r="K125">
        <v>0.12598425196850394</v>
      </c>
    </row>
    <row r="126" spans="1:11">
      <c r="A126">
        <f t="shared" si="2"/>
        <v>920</v>
      </c>
      <c r="B126">
        <v>0.12598425196850394</v>
      </c>
      <c r="C126">
        <v>0.11811023622047244</v>
      </c>
      <c r="D126">
        <v>0.12598425196850394</v>
      </c>
      <c r="E126">
        <v>0.13385826771653545</v>
      </c>
      <c r="F126">
        <v>0.13385826771653545</v>
      </c>
      <c r="G126">
        <v>0.12598425196850394</v>
      </c>
      <c r="H126">
        <v>0.13385826771653545</v>
      </c>
      <c r="J126">
        <v>0.12598425196850394</v>
      </c>
      <c r="K126">
        <v>0.11811023622047244</v>
      </c>
    </row>
    <row r="127" spans="1:11">
      <c r="A127">
        <f t="shared" si="2"/>
        <v>925</v>
      </c>
      <c r="B127">
        <v>0.12598425196850394</v>
      </c>
      <c r="C127">
        <v>0.11811023622047244</v>
      </c>
      <c r="D127">
        <v>0.12598425196850394</v>
      </c>
      <c r="E127">
        <v>0.13385826771653545</v>
      </c>
      <c r="F127">
        <v>0.13385826771653545</v>
      </c>
      <c r="G127">
        <v>0.12598425196850394</v>
      </c>
      <c r="H127">
        <v>0.13385826771653545</v>
      </c>
      <c r="J127">
        <v>0.13385826771653545</v>
      </c>
      <c r="K127">
        <v>0.11811023622047244</v>
      </c>
    </row>
    <row r="128" spans="1:11">
      <c r="A128">
        <f t="shared" si="2"/>
        <v>930</v>
      </c>
      <c r="B128">
        <v>0.12598425196850394</v>
      </c>
      <c r="C128">
        <v>0.11811023622047244</v>
      </c>
      <c r="D128">
        <v>0.12598425196850394</v>
      </c>
      <c r="E128">
        <v>0.13385826771653545</v>
      </c>
      <c r="F128">
        <v>0.13385826771653545</v>
      </c>
      <c r="G128">
        <v>0.12598425196850394</v>
      </c>
      <c r="H128">
        <v>0.13385826771653545</v>
      </c>
      <c r="J128">
        <v>0.13385826771653545</v>
      </c>
      <c r="K128">
        <v>0.12598425196850394</v>
      </c>
    </row>
    <row r="129" spans="1:11">
      <c r="A129">
        <f t="shared" si="2"/>
        <v>935</v>
      </c>
      <c r="B129">
        <v>0.12598425196850394</v>
      </c>
      <c r="C129">
        <v>0.11811023622047244</v>
      </c>
      <c r="D129">
        <v>0.12598425196850394</v>
      </c>
      <c r="E129">
        <v>0.13385826771653545</v>
      </c>
      <c r="F129">
        <v>0.13385826771653545</v>
      </c>
      <c r="G129">
        <v>0.12598425196850394</v>
      </c>
      <c r="H129">
        <v>0.13385826771653545</v>
      </c>
      <c r="J129">
        <v>0.12598425196850394</v>
      </c>
      <c r="K129">
        <v>0.12598425196850394</v>
      </c>
    </row>
    <row r="130" spans="1:11">
      <c r="A130">
        <f t="shared" si="2"/>
        <v>940</v>
      </c>
      <c r="B130">
        <v>0.12598425196850394</v>
      </c>
      <c r="C130">
        <v>0.11811023622047244</v>
      </c>
      <c r="D130">
        <v>0.12598425196850394</v>
      </c>
      <c r="E130">
        <v>0.13385826771653545</v>
      </c>
      <c r="F130">
        <v>0.13385826771653545</v>
      </c>
      <c r="G130">
        <v>0.12598425196850394</v>
      </c>
      <c r="H130">
        <v>0.13385826771653545</v>
      </c>
      <c r="J130">
        <v>0.12598425196850394</v>
      </c>
      <c r="K130">
        <v>0.11811023622047244</v>
      </c>
    </row>
    <row r="131" spans="1:11">
      <c r="A131">
        <f t="shared" si="2"/>
        <v>945</v>
      </c>
      <c r="B131">
        <v>0.11811023622047244</v>
      </c>
      <c r="C131">
        <v>0.11811023622047244</v>
      </c>
      <c r="D131">
        <v>0.12598425196850394</v>
      </c>
      <c r="E131">
        <v>0.12598425196850394</v>
      </c>
      <c r="F131">
        <v>0.13385826771653545</v>
      </c>
      <c r="G131">
        <v>0.12598425196850394</v>
      </c>
      <c r="H131">
        <v>0.12598425196850394</v>
      </c>
      <c r="J131">
        <v>0.12598425196850394</v>
      </c>
      <c r="K131">
        <v>0.11811023622047244</v>
      </c>
    </row>
    <row r="132" spans="1:11">
      <c r="A132">
        <f t="shared" ref="A132:A162" si="3">A131+A$1</f>
        <v>950</v>
      </c>
      <c r="B132">
        <v>0.11811023622047244</v>
      </c>
      <c r="C132">
        <v>0.11811023622047244</v>
      </c>
      <c r="D132">
        <v>0.12598425196850394</v>
      </c>
      <c r="E132">
        <v>0.12598425196850394</v>
      </c>
      <c r="F132">
        <v>0.13385826771653545</v>
      </c>
      <c r="G132">
        <v>0.12598425196850394</v>
      </c>
      <c r="H132">
        <v>0.12598425196850394</v>
      </c>
      <c r="J132">
        <v>0.12598425196850394</v>
      </c>
      <c r="K132">
        <v>0.11811023622047244</v>
      </c>
    </row>
    <row r="133" spans="1:11">
      <c r="A133">
        <f t="shared" si="3"/>
        <v>955</v>
      </c>
      <c r="B133">
        <v>0.11811023622047244</v>
      </c>
      <c r="C133">
        <v>0.11811023622047244</v>
      </c>
      <c r="D133">
        <v>0.12598425196850394</v>
      </c>
      <c r="E133">
        <v>0.12598425196850394</v>
      </c>
      <c r="F133">
        <v>0.13385826771653545</v>
      </c>
      <c r="G133">
        <v>0.12598425196850394</v>
      </c>
      <c r="H133">
        <v>0.12598425196850394</v>
      </c>
      <c r="J133">
        <v>0.12598425196850394</v>
      </c>
      <c r="K133">
        <v>0.11811023622047244</v>
      </c>
    </row>
    <row r="134" spans="1:11">
      <c r="A134">
        <f t="shared" si="3"/>
        <v>960</v>
      </c>
      <c r="B134">
        <v>0.11811023622047244</v>
      </c>
      <c r="C134">
        <v>0.11023622047244094</v>
      </c>
      <c r="D134">
        <v>0.12598425196850394</v>
      </c>
      <c r="E134">
        <v>0.12598425196850394</v>
      </c>
      <c r="F134">
        <v>0.12598425196850394</v>
      </c>
      <c r="G134">
        <v>0.12598425196850394</v>
      </c>
      <c r="H134">
        <v>0.12598425196850394</v>
      </c>
      <c r="J134">
        <v>0.12598425196850394</v>
      </c>
      <c r="K134">
        <v>0.11811023622047244</v>
      </c>
    </row>
    <row r="135" spans="1:11">
      <c r="A135">
        <f t="shared" si="3"/>
        <v>965</v>
      </c>
      <c r="B135">
        <v>0.11811023622047244</v>
      </c>
      <c r="C135">
        <v>0.11023622047244094</v>
      </c>
      <c r="D135">
        <v>0.11811023622047244</v>
      </c>
      <c r="E135">
        <v>0.12598425196850394</v>
      </c>
      <c r="F135">
        <v>0.12598425196850394</v>
      </c>
      <c r="G135">
        <v>0.11811023622047244</v>
      </c>
      <c r="H135">
        <v>0.12598425196850394</v>
      </c>
      <c r="J135">
        <v>0.12598425196850394</v>
      </c>
      <c r="K135">
        <v>0.11811023622047244</v>
      </c>
    </row>
    <row r="136" spans="1:11">
      <c r="A136">
        <f t="shared" si="3"/>
        <v>970</v>
      </c>
      <c r="B136">
        <v>0.11811023622047244</v>
      </c>
      <c r="C136">
        <v>0.11023622047244094</v>
      </c>
      <c r="D136">
        <v>0.11811023622047244</v>
      </c>
      <c r="E136">
        <v>0.12598425196850394</v>
      </c>
      <c r="F136">
        <v>0.12598425196850394</v>
      </c>
      <c r="G136">
        <v>0.11811023622047244</v>
      </c>
      <c r="H136">
        <v>0.12598425196850394</v>
      </c>
      <c r="J136">
        <v>0.12598425196850394</v>
      </c>
      <c r="K136">
        <v>0.11811023622047244</v>
      </c>
    </row>
    <row r="137" spans="1:11">
      <c r="A137">
        <f t="shared" si="3"/>
        <v>975</v>
      </c>
      <c r="B137">
        <v>0.11811023622047244</v>
      </c>
      <c r="C137">
        <v>0.11023622047244094</v>
      </c>
      <c r="D137">
        <v>0.11811023622047244</v>
      </c>
      <c r="E137">
        <v>0.12598425196850394</v>
      </c>
      <c r="F137">
        <v>0.12598425196850394</v>
      </c>
      <c r="G137">
        <v>0.11811023622047244</v>
      </c>
      <c r="H137">
        <v>0.12598425196850394</v>
      </c>
      <c r="J137">
        <v>0.12598425196850394</v>
      </c>
      <c r="K137">
        <v>0.11811023622047244</v>
      </c>
    </row>
    <row r="138" spans="1:11">
      <c r="A138">
        <f t="shared" si="3"/>
        <v>980</v>
      </c>
      <c r="B138">
        <v>0.11811023622047244</v>
      </c>
      <c r="C138">
        <v>0.11023622047244094</v>
      </c>
      <c r="D138">
        <v>0.11811023622047244</v>
      </c>
      <c r="E138">
        <v>0.12598425196850394</v>
      </c>
      <c r="F138">
        <v>0.12598425196850394</v>
      </c>
      <c r="G138">
        <v>0.11811023622047244</v>
      </c>
      <c r="H138">
        <v>0.12598425196850394</v>
      </c>
      <c r="J138">
        <v>0.12598425196850394</v>
      </c>
      <c r="K138">
        <v>0.11811023622047244</v>
      </c>
    </row>
    <row r="139" spans="1:11">
      <c r="A139">
        <f t="shared" si="3"/>
        <v>985</v>
      </c>
      <c r="B139">
        <v>0.11811023622047244</v>
      </c>
      <c r="C139">
        <v>0.11023622047244094</v>
      </c>
      <c r="D139">
        <v>0.11811023622047244</v>
      </c>
      <c r="E139">
        <v>0.12598425196850394</v>
      </c>
      <c r="F139">
        <v>0.12598425196850394</v>
      </c>
      <c r="G139">
        <v>0.11811023622047244</v>
      </c>
      <c r="H139">
        <v>0.12598425196850394</v>
      </c>
      <c r="J139">
        <v>0.12598425196850394</v>
      </c>
      <c r="K139">
        <v>0.11811023622047244</v>
      </c>
    </row>
    <row r="140" spans="1:11">
      <c r="A140">
        <f t="shared" si="3"/>
        <v>990</v>
      </c>
      <c r="B140">
        <v>0.11811023622047244</v>
      </c>
      <c r="C140">
        <v>0.11023622047244094</v>
      </c>
      <c r="D140">
        <v>0.11811023622047244</v>
      </c>
      <c r="E140">
        <v>0.12598425196850394</v>
      </c>
      <c r="F140">
        <v>0.12598425196850394</v>
      </c>
      <c r="G140">
        <v>0.11811023622047244</v>
      </c>
      <c r="H140">
        <v>0.12598425196850394</v>
      </c>
      <c r="J140">
        <v>0.12598425196850394</v>
      </c>
      <c r="K140">
        <v>0.11811023622047244</v>
      </c>
    </row>
    <row r="141" spans="1:11">
      <c r="A141">
        <f t="shared" si="3"/>
        <v>995</v>
      </c>
      <c r="B141">
        <v>0.11811023622047244</v>
      </c>
      <c r="C141">
        <v>0.11023622047244094</v>
      </c>
      <c r="D141">
        <v>0.11811023622047244</v>
      </c>
      <c r="E141">
        <v>0.12598425196850394</v>
      </c>
      <c r="F141">
        <v>0.12598425196850394</v>
      </c>
      <c r="G141">
        <v>0.11811023622047244</v>
      </c>
      <c r="H141">
        <v>0.12598425196850394</v>
      </c>
      <c r="J141">
        <v>0.11811023622047244</v>
      </c>
      <c r="K141">
        <v>0.11023622047244094</v>
      </c>
    </row>
    <row r="142" spans="1:11">
      <c r="A142">
        <f t="shared" si="3"/>
        <v>1000</v>
      </c>
      <c r="B142">
        <v>0.11811023622047244</v>
      </c>
      <c r="C142">
        <v>0.11023622047244094</v>
      </c>
      <c r="D142">
        <v>0.11811023622047244</v>
      </c>
      <c r="E142">
        <v>0.12598425196850394</v>
      </c>
      <c r="F142">
        <v>0.12598425196850394</v>
      </c>
      <c r="G142">
        <v>0.11811023622047244</v>
      </c>
      <c r="H142">
        <v>0.12598425196850394</v>
      </c>
      <c r="J142">
        <v>0.11811023622047244</v>
      </c>
      <c r="K142">
        <v>0.11023622047244094</v>
      </c>
    </row>
    <row r="143" spans="1:11">
      <c r="A143">
        <f t="shared" si="3"/>
        <v>1005</v>
      </c>
      <c r="B143">
        <v>0.11811023622047244</v>
      </c>
      <c r="C143">
        <v>0.11023622047244094</v>
      </c>
      <c r="D143">
        <v>0.11811023622047244</v>
      </c>
      <c r="E143">
        <v>0.12598425196850394</v>
      </c>
      <c r="F143">
        <v>0.12598425196850394</v>
      </c>
      <c r="G143">
        <v>0.11811023622047244</v>
      </c>
      <c r="H143">
        <v>0.12598425196850394</v>
      </c>
      <c r="J143">
        <v>0.11811023622047244</v>
      </c>
      <c r="K143">
        <v>0.11023622047244094</v>
      </c>
    </row>
    <row r="144" spans="1:11">
      <c r="A144">
        <f t="shared" si="3"/>
        <v>1010</v>
      </c>
      <c r="B144">
        <v>0.11811023622047244</v>
      </c>
      <c r="C144">
        <v>0.11023622047244094</v>
      </c>
      <c r="D144">
        <v>0.11811023622047244</v>
      </c>
      <c r="E144">
        <v>0.12598425196850394</v>
      </c>
      <c r="F144">
        <v>0.12598425196850394</v>
      </c>
      <c r="G144">
        <v>0.11811023622047244</v>
      </c>
      <c r="H144">
        <v>0.12598425196850394</v>
      </c>
      <c r="J144">
        <v>0.11811023622047244</v>
      </c>
      <c r="K144">
        <v>0.11023622047244094</v>
      </c>
    </row>
    <row r="145" spans="1:11">
      <c r="A145">
        <f t="shared" si="3"/>
        <v>1015</v>
      </c>
      <c r="B145">
        <v>0.11811023622047244</v>
      </c>
      <c r="C145">
        <v>0.11023622047244094</v>
      </c>
      <c r="D145">
        <v>0.11811023622047244</v>
      </c>
      <c r="E145">
        <v>0.12598425196850394</v>
      </c>
      <c r="F145">
        <v>0.12598425196850394</v>
      </c>
      <c r="G145">
        <v>0.11811023622047244</v>
      </c>
      <c r="H145">
        <v>0.12598425196850394</v>
      </c>
      <c r="J145">
        <v>0.11811023622047244</v>
      </c>
      <c r="K145">
        <v>0.11023622047244094</v>
      </c>
    </row>
    <row r="146" spans="1:11">
      <c r="A146">
        <f t="shared" si="3"/>
        <v>1020</v>
      </c>
      <c r="B146">
        <v>0.11023622047244094</v>
      </c>
      <c r="C146">
        <v>0.11023622047244094</v>
      </c>
      <c r="D146">
        <v>0.11811023622047244</v>
      </c>
      <c r="E146">
        <v>0.12598425196850394</v>
      </c>
      <c r="F146">
        <v>0.12598425196850394</v>
      </c>
      <c r="G146">
        <v>0.11811023622047244</v>
      </c>
      <c r="H146">
        <v>0.11811023622047244</v>
      </c>
      <c r="J146">
        <v>0.11811023622047244</v>
      </c>
      <c r="K146">
        <v>0.11023622047244094</v>
      </c>
    </row>
    <row r="147" spans="1:11">
      <c r="A147">
        <f t="shared" si="3"/>
        <v>1025</v>
      </c>
      <c r="B147">
        <v>0.11023622047244094</v>
      </c>
      <c r="C147">
        <v>0.11023622047244094</v>
      </c>
      <c r="D147">
        <v>0.11811023622047244</v>
      </c>
      <c r="E147">
        <v>0.11811023622047244</v>
      </c>
      <c r="F147">
        <v>0.12598425196850394</v>
      </c>
      <c r="G147">
        <v>0.11811023622047244</v>
      </c>
      <c r="H147">
        <v>0.11811023622047244</v>
      </c>
      <c r="J147">
        <v>0.11811023622047244</v>
      </c>
      <c r="K147">
        <v>0.11023622047244094</v>
      </c>
    </row>
    <row r="148" spans="1:11">
      <c r="A148">
        <f t="shared" si="3"/>
        <v>1030</v>
      </c>
      <c r="B148">
        <v>0.11023622047244094</v>
      </c>
      <c r="C148">
        <v>0.11023622047244094</v>
      </c>
      <c r="D148">
        <v>0.11811023622047244</v>
      </c>
      <c r="E148">
        <v>0.12598425196850394</v>
      </c>
      <c r="F148">
        <v>0.12598425196850394</v>
      </c>
      <c r="G148">
        <v>0.11811023622047244</v>
      </c>
      <c r="H148">
        <v>0.11811023622047244</v>
      </c>
      <c r="J148">
        <v>0.11811023622047244</v>
      </c>
      <c r="K148">
        <v>0.11023622047244094</v>
      </c>
    </row>
    <row r="149" spans="1:11">
      <c r="A149">
        <f t="shared" si="3"/>
        <v>1035</v>
      </c>
      <c r="B149">
        <v>0.11023622047244094</v>
      </c>
      <c r="C149">
        <v>0.11023622047244094</v>
      </c>
      <c r="D149">
        <v>0.11811023622047244</v>
      </c>
      <c r="E149">
        <v>0.12598425196850394</v>
      </c>
      <c r="F149">
        <v>0.12598425196850394</v>
      </c>
      <c r="G149">
        <v>0.11811023622047244</v>
      </c>
      <c r="H149">
        <v>0.11811023622047244</v>
      </c>
      <c r="J149">
        <v>0.11811023622047244</v>
      </c>
      <c r="K149">
        <v>0.11023622047244094</v>
      </c>
    </row>
    <row r="150" spans="1:11">
      <c r="A150">
        <f t="shared" si="3"/>
        <v>1040</v>
      </c>
      <c r="B150">
        <v>0.11023622047244094</v>
      </c>
      <c r="C150">
        <v>0.11023622047244094</v>
      </c>
      <c r="D150">
        <v>0.11811023622047244</v>
      </c>
      <c r="E150">
        <v>0.11811023622047244</v>
      </c>
      <c r="F150">
        <v>0.11811023622047244</v>
      </c>
      <c r="G150">
        <v>0.11811023622047244</v>
      </c>
      <c r="H150">
        <v>0.11811023622047244</v>
      </c>
      <c r="J150">
        <v>0.11811023622047244</v>
      </c>
      <c r="K150">
        <v>0.11023622047244094</v>
      </c>
    </row>
    <row r="151" spans="1:11">
      <c r="A151">
        <f t="shared" si="3"/>
        <v>1045</v>
      </c>
      <c r="B151">
        <v>0.11023622047244094</v>
      </c>
      <c r="C151">
        <v>0.11023622047244094</v>
      </c>
      <c r="D151">
        <v>0.11811023622047244</v>
      </c>
      <c r="E151">
        <v>0.11811023622047244</v>
      </c>
      <c r="F151">
        <v>0.11811023622047244</v>
      </c>
      <c r="G151">
        <v>0.11811023622047244</v>
      </c>
      <c r="H151">
        <v>0.11811023622047244</v>
      </c>
      <c r="J151">
        <v>0.11811023622047244</v>
      </c>
      <c r="K151">
        <v>0.11023622047244094</v>
      </c>
    </row>
    <row r="152" spans="1:11">
      <c r="A152">
        <f t="shared" si="3"/>
        <v>1050</v>
      </c>
      <c r="B152">
        <v>0.11023622047244094</v>
      </c>
      <c r="C152">
        <v>0.11023622047244094</v>
      </c>
      <c r="D152">
        <v>0.11811023622047244</v>
      </c>
      <c r="E152">
        <v>0.11811023622047244</v>
      </c>
      <c r="F152">
        <v>0.11811023622047244</v>
      </c>
      <c r="G152">
        <v>0.11811023622047244</v>
      </c>
      <c r="H152">
        <v>0.11811023622047244</v>
      </c>
      <c r="J152">
        <v>0.11811023622047244</v>
      </c>
      <c r="K152">
        <v>0.11023622047244094</v>
      </c>
    </row>
    <row r="153" spans="1:11">
      <c r="A153">
        <f t="shared" si="3"/>
        <v>1055</v>
      </c>
      <c r="B153">
        <v>0.11023622047244094</v>
      </c>
      <c r="C153">
        <v>0.11023622047244094</v>
      </c>
      <c r="D153">
        <v>0.11811023622047244</v>
      </c>
      <c r="E153">
        <v>0.11811023622047244</v>
      </c>
      <c r="F153">
        <v>0.11811023622047244</v>
      </c>
      <c r="G153">
        <v>0.11811023622047244</v>
      </c>
      <c r="H153">
        <v>0.11811023622047244</v>
      </c>
      <c r="J153">
        <v>0.11811023622047244</v>
      </c>
      <c r="K153">
        <v>0.11023622047244094</v>
      </c>
    </row>
    <row r="154" spans="1:11">
      <c r="A154">
        <f t="shared" si="3"/>
        <v>1060</v>
      </c>
      <c r="B154">
        <v>0.11023622047244094</v>
      </c>
      <c r="C154">
        <v>0.11023622047244094</v>
      </c>
      <c r="D154">
        <v>0.11023622047244094</v>
      </c>
      <c r="E154">
        <v>0.11811023622047244</v>
      </c>
      <c r="F154">
        <v>0.11811023622047244</v>
      </c>
      <c r="G154">
        <v>0.11811023622047244</v>
      </c>
      <c r="H154">
        <v>0.11811023622047244</v>
      </c>
      <c r="J154">
        <v>0.11811023622047244</v>
      </c>
      <c r="K154">
        <v>0.11023622047244094</v>
      </c>
    </row>
    <row r="155" spans="1:11">
      <c r="A155">
        <f t="shared" si="3"/>
        <v>1065</v>
      </c>
      <c r="B155">
        <v>0.11023622047244094</v>
      </c>
      <c r="C155">
        <v>0.11023622047244094</v>
      </c>
      <c r="D155">
        <v>0.11023622047244094</v>
      </c>
      <c r="E155">
        <v>0.11811023622047244</v>
      </c>
      <c r="F155">
        <v>0.11811023622047244</v>
      </c>
      <c r="G155">
        <v>0.11811023622047244</v>
      </c>
      <c r="H155">
        <v>0.11811023622047244</v>
      </c>
      <c r="J155">
        <v>0.11811023622047244</v>
      </c>
      <c r="K155">
        <v>0.11023622047244094</v>
      </c>
    </row>
    <row r="156" spans="1:11">
      <c r="A156">
        <f t="shared" si="3"/>
        <v>1070</v>
      </c>
      <c r="B156">
        <v>0.11023622047244094</v>
      </c>
      <c r="C156">
        <v>0.11023622047244094</v>
      </c>
      <c r="D156">
        <v>0.11023622047244094</v>
      </c>
      <c r="E156">
        <v>0.11811023622047244</v>
      </c>
      <c r="F156">
        <v>0.11811023622047244</v>
      </c>
      <c r="G156">
        <v>0.11811023622047244</v>
      </c>
      <c r="H156">
        <v>0.11811023622047244</v>
      </c>
      <c r="J156">
        <v>0.11811023622047244</v>
      </c>
      <c r="K156">
        <v>0.11023622047244094</v>
      </c>
    </row>
    <row r="157" spans="1:11">
      <c r="A157">
        <f t="shared" si="3"/>
        <v>1075</v>
      </c>
      <c r="B157">
        <v>0.11023622047244094</v>
      </c>
      <c r="C157">
        <v>0.11023622047244094</v>
      </c>
      <c r="D157">
        <v>0.11023622047244094</v>
      </c>
      <c r="E157">
        <v>0.11811023622047244</v>
      </c>
      <c r="F157">
        <v>0.11811023622047244</v>
      </c>
      <c r="G157">
        <v>0.11811023622047244</v>
      </c>
      <c r="H157">
        <v>0.11811023622047244</v>
      </c>
      <c r="J157">
        <v>0.11811023622047244</v>
      </c>
      <c r="K157">
        <v>0.11023622047244094</v>
      </c>
    </row>
    <row r="158" spans="1:11">
      <c r="A158">
        <f t="shared" si="3"/>
        <v>1080</v>
      </c>
      <c r="B158">
        <v>0.11023622047244094</v>
      </c>
      <c r="C158">
        <v>0.11023622047244094</v>
      </c>
      <c r="D158">
        <v>0.11023622047244094</v>
      </c>
      <c r="E158">
        <v>0.11811023622047244</v>
      </c>
      <c r="F158">
        <v>0.11811023622047244</v>
      </c>
      <c r="G158">
        <v>0.11811023622047244</v>
      </c>
      <c r="H158">
        <v>0.11811023622047244</v>
      </c>
      <c r="J158">
        <v>0.11811023622047244</v>
      </c>
      <c r="K158">
        <v>0.11023622047244094</v>
      </c>
    </row>
    <row r="159" spans="1:11">
      <c r="A159">
        <f t="shared" si="3"/>
        <v>1085</v>
      </c>
      <c r="B159">
        <v>0.11023622047244094</v>
      </c>
      <c r="C159">
        <v>0.10236220472440945</v>
      </c>
      <c r="D159">
        <v>0.11023622047244094</v>
      </c>
      <c r="E159">
        <v>0.11811023622047244</v>
      </c>
      <c r="F159">
        <v>0.11811023622047244</v>
      </c>
      <c r="G159">
        <v>0.11811023622047244</v>
      </c>
      <c r="H159">
        <v>0.11811023622047244</v>
      </c>
      <c r="J159">
        <v>0.11811023622047244</v>
      </c>
      <c r="K159">
        <v>0.11023622047244094</v>
      </c>
    </row>
    <row r="160" spans="1:11">
      <c r="A160">
        <f t="shared" si="3"/>
        <v>1090</v>
      </c>
      <c r="B160">
        <v>0.11023622047244094</v>
      </c>
      <c r="C160">
        <v>0.10236220472440945</v>
      </c>
      <c r="D160">
        <v>0.11023622047244094</v>
      </c>
      <c r="E160">
        <v>0.11811023622047244</v>
      </c>
      <c r="F160">
        <v>0.11811023622047244</v>
      </c>
      <c r="G160">
        <v>0.11811023622047244</v>
      </c>
      <c r="H160">
        <v>0.11811023622047244</v>
      </c>
      <c r="J160">
        <v>0.11811023622047244</v>
      </c>
      <c r="K160">
        <v>0.11023622047244094</v>
      </c>
    </row>
    <row r="161" spans="1:11">
      <c r="A161">
        <f t="shared" si="3"/>
        <v>1095</v>
      </c>
      <c r="B161">
        <v>0.11023622047244094</v>
      </c>
      <c r="C161">
        <v>0.10236220472440945</v>
      </c>
      <c r="D161">
        <v>0.11023622047244094</v>
      </c>
      <c r="E161">
        <v>0.11811023622047244</v>
      </c>
      <c r="F161">
        <v>0.11811023622047244</v>
      </c>
      <c r="G161">
        <v>0.11811023622047244</v>
      </c>
      <c r="H161">
        <v>0.11811023622047244</v>
      </c>
      <c r="J161">
        <v>0.11811023622047244</v>
      </c>
      <c r="K161">
        <v>0.11023622047244094</v>
      </c>
    </row>
    <row r="162" spans="1:11">
      <c r="A162">
        <f t="shared" si="3"/>
        <v>1100</v>
      </c>
      <c r="B162">
        <v>0.11023622047244094</v>
      </c>
      <c r="C162">
        <v>0.10236220472440945</v>
      </c>
      <c r="D162">
        <v>0.11023622047244094</v>
      </c>
      <c r="E162">
        <v>0.11811023622047244</v>
      </c>
      <c r="F162">
        <v>0.11811023622047244</v>
      </c>
      <c r="G162">
        <v>0.11811023622047244</v>
      </c>
      <c r="H162">
        <v>0.11811023622047244</v>
      </c>
      <c r="J162">
        <v>0.11811023622047244</v>
      </c>
      <c r="K162">
        <v>0.11023622047244094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B164"/>
  <sheetViews>
    <sheetView zoomScale="70" zoomScaleNormal="70" workbookViewId="0">
      <pane ySplit="5010" topLeftCell="A152"/>
      <selection pane="bottomLeft" activeCell="AC155" sqref="AC155"/>
    </sheetView>
  </sheetViews>
  <sheetFormatPr defaultRowHeight="15"/>
  <cols>
    <col min="4" max="4" width="9.28515625" bestFit="1" customWidth="1"/>
    <col min="17" max="17" width="9.28515625" customWidth="1"/>
    <col min="18" max="24" width="9.28515625" bestFit="1" customWidth="1"/>
    <col min="25" max="25" width="9.28515625" customWidth="1"/>
    <col min="26" max="27" width="9.28515625" bestFit="1" customWidth="1"/>
    <col min="28" max="28" width="9.28515625" customWidth="1"/>
    <col min="29" max="29" width="9.28515625" bestFit="1" customWidth="1"/>
    <col min="30" max="30" width="9.28515625" customWidth="1"/>
    <col min="31" max="36" width="9.28515625" bestFit="1" customWidth="1"/>
    <col min="37" max="37" width="9.28515625" customWidth="1"/>
    <col min="38" max="40" width="9.28515625" bestFit="1" customWidth="1"/>
    <col min="41" max="41" width="9.28515625" customWidth="1"/>
    <col min="42" max="42" width="9.28515625" bestFit="1" customWidth="1"/>
  </cols>
  <sheetData>
    <row r="1" spans="1:54">
      <c r="A1" s="2" t="e">
        <f ca="1">G1-P1</f>
        <v>#DIV/0!</v>
      </c>
      <c r="B1" t="s">
        <v>32</v>
      </c>
      <c r="C1" t="e">
        <f ca="1">1-C2</f>
        <v>#DIV/0!</v>
      </c>
      <c r="D1" s="2" t="e">
        <f t="shared" ref="D1:J1" ca="1" si="0">D2/AD2-1</f>
        <v>#DIV/0!</v>
      </c>
      <c r="E1" s="2" t="e">
        <f t="shared" ca="1" si="0"/>
        <v>#DIV/0!</v>
      </c>
      <c r="F1" s="2" t="e">
        <f t="shared" ca="1" si="0"/>
        <v>#DIV/0!</v>
      </c>
      <c r="G1" s="2" t="e">
        <f t="shared" ca="1" si="0"/>
        <v>#DIV/0!</v>
      </c>
      <c r="H1" s="2" t="e">
        <f t="shared" ca="1" si="0"/>
        <v>#DIV/0!</v>
      </c>
      <c r="I1" s="2" t="e">
        <f t="shared" ca="1" si="0"/>
        <v>#DIV/0!</v>
      </c>
      <c r="J1" s="2" t="e">
        <f t="shared" ca="1" si="0"/>
        <v>#DIV/0!</v>
      </c>
      <c r="K1" s="2" t="e">
        <f t="shared" ref="K1:L1" ca="1" si="1">K2/AK2-1</f>
        <v>#DIV/0!</v>
      </c>
      <c r="L1" s="2" t="e">
        <f t="shared" ca="1" si="1"/>
        <v>#DIV/0!</v>
      </c>
      <c r="M1" s="2" t="e">
        <f ca="1">M2/AM2-1</f>
        <v>#DIV/0!</v>
      </c>
      <c r="N1" s="2" t="e">
        <f ca="1">N2/AN2-1</f>
        <v>#DIV/0!</v>
      </c>
      <c r="O1" s="2" t="e">
        <f ca="1">O2/AO2-1</f>
        <v>#DIV/0!</v>
      </c>
      <c r="P1" s="2" t="e">
        <f ca="1">P2/AP2-1</f>
        <v>#DIV/0!</v>
      </c>
      <c r="Q1" s="66" t="s">
        <v>33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 t="s">
        <v>34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 t="s">
        <v>40</v>
      </c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</row>
    <row r="2" spans="1:54">
      <c r="C2" t="e">
        <f ca="1">MIN(Calculations!C3:C163)</f>
        <v>#DIV/0!</v>
      </c>
      <c r="D2" s="13" t="e">
        <f ca="1">SUM(D4:D164)</f>
        <v>#DIV/0!</v>
      </c>
      <c r="E2" s="13" t="e">
        <f t="shared" ref="E2:N2" ca="1" si="2">SUM(E4:E164)</f>
        <v>#DIV/0!</v>
      </c>
      <c r="F2" s="13" t="e">
        <f t="shared" ca="1" si="2"/>
        <v>#DIV/0!</v>
      </c>
      <c r="G2" s="13" t="e">
        <f t="shared" ca="1" si="2"/>
        <v>#DIV/0!</v>
      </c>
      <c r="H2" s="13" t="e">
        <f t="shared" ca="1" si="2"/>
        <v>#DIV/0!</v>
      </c>
      <c r="I2" s="13" t="e">
        <f t="shared" ca="1" si="2"/>
        <v>#DIV/0!</v>
      </c>
      <c r="J2" s="13" t="e">
        <f t="shared" ca="1" si="2"/>
        <v>#DIV/0!</v>
      </c>
      <c r="K2" s="13" t="e">
        <f t="shared" ref="K2:L2" ca="1" si="3">SUM(K4:K164)</f>
        <v>#DIV/0!</v>
      </c>
      <c r="L2" s="13" t="e">
        <f t="shared" ca="1" si="3"/>
        <v>#DIV/0!</v>
      </c>
      <c r="M2" s="13" t="e">
        <f t="shared" ca="1" si="2"/>
        <v>#DIV/0!</v>
      </c>
      <c r="N2" s="13" t="e">
        <f t="shared" ca="1" si="2"/>
        <v>#DIV/0!</v>
      </c>
      <c r="O2" s="13" t="e">
        <f ca="1">SUM(O4:O164)</f>
        <v>#DIV/0!</v>
      </c>
      <c r="P2" s="13" t="e">
        <f ca="1">SUM(P4:P164)</f>
        <v>#DIV/0!</v>
      </c>
      <c r="Q2" s="13">
        <f t="shared" ref="Q2:W2" si="4">AD2</f>
        <v>7116113236.3995514</v>
      </c>
      <c r="R2" s="13">
        <f t="shared" si="4"/>
        <v>426537119565.3028</v>
      </c>
      <c r="S2" s="13">
        <f t="shared" si="4"/>
        <v>5172953537297.6621</v>
      </c>
      <c r="T2" s="13">
        <f t="shared" si="4"/>
        <v>27797102004849.164</v>
      </c>
      <c r="U2" s="13">
        <f t="shared" si="4"/>
        <v>93265919401803.109</v>
      </c>
      <c r="V2" s="13">
        <f t="shared" si="4"/>
        <v>232560212721321.06</v>
      </c>
      <c r="W2" s="13">
        <f t="shared" si="4"/>
        <v>475264570734717.5</v>
      </c>
      <c r="X2" s="13">
        <f>AL2</f>
        <v>1056412473755301.5</v>
      </c>
      <c r="Y2" s="54">
        <f>AM2</f>
        <v>1355631255284016.2</v>
      </c>
      <c r="Z2" s="13">
        <f t="shared" ref="Z2:AC2" si="5">AM2</f>
        <v>1355631255284016.2</v>
      </c>
      <c r="AA2" s="13">
        <f t="shared" si="5"/>
        <v>2015839595190855</v>
      </c>
      <c r="AB2" s="13">
        <f t="shared" si="5"/>
        <v>2826499844138031</v>
      </c>
      <c r="AC2" s="13">
        <f t="shared" si="5"/>
        <v>768484358956211.5</v>
      </c>
      <c r="AD2" s="13">
        <f>SUM(AD4:AD164)</f>
        <v>7116113236.3995514</v>
      </c>
      <c r="AE2" s="13">
        <f t="shared" ref="AE2:AZ2" si="6">SUM(AE4:AE164)</f>
        <v>426537119565.3028</v>
      </c>
      <c r="AF2" s="13">
        <f t="shared" si="6"/>
        <v>5172953537297.6621</v>
      </c>
      <c r="AG2" s="13">
        <f t="shared" si="6"/>
        <v>27797102004849.164</v>
      </c>
      <c r="AH2" s="13">
        <f t="shared" si="6"/>
        <v>93265919401803.109</v>
      </c>
      <c r="AI2" s="13">
        <f t="shared" si="6"/>
        <v>232560212721321.06</v>
      </c>
      <c r="AJ2" s="13">
        <f t="shared" si="6"/>
        <v>475264570734717.5</v>
      </c>
      <c r="AK2" s="13">
        <f t="shared" ref="AK2:AL2" si="7">SUM(AK4:AK164)</f>
        <v>844589670942228.5</v>
      </c>
      <c r="AL2" s="13">
        <f t="shared" si="7"/>
        <v>1056412473755301.5</v>
      </c>
      <c r="AM2" s="13">
        <f t="shared" si="6"/>
        <v>1355631255284016.2</v>
      </c>
      <c r="AN2" s="13">
        <f t="shared" si="6"/>
        <v>2015839595190855</v>
      </c>
      <c r="AO2" s="13">
        <f>SUM(AO4:AO164)</f>
        <v>2826499844138031</v>
      </c>
      <c r="AP2" s="13">
        <f>SUM(AP4:AP164)</f>
        <v>768484358956211.5</v>
      </c>
      <c r="AQ2" s="13">
        <f t="shared" si="6"/>
        <v>0.99999999999999989</v>
      </c>
      <c r="AR2" s="13">
        <f t="shared" si="6"/>
        <v>0.99999999999999956</v>
      </c>
      <c r="AS2" s="13">
        <f t="shared" si="6"/>
        <v>0.99999999999999989</v>
      </c>
      <c r="AT2" s="13">
        <f t="shared" si="6"/>
        <v>0.99999999999999956</v>
      </c>
      <c r="AU2" s="13">
        <f t="shared" si="6"/>
        <v>0.99999999999999933</v>
      </c>
      <c r="AV2" s="13">
        <f t="shared" si="6"/>
        <v>1.0000000000000004</v>
      </c>
      <c r="AW2" s="13">
        <f t="shared" si="6"/>
        <v>0.99999999999999989</v>
      </c>
      <c r="AX2" s="13">
        <f t="shared" si="6"/>
        <v>0.99999999999999989</v>
      </c>
      <c r="AY2" s="13">
        <f t="shared" si="6"/>
        <v>1.0000000000000002</v>
      </c>
      <c r="AZ2" s="13">
        <f t="shared" si="6"/>
        <v>0.99999999999999978</v>
      </c>
      <c r="BA2" s="13">
        <f>SUM(BA4:BA164)</f>
        <v>1.0000000000000002</v>
      </c>
      <c r="BB2" s="13">
        <f>SUM(BB4:BB164)</f>
        <v>1.0000000000000002</v>
      </c>
    </row>
    <row r="3" spans="1:54">
      <c r="B3" t="s">
        <v>35</v>
      </c>
      <c r="C3" t="s">
        <v>36</v>
      </c>
      <c r="D3">
        <f t="shared" ref="D3:J3" si="8">Q3</f>
        <v>1500</v>
      </c>
      <c r="E3">
        <f t="shared" si="8"/>
        <v>2000</v>
      </c>
      <c r="F3">
        <f t="shared" si="8"/>
        <v>2500</v>
      </c>
      <c r="G3">
        <f t="shared" si="8"/>
        <v>3000</v>
      </c>
      <c r="H3">
        <f t="shared" si="8"/>
        <v>3500</v>
      </c>
      <c r="I3">
        <f t="shared" si="8"/>
        <v>4000</v>
      </c>
      <c r="J3">
        <f t="shared" si="8"/>
        <v>4500</v>
      </c>
      <c r="K3">
        <f t="shared" ref="K3:L3" si="9">X3</f>
        <v>5000</v>
      </c>
      <c r="L3">
        <f t="shared" si="9"/>
        <v>5225</v>
      </c>
      <c r="M3">
        <f t="shared" ref="M3:N3" si="10">Z3</f>
        <v>5500</v>
      </c>
      <c r="N3">
        <f t="shared" si="10"/>
        <v>6000</v>
      </c>
      <c r="O3">
        <f>AB3</f>
        <v>6500</v>
      </c>
      <c r="P3" t="str">
        <f>AC3</f>
        <v>Photo</v>
      </c>
      <c r="Q3" s="51">
        <v>1500</v>
      </c>
      <c r="R3" s="51">
        <f>Q3+500</f>
        <v>2000</v>
      </c>
      <c r="S3" s="51">
        <f t="shared" ref="S3:AA3" si="11">R3+500</f>
        <v>2500</v>
      </c>
      <c r="T3" s="51">
        <f t="shared" si="11"/>
        <v>3000</v>
      </c>
      <c r="U3" s="51">
        <f t="shared" si="11"/>
        <v>3500</v>
      </c>
      <c r="V3" s="51">
        <f t="shared" si="11"/>
        <v>4000</v>
      </c>
      <c r="W3" s="51">
        <f t="shared" si="11"/>
        <v>4500</v>
      </c>
      <c r="X3" s="51">
        <f t="shared" si="11"/>
        <v>5000</v>
      </c>
      <c r="Y3" s="55">
        <v>5225</v>
      </c>
      <c r="Z3" s="51">
        <f>X3+500</f>
        <v>5500</v>
      </c>
      <c r="AA3" s="51">
        <f t="shared" si="11"/>
        <v>6000</v>
      </c>
      <c r="AB3" s="51">
        <f>AA3+500</f>
        <v>6500</v>
      </c>
      <c r="AC3" t="s">
        <v>35</v>
      </c>
      <c r="AD3" s="51">
        <f t="shared" ref="AD3:AW3" si="12">Q3</f>
        <v>1500</v>
      </c>
      <c r="AE3" s="51">
        <f t="shared" si="12"/>
        <v>2000</v>
      </c>
      <c r="AF3" s="51">
        <f t="shared" si="12"/>
        <v>2500</v>
      </c>
      <c r="AG3" s="51">
        <f t="shared" si="12"/>
        <v>3000</v>
      </c>
      <c r="AH3" s="51">
        <f t="shared" si="12"/>
        <v>3500</v>
      </c>
      <c r="AI3" s="51">
        <f t="shared" si="12"/>
        <v>4000</v>
      </c>
      <c r="AJ3" s="51">
        <f t="shared" si="12"/>
        <v>4500</v>
      </c>
      <c r="AK3" s="53">
        <f t="shared" si="12"/>
        <v>5000</v>
      </c>
      <c r="AL3" s="53">
        <f t="shared" si="12"/>
        <v>5225</v>
      </c>
      <c r="AM3" s="51">
        <f t="shared" si="12"/>
        <v>5500</v>
      </c>
      <c r="AN3" s="51">
        <f t="shared" si="12"/>
        <v>6000</v>
      </c>
      <c r="AO3" s="51">
        <f t="shared" si="12"/>
        <v>6500</v>
      </c>
      <c r="AP3" s="52" t="str">
        <f t="shared" si="12"/>
        <v>Photo</v>
      </c>
      <c r="AQ3" s="52">
        <f t="shared" si="12"/>
        <v>1500</v>
      </c>
      <c r="AR3" s="52">
        <f t="shared" si="12"/>
        <v>2000</v>
      </c>
      <c r="AS3" s="52">
        <f t="shared" si="12"/>
        <v>2500</v>
      </c>
      <c r="AT3" s="52">
        <f t="shared" si="12"/>
        <v>3000</v>
      </c>
      <c r="AU3" s="52">
        <f t="shared" si="12"/>
        <v>3500</v>
      </c>
      <c r="AV3" s="52">
        <f t="shared" si="12"/>
        <v>4000</v>
      </c>
      <c r="AW3" s="52">
        <f t="shared" si="12"/>
        <v>4500</v>
      </c>
      <c r="AX3" s="52">
        <f t="shared" ref="AX3:BB3" si="13">AL3</f>
        <v>5225</v>
      </c>
      <c r="AY3" s="52">
        <f t="shared" si="13"/>
        <v>5500</v>
      </c>
      <c r="AZ3" s="52">
        <f t="shared" si="13"/>
        <v>6000</v>
      </c>
      <c r="BA3" s="52">
        <f t="shared" si="13"/>
        <v>6500</v>
      </c>
      <c r="BB3" s="52" t="str">
        <f t="shared" si="13"/>
        <v>Photo</v>
      </c>
    </row>
    <row r="4" spans="1:54">
      <c r="A4">
        <f>data0!A2</f>
        <v>300</v>
      </c>
      <c r="B4">
        <v>0</v>
      </c>
      <c r="C4" t="e">
        <f ca="1">(Calculations!C3-C$2)/C$1</f>
        <v>#DIV/0!</v>
      </c>
      <c r="D4" s="13" t="e">
        <f t="shared" ref="D4:D40" ca="1" si="14">$C4*Q4</f>
        <v>#DIV/0!</v>
      </c>
      <c r="E4" s="13" t="e">
        <f t="shared" ref="E4:E40" ca="1" si="15">$C4*R4</f>
        <v>#DIV/0!</v>
      </c>
      <c r="F4" s="13" t="e">
        <f t="shared" ref="F4:F40" ca="1" si="16">$C4*S4</f>
        <v>#DIV/0!</v>
      </c>
      <c r="G4" s="13" t="e">
        <f t="shared" ref="G4:G40" ca="1" si="17">$C4*T4</f>
        <v>#DIV/0!</v>
      </c>
      <c r="H4" s="13" t="e">
        <f t="shared" ref="H4:H40" ca="1" si="18">$C4*U4</f>
        <v>#DIV/0!</v>
      </c>
      <c r="I4" s="13" t="e">
        <f t="shared" ref="I4:I40" ca="1" si="19">$C4*V4</f>
        <v>#DIV/0!</v>
      </c>
      <c r="J4" s="13" t="e">
        <f t="shared" ref="J4:J40" ca="1" si="20">$C4*W4</f>
        <v>#DIV/0!</v>
      </c>
      <c r="K4" s="13" t="e">
        <f t="shared" ref="K4:K67" ca="1" si="21">$C4*X4</f>
        <v>#DIV/0!</v>
      </c>
      <c r="L4" s="13" t="e">
        <f t="shared" ref="L4:L67" ca="1" si="22">$C4*Y4</f>
        <v>#DIV/0!</v>
      </c>
      <c r="M4" s="13" t="e">
        <f t="shared" ref="M4:M40" ca="1" si="23">$C4*Z4</f>
        <v>#DIV/0!</v>
      </c>
      <c r="N4" s="13" t="e">
        <f t="shared" ref="N4:N40" ca="1" si="24">$C4*AA4</f>
        <v>#DIV/0!</v>
      </c>
      <c r="O4" s="13" t="e">
        <f t="shared" ref="O4:O40" ca="1" si="25">$C4*AB4</f>
        <v>#DIV/0!</v>
      </c>
      <c r="P4" s="13" t="e">
        <f t="shared" ref="P4:P40" ca="1" si="26">$C4*AC4</f>
        <v>#DIV/0!</v>
      </c>
      <c r="Q4" s="13">
        <f t="shared" ref="Q4:AA19" si="27">(3.7418E-16/POWER($A4*0.000000001,5))/(EXP(0.0143877/($A4*Q$3/1000000000))-1)</f>
        <v>2004.1101704113664</v>
      </c>
      <c r="R4" s="13">
        <f t="shared" si="27"/>
        <v>5933483.8998653628</v>
      </c>
      <c r="S4" s="13">
        <f t="shared" si="27"/>
        <v>718030142.46370316</v>
      </c>
      <c r="T4" s="13">
        <f t="shared" si="27"/>
        <v>17567015887.395187</v>
      </c>
      <c r="U4" s="13">
        <f t="shared" si="27"/>
        <v>172394586454.75613</v>
      </c>
      <c r="V4" s="13">
        <f t="shared" si="27"/>
        <v>955860969615.2168</v>
      </c>
      <c r="W4" s="13">
        <f t="shared" si="27"/>
        <v>3622154280167.021</v>
      </c>
      <c r="X4" s="13">
        <f t="shared" si="27"/>
        <v>10515698915943.641</v>
      </c>
      <c r="Y4" s="54">
        <f t="shared" si="27"/>
        <v>15894103954748.498</v>
      </c>
      <c r="Z4" s="13">
        <f t="shared" si="27"/>
        <v>25152219297265.695</v>
      </c>
      <c r="AA4" s="13">
        <f t="shared" si="27"/>
        <v>52027485168804.187</v>
      </c>
      <c r="AB4" s="13">
        <f t="shared" ref="AB4:AB35" si="28">(3.7418E-16/POWER($A4*0.000000001,5))/(EXP(0.0143877/($A4*AB$3/1000000000))-1)</f>
        <v>96247032994619.953</v>
      </c>
      <c r="AC4" s="13">
        <f>B4*Y4</f>
        <v>0</v>
      </c>
      <c r="AD4" s="13">
        <f t="shared" ref="AD4:AD41" si="29">$B4*Q4</f>
        <v>0</v>
      </c>
      <c r="AE4" s="13">
        <f t="shared" ref="AE4:AE41" si="30">$B4*R4</f>
        <v>0</v>
      </c>
      <c r="AF4" s="13">
        <f t="shared" ref="AF4:AF41" si="31">$B4*S4</f>
        <v>0</v>
      </c>
      <c r="AG4" s="13">
        <f t="shared" ref="AG4:AG41" si="32">$B4*T4</f>
        <v>0</v>
      </c>
      <c r="AH4" s="13">
        <f t="shared" ref="AH4:AH41" si="33">$B4*U4</f>
        <v>0</v>
      </c>
      <c r="AI4" s="13">
        <f t="shared" ref="AI4:AI41" si="34">$B4*V4</f>
        <v>0</v>
      </c>
      <c r="AJ4" s="13">
        <f t="shared" ref="AJ4:AL41" si="35">$B4*W4</f>
        <v>0</v>
      </c>
      <c r="AK4" s="13">
        <f t="shared" si="35"/>
        <v>0</v>
      </c>
      <c r="AL4" s="13">
        <f t="shared" si="35"/>
        <v>0</v>
      </c>
      <c r="AM4" s="13">
        <f t="shared" ref="AM4:AM41" si="36">$B4*Z4</f>
        <v>0</v>
      </c>
      <c r="AN4" s="13">
        <f t="shared" ref="AN4:AN41" si="37">$B4*AA4</f>
        <v>0</v>
      </c>
      <c r="AO4" s="13">
        <f t="shared" ref="AO4:AO41" si="38">$B4*AB4</f>
        <v>0</v>
      </c>
      <c r="AP4" s="13">
        <f t="shared" ref="AP4:AP41" si="39">$B4*AC4</f>
        <v>0</v>
      </c>
      <c r="AQ4" s="13">
        <f>AD4/AD$2</f>
        <v>0</v>
      </c>
      <c r="AR4" s="13">
        <f t="shared" ref="AR4:AR67" si="40">AE4/AE$2</f>
        <v>0</v>
      </c>
      <c r="AS4" s="13">
        <f t="shared" ref="AS4:AS67" si="41">AF4/AF$2</f>
        <v>0</v>
      </c>
      <c r="AT4" s="13">
        <f t="shared" ref="AT4:AT67" si="42">AG4/AG$2</f>
        <v>0</v>
      </c>
      <c r="AU4" s="13">
        <f t="shared" ref="AU4:AU67" si="43">AH4/AH$2</f>
        <v>0</v>
      </c>
      <c r="AV4" s="13">
        <f t="shared" ref="AV4:AV67" si="44">AI4/AI$2</f>
        <v>0</v>
      </c>
      <c r="AW4" s="13">
        <f t="shared" ref="AW4:AW67" si="45">AJ4/AJ$2</f>
        <v>0</v>
      </c>
      <c r="AX4" s="13">
        <f t="shared" ref="AX4:AX67" si="46">AL4/AL$2</f>
        <v>0</v>
      </c>
      <c r="AY4" s="13">
        <f t="shared" ref="AY4:AY67" si="47">AM4/AM$2</f>
        <v>0</v>
      </c>
      <c r="AZ4" s="13">
        <f t="shared" ref="AZ4:AZ67" si="48">AN4/AN$2</f>
        <v>0</v>
      </c>
      <c r="BA4" s="13">
        <f t="shared" ref="BA4:BA35" si="49">AO4/AO$2</f>
        <v>0</v>
      </c>
      <c r="BB4" s="13">
        <f t="shared" ref="BB4:BB35" si="50">AP4/AP$2</f>
        <v>0</v>
      </c>
    </row>
    <row r="5" spans="1:54">
      <c r="A5">
        <f>data0!A3</f>
        <v>305</v>
      </c>
      <c r="B5">
        <v>0</v>
      </c>
      <c r="C5" t="e">
        <f ca="1">(Calculations!C4-C$2)/C$1</f>
        <v>#DIV/0!</v>
      </c>
      <c r="D5" s="13" t="e">
        <f t="shared" ca="1" si="14"/>
        <v>#DIV/0!</v>
      </c>
      <c r="E5" s="13" t="e">
        <f t="shared" ca="1" si="15"/>
        <v>#DIV/0!</v>
      </c>
      <c r="F5" s="13" t="e">
        <f t="shared" ca="1" si="16"/>
        <v>#DIV/0!</v>
      </c>
      <c r="G5" s="13" t="e">
        <f t="shared" ca="1" si="17"/>
        <v>#DIV/0!</v>
      </c>
      <c r="H5" s="13" t="e">
        <f t="shared" ca="1" si="18"/>
        <v>#DIV/0!</v>
      </c>
      <c r="I5" s="13" t="e">
        <f t="shared" ca="1" si="19"/>
        <v>#DIV/0!</v>
      </c>
      <c r="J5" s="13" t="e">
        <f t="shared" ca="1" si="20"/>
        <v>#DIV/0!</v>
      </c>
      <c r="K5" s="13" t="e">
        <f t="shared" ca="1" si="21"/>
        <v>#DIV/0!</v>
      </c>
      <c r="L5" s="13" t="e">
        <f t="shared" ca="1" si="22"/>
        <v>#DIV/0!</v>
      </c>
      <c r="M5" s="13" t="e">
        <f t="shared" ca="1" si="23"/>
        <v>#DIV/0!</v>
      </c>
      <c r="N5" s="13" t="e">
        <f t="shared" ca="1" si="24"/>
        <v>#DIV/0!</v>
      </c>
      <c r="O5" s="13" t="e">
        <f t="shared" ca="1" si="25"/>
        <v>#DIV/0!</v>
      </c>
      <c r="P5" s="13" t="e">
        <f t="shared" ca="1" si="26"/>
        <v>#DIV/0!</v>
      </c>
      <c r="Q5" s="13">
        <f t="shared" si="27"/>
        <v>3116.4537092447122</v>
      </c>
      <c r="R5" s="13">
        <f t="shared" si="27"/>
        <v>8093583.5410317592</v>
      </c>
      <c r="S5" s="13">
        <f t="shared" si="27"/>
        <v>905375963.92394054</v>
      </c>
      <c r="T5" s="13">
        <f t="shared" si="27"/>
        <v>21019437588.99704</v>
      </c>
      <c r="U5" s="13">
        <f t="shared" si="27"/>
        <v>198695210955.68652</v>
      </c>
      <c r="V5" s="13">
        <f t="shared" si="27"/>
        <v>1071184784826.881</v>
      </c>
      <c r="W5" s="13">
        <f t="shared" si="27"/>
        <v>3971488495324.21</v>
      </c>
      <c r="X5" s="13">
        <f t="shared" si="27"/>
        <v>11330259938163.137</v>
      </c>
      <c r="Y5" s="54">
        <f t="shared" si="27"/>
        <v>17009803952280.328</v>
      </c>
      <c r="Z5" s="13">
        <f t="shared" si="27"/>
        <v>26716265258433.336</v>
      </c>
      <c r="AA5" s="13">
        <f t="shared" si="27"/>
        <v>54609532527864.453</v>
      </c>
      <c r="AB5" s="13">
        <f t="shared" si="28"/>
        <v>100013769298600.48</v>
      </c>
      <c r="AC5" s="13">
        <f t="shared" ref="AC5:AC68" si="51">B5*Y5</f>
        <v>0</v>
      </c>
      <c r="AD5" s="13">
        <f t="shared" si="29"/>
        <v>0</v>
      </c>
      <c r="AE5" s="13">
        <f t="shared" si="30"/>
        <v>0</v>
      </c>
      <c r="AF5" s="13">
        <f t="shared" si="31"/>
        <v>0</v>
      </c>
      <c r="AG5" s="13">
        <f t="shared" si="32"/>
        <v>0</v>
      </c>
      <c r="AH5" s="13">
        <f t="shared" si="33"/>
        <v>0</v>
      </c>
      <c r="AI5" s="13">
        <f t="shared" si="34"/>
        <v>0</v>
      </c>
      <c r="AJ5" s="13">
        <f t="shared" si="35"/>
        <v>0</v>
      </c>
      <c r="AK5" s="13">
        <f t="shared" si="35"/>
        <v>0</v>
      </c>
      <c r="AL5" s="13">
        <f t="shared" si="35"/>
        <v>0</v>
      </c>
      <c r="AM5" s="13">
        <f t="shared" si="36"/>
        <v>0</v>
      </c>
      <c r="AN5" s="13">
        <f t="shared" si="37"/>
        <v>0</v>
      </c>
      <c r="AO5" s="13">
        <f t="shared" si="38"/>
        <v>0</v>
      </c>
      <c r="AP5" s="13">
        <f t="shared" si="39"/>
        <v>0</v>
      </c>
      <c r="AQ5" s="13">
        <f t="shared" ref="AQ5:AQ68" si="52">AD5/AD$2</f>
        <v>0</v>
      </c>
      <c r="AR5" s="13">
        <f t="shared" si="40"/>
        <v>0</v>
      </c>
      <c r="AS5" s="13">
        <f t="shared" si="41"/>
        <v>0</v>
      </c>
      <c r="AT5" s="13">
        <f t="shared" si="42"/>
        <v>0</v>
      </c>
      <c r="AU5" s="13">
        <f t="shared" si="43"/>
        <v>0</v>
      </c>
      <c r="AV5" s="13">
        <f t="shared" si="44"/>
        <v>0</v>
      </c>
      <c r="AW5" s="13">
        <f t="shared" si="45"/>
        <v>0</v>
      </c>
      <c r="AX5" s="13">
        <f t="shared" si="46"/>
        <v>0</v>
      </c>
      <c r="AY5" s="13">
        <f t="shared" si="47"/>
        <v>0</v>
      </c>
      <c r="AZ5" s="13">
        <f t="shared" si="48"/>
        <v>0</v>
      </c>
      <c r="BA5" s="13">
        <f t="shared" si="49"/>
        <v>0</v>
      </c>
      <c r="BB5" s="13">
        <f t="shared" si="50"/>
        <v>0</v>
      </c>
    </row>
    <row r="6" spans="1:54">
      <c r="A6">
        <f>data0!A4</f>
        <v>310</v>
      </c>
      <c r="B6">
        <v>0</v>
      </c>
      <c r="C6" t="e">
        <f ca="1">(Calculations!C5-C$2)/C$1</f>
        <v>#DIV/0!</v>
      </c>
      <c r="D6" s="13" t="e">
        <f t="shared" ca="1" si="14"/>
        <v>#DIV/0!</v>
      </c>
      <c r="E6" s="13" t="e">
        <f t="shared" ca="1" si="15"/>
        <v>#DIV/0!</v>
      </c>
      <c r="F6" s="13" t="e">
        <f t="shared" ca="1" si="16"/>
        <v>#DIV/0!</v>
      </c>
      <c r="G6" s="13" t="e">
        <f t="shared" ca="1" si="17"/>
        <v>#DIV/0!</v>
      </c>
      <c r="H6" s="13" t="e">
        <f t="shared" ca="1" si="18"/>
        <v>#DIV/0!</v>
      </c>
      <c r="I6" s="13" t="e">
        <f t="shared" ca="1" si="19"/>
        <v>#DIV/0!</v>
      </c>
      <c r="J6" s="13" t="e">
        <f t="shared" ca="1" si="20"/>
        <v>#DIV/0!</v>
      </c>
      <c r="K6" s="13" t="e">
        <f t="shared" ca="1" si="21"/>
        <v>#DIV/0!</v>
      </c>
      <c r="L6" s="13" t="e">
        <f t="shared" ca="1" si="22"/>
        <v>#DIV/0!</v>
      </c>
      <c r="M6" s="13" t="e">
        <f t="shared" ca="1" si="23"/>
        <v>#DIV/0!</v>
      </c>
      <c r="N6" s="13" t="e">
        <f t="shared" ca="1" si="24"/>
        <v>#DIV/0!</v>
      </c>
      <c r="O6" s="13" t="e">
        <f t="shared" ca="1" si="25"/>
        <v>#DIV/0!</v>
      </c>
      <c r="P6" s="13" t="e">
        <f t="shared" ca="1" si="26"/>
        <v>#DIV/0!</v>
      </c>
      <c r="Q6" s="13">
        <f t="shared" si="27"/>
        <v>4771.3409497687517</v>
      </c>
      <c r="R6" s="13">
        <f t="shared" si="27"/>
        <v>10915618.883663144</v>
      </c>
      <c r="S6" s="13">
        <f t="shared" si="27"/>
        <v>1131600459.6769938</v>
      </c>
      <c r="T6" s="13">
        <f t="shared" si="27"/>
        <v>24972174408.320152</v>
      </c>
      <c r="U6" s="13">
        <f t="shared" si="27"/>
        <v>227660594223.86841</v>
      </c>
      <c r="V6" s="13">
        <f t="shared" si="27"/>
        <v>1194439622704.8853</v>
      </c>
      <c r="W6" s="13">
        <f t="shared" si="27"/>
        <v>4335867066711.48</v>
      </c>
      <c r="X6" s="13">
        <f t="shared" si="27"/>
        <v>12162504638252.711</v>
      </c>
      <c r="Y6" s="54">
        <f t="shared" si="27"/>
        <v>18140074969396.598</v>
      </c>
      <c r="Z6" s="13">
        <f t="shared" si="27"/>
        <v>28285082310012.195</v>
      </c>
      <c r="AA6" s="13">
        <f t="shared" si="27"/>
        <v>57154978473380.828</v>
      </c>
      <c r="AB6" s="13">
        <f t="shared" si="28"/>
        <v>103663174464480.03</v>
      </c>
      <c r="AC6" s="13">
        <f t="shared" si="51"/>
        <v>0</v>
      </c>
      <c r="AD6" s="13">
        <f t="shared" si="29"/>
        <v>0</v>
      </c>
      <c r="AE6" s="13">
        <f t="shared" si="30"/>
        <v>0</v>
      </c>
      <c r="AF6" s="13">
        <f t="shared" si="31"/>
        <v>0</v>
      </c>
      <c r="AG6" s="13">
        <f t="shared" si="32"/>
        <v>0</v>
      </c>
      <c r="AH6" s="13">
        <f t="shared" si="33"/>
        <v>0</v>
      </c>
      <c r="AI6" s="13">
        <f t="shared" si="34"/>
        <v>0</v>
      </c>
      <c r="AJ6" s="13">
        <f t="shared" si="35"/>
        <v>0</v>
      </c>
      <c r="AK6" s="13">
        <f t="shared" si="35"/>
        <v>0</v>
      </c>
      <c r="AL6" s="13">
        <f t="shared" si="35"/>
        <v>0</v>
      </c>
      <c r="AM6" s="13">
        <f t="shared" si="36"/>
        <v>0</v>
      </c>
      <c r="AN6" s="13">
        <f t="shared" si="37"/>
        <v>0</v>
      </c>
      <c r="AO6" s="13">
        <f t="shared" si="38"/>
        <v>0</v>
      </c>
      <c r="AP6" s="13">
        <f t="shared" si="39"/>
        <v>0</v>
      </c>
      <c r="AQ6" s="13">
        <f t="shared" si="52"/>
        <v>0</v>
      </c>
      <c r="AR6" s="13">
        <f t="shared" si="40"/>
        <v>0</v>
      </c>
      <c r="AS6" s="13">
        <f t="shared" si="41"/>
        <v>0</v>
      </c>
      <c r="AT6" s="13">
        <f t="shared" si="42"/>
        <v>0</v>
      </c>
      <c r="AU6" s="13">
        <f t="shared" si="43"/>
        <v>0</v>
      </c>
      <c r="AV6" s="13">
        <f t="shared" si="44"/>
        <v>0</v>
      </c>
      <c r="AW6" s="13">
        <f t="shared" si="45"/>
        <v>0</v>
      </c>
      <c r="AX6" s="13">
        <f t="shared" si="46"/>
        <v>0</v>
      </c>
      <c r="AY6" s="13">
        <f t="shared" si="47"/>
        <v>0</v>
      </c>
      <c r="AZ6" s="13">
        <f t="shared" si="48"/>
        <v>0</v>
      </c>
      <c r="BA6" s="13">
        <f t="shared" si="49"/>
        <v>0</v>
      </c>
      <c r="BB6" s="13">
        <f t="shared" si="50"/>
        <v>0</v>
      </c>
    </row>
    <row r="7" spans="1:54">
      <c r="A7">
        <f>data0!A5</f>
        <v>315</v>
      </c>
      <c r="B7">
        <v>0</v>
      </c>
      <c r="C7" t="e">
        <f ca="1">(Calculations!C6-C$2)/C$1</f>
        <v>#DIV/0!</v>
      </c>
      <c r="D7" s="13" t="e">
        <f t="shared" ca="1" si="14"/>
        <v>#DIV/0!</v>
      </c>
      <c r="E7" s="13" t="e">
        <f t="shared" ca="1" si="15"/>
        <v>#DIV/0!</v>
      </c>
      <c r="F7" s="13" t="e">
        <f t="shared" ca="1" si="16"/>
        <v>#DIV/0!</v>
      </c>
      <c r="G7" s="13" t="e">
        <f t="shared" ca="1" si="17"/>
        <v>#DIV/0!</v>
      </c>
      <c r="H7" s="13" t="e">
        <f t="shared" ca="1" si="18"/>
        <v>#DIV/0!</v>
      </c>
      <c r="I7" s="13" t="e">
        <f t="shared" ca="1" si="19"/>
        <v>#DIV/0!</v>
      </c>
      <c r="J7" s="13" t="e">
        <f t="shared" ca="1" si="20"/>
        <v>#DIV/0!</v>
      </c>
      <c r="K7" s="13" t="e">
        <f t="shared" ca="1" si="21"/>
        <v>#DIV/0!</v>
      </c>
      <c r="L7" s="13" t="e">
        <f t="shared" ca="1" si="22"/>
        <v>#DIV/0!</v>
      </c>
      <c r="M7" s="13" t="e">
        <f t="shared" ca="1" si="23"/>
        <v>#DIV/0!</v>
      </c>
      <c r="N7" s="13" t="e">
        <f t="shared" ca="1" si="24"/>
        <v>#DIV/0!</v>
      </c>
      <c r="O7" s="13" t="e">
        <f t="shared" ca="1" si="25"/>
        <v>#DIV/0!</v>
      </c>
      <c r="P7" s="13" t="e">
        <f t="shared" ca="1" si="26"/>
        <v>#DIV/0!</v>
      </c>
      <c r="Q7" s="13">
        <f t="shared" si="27"/>
        <v>7197.6693528575906</v>
      </c>
      <c r="R7" s="13">
        <f t="shared" si="27"/>
        <v>14563839.01032521</v>
      </c>
      <c r="S7" s="13">
        <f t="shared" si="27"/>
        <v>1402575540.5961056</v>
      </c>
      <c r="T7" s="13">
        <f t="shared" si="27"/>
        <v>29468630479.632004</v>
      </c>
      <c r="U7" s="13">
        <f t="shared" si="27"/>
        <v>259391776028.87708</v>
      </c>
      <c r="V7" s="13">
        <f t="shared" si="27"/>
        <v>1325582027413.8403</v>
      </c>
      <c r="W7" s="13">
        <f t="shared" si="27"/>
        <v>4714469189150.248</v>
      </c>
      <c r="X7" s="13">
        <f t="shared" si="27"/>
        <v>13009896961934.422</v>
      </c>
      <c r="Y7" s="54">
        <f t="shared" si="27"/>
        <v>19281336403712.836</v>
      </c>
      <c r="Z7" s="13">
        <f t="shared" si="27"/>
        <v>29853701363052.191</v>
      </c>
      <c r="AA7" s="13">
        <f t="shared" si="27"/>
        <v>59656601952177.977</v>
      </c>
      <c r="AB7" s="13">
        <f t="shared" si="28"/>
        <v>107187375879080.14</v>
      </c>
      <c r="AC7" s="13">
        <f t="shared" si="51"/>
        <v>0</v>
      </c>
      <c r="AD7" s="13">
        <f t="shared" si="29"/>
        <v>0</v>
      </c>
      <c r="AE7" s="13">
        <f t="shared" si="30"/>
        <v>0</v>
      </c>
      <c r="AF7" s="13">
        <f t="shared" si="31"/>
        <v>0</v>
      </c>
      <c r="AG7" s="13">
        <f t="shared" si="32"/>
        <v>0</v>
      </c>
      <c r="AH7" s="13">
        <f t="shared" si="33"/>
        <v>0</v>
      </c>
      <c r="AI7" s="13">
        <f t="shared" si="34"/>
        <v>0</v>
      </c>
      <c r="AJ7" s="13">
        <f t="shared" si="35"/>
        <v>0</v>
      </c>
      <c r="AK7" s="13">
        <f t="shared" si="35"/>
        <v>0</v>
      </c>
      <c r="AL7" s="13">
        <f t="shared" si="35"/>
        <v>0</v>
      </c>
      <c r="AM7" s="13">
        <f t="shared" si="36"/>
        <v>0</v>
      </c>
      <c r="AN7" s="13">
        <f t="shared" si="37"/>
        <v>0</v>
      </c>
      <c r="AO7" s="13">
        <f t="shared" si="38"/>
        <v>0</v>
      </c>
      <c r="AP7" s="13">
        <f t="shared" si="39"/>
        <v>0</v>
      </c>
      <c r="AQ7" s="13">
        <f t="shared" si="52"/>
        <v>0</v>
      </c>
      <c r="AR7" s="13">
        <f t="shared" si="40"/>
        <v>0</v>
      </c>
      <c r="AS7" s="13">
        <f t="shared" si="41"/>
        <v>0</v>
      </c>
      <c r="AT7" s="13">
        <f t="shared" si="42"/>
        <v>0</v>
      </c>
      <c r="AU7" s="13">
        <f t="shared" si="43"/>
        <v>0</v>
      </c>
      <c r="AV7" s="13">
        <f t="shared" si="44"/>
        <v>0</v>
      </c>
      <c r="AW7" s="13">
        <f t="shared" si="45"/>
        <v>0</v>
      </c>
      <c r="AX7" s="13">
        <f t="shared" si="46"/>
        <v>0</v>
      </c>
      <c r="AY7" s="13">
        <f t="shared" si="47"/>
        <v>0</v>
      </c>
      <c r="AZ7" s="13">
        <f t="shared" si="48"/>
        <v>0</v>
      </c>
      <c r="BA7" s="13">
        <f t="shared" si="49"/>
        <v>0</v>
      </c>
      <c r="BB7" s="13">
        <f t="shared" si="50"/>
        <v>0</v>
      </c>
    </row>
    <row r="8" spans="1:54">
      <c r="A8">
        <f>data0!A6</f>
        <v>320</v>
      </c>
      <c r="B8">
        <v>0</v>
      </c>
      <c r="C8" t="e">
        <f ca="1">(Calculations!C7-C$2)/C$1</f>
        <v>#DIV/0!</v>
      </c>
      <c r="D8" s="13" t="e">
        <f t="shared" ca="1" si="14"/>
        <v>#DIV/0!</v>
      </c>
      <c r="E8" s="13" t="e">
        <f t="shared" ca="1" si="15"/>
        <v>#DIV/0!</v>
      </c>
      <c r="F8" s="13" t="e">
        <f t="shared" ca="1" si="16"/>
        <v>#DIV/0!</v>
      </c>
      <c r="G8" s="13" t="e">
        <f t="shared" ca="1" si="17"/>
        <v>#DIV/0!</v>
      </c>
      <c r="H8" s="13" t="e">
        <f t="shared" ca="1" si="18"/>
        <v>#DIV/0!</v>
      </c>
      <c r="I8" s="13" t="e">
        <f t="shared" ca="1" si="19"/>
        <v>#DIV/0!</v>
      </c>
      <c r="J8" s="13" t="e">
        <f t="shared" ca="1" si="20"/>
        <v>#DIV/0!</v>
      </c>
      <c r="K8" s="13" t="e">
        <f t="shared" ca="1" si="21"/>
        <v>#DIV/0!</v>
      </c>
      <c r="L8" s="13" t="e">
        <f t="shared" ca="1" si="22"/>
        <v>#DIV/0!</v>
      </c>
      <c r="M8" s="13" t="e">
        <f t="shared" ca="1" si="23"/>
        <v>#DIV/0!</v>
      </c>
      <c r="N8" s="13" t="e">
        <f t="shared" ca="1" si="24"/>
        <v>#DIV/0!</v>
      </c>
      <c r="O8" s="13" t="e">
        <f t="shared" ca="1" si="25"/>
        <v>#DIV/0!</v>
      </c>
      <c r="P8" s="13" t="e">
        <f t="shared" ca="1" si="26"/>
        <v>#DIV/0!</v>
      </c>
      <c r="Q8" s="13">
        <f t="shared" si="27"/>
        <v>10705.945249382092</v>
      </c>
      <c r="R8" s="13">
        <f t="shared" si="27"/>
        <v>19233194.936340403</v>
      </c>
      <c r="S8" s="13">
        <f t="shared" si="27"/>
        <v>1724675083.6666875</v>
      </c>
      <c r="T8" s="13">
        <f t="shared" si="27"/>
        <v>34552381254.738075</v>
      </c>
      <c r="U8" s="13">
        <f t="shared" si="27"/>
        <v>293978190298.52515</v>
      </c>
      <c r="V8" s="13">
        <f t="shared" si="27"/>
        <v>1464524899189.3269</v>
      </c>
      <c r="W8" s="13">
        <f t="shared" si="27"/>
        <v>5106406041570.0889</v>
      </c>
      <c r="X8" s="13">
        <f t="shared" si="27"/>
        <v>13869889270391.437</v>
      </c>
      <c r="Y8" s="54">
        <f t="shared" si="27"/>
        <v>20430070056927.145</v>
      </c>
      <c r="Z8" s="13">
        <f t="shared" si="27"/>
        <v>31417357590225.699</v>
      </c>
      <c r="AA8" s="13">
        <f t="shared" si="27"/>
        <v>62107790062993.461</v>
      </c>
      <c r="AB8" s="13">
        <f t="shared" si="28"/>
        <v>110579646751742.47</v>
      </c>
      <c r="AC8" s="13">
        <f t="shared" si="51"/>
        <v>0</v>
      </c>
      <c r="AD8" s="13">
        <f t="shared" si="29"/>
        <v>0</v>
      </c>
      <c r="AE8" s="13">
        <f t="shared" si="30"/>
        <v>0</v>
      </c>
      <c r="AF8" s="13">
        <f t="shared" si="31"/>
        <v>0</v>
      </c>
      <c r="AG8" s="13">
        <f t="shared" si="32"/>
        <v>0</v>
      </c>
      <c r="AH8" s="13">
        <f t="shared" si="33"/>
        <v>0</v>
      </c>
      <c r="AI8" s="13">
        <f t="shared" si="34"/>
        <v>0</v>
      </c>
      <c r="AJ8" s="13">
        <f t="shared" si="35"/>
        <v>0</v>
      </c>
      <c r="AK8" s="13">
        <f t="shared" si="35"/>
        <v>0</v>
      </c>
      <c r="AL8" s="13">
        <f t="shared" si="35"/>
        <v>0</v>
      </c>
      <c r="AM8" s="13">
        <f t="shared" si="36"/>
        <v>0</v>
      </c>
      <c r="AN8" s="13">
        <f t="shared" si="37"/>
        <v>0</v>
      </c>
      <c r="AO8" s="13">
        <f t="shared" si="38"/>
        <v>0</v>
      </c>
      <c r="AP8" s="13">
        <f t="shared" si="39"/>
        <v>0</v>
      </c>
      <c r="AQ8" s="13">
        <f t="shared" si="52"/>
        <v>0</v>
      </c>
      <c r="AR8" s="13">
        <f t="shared" si="40"/>
        <v>0</v>
      </c>
      <c r="AS8" s="13">
        <f t="shared" si="41"/>
        <v>0</v>
      </c>
      <c r="AT8" s="13">
        <f t="shared" si="42"/>
        <v>0</v>
      </c>
      <c r="AU8" s="13">
        <f t="shared" si="43"/>
        <v>0</v>
      </c>
      <c r="AV8" s="13">
        <f t="shared" si="44"/>
        <v>0</v>
      </c>
      <c r="AW8" s="13">
        <f t="shared" si="45"/>
        <v>0</v>
      </c>
      <c r="AX8" s="13">
        <f t="shared" si="46"/>
        <v>0</v>
      </c>
      <c r="AY8" s="13">
        <f t="shared" si="47"/>
        <v>0</v>
      </c>
      <c r="AZ8" s="13">
        <f t="shared" si="48"/>
        <v>0</v>
      </c>
      <c r="BA8" s="13">
        <f t="shared" si="49"/>
        <v>0</v>
      </c>
      <c r="BB8" s="13">
        <f t="shared" si="50"/>
        <v>0</v>
      </c>
    </row>
    <row r="9" spans="1:54">
      <c r="A9">
        <f>data0!A7</f>
        <v>325</v>
      </c>
      <c r="B9">
        <v>0</v>
      </c>
      <c r="C9" t="e">
        <f ca="1">(Calculations!C8-C$2)/C$1</f>
        <v>#DIV/0!</v>
      </c>
      <c r="D9" s="13" t="e">
        <f t="shared" ca="1" si="14"/>
        <v>#DIV/0!</v>
      </c>
      <c r="E9" s="13" t="e">
        <f t="shared" ca="1" si="15"/>
        <v>#DIV/0!</v>
      </c>
      <c r="F9" s="13" t="e">
        <f t="shared" ca="1" si="16"/>
        <v>#DIV/0!</v>
      </c>
      <c r="G9" s="13" t="e">
        <f t="shared" ca="1" si="17"/>
        <v>#DIV/0!</v>
      </c>
      <c r="H9" s="13" t="e">
        <f t="shared" ca="1" si="18"/>
        <v>#DIV/0!</v>
      </c>
      <c r="I9" s="13" t="e">
        <f t="shared" ca="1" si="19"/>
        <v>#DIV/0!</v>
      </c>
      <c r="J9" s="13" t="e">
        <f t="shared" ca="1" si="20"/>
        <v>#DIV/0!</v>
      </c>
      <c r="K9" s="13" t="e">
        <f t="shared" ca="1" si="21"/>
        <v>#DIV/0!</v>
      </c>
      <c r="L9" s="13" t="e">
        <f t="shared" ca="1" si="22"/>
        <v>#DIV/0!</v>
      </c>
      <c r="M9" s="13" t="e">
        <f t="shared" ca="1" si="23"/>
        <v>#DIV/0!</v>
      </c>
      <c r="N9" s="13" t="e">
        <f t="shared" ca="1" si="24"/>
        <v>#DIV/0!</v>
      </c>
      <c r="O9" s="13" t="e">
        <f t="shared" ca="1" si="25"/>
        <v>#DIV/0!</v>
      </c>
      <c r="P9" s="13" t="e">
        <f t="shared" ca="1" si="26"/>
        <v>#DIV/0!</v>
      </c>
      <c r="Q9" s="13">
        <f t="shared" si="27"/>
        <v>15711.964874652711</v>
      </c>
      <c r="R9" s="13">
        <f t="shared" si="27"/>
        <v>25152943.553663421</v>
      </c>
      <c r="S9" s="13">
        <f t="shared" si="27"/>
        <v>2104765977.0559864</v>
      </c>
      <c r="T9" s="13">
        <f t="shared" si="27"/>
        <v>40266817105.227341</v>
      </c>
      <c r="U9" s="13">
        <f t="shared" si="27"/>
        <v>331496902955.82343</v>
      </c>
      <c r="V9" s="13">
        <f t="shared" si="27"/>
        <v>1611139225297.5911</v>
      </c>
      <c r="W9" s="13">
        <f t="shared" si="27"/>
        <v>5510730864556.7061</v>
      </c>
      <c r="X9" s="13">
        <f t="shared" si="27"/>
        <v>14739943320928.852</v>
      </c>
      <c r="Y9" s="54">
        <f t="shared" si="27"/>
        <v>21582844040625.359</v>
      </c>
      <c r="Z9" s="13">
        <f t="shared" si="27"/>
        <v>32971513564571.242</v>
      </c>
      <c r="AA9" s="13">
        <f t="shared" si="27"/>
        <v>64502540349851.156</v>
      </c>
      <c r="AB9" s="13">
        <f t="shared" si="28"/>
        <v>113834354927527.72</v>
      </c>
      <c r="AC9" s="13">
        <f t="shared" si="51"/>
        <v>0</v>
      </c>
      <c r="AD9" s="13">
        <f t="shared" si="29"/>
        <v>0</v>
      </c>
      <c r="AE9" s="13">
        <f t="shared" si="30"/>
        <v>0</v>
      </c>
      <c r="AF9" s="13">
        <f t="shared" si="31"/>
        <v>0</v>
      </c>
      <c r="AG9" s="13">
        <f t="shared" si="32"/>
        <v>0</v>
      </c>
      <c r="AH9" s="13">
        <f t="shared" si="33"/>
        <v>0</v>
      </c>
      <c r="AI9" s="13">
        <f t="shared" si="34"/>
        <v>0</v>
      </c>
      <c r="AJ9" s="13">
        <f t="shared" si="35"/>
        <v>0</v>
      </c>
      <c r="AK9" s="13">
        <f t="shared" si="35"/>
        <v>0</v>
      </c>
      <c r="AL9" s="13">
        <f t="shared" si="35"/>
        <v>0</v>
      </c>
      <c r="AM9" s="13">
        <f t="shared" si="36"/>
        <v>0</v>
      </c>
      <c r="AN9" s="13">
        <f t="shared" si="37"/>
        <v>0</v>
      </c>
      <c r="AO9" s="13">
        <f t="shared" si="38"/>
        <v>0</v>
      </c>
      <c r="AP9" s="13">
        <f t="shared" si="39"/>
        <v>0</v>
      </c>
      <c r="AQ9" s="13">
        <f t="shared" si="52"/>
        <v>0</v>
      </c>
      <c r="AR9" s="13">
        <f t="shared" si="40"/>
        <v>0</v>
      </c>
      <c r="AS9" s="13">
        <f t="shared" si="41"/>
        <v>0</v>
      </c>
      <c r="AT9" s="13">
        <f t="shared" si="42"/>
        <v>0</v>
      </c>
      <c r="AU9" s="13">
        <f t="shared" si="43"/>
        <v>0</v>
      </c>
      <c r="AV9" s="13">
        <f t="shared" si="44"/>
        <v>0</v>
      </c>
      <c r="AW9" s="13">
        <f t="shared" si="45"/>
        <v>0</v>
      </c>
      <c r="AX9" s="13">
        <f t="shared" si="46"/>
        <v>0</v>
      </c>
      <c r="AY9" s="13">
        <f t="shared" si="47"/>
        <v>0</v>
      </c>
      <c r="AZ9" s="13">
        <f t="shared" si="48"/>
        <v>0</v>
      </c>
      <c r="BA9" s="13">
        <f t="shared" si="49"/>
        <v>0</v>
      </c>
      <c r="BB9" s="13">
        <f t="shared" si="50"/>
        <v>0</v>
      </c>
    </row>
    <row r="10" spans="1:54">
      <c r="A10">
        <f>data0!A8</f>
        <v>330</v>
      </c>
      <c r="B10">
        <v>0</v>
      </c>
      <c r="C10" t="e">
        <f ca="1">(Calculations!C9-C$2)/C$1</f>
        <v>#DIV/0!</v>
      </c>
      <c r="D10" s="13" t="e">
        <f t="shared" ca="1" si="14"/>
        <v>#DIV/0!</v>
      </c>
      <c r="E10" s="13" t="e">
        <f t="shared" ca="1" si="15"/>
        <v>#DIV/0!</v>
      </c>
      <c r="F10" s="13" t="e">
        <f t="shared" ca="1" si="16"/>
        <v>#DIV/0!</v>
      </c>
      <c r="G10" s="13" t="e">
        <f t="shared" ca="1" si="17"/>
        <v>#DIV/0!</v>
      </c>
      <c r="H10" s="13" t="e">
        <f t="shared" ca="1" si="18"/>
        <v>#DIV/0!</v>
      </c>
      <c r="I10" s="13" t="e">
        <f t="shared" ca="1" si="19"/>
        <v>#DIV/0!</v>
      </c>
      <c r="J10" s="13" t="e">
        <f t="shared" ca="1" si="20"/>
        <v>#DIV/0!</v>
      </c>
      <c r="K10" s="13" t="e">
        <f t="shared" ca="1" si="21"/>
        <v>#DIV/0!</v>
      </c>
      <c r="L10" s="13" t="e">
        <f t="shared" ca="1" si="22"/>
        <v>#DIV/0!</v>
      </c>
      <c r="M10" s="13" t="e">
        <f t="shared" ca="1" si="23"/>
        <v>#DIV/0!</v>
      </c>
      <c r="N10" s="13" t="e">
        <f t="shared" ca="1" si="24"/>
        <v>#DIV/0!</v>
      </c>
      <c r="O10" s="13" t="e">
        <f t="shared" ca="1" si="25"/>
        <v>#DIV/0!</v>
      </c>
      <c r="P10" s="13" t="e">
        <f t="shared" ca="1" si="26"/>
        <v>#DIV/0!</v>
      </c>
      <c r="Q10" s="13">
        <f t="shared" si="27"/>
        <v>22765.706858865542</v>
      </c>
      <c r="R10" s="13">
        <f t="shared" si="27"/>
        <v>32590316.078109518</v>
      </c>
      <c r="S10" s="13">
        <f t="shared" si="27"/>
        <v>2550192967.1094537</v>
      </c>
      <c r="T10" s="13">
        <f t="shared" si="27"/>
        <v>46654787668.554344</v>
      </c>
      <c r="U10" s="13">
        <f t="shared" si="27"/>
        <v>372012010715.34125</v>
      </c>
      <c r="V10" s="13">
        <f t="shared" si="27"/>
        <v>1765256177641.2966</v>
      </c>
      <c r="W10" s="13">
        <f t="shared" si="27"/>
        <v>5926448926246.2803</v>
      </c>
      <c r="X10" s="13">
        <f t="shared" si="27"/>
        <v>15617549283932.236</v>
      </c>
      <c r="Y10" s="54">
        <f t="shared" si="27"/>
        <v>22736333490043.059</v>
      </c>
      <c r="Z10" s="13">
        <f t="shared" si="27"/>
        <v>34511877611703.766</v>
      </c>
      <c r="AA10" s="13">
        <f t="shared" si="27"/>
        <v>66835456276836.422</v>
      </c>
      <c r="AB10" s="13">
        <f t="shared" si="28"/>
        <v>116946906061797.91</v>
      </c>
      <c r="AC10" s="13">
        <f t="shared" si="51"/>
        <v>0</v>
      </c>
      <c r="AD10" s="13">
        <f t="shared" si="29"/>
        <v>0</v>
      </c>
      <c r="AE10" s="13">
        <f t="shared" si="30"/>
        <v>0</v>
      </c>
      <c r="AF10" s="13">
        <f t="shared" si="31"/>
        <v>0</v>
      </c>
      <c r="AG10" s="13">
        <f t="shared" si="32"/>
        <v>0</v>
      </c>
      <c r="AH10" s="13">
        <f t="shared" si="33"/>
        <v>0</v>
      </c>
      <c r="AI10" s="13">
        <f t="shared" si="34"/>
        <v>0</v>
      </c>
      <c r="AJ10" s="13">
        <f t="shared" si="35"/>
        <v>0</v>
      </c>
      <c r="AK10" s="13">
        <f t="shared" si="35"/>
        <v>0</v>
      </c>
      <c r="AL10" s="13">
        <f t="shared" si="35"/>
        <v>0</v>
      </c>
      <c r="AM10" s="13">
        <f t="shared" si="36"/>
        <v>0</v>
      </c>
      <c r="AN10" s="13">
        <f t="shared" si="37"/>
        <v>0</v>
      </c>
      <c r="AO10" s="13">
        <f t="shared" si="38"/>
        <v>0</v>
      </c>
      <c r="AP10" s="13">
        <f t="shared" si="39"/>
        <v>0</v>
      </c>
      <c r="AQ10" s="13">
        <f t="shared" si="52"/>
        <v>0</v>
      </c>
      <c r="AR10" s="13">
        <f t="shared" si="40"/>
        <v>0</v>
      </c>
      <c r="AS10" s="13">
        <f t="shared" si="41"/>
        <v>0</v>
      </c>
      <c r="AT10" s="13">
        <f t="shared" si="42"/>
        <v>0</v>
      </c>
      <c r="AU10" s="13">
        <f t="shared" si="43"/>
        <v>0</v>
      </c>
      <c r="AV10" s="13">
        <f t="shared" si="44"/>
        <v>0</v>
      </c>
      <c r="AW10" s="13">
        <f t="shared" si="45"/>
        <v>0</v>
      </c>
      <c r="AX10" s="13">
        <f t="shared" si="46"/>
        <v>0</v>
      </c>
      <c r="AY10" s="13">
        <f t="shared" si="47"/>
        <v>0</v>
      </c>
      <c r="AZ10" s="13">
        <f t="shared" si="48"/>
        <v>0</v>
      </c>
      <c r="BA10" s="13">
        <f t="shared" si="49"/>
        <v>0</v>
      </c>
      <c r="BB10" s="13">
        <f t="shared" si="50"/>
        <v>0</v>
      </c>
    </row>
    <row r="11" spans="1:54">
      <c r="A11">
        <f>data0!A9</f>
        <v>335</v>
      </c>
      <c r="B11">
        <v>0</v>
      </c>
      <c r="C11" t="e">
        <f ca="1">(Calculations!C10-C$2)/C$1</f>
        <v>#DIV/0!</v>
      </c>
      <c r="D11" s="13" t="e">
        <f t="shared" ca="1" si="14"/>
        <v>#DIV/0!</v>
      </c>
      <c r="E11" s="13" t="e">
        <f t="shared" ca="1" si="15"/>
        <v>#DIV/0!</v>
      </c>
      <c r="F11" s="13" t="e">
        <f t="shared" ca="1" si="16"/>
        <v>#DIV/0!</v>
      </c>
      <c r="G11" s="13" t="e">
        <f t="shared" ca="1" si="17"/>
        <v>#DIV/0!</v>
      </c>
      <c r="H11" s="13" t="e">
        <f t="shared" ca="1" si="18"/>
        <v>#DIV/0!</v>
      </c>
      <c r="I11" s="13" t="e">
        <f t="shared" ca="1" si="19"/>
        <v>#DIV/0!</v>
      </c>
      <c r="J11" s="13" t="e">
        <f t="shared" ca="1" si="20"/>
        <v>#DIV/0!</v>
      </c>
      <c r="K11" s="13" t="e">
        <f t="shared" ca="1" si="21"/>
        <v>#DIV/0!</v>
      </c>
      <c r="L11" s="13" t="e">
        <f t="shared" ca="1" si="22"/>
        <v>#DIV/0!</v>
      </c>
      <c r="M11" s="13" t="e">
        <f t="shared" ca="1" si="23"/>
        <v>#DIV/0!</v>
      </c>
      <c r="N11" s="13" t="e">
        <f t="shared" ca="1" si="24"/>
        <v>#DIV/0!</v>
      </c>
      <c r="O11" s="13" t="e">
        <f t="shared" ca="1" si="25"/>
        <v>#DIV/0!</v>
      </c>
      <c r="P11" s="13" t="e">
        <f t="shared" ca="1" si="26"/>
        <v>#DIV/0!</v>
      </c>
      <c r="Q11" s="13">
        <f t="shared" si="27"/>
        <v>32586.162393990013</v>
      </c>
      <c r="R11" s="13">
        <f t="shared" si="27"/>
        <v>41854200.18743863</v>
      </c>
      <c r="S11" s="13">
        <f t="shared" si="27"/>
        <v>3068757421.1191139</v>
      </c>
      <c r="T11" s="13">
        <f t="shared" si="27"/>
        <v>53758252118.055275</v>
      </c>
      <c r="U11" s="13">
        <f t="shared" si="27"/>
        <v>415574199606.9873</v>
      </c>
      <c r="V11" s="13">
        <f t="shared" si="27"/>
        <v>1926669516009.8035</v>
      </c>
      <c r="W11" s="13">
        <f t="shared" si="27"/>
        <v>6352527247574.3818</v>
      </c>
      <c r="X11" s="13">
        <f t="shared" si="27"/>
        <v>16500242759789.301</v>
      </c>
      <c r="Y11" s="54">
        <f t="shared" si="27"/>
        <v>23887338187585.25</v>
      </c>
      <c r="Z11" s="13">
        <f t="shared" si="27"/>
        <v>36034417735111.5</v>
      </c>
      <c r="AA11" s="13">
        <f t="shared" si="27"/>
        <v>69101736888283.82</v>
      </c>
      <c r="AB11" s="13">
        <f t="shared" si="28"/>
        <v>119913682766229.47</v>
      </c>
      <c r="AC11" s="13">
        <f t="shared" si="51"/>
        <v>0</v>
      </c>
      <c r="AD11" s="13">
        <f t="shared" si="29"/>
        <v>0</v>
      </c>
      <c r="AE11" s="13">
        <f t="shared" si="30"/>
        <v>0</v>
      </c>
      <c r="AF11" s="13">
        <f t="shared" si="31"/>
        <v>0</v>
      </c>
      <c r="AG11" s="13">
        <f t="shared" si="32"/>
        <v>0</v>
      </c>
      <c r="AH11" s="13">
        <f t="shared" si="33"/>
        <v>0</v>
      </c>
      <c r="AI11" s="13">
        <f t="shared" si="34"/>
        <v>0</v>
      </c>
      <c r="AJ11" s="13">
        <f t="shared" si="35"/>
        <v>0</v>
      </c>
      <c r="AK11" s="13">
        <f t="shared" si="35"/>
        <v>0</v>
      </c>
      <c r="AL11" s="13">
        <f t="shared" si="35"/>
        <v>0</v>
      </c>
      <c r="AM11" s="13">
        <f t="shared" si="36"/>
        <v>0</v>
      </c>
      <c r="AN11" s="13">
        <f t="shared" si="37"/>
        <v>0</v>
      </c>
      <c r="AO11" s="13">
        <f t="shared" si="38"/>
        <v>0</v>
      </c>
      <c r="AP11" s="13">
        <f t="shared" si="39"/>
        <v>0</v>
      </c>
      <c r="AQ11" s="13">
        <f t="shared" si="52"/>
        <v>0</v>
      </c>
      <c r="AR11" s="13">
        <f t="shared" si="40"/>
        <v>0</v>
      </c>
      <c r="AS11" s="13">
        <f t="shared" si="41"/>
        <v>0</v>
      </c>
      <c r="AT11" s="13">
        <f t="shared" si="42"/>
        <v>0</v>
      </c>
      <c r="AU11" s="13">
        <f t="shared" si="43"/>
        <v>0</v>
      </c>
      <c r="AV11" s="13">
        <f t="shared" si="44"/>
        <v>0</v>
      </c>
      <c r="AW11" s="13">
        <f t="shared" si="45"/>
        <v>0</v>
      </c>
      <c r="AX11" s="13">
        <f t="shared" si="46"/>
        <v>0</v>
      </c>
      <c r="AY11" s="13">
        <f t="shared" si="47"/>
        <v>0</v>
      </c>
      <c r="AZ11" s="13">
        <f t="shared" si="48"/>
        <v>0</v>
      </c>
      <c r="BA11" s="13">
        <f t="shared" si="49"/>
        <v>0</v>
      </c>
      <c r="BB11" s="13">
        <f t="shared" si="50"/>
        <v>0</v>
      </c>
    </row>
    <row r="12" spans="1:54">
      <c r="A12">
        <f>data0!A10</f>
        <v>340</v>
      </c>
      <c r="B12">
        <v>0</v>
      </c>
      <c r="C12" t="e">
        <f ca="1">(Calculations!C11-C$2)/C$1</f>
        <v>#DIV/0!</v>
      </c>
      <c r="D12" s="13" t="e">
        <f t="shared" ca="1" si="14"/>
        <v>#DIV/0!</v>
      </c>
      <c r="E12" s="13" t="e">
        <f t="shared" ca="1" si="15"/>
        <v>#DIV/0!</v>
      </c>
      <c r="F12" s="13" t="e">
        <f t="shared" ca="1" si="16"/>
        <v>#DIV/0!</v>
      </c>
      <c r="G12" s="13" t="e">
        <f t="shared" ca="1" si="17"/>
        <v>#DIV/0!</v>
      </c>
      <c r="H12" s="13" t="e">
        <f t="shared" ca="1" si="18"/>
        <v>#DIV/0!</v>
      </c>
      <c r="I12" s="13" t="e">
        <f t="shared" ca="1" si="19"/>
        <v>#DIV/0!</v>
      </c>
      <c r="J12" s="13" t="e">
        <f t="shared" ca="1" si="20"/>
        <v>#DIV/0!</v>
      </c>
      <c r="K12" s="13" t="e">
        <f t="shared" ca="1" si="21"/>
        <v>#DIV/0!</v>
      </c>
      <c r="L12" s="13" t="e">
        <f t="shared" ca="1" si="22"/>
        <v>#DIV/0!</v>
      </c>
      <c r="M12" s="13" t="e">
        <f t="shared" ca="1" si="23"/>
        <v>#DIV/0!</v>
      </c>
      <c r="N12" s="13" t="e">
        <f t="shared" ca="1" si="24"/>
        <v>#DIV/0!</v>
      </c>
      <c r="O12" s="13" t="e">
        <f t="shared" ca="1" si="25"/>
        <v>#DIV/0!</v>
      </c>
      <c r="P12" s="13" t="e">
        <f t="shared" ca="1" si="26"/>
        <v>#DIV/0!</v>
      </c>
      <c r="Q12" s="13">
        <f t="shared" si="27"/>
        <v>46102.843917105274</v>
      </c>
      <c r="R12" s="13">
        <f t="shared" si="27"/>
        <v>53298781.917860284</v>
      </c>
      <c r="S12" s="13">
        <f t="shared" si="27"/>
        <v>3668690231.0444937</v>
      </c>
      <c r="T12" s="13">
        <f t="shared" si="27"/>
        <v>61617940117.399643</v>
      </c>
      <c r="U12" s="13">
        <f t="shared" si="27"/>
        <v>462220459250.75024</v>
      </c>
      <c r="V12" s="13">
        <f t="shared" si="27"/>
        <v>2095138237500.9207</v>
      </c>
      <c r="W12" s="13">
        <f t="shared" si="27"/>
        <v>6787903978965.0586</v>
      </c>
      <c r="X12" s="13">
        <f t="shared" si="27"/>
        <v>17385619799476.635</v>
      </c>
      <c r="Y12" s="54">
        <f t="shared" si="27"/>
        <v>25032797236334.031</v>
      </c>
      <c r="Z12" s="13">
        <f t="shared" si="27"/>
        <v>37535371495022.039</v>
      </c>
      <c r="AA12" s="13">
        <f t="shared" si="27"/>
        <v>71297161593920.547</v>
      </c>
      <c r="AB12" s="13">
        <f t="shared" si="28"/>
        <v>122731981129149.11</v>
      </c>
      <c r="AC12" s="13">
        <f t="shared" si="51"/>
        <v>0</v>
      </c>
      <c r="AD12" s="13">
        <f t="shared" si="29"/>
        <v>0</v>
      </c>
      <c r="AE12" s="13">
        <f t="shared" si="30"/>
        <v>0</v>
      </c>
      <c r="AF12" s="13">
        <f t="shared" si="31"/>
        <v>0</v>
      </c>
      <c r="AG12" s="13">
        <f t="shared" si="32"/>
        <v>0</v>
      </c>
      <c r="AH12" s="13">
        <f t="shared" si="33"/>
        <v>0</v>
      </c>
      <c r="AI12" s="13">
        <f t="shared" si="34"/>
        <v>0</v>
      </c>
      <c r="AJ12" s="13">
        <f t="shared" si="35"/>
        <v>0</v>
      </c>
      <c r="AK12" s="13">
        <f t="shared" si="35"/>
        <v>0</v>
      </c>
      <c r="AL12" s="13">
        <f t="shared" si="35"/>
        <v>0</v>
      </c>
      <c r="AM12" s="13">
        <f t="shared" si="36"/>
        <v>0</v>
      </c>
      <c r="AN12" s="13">
        <f t="shared" si="37"/>
        <v>0</v>
      </c>
      <c r="AO12" s="13">
        <f t="shared" si="38"/>
        <v>0</v>
      </c>
      <c r="AP12" s="13">
        <f t="shared" si="39"/>
        <v>0</v>
      </c>
      <c r="AQ12" s="13">
        <f t="shared" si="52"/>
        <v>0</v>
      </c>
      <c r="AR12" s="13">
        <f t="shared" si="40"/>
        <v>0</v>
      </c>
      <c r="AS12" s="13">
        <f t="shared" si="41"/>
        <v>0</v>
      </c>
      <c r="AT12" s="13">
        <f t="shared" si="42"/>
        <v>0</v>
      </c>
      <c r="AU12" s="13">
        <f t="shared" si="43"/>
        <v>0</v>
      </c>
      <c r="AV12" s="13">
        <f t="shared" si="44"/>
        <v>0</v>
      </c>
      <c r="AW12" s="13">
        <f t="shared" si="45"/>
        <v>0</v>
      </c>
      <c r="AX12" s="13">
        <f t="shared" si="46"/>
        <v>0</v>
      </c>
      <c r="AY12" s="13">
        <f t="shared" si="47"/>
        <v>0</v>
      </c>
      <c r="AZ12" s="13">
        <f t="shared" si="48"/>
        <v>0</v>
      </c>
      <c r="BA12" s="13">
        <f t="shared" si="49"/>
        <v>0</v>
      </c>
      <c r="BB12" s="13">
        <f t="shared" si="50"/>
        <v>0</v>
      </c>
    </row>
    <row r="13" spans="1:54">
      <c r="A13">
        <f>data0!A11</f>
        <v>345</v>
      </c>
      <c r="B13">
        <v>0</v>
      </c>
      <c r="C13" t="e">
        <f ca="1">(Calculations!C12-C$2)/C$1</f>
        <v>#DIV/0!</v>
      </c>
      <c r="D13" s="13" t="e">
        <f t="shared" ca="1" si="14"/>
        <v>#DIV/0!</v>
      </c>
      <c r="E13" s="13" t="e">
        <f t="shared" ca="1" si="15"/>
        <v>#DIV/0!</v>
      </c>
      <c r="F13" s="13" t="e">
        <f t="shared" ca="1" si="16"/>
        <v>#DIV/0!</v>
      </c>
      <c r="G13" s="13" t="e">
        <f t="shared" ca="1" si="17"/>
        <v>#DIV/0!</v>
      </c>
      <c r="H13" s="13" t="e">
        <f t="shared" ca="1" si="18"/>
        <v>#DIV/0!</v>
      </c>
      <c r="I13" s="13" t="e">
        <f t="shared" ca="1" si="19"/>
        <v>#DIV/0!</v>
      </c>
      <c r="J13" s="13" t="e">
        <f t="shared" ca="1" si="20"/>
        <v>#DIV/0!</v>
      </c>
      <c r="K13" s="13" t="e">
        <f t="shared" ca="1" si="21"/>
        <v>#DIV/0!</v>
      </c>
      <c r="L13" s="13" t="e">
        <f t="shared" ca="1" si="22"/>
        <v>#DIV/0!</v>
      </c>
      <c r="M13" s="13" t="e">
        <f t="shared" ca="1" si="23"/>
        <v>#DIV/0!</v>
      </c>
      <c r="N13" s="13" t="e">
        <f t="shared" ca="1" si="24"/>
        <v>#DIV/0!</v>
      </c>
      <c r="O13" s="13" t="e">
        <f t="shared" ca="1" si="25"/>
        <v>#DIV/0!</v>
      </c>
      <c r="P13" s="13" t="e">
        <f t="shared" ca="1" si="26"/>
        <v>#DIV/0!</v>
      </c>
      <c r="Q13" s="13">
        <f t="shared" si="27"/>
        <v>64504.711727902366</v>
      </c>
      <c r="R13" s="13">
        <f t="shared" si="27"/>
        <v>67327091.451456979</v>
      </c>
      <c r="S13" s="13">
        <f t="shared" si="27"/>
        <v>4358619184.4151621</v>
      </c>
      <c r="T13" s="13">
        <f t="shared" si="27"/>
        <v>70273027733.6418</v>
      </c>
      <c r="U13" s="13">
        <f t="shared" si="27"/>
        <v>511973946575.20874</v>
      </c>
      <c r="V13" s="13">
        <f t="shared" si="27"/>
        <v>2270389415224.0352</v>
      </c>
      <c r="W13" s="13">
        <f t="shared" si="27"/>
        <v>7231497340592.707</v>
      </c>
      <c r="X13" s="13">
        <f t="shared" si="27"/>
        <v>18271349965664.051</v>
      </c>
      <c r="Y13" s="54">
        <f t="shared" si="27"/>
        <v>26169800952539.484</v>
      </c>
      <c r="Z13" s="13">
        <f t="shared" si="27"/>
        <v>39011252230469.375</v>
      </c>
      <c r="AA13" s="13">
        <f t="shared" si="27"/>
        <v>73418070946660.219</v>
      </c>
      <c r="AB13" s="13">
        <f t="shared" si="28"/>
        <v>125399945817443.7</v>
      </c>
      <c r="AC13" s="13">
        <f t="shared" si="51"/>
        <v>0</v>
      </c>
      <c r="AD13" s="13">
        <f t="shared" si="29"/>
        <v>0</v>
      </c>
      <c r="AE13" s="13">
        <f t="shared" si="30"/>
        <v>0</v>
      </c>
      <c r="AF13" s="13">
        <f t="shared" si="31"/>
        <v>0</v>
      </c>
      <c r="AG13" s="13">
        <f t="shared" si="32"/>
        <v>0</v>
      </c>
      <c r="AH13" s="13">
        <f t="shared" si="33"/>
        <v>0</v>
      </c>
      <c r="AI13" s="13">
        <f t="shared" si="34"/>
        <v>0</v>
      </c>
      <c r="AJ13" s="13">
        <f t="shared" si="35"/>
        <v>0</v>
      </c>
      <c r="AK13" s="13">
        <f t="shared" si="35"/>
        <v>0</v>
      </c>
      <c r="AL13" s="13">
        <f t="shared" si="35"/>
        <v>0</v>
      </c>
      <c r="AM13" s="13">
        <f t="shared" si="36"/>
        <v>0</v>
      </c>
      <c r="AN13" s="13">
        <f t="shared" si="37"/>
        <v>0</v>
      </c>
      <c r="AO13" s="13">
        <f t="shared" si="38"/>
        <v>0</v>
      </c>
      <c r="AP13" s="13">
        <f t="shared" si="39"/>
        <v>0</v>
      </c>
      <c r="AQ13" s="13">
        <f t="shared" si="52"/>
        <v>0</v>
      </c>
      <c r="AR13" s="13">
        <f t="shared" si="40"/>
        <v>0</v>
      </c>
      <c r="AS13" s="13">
        <f t="shared" si="41"/>
        <v>0</v>
      </c>
      <c r="AT13" s="13">
        <f t="shared" si="42"/>
        <v>0</v>
      </c>
      <c r="AU13" s="13">
        <f t="shared" si="43"/>
        <v>0</v>
      </c>
      <c r="AV13" s="13">
        <f t="shared" si="44"/>
        <v>0</v>
      </c>
      <c r="AW13" s="13">
        <f t="shared" si="45"/>
        <v>0</v>
      </c>
      <c r="AX13" s="13">
        <f t="shared" si="46"/>
        <v>0</v>
      </c>
      <c r="AY13" s="13">
        <f t="shared" si="47"/>
        <v>0</v>
      </c>
      <c r="AZ13" s="13">
        <f t="shared" si="48"/>
        <v>0</v>
      </c>
      <c r="BA13" s="13">
        <f t="shared" si="49"/>
        <v>0</v>
      </c>
      <c r="BB13" s="13">
        <f t="shared" si="50"/>
        <v>0</v>
      </c>
    </row>
    <row r="14" spans="1:54">
      <c r="A14">
        <f>data0!A12</f>
        <v>350</v>
      </c>
      <c r="B14">
        <v>0</v>
      </c>
      <c r="C14" t="e">
        <f ca="1">(Calculations!C13-C$2)/C$1</f>
        <v>#DIV/0!</v>
      </c>
      <c r="D14" s="13" t="e">
        <f t="shared" ca="1" si="14"/>
        <v>#DIV/0!</v>
      </c>
      <c r="E14" s="13" t="e">
        <f t="shared" ca="1" si="15"/>
        <v>#DIV/0!</v>
      </c>
      <c r="F14" s="13" t="e">
        <f t="shared" ca="1" si="16"/>
        <v>#DIV/0!</v>
      </c>
      <c r="G14" s="13" t="e">
        <f t="shared" ca="1" si="17"/>
        <v>#DIV/0!</v>
      </c>
      <c r="H14" s="13" t="e">
        <f t="shared" ca="1" si="18"/>
        <v>#DIV/0!</v>
      </c>
      <c r="I14" s="13" t="e">
        <f t="shared" ca="1" si="19"/>
        <v>#DIV/0!</v>
      </c>
      <c r="J14" s="13" t="e">
        <f t="shared" ca="1" si="20"/>
        <v>#DIV/0!</v>
      </c>
      <c r="K14" s="13" t="e">
        <f t="shared" ca="1" si="21"/>
        <v>#DIV/0!</v>
      </c>
      <c r="L14" s="13" t="e">
        <f t="shared" ca="1" si="22"/>
        <v>#DIV/0!</v>
      </c>
      <c r="M14" s="13" t="e">
        <f t="shared" ca="1" si="23"/>
        <v>#DIV/0!</v>
      </c>
      <c r="N14" s="13" t="e">
        <f t="shared" ca="1" si="24"/>
        <v>#DIV/0!</v>
      </c>
      <c r="O14" s="13" t="e">
        <f t="shared" ca="1" si="25"/>
        <v>#DIV/0!</v>
      </c>
      <c r="P14" s="13" t="e">
        <f t="shared" ca="1" si="26"/>
        <v>#DIV/0!</v>
      </c>
      <c r="Q14" s="13">
        <f t="shared" si="27"/>
        <v>89297.238839628466</v>
      </c>
      <c r="R14" s="13">
        <f t="shared" si="27"/>
        <v>84394396.215138242</v>
      </c>
      <c r="S14" s="13">
        <f t="shared" si="27"/>
        <v>5147531217.5239725</v>
      </c>
      <c r="T14" s="13">
        <f t="shared" si="27"/>
        <v>79760832050.466095</v>
      </c>
      <c r="U14" s="13">
        <f t="shared" si="27"/>
        <v>564843990754.5321</v>
      </c>
      <c r="V14" s="13">
        <f t="shared" si="27"/>
        <v>2452121172790.6865</v>
      </c>
      <c r="W14" s="13">
        <f t="shared" si="27"/>
        <v>7682214057052.6514</v>
      </c>
      <c r="X14" s="13">
        <f t="shared" si="27"/>
        <v>19155187497971.891</v>
      </c>
      <c r="Y14" s="54">
        <f t="shared" si="27"/>
        <v>27295600166408.395</v>
      </c>
      <c r="Z14" s="13">
        <f t="shared" si="27"/>
        <v>40458852013795.297</v>
      </c>
      <c r="AA14" s="13">
        <f t="shared" si="27"/>
        <v>75461344204853.5</v>
      </c>
      <c r="AB14" s="13">
        <f t="shared" si="28"/>
        <v>127916504785454</v>
      </c>
      <c r="AC14" s="13">
        <f t="shared" si="51"/>
        <v>0</v>
      </c>
      <c r="AD14" s="13">
        <f t="shared" si="29"/>
        <v>0</v>
      </c>
      <c r="AE14" s="13">
        <f t="shared" si="30"/>
        <v>0</v>
      </c>
      <c r="AF14" s="13">
        <f t="shared" si="31"/>
        <v>0</v>
      </c>
      <c r="AG14" s="13">
        <f t="shared" si="32"/>
        <v>0</v>
      </c>
      <c r="AH14" s="13">
        <f t="shared" si="33"/>
        <v>0</v>
      </c>
      <c r="AI14" s="13">
        <f t="shared" si="34"/>
        <v>0</v>
      </c>
      <c r="AJ14" s="13">
        <f t="shared" si="35"/>
        <v>0</v>
      </c>
      <c r="AK14" s="13">
        <f t="shared" si="35"/>
        <v>0</v>
      </c>
      <c r="AL14" s="13">
        <f t="shared" si="35"/>
        <v>0</v>
      </c>
      <c r="AM14" s="13">
        <f t="shared" si="36"/>
        <v>0</v>
      </c>
      <c r="AN14" s="13">
        <f t="shared" si="37"/>
        <v>0</v>
      </c>
      <c r="AO14" s="13">
        <f t="shared" si="38"/>
        <v>0</v>
      </c>
      <c r="AP14" s="13">
        <f t="shared" si="39"/>
        <v>0</v>
      </c>
      <c r="AQ14" s="13">
        <f t="shared" si="52"/>
        <v>0</v>
      </c>
      <c r="AR14" s="13">
        <f t="shared" si="40"/>
        <v>0</v>
      </c>
      <c r="AS14" s="13">
        <f t="shared" si="41"/>
        <v>0</v>
      </c>
      <c r="AT14" s="13">
        <f t="shared" si="42"/>
        <v>0</v>
      </c>
      <c r="AU14" s="13">
        <f t="shared" si="43"/>
        <v>0</v>
      </c>
      <c r="AV14" s="13">
        <f t="shared" si="44"/>
        <v>0</v>
      </c>
      <c r="AW14" s="13">
        <f t="shared" si="45"/>
        <v>0</v>
      </c>
      <c r="AX14" s="13">
        <f t="shared" si="46"/>
        <v>0</v>
      </c>
      <c r="AY14" s="13">
        <f t="shared" si="47"/>
        <v>0</v>
      </c>
      <c r="AZ14" s="13">
        <f t="shared" si="48"/>
        <v>0</v>
      </c>
      <c r="BA14" s="13">
        <f t="shared" si="49"/>
        <v>0</v>
      </c>
      <c r="BB14" s="13">
        <f t="shared" si="50"/>
        <v>0</v>
      </c>
    </row>
    <row r="15" spans="1:54">
      <c r="A15">
        <f>data0!A13</f>
        <v>355</v>
      </c>
      <c r="B15">
        <v>0</v>
      </c>
      <c r="C15" t="e">
        <f ca="1">(Calculations!C14-C$2)/C$1</f>
        <v>#DIV/0!</v>
      </c>
      <c r="D15" s="13" t="e">
        <f t="shared" ca="1" si="14"/>
        <v>#DIV/0!</v>
      </c>
      <c r="E15" s="13" t="e">
        <f t="shared" ca="1" si="15"/>
        <v>#DIV/0!</v>
      </c>
      <c r="F15" s="13" t="e">
        <f t="shared" ca="1" si="16"/>
        <v>#DIV/0!</v>
      </c>
      <c r="G15" s="13" t="e">
        <f t="shared" ca="1" si="17"/>
        <v>#DIV/0!</v>
      </c>
      <c r="H15" s="13" t="e">
        <f t="shared" ca="1" si="18"/>
        <v>#DIV/0!</v>
      </c>
      <c r="I15" s="13" t="e">
        <f t="shared" ca="1" si="19"/>
        <v>#DIV/0!</v>
      </c>
      <c r="J15" s="13" t="e">
        <f t="shared" ca="1" si="20"/>
        <v>#DIV/0!</v>
      </c>
      <c r="K15" s="13" t="e">
        <f t="shared" ca="1" si="21"/>
        <v>#DIV/0!</v>
      </c>
      <c r="L15" s="13" t="e">
        <f t="shared" ca="1" si="22"/>
        <v>#DIV/0!</v>
      </c>
      <c r="M15" s="13" t="e">
        <f t="shared" ca="1" si="23"/>
        <v>#DIV/0!</v>
      </c>
      <c r="N15" s="13" t="e">
        <f t="shared" ca="1" si="24"/>
        <v>#DIV/0!</v>
      </c>
      <c r="O15" s="13" t="e">
        <f t="shared" ca="1" si="25"/>
        <v>#DIV/0!</v>
      </c>
      <c r="P15" s="13" t="e">
        <f t="shared" ca="1" si="26"/>
        <v>#DIV/0!</v>
      </c>
      <c r="Q15" s="13">
        <f t="shared" si="27"/>
        <v>122368.29637232497</v>
      </c>
      <c r="R15" s="13">
        <f t="shared" si="27"/>
        <v>105011385.22087966</v>
      </c>
      <c r="S15" s="13">
        <f t="shared" si="27"/>
        <v>6044730041.4236727</v>
      </c>
      <c r="T15" s="13">
        <f t="shared" si="27"/>
        <v>90116527663.325195</v>
      </c>
      <c r="U15" s="13">
        <f t="shared" si="27"/>
        <v>620826229620.03235</v>
      </c>
      <c r="V15" s="13">
        <f t="shared" si="27"/>
        <v>2640005745089.3901</v>
      </c>
      <c r="W15" s="13">
        <f t="shared" si="27"/>
        <v>8138957234426.6562</v>
      </c>
      <c r="X15" s="13">
        <f t="shared" si="27"/>
        <v>20034980667020.887</v>
      </c>
      <c r="Y15" s="54">
        <f t="shared" si="27"/>
        <v>28407613133561.734</v>
      </c>
      <c r="Z15" s="13">
        <f t="shared" si="27"/>
        <v>41875241718829.094</v>
      </c>
      <c r="AA15" s="13">
        <f t="shared" si="27"/>
        <v>77424374393536.062</v>
      </c>
      <c r="AB15" s="13">
        <f t="shared" si="28"/>
        <v>130281304449516.75</v>
      </c>
      <c r="AC15" s="13">
        <f t="shared" si="51"/>
        <v>0</v>
      </c>
      <c r="AD15" s="13">
        <f t="shared" si="29"/>
        <v>0</v>
      </c>
      <c r="AE15" s="13">
        <f t="shared" si="30"/>
        <v>0</v>
      </c>
      <c r="AF15" s="13">
        <f t="shared" si="31"/>
        <v>0</v>
      </c>
      <c r="AG15" s="13">
        <f t="shared" si="32"/>
        <v>0</v>
      </c>
      <c r="AH15" s="13">
        <f t="shared" si="33"/>
        <v>0</v>
      </c>
      <c r="AI15" s="13">
        <f t="shared" si="34"/>
        <v>0</v>
      </c>
      <c r="AJ15" s="13">
        <f t="shared" si="35"/>
        <v>0</v>
      </c>
      <c r="AK15" s="13">
        <f t="shared" si="35"/>
        <v>0</v>
      </c>
      <c r="AL15" s="13">
        <f t="shared" si="35"/>
        <v>0</v>
      </c>
      <c r="AM15" s="13">
        <f t="shared" si="36"/>
        <v>0</v>
      </c>
      <c r="AN15" s="13">
        <f t="shared" si="37"/>
        <v>0</v>
      </c>
      <c r="AO15" s="13">
        <f t="shared" si="38"/>
        <v>0</v>
      </c>
      <c r="AP15" s="13">
        <f t="shared" si="39"/>
        <v>0</v>
      </c>
      <c r="AQ15" s="13">
        <f t="shared" si="52"/>
        <v>0</v>
      </c>
      <c r="AR15" s="13">
        <f t="shared" si="40"/>
        <v>0</v>
      </c>
      <c r="AS15" s="13">
        <f t="shared" si="41"/>
        <v>0</v>
      </c>
      <c r="AT15" s="13">
        <f t="shared" si="42"/>
        <v>0</v>
      </c>
      <c r="AU15" s="13">
        <f t="shared" si="43"/>
        <v>0</v>
      </c>
      <c r="AV15" s="13">
        <f t="shared" si="44"/>
        <v>0</v>
      </c>
      <c r="AW15" s="13">
        <f t="shared" si="45"/>
        <v>0</v>
      </c>
      <c r="AX15" s="13">
        <f t="shared" si="46"/>
        <v>0</v>
      </c>
      <c r="AY15" s="13">
        <f t="shared" si="47"/>
        <v>0</v>
      </c>
      <c r="AZ15" s="13">
        <f t="shared" si="48"/>
        <v>0</v>
      </c>
      <c r="BA15" s="13">
        <f t="shared" si="49"/>
        <v>0</v>
      </c>
      <c r="BB15" s="13">
        <f t="shared" si="50"/>
        <v>0</v>
      </c>
    </row>
    <row r="16" spans="1:54">
      <c r="A16">
        <f>data0!A14</f>
        <v>360</v>
      </c>
      <c r="B16">
        <v>0</v>
      </c>
      <c r="C16" t="e">
        <f ca="1">(Calculations!C15-C$2)/C$1</f>
        <v>#DIV/0!</v>
      </c>
      <c r="D16" s="13" t="e">
        <f t="shared" ca="1" si="14"/>
        <v>#DIV/0!</v>
      </c>
      <c r="E16" s="13" t="e">
        <f t="shared" ca="1" si="15"/>
        <v>#DIV/0!</v>
      </c>
      <c r="F16" s="13" t="e">
        <f t="shared" ca="1" si="16"/>
        <v>#DIV/0!</v>
      </c>
      <c r="G16" s="13" t="e">
        <f t="shared" ca="1" si="17"/>
        <v>#DIV/0!</v>
      </c>
      <c r="H16" s="13" t="e">
        <f t="shared" ca="1" si="18"/>
        <v>#DIV/0!</v>
      </c>
      <c r="I16" s="13" t="e">
        <f t="shared" ca="1" si="19"/>
        <v>#DIV/0!</v>
      </c>
      <c r="J16" s="13" t="e">
        <f t="shared" ca="1" si="20"/>
        <v>#DIV/0!</v>
      </c>
      <c r="K16" s="13" t="e">
        <f t="shared" ca="1" si="21"/>
        <v>#DIV/0!</v>
      </c>
      <c r="L16" s="13" t="e">
        <f t="shared" ca="1" si="22"/>
        <v>#DIV/0!</v>
      </c>
      <c r="M16" s="13" t="e">
        <f t="shared" ca="1" si="23"/>
        <v>#DIV/0!</v>
      </c>
      <c r="N16" s="13" t="e">
        <f t="shared" ca="1" si="24"/>
        <v>#DIV/0!</v>
      </c>
      <c r="O16" s="13" t="e">
        <f t="shared" ca="1" si="25"/>
        <v>#DIV/0!</v>
      </c>
      <c r="P16" s="13" t="e">
        <f t="shared" ca="1" si="26"/>
        <v>#DIV/0!</v>
      </c>
      <c r="Q16" s="13">
        <f t="shared" si="27"/>
        <v>166063.48429809129</v>
      </c>
      <c r="R16" s="13">
        <f t="shared" si="27"/>
        <v>129747090.26762003</v>
      </c>
      <c r="S16" s="13">
        <f t="shared" si="27"/>
        <v>7059789692.4009743</v>
      </c>
      <c r="T16" s="13">
        <f t="shared" si="27"/>
        <v>101372887667.91612</v>
      </c>
      <c r="U16" s="13">
        <f t="shared" si="27"/>
        <v>679902866660.90088</v>
      </c>
      <c r="V16" s="13">
        <f t="shared" si="27"/>
        <v>2833692580232.834</v>
      </c>
      <c r="W16" s="13">
        <f t="shared" si="27"/>
        <v>8600633643204.1963</v>
      </c>
      <c r="X16" s="13">
        <f t="shared" si="27"/>
        <v>20908679417761.461</v>
      </c>
      <c r="Y16" s="54">
        <f t="shared" si="27"/>
        <v>29503430266457.852</v>
      </c>
      <c r="Z16" s="13">
        <f t="shared" si="27"/>
        <v>43257768570122.734</v>
      </c>
      <c r="AA16" s="13">
        <f t="shared" si="27"/>
        <v>79305041502657.609</v>
      </c>
      <c r="AB16" s="13">
        <f t="shared" si="28"/>
        <v>132494646035780.86</v>
      </c>
      <c r="AC16" s="13">
        <f t="shared" si="51"/>
        <v>0</v>
      </c>
      <c r="AD16" s="13">
        <f t="shared" si="29"/>
        <v>0</v>
      </c>
      <c r="AE16" s="13">
        <f t="shared" si="30"/>
        <v>0</v>
      </c>
      <c r="AF16" s="13">
        <f t="shared" si="31"/>
        <v>0</v>
      </c>
      <c r="AG16" s="13">
        <f t="shared" si="32"/>
        <v>0</v>
      </c>
      <c r="AH16" s="13">
        <f t="shared" si="33"/>
        <v>0</v>
      </c>
      <c r="AI16" s="13">
        <f t="shared" si="34"/>
        <v>0</v>
      </c>
      <c r="AJ16" s="13">
        <f t="shared" si="35"/>
        <v>0</v>
      </c>
      <c r="AK16" s="13">
        <f t="shared" si="35"/>
        <v>0</v>
      </c>
      <c r="AL16" s="13">
        <f t="shared" si="35"/>
        <v>0</v>
      </c>
      <c r="AM16" s="13">
        <f t="shared" si="36"/>
        <v>0</v>
      </c>
      <c r="AN16" s="13">
        <f t="shared" si="37"/>
        <v>0</v>
      </c>
      <c r="AO16" s="13">
        <f t="shared" si="38"/>
        <v>0</v>
      </c>
      <c r="AP16" s="13">
        <f t="shared" si="39"/>
        <v>0</v>
      </c>
      <c r="AQ16" s="13">
        <f t="shared" si="52"/>
        <v>0</v>
      </c>
      <c r="AR16" s="13">
        <f t="shared" si="40"/>
        <v>0</v>
      </c>
      <c r="AS16" s="13">
        <f t="shared" si="41"/>
        <v>0</v>
      </c>
      <c r="AT16" s="13">
        <f t="shared" si="42"/>
        <v>0</v>
      </c>
      <c r="AU16" s="13">
        <f t="shared" si="43"/>
        <v>0</v>
      </c>
      <c r="AV16" s="13">
        <f t="shared" si="44"/>
        <v>0</v>
      </c>
      <c r="AW16" s="13">
        <f t="shared" si="45"/>
        <v>0</v>
      </c>
      <c r="AX16" s="13">
        <f t="shared" si="46"/>
        <v>0</v>
      </c>
      <c r="AY16" s="13">
        <f t="shared" si="47"/>
        <v>0</v>
      </c>
      <c r="AZ16" s="13">
        <f t="shared" si="48"/>
        <v>0</v>
      </c>
      <c r="BA16" s="13">
        <f t="shared" si="49"/>
        <v>0</v>
      </c>
      <c r="BB16" s="13">
        <f t="shared" si="50"/>
        <v>0</v>
      </c>
    </row>
    <row r="17" spans="1:54">
      <c r="A17">
        <f>data0!A15</f>
        <v>365</v>
      </c>
      <c r="B17">
        <v>0</v>
      </c>
      <c r="C17" t="e">
        <f ca="1">(Calculations!C16-C$2)/C$1</f>
        <v>#DIV/0!</v>
      </c>
      <c r="D17" s="13" t="e">
        <f t="shared" ca="1" si="14"/>
        <v>#DIV/0!</v>
      </c>
      <c r="E17" s="13" t="e">
        <f t="shared" ca="1" si="15"/>
        <v>#DIV/0!</v>
      </c>
      <c r="F17" s="13" t="e">
        <f t="shared" ca="1" si="16"/>
        <v>#DIV/0!</v>
      </c>
      <c r="G17" s="13" t="e">
        <f t="shared" ca="1" si="17"/>
        <v>#DIV/0!</v>
      </c>
      <c r="H17" s="13" t="e">
        <f t="shared" ca="1" si="18"/>
        <v>#DIV/0!</v>
      </c>
      <c r="I17" s="13" t="e">
        <f t="shared" ca="1" si="19"/>
        <v>#DIV/0!</v>
      </c>
      <c r="J17" s="13" t="e">
        <f t="shared" ca="1" si="20"/>
        <v>#DIV/0!</v>
      </c>
      <c r="K17" s="13" t="e">
        <f t="shared" ca="1" si="21"/>
        <v>#DIV/0!</v>
      </c>
      <c r="L17" s="13" t="e">
        <f t="shared" ca="1" si="22"/>
        <v>#DIV/0!</v>
      </c>
      <c r="M17" s="13" t="e">
        <f t="shared" ca="1" si="23"/>
        <v>#DIV/0!</v>
      </c>
      <c r="N17" s="13" t="e">
        <f t="shared" ca="1" si="24"/>
        <v>#DIV/0!</v>
      </c>
      <c r="O17" s="13" t="e">
        <f t="shared" ca="1" si="25"/>
        <v>#DIV/0!</v>
      </c>
      <c r="P17" s="13" t="e">
        <f t="shared" ca="1" si="26"/>
        <v>#DIV/0!</v>
      </c>
      <c r="Q17" s="13">
        <f t="shared" si="27"/>
        <v>223271.45528003</v>
      </c>
      <c r="R17" s="13">
        <f t="shared" si="27"/>
        <v>159231492.4246434</v>
      </c>
      <c r="S17" s="13">
        <f t="shared" si="27"/>
        <v>8202504605.2521048</v>
      </c>
      <c r="T17" s="13">
        <f t="shared" si="27"/>
        <v>113560051187.55537</v>
      </c>
      <c r="U17" s="13">
        <f t="shared" si="27"/>
        <v>742043036935.34778</v>
      </c>
      <c r="V17" s="13">
        <f t="shared" si="27"/>
        <v>3032811442189.5444</v>
      </c>
      <c r="W17" s="13">
        <f t="shared" si="27"/>
        <v>9066160384268.3398</v>
      </c>
      <c r="X17" s="13">
        <f t="shared" si="27"/>
        <v>21774341413888.871</v>
      </c>
      <c r="Y17" s="54">
        <f t="shared" si="27"/>
        <v>30580816896912.426</v>
      </c>
      <c r="Z17" s="13">
        <f t="shared" si="27"/>
        <v>44604051522374.883</v>
      </c>
      <c r="AA17" s="13">
        <f t="shared" si="27"/>
        <v>81101684385997.453</v>
      </c>
      <c r="AB17" s="13">
        <f t="shared" si="28"/>
        <v>134557423673609.39</v>
      </c>
      <c r="AC17" s="13">
        <f t="shared" si="51"/>
        <v>0</v>
      </c>
      <c r="AD17" s="13">
        <f t="shared" si="29"/>
        <v>0</v>
      </c>
      <c r="AE17" s="13">
        <f t="shared" si="30"/>
        <v>0</v>
      </c>
      <c r="AF17" s="13">
        <f t="shared" si="31"/>
        <v>0</v>
      </c>
      <c r="AG17" s="13">
        <f t="shared" si="32"/>
        <v>0</v>
      </c>
      <c r="AH17" s="13">
        <f t="shared" si="33"/>
        <v>0</v>
      </c>
      <c r="AI17" s="13">
        <f t="shared" si="34"/>
        <v>0</v>
      </c>
      <c r="AJ17" s="13">
        <f t="shared" si="35"/>
        <v>0</v>
      </c>
      <c r="AK17" s="13">
        <f t="shared" si="35"/>
        <v>0</v>
      </c>
      <c r="AL17" s="13">
        <f t="shared" si="35"/>
        <v>0</v>
      </c>
      <c r="AM17" s="13">
        <f t="shared" si="36"/>
        <v>0</v>
      </c>
      <c r="AN17" s="13">
        <f t="shared" si="37"/>
        <v>0</v>
      </c>
      <c r="AO17" s="13">
        <f t="shared" si="38"/>
        <v>0</v>
      </c>
      <c r="AP17" s="13">
        <f t="shared" si="39"/>
        <v>0</v>
      </c>
      <c r="AQ17" s="13">
        <f t="shared" si="52"/>
        <v>0</v>
      </c>
      <c r="AR17" s="13">
        <f t="shared" si="40"/>
        <v>0</v>
      </c>
      <c r="AS17" s="13">
        <f t="shared" si="41"/>
        <v>0</v>
      </c>
      <c r="AT17" s="13">
        <f t="shared" si="42"/>
        <v>0</v>
      </c>
      <c r="AU17" s="13">
        <f t="shared" si="43"/>
        <v>0</v>
      </c>
      <c r="AV17" s="13">
        <f t="shared" si="44"/>
        <v>0</v>
      </c>
      <c r="AW17" s="13">
        <f t="shared" si="45"/>
        <v>0</v>
      </c>
      <c r="AX17" s="13">
        <f t="shared" si="46"/>
        <v>0</v>
      </c>
      <c r="AY17" s="13">
        <f t="shared" si="47"/>
        <v>0</v>
      </c>
      <c r="AZ17" s="13">
        <f t="shared" si="48"/>
        <v>0</v>
      </c>
      <c r="BA17" s="13">
        <f t="shared" si="49"/>
        <v>0</v>
      </c>
      <c r="BB17" s="13">
        <f t="shared" si="50"/>
        <v>0</v>
      </c>
    </row>
    <row r="18" spans="1:54">
      <c r="A18">
        <f>data0!A16</f>
        <v>370</v>
      </c>
      <c r="B18">
        <v>0</v>
      </c>
      <c r="C18" t="e">
        <f ca="1">(Calculations!C17-C$2)/C$1</f>
        <v>#DIV/0!</v>
      </c>
      <c r="D18" s="13" t="e">
        <f t="shared" ca="1" si="14"/>
        <v>#DIV/0!</v>
      </c>
      <c r="E18" s="13" t="e">
        <f t="shared" ca="1" si="15"/>
        <v>#DIV/0!</v>
      </c>
      <c r="F18" s="13" t="e">
        <f t="shared" ca="1" si="16"/>
        <v>#DIV/0!</v>
      </c>
      <c r="G18" s="13" t="e">
        <f t="shared" ca="1" si="17"/>
        <v>#DIV/0!</v>
      </c>
      <c r="H18" s="13" t="e">
        <f t="shared" ca="1" si="18"/>
        <v>#DIV/0!</v>
      </c>
      <c r="I18" s="13" t="e">
        <f t="shared" ca="1" si="19"/>
        <v>#DIV/0!</v>
      </c>
      <c r="J18" s="13" t="e">
        <f t="shared" ca="1" si="20"/>
        <v>#DIV/0!</v>
      </c>
      <c r="K18" s="13" t="e">
        <f t="shared" ca="1" si="21"/>
        <v>#DIV/0!</v>
      </c>
      <c r="L18" s="13" t="e">
        <f t="shared" ca="1" si="22"/>
        <v>#DIV/0!</v>
      </c>
      <c r="M18" s="13" t="e">
        <f t="shared" ca="1" si="23"/>
        <v>#DIV/0!</v>
      </c>
      <c r="N18" s="13" t="e">
        <f t="shared" ca="1" si="24"/>
        <v>#DIV/0!</v>
      </c>
      <c r="O18" s="13" t="e">
        <f t="shared" ca="1" si="25"/>
        <v>#DIV/0!</v>
      </c>
      <c r="P18" s="13" t="e">
        <f t="shared" ca="1" si="26"/>
        <v>#DIV/0!</v>
      </c>
      <c r="Q18" s="13">
        <f t="shared" si="27"/>
        <v>297519.68323893566</v>
      </c>
      <c r="R18" s="13">
        <f t="shared" si="27"/>
        <v>194157766.02398312</v>
      </c>
      <c r="S18" s="13">
        <f t="shared" si="27"/>
        <v>9482836839.9888649</v>
      </c>
      <c r="T18" s="13">
        <f t="shared" si="27"/>
        <v>126705318935.97191</v>
      </c>
      <c r="U18" s="13">
        <f t="shared" si="27"/>
        <v>807203269734.68018</v>
      </c>
      <c r="V18" s="13">
        <f t="shared" si="27"/>
        <v>3236975478326.499</v>
      </c>
      <c r="W18" s="13">
        <f t="shared" si="27"/>
        <v>9534470927179.8965</v>
      </c>
      <c r="X18" s="13">
        <f t="shared" si="27"/>
        <v>22630136602554.684</v>
      </c>
      <c r="Y18" s="54">
        <f t="shared" si="27"/>
        <v>31637714278546.562</v>
      </c>
      <c r="Z18" s="13">
        <f t="shared" si="27"/>
        <v>45911974797823.891</v>
      </c>
      <c r="AA18" s="13">
        <f t="shared" si="27"/>
        <v>82813071853634.734</v>
      </c>
      <c r="AB18" s="13">
        <f t="shared" si="28"/>
        <v>136471064686898.22</v>
      </c>
      <c r="AC18" s="13">
        <f t="shared" si="51"/>
        <v>0</v>
      </c>
      <c r="AD18" s="13">
        <f t="shared" si="29"/>
        <v>0</v>
      </c>
      <c r="AE18" s="13">
        <f t="shared" si="30"/>
        <v>0</v>
      </c>
      <c r="AF18" s="13">
        <f t="shared" si="31"/>
        <v>0</v>
      </c>
      <c r="AG18" s="13">
        <f t="shared" si="32"/>
        <v>0</v>
      </c>
      <c r="AH18" s="13">
        <f t="shared" si="33"/>
        <v>0</v>
      </c>
      <c r="AI18" s="13">
        <f t="shared" si="34"/>
        <v>0</v>
      </c>
      <c r="AJ18" s="13">
        <f t="shared" si="35"/>
        <v>0</v>
      </c>
      <c r="AK18" s="13">
        <f t="shared" si="35"/>
        <v>0</v>
      </c>
      <c r="AL18" s="13">
        <f t="shared" si="35"/>
        <v>0</v>
      </c>
      <c r="AM18" s="13">
        <f t="shared" si="36"/>
        <v>0</v>
      </c>
      <c r="AN18" s="13">
        <f t="shared" si="37"/>
        <v>0</v>
      </c>
      <c r="AO18" s="13">
        <f t="shared" si="38"/>
        <v>0</v>
      </c>
      <c r="AP18" s="13">
        <f t="shared" si="39"/>
        <v>0</v>
      </c>
      <c r="AQ18" s="13">
        <f t="shared" si="52"/>
        <v>0</v>
      </c>
      <c r="AR18" s="13">
        <f t="shared" si="40"/>
        <v>0</v>
      </c>
      <c r="AS18" s="13">
        <f t="shared" si="41"/>
        <v>0</v>
      </c>
      <c r="AT18" s="13">
        <f t="shared" si="42"/>
        <v>0</v>
      </c>
      <c r="AU18" s="13">
        <f t="shared" si="43"/>
        <v>0</v>
      </c>
      <c r="AV18" s="13">
        <f t="shared" si="44"/>
        <v>0</v>
      </c>
      <c r="AW18" s="13">
        <f t="shared" si="45"/>
        <v>0</v>
      </c>
      <c r="AX18" s="13">
        <f t="shared" si="46"/>
        <v>0</v>
      </c>
      <c r="AY18" s="13">
        <f t="shared" si="47"/>
        <v>0</v>
      </c>
      <c r="AZ18" s="13">
        <f t="shared" si="48"/>
        <v>0</v>
      </c>
      <c r="BA18" s="13">
        <f t="shared" si="49"/>
        <v>0</v>
      </c>
      <c r="BB18" s="13">
        <f t="shared" si="50"/>
        <v>0</v>
      </c>
    </row>
    <row r="19" spans="1:54">
      <c r="A19">
        <f>data0!A17</f>
        <v>375</v>
      </c>
      <c r="B19">
        <v>0</v>
      </c>
      <c r="C19" t="e">
        <f ca="1">(Calculations!C18-C$2)/C$1</f>
        <v>#DIV/0!</v>
      </c>
      <c r="D19" s="13" t="e">
        <f t="shared" ca="1" si="14"/>
        <v>#DIV/0!</v>
      </c>
      <c r="E19" s="13" t="e">
        <f t="shared" ca="1" si="15"/>
        <v>#DIV/0!</v>
      </c>
      <c r="F19" s="13" t="e">
        <f t="shared" ca="1" si="16"/>
        <v>#DIV/0!</v>
      </c>
      <c r="G19" s="13" t="e">
        <f t="shared" ca="1" si="17"/>
        <v>#DIV/0!</v>
      </c>
      <c r="H19" s="13" t="e">
        <f t="shared" ca="1" si="18"/>
        <v>#DIV/0!</v>
      </c>
      <c r="I19" s="13" t="e">
        <f t="shared" ca="1" si="19"/>
        <v>#DIV/0!</v>
      </c>
      <c r="J19" s="13" t="e">
        <f t="shared" ca="1" si="20"/>
        <v>#DIV/0!</v>
      </c>
      <c r="K19" s="13" t="e">
        <f t="shared" ca="1" si="21"/>
        <v>#DIV/0!</v>
      </c>
      <c r="L19" s="13" t="e">
        <f t="shared" ca="1" si="22"/>
        <v>#DIV/0!</v>
      </c>
      <c r="M19" s="13" t="e">
        <f t="shared" ca="1" si="23"/>
        <v>#DIV/0!</v>
      </c>
      <c r="N19" s="13" t="e">
        <f t="shared" ca="1" si="24"/>
        <v>#DIV/0!</v>
      </c>
      <c r="O19" s="13" t="e">
        <f t="shared" ca="1" si="25"/>
        <v>#DIV/0!</v>
      </c>
      <c r="P19" s="13" t="e">
        <f t="shared" ca="1" si="26"/>
        <v>#DIV/0!</v>
      </c>
      <c r="Q19" s="13">
        <f t="shared" si="27"/>
        <v>393081.01424304821</v>
      </c>
      <c r="R19" s="13">
        <f t="shared" si="27"/>
        <v>235284117.08250633</v>
      </c>
      <c r="S19" s="13">
        <f t="shared" si="27"/>
        <v>10910861111.103678</v>
      </c>
      <c r="T19" s="13">
        <f t="shared" si="27"/>
        <v>140832977790.00201</v>
      </c>
      <c r="U19" s="13">
        <f t="shared" si="27"/>
        <v>875328035642.67163</v>
      </c>
      <c r="V19" s="13">
        <f t="shared" si="27"/>
        <v>3445784220776.4136</v>
      </c>
      <c r="W19" s="13">
        <f t="shared" si="27"/>
        <v>10004520520346.133</v>
      </c>
      <c r="X19" s="13">
        <f t="shared" si="27"/>
        <v>23474350422658.449</v>
      </c>
      <c r="Y19" s="54">
        <f t="shared" si="27"/>
        <v>32672239032404.93</v>
      </c>
      <c r="Z19" s="13">
        <f t="shared" si="27"/>
        <v>47179679886006.992</v>
      </c>
      <c r="AA19" s="13">
        <f t="shared" si="27"/>
        <v>84438373384250.453</v>
      </c>
      <c r="AB19" s="13">
        <f t="shared" si="28"/>
        <v>138237472430311.92</v>
      </c>
      <c r="AC19" s="13">
        <f t="shared" si="51"/>
        <v>0</v>
      </c>
      <c r="AD19" s="13">
        <f t="shared" si="29"/>
        <v>0</v>
      </c>
      <c r="AE19" s="13">
        <f t="shared" si="30"/>
        <v>0</v>
      </c>
      <c r="AF19" s="13">
        <f t="shared" si="31"/>
        <v>0</v>
      </c>
      <c r="AG19" s="13">
        <f t="shared" si="32"/>
        <v>0</v>
      </c>
      <c r="AH19" s="13">
        <f t="shared" si="33"/>
        <v>0</v>
      </c>
      <c r="AI19" s="13">
        <f t="shared" si="34"/>
        <v>0</v>
      </c>
      <c r="AJ19" s="13">
        <f t="shared" si="35"/>
        <v>0</v>
      </c>
      <c r="AK19" s="13">
        <f t="shared" si="35"/>
        <v>0</v>
      </c>
      <c r="AL19" s="13">
        <f t="shared" si="35"/>
        <v>0</v>
      </c>
      <c r="AM19" s="13">
        <f t="shared" si="36"/>
        <v>0</v>
      </c>
      <c r="AN19" s="13">
        <f t="shared" si="37"/>
        <v>0</v>
      </c>
      <c r="AO19" s="13">
        <f t="shared" si="38"/>
        <v>0</v>
      </c>
      <c r="AP19" s="13">
        <f t="shared" si="39"/>
        <v>0</v>
      </c>
      <c r="AQ19" s="13">
        <f t="shared" si="52"/>
        <v>0</v>
      </c>
      <c r="AR19" s="13">
        <f t="shared" si="40"/>
        <v>0</v>
      </c>
      <c r="AS19" s="13">
        <f t="shared" si="41"/>
        <v>0</v>
      </c>
      <c r="AT19" s="13">
        <f t="shared" si="42"/>
        <v>0</v>
      </c>
      <c r="AU19" s="13">
        <f t="shared" si="43"/>
        <v>0</v>
      </c>
      <c r="AV19" s="13">
        <f t="shared" si="44"/>
        <v>0</v>
      </c>
      <c r="AW19" s="13">
        <f t="shared" si="45"/>
        <v>0</v>
      </c>
      <c r="AX19" s="13">
        <f t="shared" si="46"/>
        <v>0</v>
      </c>
      <c r="AY19" s="13">
        <f t="shared" si="47"/>
        <v>0</v>
      </c>
      <c r="AZ19" s="13">
        <f t="shared" si="48"/>
        <v>0</v>
      </c>
      <c r="BA19" s="13">
        <f t="shared" si="49"/>
        <v>0</v>
      </c>
      <c r="BB19" s="13">
        <f t="shared" si="50"/>
        <v>0</v>
      </c>
    </row>
    <row r="20" spans="1:54">
      <c r="A20">
        <f>data0!A18</f>
        <v>380</v>
      </c>
      <c r="B20" s="13">
        <v>3.8999999999999999E-5</v>
      </c>
      <c r="C20" t="e">
        <f ca="1">(Calculations!C19-C$2)/C$1</f>
        <v>#DIV/0!</v>
      </c>
      <c r="D20" s="13" t="e">
        <f t="shared" ca="1" si="14"/>
        <v>#DIV/0!</v>
      </c>
      <c r="E20" s="13" t="e">
        <f t="shared" ca="1" si="15"/>
        <v>#DIV/0!</v>
      </c>
      <c r="F20" s="13" t="e">
        <f t="shared" ca="1" si="16"/>
        <v>#DIV/0!</v>
      </c>
      <c r="G20" s="13" t="e">
        <f t="shared" ca="1" si="17"/>
        <v>#DIV/0!</v>
      </c>
      <c r="H20" s="13" t="e">
        <f t="shared" ca="1" si="18"/>
        <v>#DIV/0!</v>
      </c>
      <c r="I20" s="13" t="e">
        <f t="shared" ca="1" si="19"/>
        <v>#DIV/0!</v>
      </c>
      <c r="J20" s="13" t="e">
        <f t="shared" ca="1" si="20"/>
        <v>#DIV/0!</v>
      </c>
      <c r="K20" s="13" t="e">
        <f t="shared" ca="1" si="21"/>
        <v>#DIV/0!</v>
      </c>
      <c r="L20" s="13" t="e">
        <f t="shared" ca="1" si="22"/>
        <v>#DIV/0!</v>
      </c>
      <c r="M20" s="13" t="e">
        <f t="shared" ca="1" si="23"/>
        <v>#DIV/0!</v>
      </c>
      <c r="N20" s="13" t="e">
        <f t="shared" ca="1" si="24"/>
        <v>#DIV/0!</v>
      </c>
      <c r="O20" s="13" t="e">
        <f t="shared" ca="1" si="25"/>
        <v>#DIV/0!</v>
      </c>
      <c r="P20" s="13" t="e">
        <f t="shared" ca="1" si="26"/>
        <v>#DIV/0!</v>
      </c>
      <c r="Q20" s="13">
        <f t="shared" ref="Q20:AA35" si="53">(3.7418E-16/POWER($A20*0.000000001,5))/(EXP(0.0143877/($A20*Q$3/1000000000))-1)</f>
        <v>515091.20700031618</v>
      </c>
      <c r="R20" s="13">
        <f t="shared" si="53"/>
        <v>283435178.51359683</v>
      </c>
      <c r="S20" s="13">
        <f t="shared" si="53"/>
        <v>12496708274.055979</v>
      </c>
      <c r="T20" s="13">
        <f t="shared" si="53"/>
        <v>155964154859.57318</v>
      </c>
      <c r="U20" s="13">
        <f t="shared" si="53"/>
        <v>946350365674.17676</v>
      </c>
      <c r="V20" s="13">
        <f t="shared" si="53"/>
        <v>3658826495108.4927</v>
      </c>
      <c r="W20" s="13">
        <f t="shared" si="53"/>
        <v>10475290981417.541</v>
      </c>
      <c r="X20" s="13">
        <f t="shared" si="53"/>
        <v>24305385781286.961</v>
      </c>
      <c r="Y20" s="54">
        <f t="shared" si="53"/>
        <v>33682681230860.113</v>
      </c>
      <c r="Z20" s="13">
        <f t="shared" si="53"/>
        <v>48405556285747.234</v>
      </c>
      <c r="AA20" s="13">
        <f t="shared" si="53"/>
        <v>85977129821701.469</v>
      </c>
      <c r="AB20" s="13">
        <f t="shared" si="28"/>
        <v>139858971925861.56</v>
      </c>
      <c r="AC20" s="13">
        <f t="shared" si="51"/>
        <v>1313624568.0035443</v>
      </c>
      <c r="AD20" s="13">
        <f t="shared" si="29"/>
        <v>20.088557073012332</v>
      </c>
      <c r="AE20" s="13">
        <f t="shared" si="30"/>
        <v>11053.971962030277</v>
      </c>
      <c r="AF20" s="13">
        <f t="shared" si="31"/>
        <v>487371.62268818315</v>
      </c>
      <c r="AG20" s="13">
        <f t="shared" si="32"/>
        <v>6082602.0395233538</v>
      </c>
      <c r="AH20" s="13">
        <f t="shared" si="33"/>
        <v>36907664.26129289</v>
      </c>
      <c r="AI20" s="13">
        <f t="shared" si="34"/>
        <v>142694233.30923122</v>
      </c>
      <c r="AJ20" s="13">
        <f t="shared" si="35"/>
        <v>408536348.27528411</v>
      </c>
      <c r="AK20" s="13">
        <f t="shared" si="35"/>
        <v>947910045.47019148</v>
      </c>
      <c r="AL20" s="13">
        <f t="shared" si="35"/>
        <v>1313624568.0035443</v>
      </c>
      <c r="AM20" s="13">
        <f t="shared" si="36"/>
        <v>1887816695.1441422</v>
      </c>
      <c r="AN20" s="13">
        <f t="shared" si="37"/>
        <v>3353108063.0463572</v>
      </c>
      <c r="AO20" s="13">
        <f t="shared" si="38"/>
        <v>5454499905.1086006</v>
      </c>
      <c r="AP20" s="13">
        <f t="shared" si="39"/>
        <v>51231.358152138229</v>
      </c>
      <c r="AQ20" s="13">
        <f t="shared" si="52"/>
        <v>2.8229675956050809E-9</v>
      </c>
      <c r="AR20" s="13">
        <f t="shared" si="40"/>
        <v>2.5915615441150169E-8</v>
      </c>
      <c r="AS20" s="13">
        <f t="shared" si="41"/>
        <v>9.421534896344437E-8</v>
      </c>
      <c r="AT20" s="13">
        <f t="shared" si="42"/>
        <v>2.1882144543205448E-7</v>
      </c>
      <c r="AU20" s="13">
        <f t="shared" si="43"/>
        <v>3.9572508905733633E-7</v>
      </c>
      <c r="AV20" s="13">
        <f t="shared" si="44"/>
        <v>6.1357973334941422E-7</v>
      </c>
      <c r="AW20" s="13">
        <f t="shared" si="45"/>
        <v>8.5959773446550541E-7</v>
      </c>
      <c r="AX20" s="13">
        <f t="shared" si="46"/>
        <v>1.2434769568120618E-6</v>
      </c>
      <c r="AY20" s="13">
        <f t="shared" si="47"/>
        <v>1.3925738933694242E-6</v>
      </c>
      <c r="AZ20" s="13">
        <f t="shared" si="48"/>
        <v>1.6633803954668788E-6</v>
      </c>
      <c r="BA20" s="13">
        <f t="shared" si="49"/>
        <v>1.9297718754242507E-6</v>
      </c>
      <c r="BB20" s="13">
        <f t="shared" si="50"/>
        <v>6.6665453310881777E-11</v>
      </c>
    </row>
    <row r="21" spans="1:54">
      <c r="A21">
        <f>data0!A19</f>
        <v>385</v>
      </c>
      <c r="B21" s="13">
        <v>6.3999999999999997E-5</v>
      </c>
      <c r="C21" t="e">
        <f ca="1">(Calculations!C20-C$2)/C$1</f>
        <v>#DIV/0!</v>
      </c>
      <c r="D21" s="13" t="e">
        <f t="shared" ca="1" si="14"/>
        <v>#DIV/0!</v>
      </c>
      <c r="E21" s="13" t="e">
        <f t="shared" ca="1" si="15"/>
        <v>#DIV/0!</v>
      </c>
      <c r="F21" s="13" t="e">
        <f t="shared" ca="1" si="16"/>
        <v>#DIV/0!</v>
      </c>
      <c r="G21" s="13" t="e">
        <f t="shared" ca="1" si="17"/>
        <v>#DIV/0!</v>
      </c>
      <c r="H21" s="13" t="e">
        <f t="shared" ca="1" si="18"/>
        <v>#DIV/0!</v>
      </c>
      <c r="I21" s="13" t="e">
        <f t="shared" ca="1" si="19"/>
        <v>#DIV/0!</v>
      </c>
      <c r="J21" s="13" t="e">
        <f t="shared" ca="1" si="20"/>
        <v>#DIV/0!</v>
      </c>
      <c r="K21" s="13" t="e">
        <f t="shared" ca="1" si="21"/>
        <v>#DIV/0!</v>
      </c>
      <c r="L21" s="13" t="e">
        <f t="shared" ca="1" si="22"/>
        <v>#DIV/0!</v>
      </c>
      <c r="M21" s="13" t="e">
        <f t="shared" ca="1" si="23"/>
        <v>#DIV/0!</v>
      </c>
      <c r="N21" s="13" t="e">
        <f t="shared" ca="1" si="24"/>
        <v>#DIV/0!</v>
      </c>
      <c r="O21" s="13" t="e">
        <f t="shared" ca="1" si="25"/>
        <v>#DIV/0!</v>
      </c>
      <c r="P21" s="13" t="e">
        <f t="shared" ca="1" si="26"/>
        <v>#DIV/0!</v>
      </c>
      <c r="Q21" s="13">
        <f t="shared" si="53"/>
        <v>669677.52578646212</v>
      </c>
      <c r="R21" s="13">
        <f t="shared" si="53"/>
        <v>339502930.52391529</v>
      </c>
      <c r="S21" s="13">
        <f t="shared" si="53"/>
        <v>14250507917.287664</v>
      </c>
      <c r="T21" s="13">
        <f t="shared" si="53"/>
        <v>172116701096.12027</v>
      </c>
      <c r="U21" s="13">
        <f t="shared" si="53"/>
        <v>1020192530423.5134</v>
      </c>
      <c r="V21" s="13">
        <f t="shared" si="53"/>
        <v>3875683214150.856</v>
      </c>
      <c r="W21" s="13">
        <f t="shared" si="53"/>
        <v>10945794883526.76</v>
      </c>
      <c r="X21" s="13">
        <f t="shared" si="53"/>
        <v>25121763921860.352</v>
      </c>
      <c r="Y21" s="54">
        <f t="shared" si="53"/>
        <v>34667501304907.367</v>
      </c>
      <c r="Z21" s="13">
        <f t="shared" si="53"/>
        <v>49588231244276.859</v>
      </c>
      <c r="AA21" s="13">
        <f t="shared" si="53"/>
        <v>87429224363522.437</v>
      </c>
      <c r="AB21" s="13">
        <f t="shared" si="28"/>
        <v>141338258476418.28</v>
      </c>
      <c r="AC21" s="13">
        <f t="shared" si="51"/>
        <v>2218720083.5140715</v>
      </c>
      <c r="AD21" s="13">
        <f t="shared" si="29"/>
        <v>42.859361650333575</v>
      </c>
      <c r="AE21" s="13">
        <f t="shared" si="30"/>
        <v>21728.187553530577</v>
      </c>
      <c r="AF21" s="13">
        <f t="shared" si="31"/>
        <v>912032.50670641044</v>
      </c>
      <c r="AG21" s="13">
        <f t="shared" si="32"/>
        <v>11015468.870151697</v>
      </c>
      <c r="AH21" s="13">
        <f t="shared" si="33"/>
        <v>65292321.947104856</v>
      </c>
      <c r="AI21" s="13">
        <f t="shared" si="34"/>
        <v>248043725.70565477</v>
      </c>
      <c r="AJ21" s="13">
        <f t="shared" si="35"/>
        <v>700530872.54571259</v>
      </c>
      <c r="AK21" s="13">
        <f t="shared" si="35"/>
        <v>1607792890.9990625</v>
      </c>
      <c r="AL21" s="13">
        <f t="shared" si="35"/>
        <v>2218720083.5140715</v>
      </c>
      <c r="AM21" s="13">
        <f t="shared" si="36"/>
        <v>3173646799.633719</v>
      </c>
      <c r="AN21" s="13">
        <f t="shared" si="37"/>
        <v>5595470359.2654362</v>
      </c>
      <c r="AO21" s="13">
        <f t="shared" si="38"/>
        <v>9045648542.4907703</v>
      </c>
      <c r="AP21" s="13">
        <f t="shared" si="39"/>
        <v>141998.08534490058</v>
      </c>
      <c r="AQ21" s="13">
        <f t="shared" si="52"/>
        <v>6.0228611078171347E-9</v>
      </c>
      <c r="AR21" s="13">
        <f t="shared" si="40"/>
        <v>5.094090656324225E-8</v>
      </c>
      <c r="AS21" s="13">
        <f t="shared" si="41"/>
        <v>1.7630788680596848E-7</v>
      </c>
      <c r="AT21" s="13">
        <f t="shared" si="42"/>
        <v>3.9628119752303909E-7</v>
      </c>
      <c r="AU21" s="13">
        <f t="shared" si="43"/>
        <v>7.0006624462485666E-7</v>
      </c>
      <c r="AV21" s="13">
        <f t="shared" si="44"/>
        <v>1.0665785123050594E-6</v>
      </c>
      <c r="AW21" s="13">
        <f t="shared" si="45"/>
        <v>1.4739808428445509E-6</v>
      </c>
      <c r="AX21" s="13">
        <f t="shared" si="46"/>
        <v>2.100240330963753E-6</v>
      </c>
      <c r="AY21" s="13">
        <f t="shared" si="47"/>
        <v>2.3410841165423064E-6</v>
      </c>
      <c r="AZ21" s="13">
        <f t="shared" si="48"/>
        <v>2.7757517873021391E-6</v>
      </c>
      <c r="BA21" s="13">
        <f t="shared" si="49"/>
        <v>3.2003003860944243E-6</v>
      </c>
      <c r="BB21" s="13">
        <f t="shared" si="50"/>
        <v>1.8477680604686411E-10</v>
      </c>
    </row>
    <row r="22" spans="1:54">
      <c r="A22">
        <f>data0!A20</f>
        <v>390</v>
      </c>
      <c r="B22" s="13">
        <v>1.2E-4</v>
      </c>
      <c r="C22" t="e">
        <f ca="1">(Calculations!C21-C$2)/C$1</f>
        <v>#REF!</v>
      </c>
      <c r="D22" s="13" t="e">
        <f t="shared" ca="1" si="14"/>
        <v>#REF!</v>
      </c>
      <c r="E22" s="13" t="e">
        <f t="shared" ca="1" si="15"/>
        <v>#REF!</v>
      </c>
      <c r="F22" s="13" t="e">
        <f t="shared" ca="1" si="16"/>
        <v>#REF!</v>
      </c>
      <c r="G22" s="13" t="e">
        <f t="shared" ca="1" si="17"/>
        <v>#REF!</v>
      </c>
      <c r="H22" s="13" t="e">
        <f t="shared" ca="1" si="18"/>
        <v>#REF!</v>
      </c>
      <c r="I22" s="13" t="e">
        <f t="shared" ca="1" si="19"/>
        <v>#REF!</v>
      </c>
      <c r="J22" s="13" t="e">
        <f t="shared" ca="1" si="20"/>
        <v>#REF!</v>
      </c>
      <c r="K22" s="13" t="e">
        <f t="shared" ca="1" si="21"/>
        <v>#REF!</v>
      </c>
      <c r="L22" s="13" t="e">
        <f t="shared" ca="1" si="22"/>
        <v>#REF!</v>
      </c>
      <c r="M22" s="13" t="e">
        <f t="shared" ca="1" si="23"/>
        <v>#REF!</v>
      </c>
      <c r="N22" s="13" t="e">
        <f t="shared" ca="1" si="24"/>
        <v>#REF!</v>
      </c>
      <c r="O22" s="13" t="e">
        <f t="shared" ca="1" si="25"/>
        <v>#REF!</v>
      </c>
      <c r="P22" s="13" t="e">
        <f t="shared" ca="1" si="26"/>
        <v>#REF!</v>
      </c>
      <c r="Q22" s="13">
        <f t="shared" si="53"/>
        <v>864098.29263549903</v>
      </c>
      <c r="R22" s="13">
        <f t="shared" si="53"/>
        <v>404447121.06752867</v>
      </c>
      <c r="S22" s="13">
        <f t="shared" si="53"/>
        <v>16182330691.079655</v>
      </c>
      <c r="T22" s="13">
        <f t="shared" si="53"/>
        <v>189305104079.16971</v>
      </c>
      <c r="U22" s="13">
        <f t="shared" si="53"/>
        <v>1096766767569.4202</v>
      </c>
      <c r="V22" s="13">
        <f t="shared" si="53"/>
        <v>4095930038930.4336</v>
      </c>
      <c r="W22" s="13">
        <f t="shared" si="53"/>
        <v>11415079158880.252</v>
      </c>
      <c r="X22" s="13">
        <f t="shared" si="53"/>
        <v>25922124304691.977</v>
      </c>
      <c r="Y22" s="54">
        <f t="shared" si="53"/>
        <v>35625325948607.305</v>
      </c>
      <c r="Z22" s="13">
        <f t="shared" si="53"/>
        <v>50726558723591.906</v>
      </c>
      <c r="AA22" s="13">
        <f t="shared" si="53"/>
        <v>88794854097371.687</v>
      </c>
      <c r="AB22" s="13">
        <f t="shared" si="28"/>
        <v>142678349365579</v>
      </c>
      <c r="AC22" s="13">
        <f t="shared" si="51"/>
        <v>4275039113.8328767</v>
      </c>
      <c r="AD22" s="13">
        <f t="shared" si="29"/>
        <v>103.69179511625988</v>
      </c>
      <c r="AE22" s="13">
        <f t="shared" si="30"/>
        <v>48533.654528103441</v>
      </c>
      <c r="AF22" s="13">
        <f t="shared" si="31"/>
        <v>1941879.6829295587</v>
      </c>
      <c r="AG22" s="13">
        <f t="shared" si="32"/>
        <v>22716612.489500366</v>
      </c>
      <c r="AH22" s="13">
        <f t="shared" si="33"/>
        <v>131612012.10833043</v>
      </c>
      <c r="AI22" s="13">
        <f t="shared" si="34"/>
        <v>491511604.67165202</v>
      </c>
      <c r="AJ22" s="13">
        <f t="shared" si="35"/>
        <v>1369809499.0656302</v>
      </c>
      <c r="AK22" s="13">
        <f t="shared" si="35"/>
        <v>3110654916.5630374</v>
      </c>
      <c r="AL22" s="13">
        <f t="shared" si="35"/>
        <v>4275039113.8328767</v>
      </c>
      <c r="AM22" s="13">
        <f t="shared" si="36"/>
        <v>6087187046.8310289</v>
      </c>
      <c r="AN22" s="13">
        <f t="shared" si="37"/>
        <v>10655382491.684603</v>
      </c>
      <c r="AO22" s="13">
        <f t="shared" si="38"/>
        <v>17121401923.86948</v>
      </c>
      <c r="AP22" s="13">
        <f t="shared" si="39"/>
        <v>513004.69365994522</v>
      </c>
      <c r="AQ22" s="13">
        <f t="shared" si="52"/>
        <v>1.4571408811465666E-8</v>
      </c>
      <c r="AR22" s="13">
        <f t="shared" si="40"/>
        <v>1.1378530097817886E-7</v>
      </c>
      <c r="AS22" s="13">
        <f t="shared" si="41"/>
        <v>3.7539089978836184E-7</v>
      </c>
      <c r="AT22" s="13">
        <f t="shared" si="42"/>
        <v>8.1722952578069062E-7</v>
      </c>
      <c r="AU22" s="13">
        <f t="shared" si="43"/>
        <v>1.4111479622189407E-6</v>
      </c>
      <c r="AV22" s="13">
        <f t="shared" si="44"/>
        <v>2.1134810590349547E-6</v>
      </c>
      <c r="AW22" s="13">
        <f t="shared" si="45"/>
        <v>2.8822041099087703E-6</v>
      </c>
      <c r="AX22" s="13">
        <f t="shared" si="46"/>
        <v>4.0467518322990862E-6</v>
      </c>
      <c r="AY22" s="13">
        <f t="shared" si="47"/>
        <v>4.4902970650051227E-6</v>
      </c>
      <c r="AZ22" s="13">
        <f t="shared" si="48"/>
        <v>5.2858285535738648E-6</v>
      </c>
      <c r="BA22" s="13">
        <f t="shared" si="49"/>
        <v>6.057457232618677E-6</v>
      </c>
      <c r="BB22" s="13">
        <f t="shared" si="50"/>
        <v>6.6755385152760978E-10</v>
      </c>
    </row>
    <row r="23" spans="1:54">
      <c r="A23">
        <f>data0!A21</f>
        <v>395</v>
      </c>
      <c r="B23" s="13">
        <v>2.1699999999999999E-4</v>
      </c>
      <c r="C23" t="e">
        <f ca="1">(Calculations!C22-C$2)/C$1</f>
        <v>#DIV/0!</v>
      </c>
      <c r="D23" s="13" t="e">
        <f t="shared" ca="1" si="14"/>
        <v>#DIV/0!</v>
      </c>
      <c r="E23" s="13" t="e">
        <f t="shared" ca="1" si="15"/>
        <v>#DIV/0!</v>
      </c>
      <c r="F23" s="13" t="e">
        <f t="shared" ca="1" si="16"/>
        <v>#DIV/0!</v>
      </c>
      <c r="G23" s="13" t="e">
        <f t="shared" ca="1" si="17"/>
        <v>#DIV/0!</v>
      </c>
      <c r="H23" s="13" t="e">
        <f t="shared" ca="1" si="18"/>
        <v>#DIV/0!</v>
      </c>
      <c r="I23" s="13" t="e">
        <f t="shared" ca="1" si="19"/>
        <v>#DIV/0!</v>
      </c>
      <c r="J23" s="13" t="e">
        <f t="shared" ca="1" si="20"/>
        <v>#DIV/0!</v>
      </c>
      <c r="K23" s="13" t="e">
        <f t="shared" ca="1" si="21"/>
        <v>#DIV/0!</v>
      </c>
      <c r="L23" s="13" t="e">
        <f t="shared" ca="1" si="22"/>
        <v>#DIV/0!</v>
      </c>
      <c r="M23" s="13" t="e">
        <f t="shared" ca="1" si="23"/>
        <v>#DIV/0!</v>
      </c>
      <c r="N23" s="13" t="e">
        <f t="shared" ca="1" si="24"/>
        <v>#DIV/0!</v>
      </c>
      <c r="O23" s="13" t="e">
        <f t="shared" ca="1" si="25"/>
        <v>#DIV/0!</v>
      </c>
      <c r="P23" s="13" t="e">
        <f t="shared" ca="1" si="26"/>
        <v>#DIV/0!</v>
      </c>
      <c r="Q23" s="13">
        <f t="shared" si="53"/>
        <v>1106893.1409627432</v>
      </c>
      <c r="R23" s="13">
        <f t="shared" si="53"/>
        <v>479295167.9927842</v>
      </c>
      <c r="S23" s="13">
        <f t="shared" si="53"/>
        <v>18302130978.279079</v>
      </c>
      <c r="T23" s="13">
        <f t="shared" si="53"/>
        <v>207540429266.60602</v>
      </c>
      <c r="U23" s="13">
        <f t="shared" si="53"/>
        <v>1175976046636.0779</v>
      </c>
      <c r="V23" s="13">
        <f t="shared" si="53"/>
        <v>4319139892523.5576</v>
      </c>
      <c r="W23" s="13">
        <f t="shared" si="53"/>
        <v>11882228145868.023</v>
      </c>
      <c r="X23" s="13">
        <f t="shared" si="53"/>
        <v>26705223616366.477</v>
      </c>
      <c r="Y23" s="54">
        <f t="shared" si="53"/>
        <v>36554943182232.367</v>
      </c>
      <c r="Z23" s="13">
        <f t="shared" si="53"/>
        <v>51819607799925.945</v>
      </c>
      <c r="AA23" s="13">
        <f t="shared" si="53"/>
        <v>90074502294911.859</v>
      </c>
      <c r="AB23" s="13">
        <f t="shared" si="28"/>
        <v>143882538696684.34</v>
      </c>
      <c r="AC23" s="13">
        <f t="shared" si="51"/>
        <v>7932422670.5444231</v>
      </c>
      <c r="AD23" s="13">
        <f t="shared" si="29"/>
        <v>240.19581158891526</v>
      </c>
      <c r="AE23" s="13">
        <f t="shared" si="30"/>
        <v>104007.05145443417</v>
      </c>
      <c r="AF23" s="13">
        <f t="shared" si="31"/>
        <v>3971562.4222865598</v>
      </c>
      <c r="AG23" s="13">
        <f t="shared" si="32"/>
        <v>45036273.150853507</v>
      </c>
      <c r="AH23" s="13">
        <f t="shared" si="33"/>
        <v>255186802.12002888</v>
      </c>
      <c r="AI23" s="13">
        <f t="shared" si="34"/>
        <v>937253356.67761195</v>
      </c>
      <c r="AJ23" s="13">
        <f t="shared" si="35"/>
        <v>2578443507.6533608</v>
      </c>
      <c r="AK23" s="13">
        <f t="shared" si="35"/>
        <v>5795033524.7515249</v>
      </c>
      <c r="AL23" s="13">
        <f t="shared" si="35"/>
        <v>7932422670.5444231</v>
      </c>
      <c r="AM23" s="13">
        <f t="shared" si="36"/>
        <v>11244854892.583929</v>
      </c>
      <c r="AN23" s="13">
        <f t="shared" si="37"/>
        <v>19546166997.995872</v>
      </c>
      <c r="AO23" s="13">
        <f t="shared" si="38"/>
        <v>31222510897.1805</v>
      </c>
      <c r="AP23" s="13">
        <f t="shared" si="39"/>
        <v>1721335.7195081396</v>
      </c>
      <c r="AQ23" s="13">
        <f t="shared" si="52"/>
        <v>3.375379278119021E-8</v>
      </c>
      <c r="AR23" s="13">
        <f t="shared" si="40"/>
        <v>2.4384056318575737E-7</v>
      </c>
      <c r="AS23" s="13">
        <f t="shared" si="41"/>
        <v>7.677552859601546E-7</v>
      </c>
      <c r="AT23" s="13">
        <f t="shared" si="42"/>
        <v>1.6201787201772686E-6</v>
      </c>
      <c r="AU23" s="13">
        <f t="shared" si="43"/>
        <v>2.7361205867777608E-6</v>
      </c>
      <c r="AV23" s="13">
        <f t="shared" si="44"/>
        <v>4.0301535060974974E-6</v>
      </c>
      <c r="AW23" s="13">
        <f t="shared" si="45"/>
        <v>5.4252802889710725E-6</v>
      </c>
      <c r="AX23" s="13">
        <f t="shared" si="46"/>
        <v>7.508830942090734E-6</v>
      </c>
      <c r="AY23" s="13">
        <f t="shared" si="47"/>
        <v>8.2949215347119129E-6</v>
      </c>
      <c r="AZ23" s="13">
        <f t="shared" si="48"/>
        <v>9.696290838133521E-6</v>
      </c>
      <c r="BA23" s="13">
        <f t="shared" si="49"/>
        <v>1.104635153684295E-5</v>
      </c>
      <c r="BB23" s="13">
        <f t="shared" si="50"/>
        <v>2.2399098946478647E-9</v>
      </c>
    </row>
    <row r="24" spans="1:54">
      <c r="A24">
        <f>data0!A22</f>
        <v>400</v>
      </c>
      <c r="B24" s="13">
        <v>3.9599999999999998E-4</v>
      </c>
      <c r="C24" t="e">
        <f ca="1">(Calculations!C23-C$2)/C$1</f>
        <v>#DIV/0!</v>
      </c>
      <c r="D24" s="13" t="e">
        <f t="shared" ca="1" si="14"/>
        <v>#DIV/0!</v>
      </c>
      <c r="E24" s="13" t="e">
        <f t="shared" ca="1" si="15"/>
        <v>#DIV/0!</v>
      </c>
      <c r="F24" s="13" t="e">
        <f t="shared" ca="1" si="16"/>
        <v>#DIV/0!</v>
      </c>
      <c r="G24" s="13" t="e">
        <f t="shared" ca="1" si="17"/>
        <v>#DIV/0!</v>
      </c>
      <c r="H24" s="13" t="e">
        <f t="shared" ca="1" si="18"/>
        <v>#DIV/0!</v>
      </c>
      <c r="I24" s="13" t="e">
        <f t="shared" ca="1" si="19"/>
        <v>#DIV/0!</v>
      </c>
      <c r="J24" s="13" t="e">
        <f t="shared" ca="1" si="20"/>
        <v>#DIV/0!</v>
      </c>
      <c r="K24" s="13" t="e">
        <f t="shared" ca="1" si="21"/>
        <v>#DIV/0!</v>
      </c>
      <c r="L24" s="13" t="e">
        <f t="shared" ca="1" si="22"/>
        <v>#DIV/0!</v>
      </c>
      <c r="M24" s="13" t="e">
        <f t="shared" ca="1" si="23"/>
        <v>#DIV/0!</v>
      </c>
      <c r="N24" s="13" t="e">
        <f t="shared" ca="1" si="24"/>
        <v>#DIV/0!</v>
      </c>
      <c r="O24" s="13" t="e">
        <f t="shared" ca="1" si="25"/>
        <v>#DIV/0!</v>
      </c>
      <c r="P24" s="13" t="e">
        <f t="shared" ca="1" si="26"/>
        <v>#DIV/0!</v>
      </c>
      <c r="Q24" s="13">
        <f t="shared" si="53"/>
        <v>1408043.5426438316</v>
      </c>
      <c r="R24" s="13">
        <f t="shared" si="53"/>
        <v>565141531.41589999</v>
      </c>
      <c r="S24" s="13">
        <f t="shared" si="53"/>
        <v>20619690477.774174</v>
      </c>
      <c r="T24" s="13">
        <f t="shared" si="53"/>
        <v>226830288687.98605</v>
      </c>
      <c r="U24" s="13">
        <f t="shared" si="53"/>
        <v>1257714860568.0261</v>
      </c>
      <c r="V24" s="13">
        <f t="shared" si="53"/>
        <v>4544885316121.8652</v>
      </c>
      <c r="W24" s="13">
        <f t="shared" si="53"/>
        <v>12346366109393.965</v>
      </c>
      <c r="X24" s="13">
        <f t="shared" si="53"/>
        <v>27469934018938.605</v>
      </c>
      <c r="Y24" s="54">
        <f t="shared" si="53"/>
        <v>37455296722994.508</v>
      </c>
      <c r="Z24" s="13">
        <f t="shared" si="53"/>
        <v>52866650678952.461</v>
      </c>
      <c r="AA24" s="13">
        <f t="shared" si="53"/>
        <v>91268911631058.578</v>
      </c>
      <c r="AB24" s="13">
        <f t="shared" si="28"/>
        <v>144954355376631.12</v>
      </c>
      <c r="AC24" s="13">
        <f t="shared" si="51"/>
        <v>14832297502.305824</v>
      </c>
      <c r="AD24" s="13">
        <f t="shared" si="29"/>
        <v>557.5852428869573</v>
      </c>
      <c r="AE24" s="13">
        <f t="shared" si="30"/>
        <v>223796.04644069637</v>
      </c>
      <c r="AF24" s="13">
        <f t="shared" si="31"/>
        <v>8165397.4291985724</v>
      </c>
      <c r="AG24" s="13">
        <f t="shared" si="32"/>
        <v>89824794.320442468</v>
      </c>
      <c r="AH24" s="13">
        <f t="shared" si="33"/>
        <v>498055084.78493834</v>
      </c>
      <c r="AI24" s="13">
        <f t="shared" si="34"/>
        <v>1799774585.1842585</v>
      </c>
      <c r="AJ24" s="13">
        <f t="shared" si="35"/>
        <v>4889160979.3200102</v>
      </c>
      <c r="AK24" s="13">
        <f t="shared" si="35"/>
        <v>10878093871.499687</v>
      </c>
      <c r="AL24" s="13">
        <f t="shared" si="35"/>
        <v>14832297502.305824</v>
      </c>
      <c r="AM24" s="13">
        <f t="shared" si="36"/>
        <v>20935193668.865173</v>
      </c>
      <c r="AN24" s="13">
        <f t="shared" si="37"/>
        <v>36142489005.899193</v>
      </c>
      <c r="AO24" s="13">
        <f t="shared" si="38"/>
        <v>57401924729.14592</v>
      </c>
      <c r="AP24" s="13">
        <f t="shared" si="39"/>
        <v>5873589.8109131064</v>
      </c>
      <c r="AQ24" s="13">
        <f t="shared" si="52"/>
        <v>7.8355307787242511E-8</v>
      </c>
      <c r="AR24" s="13">
        <f t="shared" si="40"/>
        <v>5.2468129073683876E-7</v>
      </c>
      <c r="AS24" s="13">
        <f t="shared" si="41"/>
        <v>1.5784787878578464E-6</v>
      </c>
      <c r="AT24" s="13">
        <f t="shared" si="42"/>
        <v>3.2314445694652869E-6</v>
      </c>
      <c r="AU24" s="13">
        <f t="shared" si="43"/>
        <v>5.3401616365271089E-6</v>
      </c>
      <c r="AV24" s="13">
        <f t="shared" si="44"/>
        <v>7.7389617257572092E-6</v>
      </c>
      <c r="AW24" s="13">
        <f t="shared" si="45"/>
        <v>1.0287240582149422E-5</v>
      </c>
      <c r="AX24" s="13">
        <f t="shared" si="46"/>
        <v>1.4040252146569648E-5</v>
      </c>
      <c r="AY24" s="13">
        <f t="shared" si="47"/>
        <v>1.544313292221864E-5</v>
      </c>
      <c r="AZ24" s="13">
        <f t="shared" si="48"/>
        <v>1.7929248483918833E-5</v>
      </c>
      <c r="BA24" s="13">
        <f t="shared" si="49"/>
        <v>2.0308483245875149E-5</v>
      </c>
      <c r="BB24" s="13">
        <f t="shared" si="50"/>
        <v>7.6430830926615971E-9</v>
      </c>
    </row>
    <row r="25" spans="1:54">
      <c r="A25">
        <f>data0!A23</f>
        <v>405</v>
      </c>
      <c r="B25" s="13">
        <v>6.4000000000000005E-4</v>
      </c>
      <c r="C25" t="e">
        <f ca="1">(Calculations!C24-C$2)/C$1</f>
        <v>#DIV/0!</v>
      </c>
      <c r="D25" s="13" t="e">
        <f t="shared" ca="1" si="14"/>
        <v>#DIV/0!</v>
      </c>
      <c r="E25" s="13" t="e">
        <f t="shared" ca="1" si="15"/>
        <v>#DIV/0!</v>
      </c>
      <c r="F25" s="13" t="e">
        <f t="shared" ca="1" si="16"/>
        <v>#DIV/0!</v>
      </c>
      <c r="G25" s="13" t="e">
        <f t="shared" ca="1" si="17"/>
        <v>#DIV/0!</v>
      </c>
      <c r="H25" s="13" t="e">
        <f t="shared" ca="1" si="18"/>
        <v>#DIV/0!</v>
      </c>
      <c r="I25" s="13" t="e">
        <f t="shared" ca="1" si="19"/>
        <v>#DIV/0!</v>
      </c>
      <c r="J25" s="13" t="e">
        <f t="shared" ca="1" si="20"/>
        <v>#DIV/0!</v>
      </c>
      <c r="K25" s="13" t="e">
        <f t="shared" ca="1" si="21"/>
        <v>#DIV/0!</v>
      </c>
      <c r="L25" s="13" t="e">
        <f t="shared" ca="1" si="22"/>
        <v>#DIV/0!</v>
      </c>
      <c r="M25" s="13" t="e">
        <f t="shared" ca="1" si="23"/>
        <v>#DIV/0!</v>
      </c>
      <c r="N25" s="13" t="e">
        <f t="shared" ca="1" si="24"/>
        <v>#DIV/0!</v>
      </c>
      <c r="O25" s="13" t="e">
        <f t="shared" ca="1" si="25"/>
        <v>#DIV/0!</v>
      </c>
      <c r="P25" s="13" t="e">
        <f t="shared" ca="1" si="26"/>
        <v>#DIV/0!</v>
      </c>
      <c r="Q25" s="13">
        <f t="shared" si="53"/>
        <v>1779143.0082506971</v>
      </c>
      <c r="R25" s="13">
        <f t="shared" si="53"/>
        <v>663146551.74670684</v>
      </c>
      <c r="S25" s="13">
        <f t="shared" si="53"/>
        <v>23144563230.995003</v>
      </c>
      <c r="T25" s="13">
        <f t="shared" si="53"/>
        <v>247178835801.87155</v>
      </c>
      <c r="U25" s="13">
        <f t="shared" si="53"/>
        <v>1341870034412.9146</v>
      </c>
      <c r="V25" s="13">
        <f t="shared" si="53"/>
        <v>4772740659799.7441</v>
      </c>
      <c r="W25" s="13">
        <f t="shared" si="53"/>
        <v>12806659266683.469</v>
      </c>
      <c r="X25" s="13">
        <f t="shared" si="53"/>
        <v>28215240743753.285</v>
      </c>
      <c r="Y25" s="54">
        <f t="shared" si="53"/>
        <v>38325479799406.719</v>
      </c>
      <c r="Z25" s="13">
        <f t="shared" si="53"/>
        <v>53867150487230.844</v>
      </c>
      <c r="AA25" s="13">
        <f t="shared" si="53"/>
        <v>92379058459724.141</v>
      </c>
      <c r="AB25" s="13">
        <f t="shared" si="28"/>
        <v>145897524211382.75</v>
      </c>
      <c r="AC25" s="13">
        <f t="shared" si="51"/>
        <v>24528307071.6203</v>
      </c>
      <c r="AD25" s="13">
        <f t="shared" si="29"/>
        <v>1138.6515252804461</v>
      </c>
      <c r="AE25" s="13">
        <f t="shared" si="30"/>
        <v>424413.7931178924</v>
      </c>
      <c r="AF25" s="13">
        <f t="shared" si="31"/>
        <v>14812520.467836803</v>
      </c>
      <c r="AG25" s="13">
        <f t="shared" si="32"/>
        <v>158194454.91319782</v>
      </c>
      <c r="AH25" s="13">
        <f t="shared" si="33"/>
        <v>858796822.02426541</v>
      </c>
      <c r="AI25" s="13">
        <f t="shared" si="34"/>
        <v>3054554022.2718363</v>
      </c>
      <c r="AJ25" s="13">
        <f t="shared" si="35"/>
        <v>8196261930.6774206</v>
      </c>
      <c r="AK25" s="13">
        <f t="shared" si="35"/>
        <v>18057754076.002106</v>
      </c>
      <c r="AL25" s="13">
        <f t="shared" si="35"/>
        <v>24528307071.6203</v>
      </c>
      <c r="AM25" s="13">
        <f t="shared" si="36"/>
        <v>34474976311.827744</v>
      </c>
      <c r="AN25" s="13">
        <f t="shared" si="37"/>
        <v>59122597414.223457</v>
      </c>
      <c r="AO25" s="13">
        <f t="shared" si="38"/>
        <v>93374415495.284973</v>
      </c>
      <c r="AP25" s="13">
        <f t="shared" si="39"/>
        <v>15698116.525836993</v>
      </c>
      <c r="AQ25" s="13">
        <f t="shared" si="52"/>
        <v>1.6001031566728622E-7</v>
      </c>
      <c r="AR25" s="13">
        <f t="shared" si="40"/>
        <v>9.9502194217100174E-7</v>
      </c>
      <c r="AS25" s="13">
        <f t="shared" si="41"/>
        <v>2.8634551540114599E-6</v>
      </c>
      <c r="AT25" s="13">
        <f t="shared" si="42"/>
        <v>5.6910412778138173E-6</v>
      </c>
      <c r="AU25" s="13">
        <f t="shared" si="43"/>
        <v>9.2080454203688708E-6</v>
      </c>
      <c r="AV25" s="13">
        <f t="shared" si="44"/>
        <v>1.3134465205929851E-5</v>
      </c>
      <c r="AW25" s="13">
        <f t="shared" si="45"/>
        <v>1.7245682584768976E-5</v>
      </c>
      <c r="AX25" s="13">
        <f t="shared" si="46"/>
        <v>2.3218494367477368E-5</v>
      </c>
      <c r="AY25" s="13">
        <f t="shared" si="47"/>
        <v>2.5430939407342702E-5</v>
      </c>
      <c r="AZ25" s="13">
        <f t="shared" si="48"/>
        <v>2.9329018814428968E-5</v>
      </c>
      <c r="BA25" s="13">
        <f t="shared" si="49"/>
        <v>3.3035351368915576E-5</v>
      </c>
      <c r="BB25" s="13">
        <f t="shared" si="50"/>
        <v>2.0427372844853797E-8</v>
      </c>
    </row>
    <row r="26" spans="1:54">
      <c r="A26">
        <f>data0!A24</f>
        <v>410</v>
      </c>
      <c r="B26" s="13">
        <v>1.2099999999999999E-3</v>
      </c>
      <c r="C26" t="e">
        <f ca="1">(Calculations!C25-C$2)/C$1</f>
        <v>#DIV/0!</v>
      </c>
      <c r="D26" s="13" t="e">
        <f t="shared" ca="1" si="14"/>
        <v>#DIV/0!</v>
      </c>
      <c r="E26" s="13" t="e">
        <f t="shared" ca="1" si="15"/>
        <v>#DIV/0!</v>
      </c>
      <c r="F26" s="13" t="e">
        <f t="shared" ca="1" si="16"/>
        <v>#DIV/0!</v>
      </c>
      <c r="G26" s="13" t="e">
        <f t="shared" ca="1" si="17"/>
        <v>#DIV/0!</v>
      </c>
      <c r="H26" s="13" t="e">
        <f t="shared" ca="1" si="18"/>
        <v>#DIV/0!</v>
      </c>
      <c r="I26" s="13" t="e">
        <f t="shared" ca="1" si="19"/>
        <v>#DIV/0!</v>
      </c>
      <c r="J26" s="13" t="e">
        <f t="shared" ca="1" si="20"/>
        <v>#DIV/0!</v>
      </c>
      <c r="K26" s="13" t="e">
        <f t="shared" ca="1" si="21"/>
        <v>#DIV/0!</v>
      </c>
      <c r="L26" s="13" t="e">
        <f t="shared" ca="1" si="22"/>
        <v>#DIV/0!</v>
      </c>
      <c r="M26" s="13" t="e">
        <f t="shared" ca="1" si="23"/>
        <v>#DIV/0!</v>
      </c>
      <c r="N26" s="13" t="e">
        <f t="shared" ca="1" si="24"/>
        <v>#DIV/0!</v>
      </c>
      <c r="O26" s="13" t="e">
        <f t="shared" ca="1" si="25"/>
        <v>#DIV/0!</v>
      </c>
      <c r="P26" s="13" t="e">
        <f t="shared" ca="1" si="26"/>
        <v>#DIV/0!</v>
      </c>
      <c r="Q26" s="13">
        <f t="shared" si="53"/>
        <v>2233576.1890178137</v>
      </c>
      <c r="R26" s="13">
        <f t="shared" si="53"/>
        <v>774534755.54496694</v>
      </c>
      <c r="S26" s="13">
        <f t="shared" si="53"/>
        <v>25886022576.06612</v>
      </c>
      <c r="T26" s="13">
        <f t="shared" si="53"/>
        <v>268586785026.14993</v>
      </c>
      <c r="U26" s="13">
        <f t="shared" si="53"/>
        <v>1428321542194.967</v>
      </c>
      <c r="V26" s="13">
        <f t="shared" si="53"/>
        <v>5002284103318.0186</v>
      </c>
      <c r="W26" s="13">
        <f t="shared" si="53"/>
        <v>13262317352516.23</v>
      </c>
      <c r="X26" s="13">
        <f t="shared" si="53"/>
        <v>28940239127939.598</v>
      </c>
      <c r="Y26" s="54">
        <f t="shared" si="53"/>
        <v>39164728532608.148</v>
      </c>
      <c r="Z26" s="13">
        <f t="shared" si="53"/>
        <v>54820748979673.148</v>
      </c>
      <c r="AA26" s="13">
        <f t="shared" si="53"/>
        <v>93406128244849.297</v>
      </c>
      <c r="AB26" s="13">
        <f t="shared" si="28"/>
        <v>146715930048753.19</v>
      </c>
      <c r="AC26" s="13">
        <f t="shared" si="51"/>
        <v>47389321524.455856</v>
      </c>
      <c r="AD26" s="13">
        <f t="shared" si="29"/>
        <v>2702.6271887115545</v>
      </c>
      <c r="AE26" s="13">
        <f t="shared" si="30"/>
        <v>937187.05420940998</v>
      </c>
      <c r="AF26" s="13">
        <f t="shared" si="31"/>
        <v>31322087.317040004</v>
      </c>
      <c r="AG26" s="13">
        <f t="shared" si="32"/>
        <v>324990009.88164139</v>
      </c>
      <c r="AH26" s="13">
        <f t="shared" si="33"/>
        <v>1728269066.0559101</v>
      </c>
      <c r="AI26" s="13">
        <f t="shared" si="34"/>
        <v>6052763765.014802</v>
      </c>
      <c r="AJ26" s="13">
        <f t="shared" si="35"/>
        <v>16047403996.544638</v>
      </c>
      <c r="AK26" s="13">
        <f t="shared" si="35"/>
        <v>35017689344.806908</v>
      </c>
      <c r="AL26" s="13">
        <f t="shared" si="35"/>
        <v>47389321524.455856</v>
      </c>
      <c r="AM26" s="13">
        <f t="shared" si="36"/>
        <v>66333106265.404503</v>
      </c>
      <c r="AN26" s="13">
        <f t="shared" si="37"/>
        <v>113021415176.26764</v>
      </c>
      <c r="AO26" s="13">
        <f t="shared" si="38"/>
        <v>177526275358.99133</v>
      </c>
      <c r="AP26" s="13">
        <f t="shared" si="39"/>
        <v>57341079.044591583</v>
      </c>
      <c r="AQ26" s="13">
        <f t="shared" si="52"/>
        <v>3.7978979520553105E-7</v>
      </c>
      <c r="AR26" s="13">
        <f t="shared" si="40"/>
        <v>2.1971992851748197E-6</v>
      </c>
      <c r="AS26" s="13">
        <f t="shared" si="41"/>
        <v>6.054971708368095E-6</v>
      </c>
      <c r="AT26" s="13">
        <f t="shared" si="42"/>
        <v>1.169150689971017E-5</v>
      </c>
      <c r="AU26" s="13">
        <f t="shared" si="43"/>
        <v>1.8530553037388461E-5</v>
      </c>
      <c r="AV26" s="13">
        <f t="shared" si="44"/>
        <v>2.6026652169723811E-5</v>
      </c>
      <c r="AW26" s="13">
        <f t="shared" si="45"/>
        <v>3.3765201499738877E-5</v>
      </c>
      <c r="AX26" s="13">
        <f t="shared" si="46"/>
        <v>4.4858729617227824E-5</v>
      </c>
      <c r="AY26" s="13">
        <f t="shared" si="47"/>
        <v>4.8931526185199351E-5</v>
      </c>
      <c r="AZ26" s="13">
        <f t="shared" si="48"/>
        <v>5.6066670902734716E-5</v>
      </c>
      <c r="BA26" s="13">
        <f t="shared" si="49"/>
        <v>6.2807813602809416E-5</v>
      </c>
      <c r="BB26" s="13">
        <f t="shared" si="50"/>
        <v>7.4615804962477968E-8</v>
      </c>
    </row>
    <row r="27" spans="1:54">
      <c r="A27">
        <f>data0!A25</f>
        <v>415</v>
      </c>
      <c r="B27" s="13">
        <v>2.1800000000000001E-3</v>
      </c>
      <c r="C27" t="e">
        <f ca="1">(Calculations!C26-C$2)/C$1</f>
        <v>#DIV/0!</v>
      </c>
      <c r="D27" s="13" t="e">
        <f t="shared" ca="1" si="14"/>
        <v>#DIV/0!</v>
      </c>
      <c r="E27" s="13" t="e">
        <f t="shared" ca="1" si="15"/>
        <v>#DIV/0!</v>
      </c>
      <c r="F27" s="13" t="e">
        <f t="shared" ca="1" si="16"/>
        <v>#DIV/0!</v>
      </c>
      <c r="G27" s="13" t="e">
        <f t="shared" ca="1" si="17"/>
        <v>#DIV/0!</v>
      </c>
      <c r="H27" s="13" t="e">
        <f t="shared" ca="1" si="18"/>
        <v>#DIV/0!</v>
      </c>
      <c r="I27" s="13" t="e">
        <f t="shared" ca="1" si="19"/>
        <v>#DIV/0!</v>
      </c>
      <c r="J27" s="13" t="e">
        <f t="shared" ca="1" si="20"/>
        <v>#DIV/0!</v>
      </c>
      <c r="K27" s="13" t="e">
        <f t="shared" ca="1" si="21"/>
        <v>#DIV/0!</v>
      </c>
      <c r="L27" s="13" t="e">
        <f t="shared" ca="1" si="22"/>
        <v>#DIV/0!</v>
      </c>
      <c r="M27" s="13" t="e">
        <f t="shared" ca="1" si="23"/>
        <v>#DIV/0!</v>
      </c>
      <c r="N27" s="13" t="e">
        <f t="shared" ca="1" si="24"/>
        <v>#DIV/0!</v>
      </c>
      <c r="O27" s="13" t="e">
        <f t="shared" ca="1" si="25"/>
        <v>#DIV/0!</v>
      </c>
      <c r="P27" s="13" t="e">
        <f t="shared" ca="1" si="26"/>
        <v>#DIV/0!</v>
      </c>
      <c r="Q27" s="13">
        <f t="shared" si="53"/>
        <v>2786705.9425148312</v>
      </c>
      <c r="R27" s="13">
        <f t="shared" si="53"/>
        <v>900592637.88203239</v>
      </c>
      <c r="S27" s="13">
        <f t="shared" si="53"/>
        <v>28853010464.870441</v>
      </c>
      <c r="T27" s="13">
        <f t="shared" si="53"/>
        <v>291051454282.6333</v>
      </c>
      <c r="U27" s="13">
        <f t="shared" si="53"/>
        <v>1516943323882.2253</v>
      </c>
      <c r="V27" s="13">
        <f t="shared" si="53"/>
        <v>5233099504816.6143</v>
      </c>
      <c r="W27" s="13">
        <f t="shared" si="53"/>
        <v>13712594758781.686</v>
      </c>
      <c r="X27" s="13">
        <f t="shared" si="53"/>
        <v>29644131184556.406</v>
      </c>
      <c r="Y27" s="54">
        <f t="shared" si="53"/>
        <v>39972414995570.602</v>
      </c>
      <c r="Z27" s="13">
        <f t="shared" si="53"/>
        <v>55727254283519.719</v>
      </c>
      <c r="AA27" s="13">
        <f t="shared" si="53"/>
        <v>94351492217356.922</v>
      </c>
      <c r="AB27" s="13">
        <f t="shared" si="28"/>
        <v>147413584879194.19</v>
      </c>
      <c r="AC27" s="13">
        <f t="shared" si="51"/>
        <v>87139864690.343918</v>
      </c>
      <c r="AD27" s="13">
        <f t="shared" si="29"/>
        <v>6075.0189546823322</v>
      </c>
      <c r="AE27" s="13">
        <f t="shared" si="30"/>
        <v>1963291.9505828307</v>
      </c>
      <c r="AF27" s="13">
        <f t="shared" si="31"/>
        <v>62899562.813417561</v>
      </c>
      <c r="AG27" s="13">
        <f t="shared" si="32"/>
        <v>634492170.33614063</v>
      </c>
      <c r="AH27" s="13">
        <f t="shared" si="33"/>
        <v>3306936446.0632515</v>
      </c>
      <c r="AI27" s="13">
        <f t="shared" si="34"/>
        <v>11408156920.500219</v>
      </c>
      <c r="AJ27" s="13">
        <f t="shared" si="35"/>
        <v>29893456574.144077</v>
      </c>
      <c r="AK27" s="13">
        <f t="shared" si="35"/>
        <v>64624205982.33297</v>
      </c>
      <c r="AL27" s="13">
        <f t="shared" si="35"/>
        <v>87139864690.343918</v>
      </c>
      <c r="AM27" s="13">
        <f t="shared" si="36"/>
        <v>121485414338.073</v>
      </c>
      <c r="AN27" s="13">
        <f t="shared" si="37"/>
        <v>205686253033.8381</v>
      </c>
      <c r="AO27" s="13">
        <f t="shared" si="38"/>
        <v>321361615036.64331</v>
      </c>
      <c r="AP27" s="13">
        <f t="shared" si="39"/>
        <v>189964905.02494976</v>
      </c>
      <c r="AQ27" s="13">
        <f t="shared" si="52"/>
        <v>8.5369902822907185E-7</v>
      </c>
      <c r="AR27" s="13">
        <f t="shared" si="40"/>
        <v>4.6028630581640407E-6</v>
      </c>
      <c r="AS27" s="13">
        <f t="shared" si="41"/>
        <v>1.215931331296591E-5</v>
      </c>
      <c r="AT27" s="13">
        <f t="shared" si="42"/>
        <v>2.2825838831165003E-5</v>
      </c>
      <c r="AU27" s="13">
        <f t="shared" si="43"/>
        <v>3.5457072286142271E-5</v>
      </c>
      <c r="AV27" s="13">
        <f t="shared" si="44"/>
        <v>4.9054637450692019E-5</v>
      </c>
      <c r="AW27" s="13">
        <f t="shared" si="45"/>
        <v>6.2898558855189657E-5</v>
      </c>
      <c r="AX27" s="13">
        <f t="shared" si="46"/>
        <v>8.2486591984835144E-5</v>
      </c>
      <c r="AY27" s="13">
        <f t="shared" si="47"/>
        <v>8.9615383139436967E-5</v>
      </c>
      <c r="AZ27" s="13">
        <f t="shared" si="48"/>
        <v>1.0203502973378406E-4</v>
      </c>
      <c r="BA27" s="13">
        <f t="shared" si="49"/>
        <v>1.1369596064302834E-4</v>
      </c>
      <c r="BB27" s="13">
        <f t="shared" si="50"/>
        <v>2.4719423734657173E-7</v>
      </c>
    </row>
    <row r="28" spans="1:54">
      <c r="A28">
        <f>data0!A26</f>
        <v>420</v>
      </c>
      <c r="B28" s="13">
        <v>4.0000000000000001E-3</v>
      </c>
      <c r="C28" t="e">
        <f ca="1">(Calculations!C27-C$2)/C$1</f>
        <v>#REF!</v>
      </c>
      <c r="D28" s="13" t="e">
        <f t="shared" ca="1" si="14"/>
        <v>#REF!</v>
      </c>
      <c r="E28" s="13" t="e">
        <f t="shared" ca="1" si="15"/>
        <v>#REF!</v>
      </c>
      <c r="F28" s="13" t="e">
        <f t="shared" ca="1" si="16"/>
        <v>#REF!</v>
      </c>
      <c r="G28" s="13" t="e">
        <f t="shared" ca="1" si="17"/>
        <v>#REF!</v>
      </c>
      <c r="H28" s="13" t="e">
        <f t="shared" ca="1" si="18"/>
        <v>#REF!</v>
      </c>
      <c r="I28" s="13" t="e">
        <f t="shared" ca="1" si="19"/>
        <v>#REF!</v>
      </c>
      <c r="J28" s="13" t="e">
        <f t="shared" ca="1" si="20"/>
        <v>#REF!</v>
      </c>
      <c r="K28" s="13" t="e">
        <f t="shared" ca="1" si="21"/>
        <v>#REF!</v>
      </c>
      <c r="L28" s="13" t="e">
        <f t="shared" ca="1" si="22"/>
        <v>#REF!</v>
      </c>
      <c r="M28" s="13" t="e">
        <f t="shared" ca="1" si="23"/>
        <v>#REF!</v>
      </c>
      <c r="N28" s="13" t="e">
        <f t="shared" ca="1" si="24"/>
        <v>#REF!</v>
      </c>
      <c r="O28" s="13" t="e">
        <f t="shared" ca="1" si="25"/>
        <v>#REF!</v>
      </c>
      <c r="P28" s="13" t="e">
        <f t="shared" ca="1" si="26"/>
        <v>#REF!</v>
      </c>
      <c r="Q28" s="13">
        <f t="shared" si="53"/>
        <v>3456067.2651455323</v>
      </c>
      <c r="R28" s="13">
        <f t="shared" si="53"/>
        <v>1042665936.0196761</v>
      </c>
      <c r="S28" s="13">
        <f t="shared" si="53"/>
        <v>32054089526.454044</v>
      </c>
      <c r="T28" s="13">
        <f t="shared" si="53"/>
        <v>314566828771.05774</v>
      </c>
      <c r="U28" s="13">
        <f t="shared" si="53"/>
        <v>1607604095183.0881</v>
      </c>
      <c r="V28" s="13">
        <f t="shared" si="53"/>
        <v>5464778077447.6006</v>
      </c>
      <c r="W28" s="13">
        <f t="shared" si="53"/>
        <v>14156791283573.482</v>
      </c>
      <c r="X28" s="13">
        <f t="shared" si="53"/>
        <v>30326221790144.973</v>
      </c>
      <c r="Y28" s="54">
        <f t="shared" si="53"/>
        <v>40748040049149.492</v>
      </c>
      <c r="Z28" s="13">
        <f t="shared" si="53"/>
        <v>56586628781545.992</v>
      </c>
      <c r="AA28" s="13">
        <f t="shared" si="53"/>
        <v>95216685304339.656</v>
      </c>
      <c r="AB28" s="13">
        <f t="shared" si="28"/>
        <v>147994597786102.34</v>
      </c>
      <c r="AC28" s="13">
        <f t="shared" si="51"/>
        <v>162992160196.59796</v>
      </c>
      <c r="AD28" s="13">
        <f t="shared" si="29"/>
        <v>13824.26906058213</v>
      </c>
      <c r="AE28" s="13">
        <f t="shared" si="30"/>
        <v>4170663.7440787046</v>
      </c>
      <c r="AF28" s="13">
        <f t="shared" si="31"/>
        <v>128216358.10581619</v>
      </c>
      <c r="AG28" s="13">
        <f t="shared" si="32"/>
        <v>1258267315.0842309</v>
      </c>
      <c r="AH28" s="13">
        <f t="shared" si="33"/>
        <v>6430416380.7323523</v>
      </c>
      <c r="AI28" s="13">
        <f t="shared" si="34"/>
        <v>21859112309.790401</v>
      </c>
      <c r="AJ28" s="13">
        <f t="shared" si="35"/>
        <v>56627165134.29393</v>
      </c>
      <c r="AK28" s="13">
        <f t="shared" si="35"/>
        <v>121304887160.5799</v>
      </c>
      <c r="AL28" s="13">
        <f t="shared" si="35"/>
        <v>162992160196.59796</v>
      </c>
      <c r="AM28" s="13">
        <f t="shared" si="36"/>
        <v>226346515126.18396</v>
      </c>
      <c r="AN28" s="13">
        <f t="shared" si="37"/>
        <v>380866741217.35864</v>
      </c>
      <c r="AO28" s="13">
        <f t="shared" si="38"/>
        <v>591978391144.40942</v>
      </c>
      <c r="AP28" s="13">
        <f t="shared" si="39"/>
        <v>651968640.78639185</v>
      </c>
      <c r="AQ28" s="13">
        <f t="shared" si="52"/>
        <v>1.9426713152721863E-6</v>
      </c>
      <c r="AR28" s="13">
        <f t="shared" si="40"/>
        <v>9.7779619938568474E-6</v>
      </c>
      <c r="AS28" s="13">
        <f t="shared" si="41"/>
        <v>2.4785909477314982E-5</v>
      </c>
      <c r="AT28" s="13">
        <f t="shared" si="42"/>
        <v>4.5266132953885914E-5</v>
      </c>
      <c r="AU28" s="13">
        <f t="shared" si="43"/>
        <v>6.8947118325496647E-5</v>
      </c>
      <c r="AV28" s="13">
        <f t="shared" si="44"/>
        <v>9.3993345009468009E-5</v>
      </c>
      <c r="AW28" s="13">
        <f t="shared" si="45"/>
        <v>1.1914871972626379E-4</v>
      </c>
      <c r="AX28" s="13">
        <f t="shared" si="46"/>
        <v>1.5428837148921446E-4</v>
      </c>
      <c r="AY28" s="13">
        <f t="shared" si="47"/>
        <v>1.6696761323842628E-4</v>
      </c>
      <c r="AZ28" s="13">
        <f t="shared" si="48"/>
        <v>1.8893702759187E-4</v>
      </c>
      <c r="BA28" s="13">
        <f t="shared" si="49"/>
        <v>2.0943867814892416E-4</v>
      </c>
      <c r="BB28" s="13">
        <f t="shared" si="50"/>
        <v>8.4838244680987876E-7</v>
      </c>
    </row>
    <row r="29" spans="1:54">
      <c r="A29">
        <f>data0!A27</f>
        <v>425</v>
      </c>
      <c r="B29" s="13">
        <v>7.3000000000000001E-3</v>
      </c>
      <c r="C29" t="e">
        <f ca="1">(Calculations!C28-C$2)/C$1</f>
        <v>#DIV/0!</v>
      </c>
      <c r="D29" s="13" t="e">
        <f t="shared" ca="1" si="14"/>
        <v>#DIV/0!</v>
      </c>
      <c r="E29" s="13" t="e">
        <f t="shared" ca="1" si="15"/>
        <v>#DIV/0!</v>
      </c>
      <c r="F29" s="13" t="e">
        <f t="shared" ca="1" si="16"/>
        <v>#DIV/0!</v>
      </c>
      <c r="G29" s="13" t="e">
        <f t="shared" ca="1" si="17"/>
        <v>#DIV/0!</v>
      </c>
      <c r="H29" s="13" t="e">
        <f t="shared" ca="1" si="18"/>
        <v>#DIV/0!</v>
      </c>
      <c r="I29" s="13" t="e">
        <f t="shared" ca="1" si="19"/>
        <v>#DIV/0!</v>
      </c>
      <c r="J29" s="13" t="e">
        <f t="shared" ca="1" si="20"/>
        <v>#DIV/0!</v>
      </c>
      <c r="K29" s="13" t="e">
        <f t="shared" ca="1" si="21"/>
        <v>#DIV/0!</v>
      </c>
      <c r="L29" s="13" t="e">
        <f t="shared" ca="1" si="22"/>
        <v>#DIV/0!</v>
      </c>
      <c r="M29" s="13" t="e">
        <f t="shared" ca="1" si="23"/>
        <v>#DIV/0!</v>
      </c>
      <c r="N29" s="13" t="e">
        <f t="shared" ca="1" si="24"/>
        <v>#DIV/0!</v>
      </c>
      <c r="O29" s="13" t="e">
        <f t="shared" ca="1" si="25"/>
        <v>#DIV/0!</v>
      </c>
      <c r="P29" s="13" t="e">
        <f t="shared" ca="1" si="26"/>
        <v>#DIV/0!</v>
      </c>
      <c r="Q29" s="13">
        <f t="shared" si="53"/>
        <v>4261566.8464868423</v>
      </c>
      <c r="R29" s="13">
        <f t="shared" si="53"/>
        <v>1202156414.9086599</v>
      </c>
      <c r="S29" s="13">
        <f t="shared" si="53"/>
        <v>35497398207.046089</v>
      </c>
      <c r="T29" s="13">
        <f t="shared" si="53"/>
        <v>339123644099.83337</v>
      </c>
      <c r="U29" s="13">
        <f t="shared" si="53"/>
        <v>1700168143736.6284</v>
      </c>
      <c r="V29" s="13">
        <f t="shared" si="53"/>
        <v>5696919895892.5059</v>
      </c>
      <c r="W29" s="13">
        <f t="shared" si="53"/>
        <v>14594252524828.193</v>
      </c>
      <c r="X29" s="13">
        <f t="shared" si="53"/>
        <v>30985914566214.027</v>
      </c>
      <c r="Y29" s="54">
        <f t="shared" si="53"/>
        <v>41491226042566.555</v>
      </c>
      <c r="Z29" s="13">
        <f t="shared" si="53"/>
        <v>57398977220971.047</v>
      </c>
      <c r="AA29" s="13">
        <f t="shared" si="53"/>
        <v>96003385355986.109</v>
      </c>
      <c r="AB29" s="13">
        <f t="shared" si="28"/>
        <v>148463147622776.06</v>
      </c>
      <c r="AC29" s="13">
        <f t="shared" si="51"/>
        <v>302885950110.73584</v>
      </c>
      <c r="AD29" s="13">
        <f t="shared" si="29"/>
        <v>31109.437979353948</v>
      </c>
      <c r="AE29" s="13">
        <f t="shared" si="30"/>
        <v>8775741.8288332168</v>
      </c>
      <c r="AF29" s="13">
        <f t="shared" si="31"/>
        <v>259131006.91143644</v>
      </c>
      <c r="AG29" s="13">
        <f t="shared" si="32"/>
        <v>2475602601.9287834</v>
      </c>
      <c r="AH29" s="13">
        <f t="shared" si="33"/>
        <v>12411227449.277388</v>
      </c>
      <c r="AI29" s="13">
        <f t="shared" si="34"/>
        <v>41587515240.015297</v>
      </c>
      <c r="AJ29" s="13">
        <f t="shared" si="35"/>
        <v>106538043431.24582</v>
      </c>
      <c r="AK29" s="13">
        <f t="shared" si="35"/>
        <v>226197176333.3624</v>
      </c>
      <c r="AL29" s="13">
        <f t="shared" si="35"/>
        <v>302885950110.73584</v>
      </c>
      <c r="AM29" s="13">
        <f t="shared" si="36"/>
        <v>419012533713.08862</v>
      </c>
      <c r="AN29" s="13">
        <f t="shared" si="37"/>
        <v>700824713098.69861</v>
      </c>
      <c r="AO29" s="13">
        <f t="shared" si="38"/>
        <v>1083780977646.2653</v>
      </c>
      <c r="AP29" s="13">
        <f t="shared" si="39"/>
        <v>2211067435.8083715</v>
      </c>
      <c r="AQ29" s="13">
        <f t="shared" si="52"/>
        <v>4.3716895650600963E-6</v>
      </c>
      <c r="AR29" s="13">
        <f t="shared" si="40"/>
        <v>2.0574391832009479E-5</v>
      </c>
      <c r="AS29" s="13">
        <f t="shared" si="41"/>
        <v>5.0093434059105393E-5</v>
      </c>
      <c r="AT29" s="13">
        <f t="shared" si="42"/>
        <v>8.9059737288330203E-5</v>
      </c>
      <c r="AU29" s="13">
        <f t="shared" si="43"/>
        <v>1.3307355493712573E-4</v>
      </c>
      <c r="AV29" s="13">
        <f t="shared" si="44"/>
        <v>1.7882472136302171E-4</v>
      </c>
      <c r="AW29" s="13">
        <f t="shared" si="45"/>
        <v>2.2416575943489184E-4</v>
      </c>
      <c r="AX29" s="13">
        <f t="shared" si="46"/>
        <v>2.8671182671106342E-4</v>
      </c>
      <c r="AY29" s="13">
        <f t="shared" si="47"/>
        <v>3.0909034597708648E-4</v>
      </c>
      <c r="AZ29" s="13">
        <f t="shared" si="48"/>
        <v>3.4765896789141408E-4</v>
      </c>
      <c r="BA29" s="13">
        <f t="shared" si="49"/>
        <v>3.8343571109474977E-4</v>
      </c>
      <c r="BB29" s="13">
        <f t="shared" si="50"/>
        <v>2.8771794897836806E-6</v>
      </c>
    </row>
    <row r="30" spans="1:54">
      <c r="A30">
        <f>data0!A28</f>
        <v>430</v>
      </c>
      <c r="B30" s="13">
        <v>1.1599999999999999E-2</v>
      </c>
      <c r="C30" t="e">
        <f ca="1">(Calculations!C29-C$2)/C$1</f>
        <v>#DIV/0!</v>
      </c>
      <c r="D30" s="13" t="e">
        <f t="shared" ca="1" si="14"/>
        <v>#DIV/0!</v>
      </c>
      <c r="E30" s="13" t="e">
        <f t="shared" ca="1" si="15"/>
        <v>#DIV/0!</v>
      </c>
      <c r="F30" s="13" t="e">
        <f t="shared" ca="1" si="16"/>
        <v>#DIV/0!</v>
      </c>
      <c r="G30" s="13" t="e">
        <f t="shared" ca="1" si="17"/>
        <v>#DIV/0!</v>
      </c>
      <c r="H30" s="13" t="e">
        <f t="shared" ca="1" si="18"/>
        <v>#DIV/0!</v>
      </c>
      <c r="I30" s="13" t="e">
        <f t="shared" ca="1" si="19"/>
        <v>#DIV/0!</v>
      </c>
      <c r="J30" s="13" t="e">
        <f t="shared" ca="1" si="20"/>
        <v>#DIV/0!</v>
      </c>
      <c r="K30" s="13" t="e">
        <f t="shared" ca="1" si="21"/>
        <v>#DIV/0!</v>
      </c>
      <c r="L30" s="13" t="e">
        <f t="shared" ca="1" si="22"/>
        <v>#DIV/0!</v>
      </c>
      <c r="M30" s="13" t="e">
        <f t="shared" ca="1" si="23"/>
        <v>#DIV/0!</v>
      </c>
      <c r="N30" s="13" t="e">
        <f t="shared" ca="1" si="24"/>
        <v>#DIV/0!</v>
      </c>
      <c r="O30" s="13" t="e">
        <f t="shared" ca="1" si="25"/>
        <v>#DIV/0!</v>
      </c>
      <c r="P30" s="13" t="e">
        <f t="shared" ca="1" si="26"/>
        <v>#DIV/0!</v>
      </c>
      <c r="Q30" s="13">
        <f t="shared" si="53"/>
        <v>5225686.8658630066</v>
      </c>
      <c r="R30" s="13">
        <f t="shared" si="53"/>
        <v>1380518190.1838996</v>
      </c>
      <c r="S30" s="13">
        <f t="shared" si="53"/>
        <v>39190609263.532654</v>
      </c>
      <c r="T30" s="13">
        <f t="shared" si="53"/>
        <v>364709486848.04657</v>
      </c>
      <c r="U30" s="13">
        <f t="shared" si="53"/>
        <v>1794496106073.6428</v>
      </c>
      <c r="V30" s="13">
        <f t="shared" si="53"/>
        <v>5929135236312.7822</v>
      </c>
      <c r="W30" s="13">
        <f t="shared" si="53"/>
        <v>15024369952867.436</v>
      </c>
      <c r="X30" s="13">
        <f t="shared" si="53"/>
        <v>31622707524072.711</v>
      </c>
      <c r="Y30" s="54">
        <f t="shared" si="53"/>
        <v>42201709455189.437</v>
      </c>
      <c r="Z30" s="13">
        <f t="shared" si="53"/>
        <v>58164535119807.273</v>
      </c>
      <c r="AA30" s="13">
        <f t="shared" si="53"/>
        <v>96713393678124.719</v>
      </c>
      <c r="AB30" s="13">
        <f t="shared" si="28"/>
        <v>148823458282910.62</v>
      </c>
      <c r="AC30" s="13">
        <f t="shared" si="51"/>
        <v>489539829680.19745</v>
      </c>
      <c r="AD30" s="13">
        <f t="shared" si="29"/>
        <v>60617.967644010874</v>
      </c>
      <c r="AE30" s="13">
        <f t="shared" si="30"/>
        <v>16014011.006133234</v>
      </c>
      <c r="AF30" s="13">
        <f t="shared" si="31"/>
        <v>454611067.45697874</v>
      </c>
      <c r="AG30" s="13">
        <f t="shared" si="32"/>
        <v>4230630047.4373398</v>
      </c>
      <c r="AH30" s="13">
        <f t="shared" si="33"/>
        <v>20816154830.454254</v>
      </c>
      <c r="AI30" s="13">
        <f t="shared" si="34"/>
        <v>68777968741.228271</v>
      </c>
      <c r="AJ30" s="13">
        <f t="shared" si="35"/>
        <v>174282691453.26224</v>
      </c>
      <c r="AK30" s="13">
        <f t="shared" si="35"/>
        <v>366823407279.24341</v>
      </c>
      <c r="AL30" s="13">
        <f t="shared" si="35"/>
        <v>489539829680.19745</v>
      </c>
      <c r="AM30" s="13">
        <f t="shared" si="36"/>
        <v>674708607389.76428</v>
      </c>
      <c r="AN30" s="13">
        <f t="shared" si="37"/>
        <v>1121875366666.2466</v>
      </c>
      <c r="AO30" s="13">
        <f t="shared" si="38"/>
        <v>1726352116081.7632</v>
      </c>
      <c r="AP30" s="13">
        <f t="shared" si="39"/>
        <v>5678662024.2902899</v>
      </c>
      <c r="AQ30" s="13">
        <f t="shared" si="52"/>
        <v>8.5184096472698871E-6</v>
      </c>
      <c r="AR30" s="13">
        <f t="shared" si="40"/>
        <v>3.7544237703048236E-5</v>
      </c>
      <c r="AS30" s="13">
        <f t="shared" si="41"/>
        <v>8.7882302475592394E-5</v>
      </c>
      <c r="AT30" s="13">
        <f t="shared" si="42"/>
        <v>1.5219680262709806E-4</v>
      </c>
      <c r="AU30" s="13">
        <f t="shared" si="43"/>
        <v>2.2319143974526472E-4</v>
      </c>
      <c r="AV30" s="13">
        <f t="shared" si="44"/>
        <v>2.9574262912996865E-4</v>
      </c>
      <c r="AW30" s="13">
        <f t="shared" si="45"/>
        <v>3.6670667704903067E-4</v>
      </c>
      <c r="AX30" s="13">
        <f t="shared" si="46"/>
        <v>4.6339838069120562E-4</v>
      </c>
      <c r="AY30" s="13">
        <f t="shared" si="47"/>
        <v>4.9770806387051557E-4</v>
      </c>
      <c r="AZ30" s="13">
        <f t="shared" si="48"/>
        <v>5.5653007776148482E-4</v>
      </c>
      <c r="BA30" s="13">
        <f t="shared" si="49"/>
        <v>6.1077382320119363E-4</v>
      </c>
      <c r="BB30" s="13">
        <f t="shared" si="50"/>
        <v>7.389430842812849E-6</v>
      </c>
    </row>
    <row r="31" spans="1:54">
      <c r="A31">
        <f>data0!A29</f>
        <v>435</v>
      </c>
      <c r="B31" s="13">
        <v>1.6840000000000001E-2</v>
      </c>
      <c r="C31" t="e">
        <f ca="1">(Calculations!C30-C$2)/C$1</f>
        <v>#DIV/0!</v>
      </c>
      <c r="D31" s="13" t="e">
        <f t="shared" ca="1" si="14"/>
        <v>#DIV/0!</v>
      </c>
      <c r="E31" s="13" t="e">
        <f t="shared" ca="1" si="15"/>
        <v>#DIV/0!</v>
      </c>
      <c r="F31" s="13" t="e">
        <f t="shared" ca="1" si="16"/>
        <v>#DIV/0!</v>
      </c>
      <c r="G31" s="13" t="e">
        <f t="shared" ca="1" si="17"/>
        <v>#DIV/0!</v>
      </c>
      <c r="H31" s="13" t="e">
        <f t="shared" ca="1" si="18"/>
        <v>#DIV/0!</v>
      </c>
      <c r="I31" s="13" t="e">
        <f t="shared" ca="1" si="19"/>
        <v>#DIV/0!</v>
      </c>
      <c r="J31" s="13" t="e">
        <f t="shared" ca="1" si="20"/>
        <v>#DIV/0!</v>
      </c>
      <c r="K31" s="13" t="e">
        <f t="shared" ca="1" si="21"/>
        <v>#DIV/0!</v>
      </c>
      <c r="L31" s="13" t="e">
        <f t="shared" ca="1" si="22"/>
        <v>#DIV/0!</v>
      </c>
      <c r="M31" s="13" t="e">
        <f t="shared" ca="1" si="23"/>
        <v>#DIV/0!</v>
      </c>
      <c r="N31" s="13" t="e">
        <f t="shared" ca="1" si="24"/>
        <v>#DIV/0!</v>
      </c>
      <c r="O31" s="13" t="e">
        <f t="shared" ca="1" si="25"/>
        <v>#DIV/0!</v>
      </c>
      <c r="P31" s="13" t="e">
        <f t="shared" ca="1" si="26"/>
        <v>#DIV/0!</v>
      </c>
      <c r="Q31" s="13">
        <f t="shared" si="53"/>
        <v>6373691.5328278765</v>
      </c>
      <c r="R31" s="13">
        <f t="shared" si="53"/>
        <v>1579253618.9370339</v>
      </c>
      <c r="S31" s="13">
        <f t="shared" si="53"/>
        <v>43140891834.407791</v>
      </c>
      <c r="T31" s="13">
        <f t="shared" si="53"/>
        <v>391308910611.62323</v>
      </c>
      <c r="U31" s="13">
        <f t="shared" si="53"/>
        <v>1890445720510.4456</v>
      </c>
      <c r="V31" s="13">
        <f t="shared" si="53"/>
        <v>6161045754619.6689</v>
      </c>
      <c r="W31" s="13">
        <f t="shared" si="53"/>
        <v>15446580695203.76</v>
      </c>
      <c r="X31" s="13">
        <f t="shared" si="53"/>
        <v>32236188535521.543</v>
      </c>
      <c r="Y31" s="54">
        <f t="shared" si="53"/>
        <v>42879333546458.141</v>
      </c>
      <c r="Z31" s="13">
        <f t="shared" si="53"/>
        <v>58883657529110.016</v>
      </c>
      <c r="AA31" s="13">
        <f t="shared" si="53"/>
        <v>97348616863492.625</v>
      </c>
      <c r="AB31" s="13">
        <f t="shared" si="28"/>
        <v>149079776424761.66</v>
      </c>
      <c r="AC31" s="13">
        <f t="shared" si="51"/>
        <v>722087976922.3551</v>
      </c>
      <c r="AD31" s="13">
        <f t="shared" si="29"/>
        <v>107332.96541282145</v>
      </c>
      <c r="AE31" s="13">
        <f t="shared" si="30"/>
        <v>26594630.942899652</v>
      </c>
      <c r="AF31" s="13">
        <f t="shared" si="31"/>
        <v>726492618.49142718</v>
      </c>
      <c r="AG31" s="13">
        <f t="shared" si="32"/>
        <v>6589642054.6997356</v>
      </c>
      <c r="AH31" s="13">
        <f t="shared" si="33"/>
        <v>31835105933.395905</v>
      </c>
      <c r="AI31" s="13">
        <f t="shared" si="34"/>
        <v>103752010507.79523</v>
      </c>
      <c r="AJ31" s="13">
        <f t="shared" si="35"/>
        <v>260120418907.23132</v>
      </c>
      <c r="AK31" s="13">
        <f t="shared" si="35"/>
        <v>542857414938.1828</v>
      </c>
      <c r="AL31" s="13">
        <f t="shared" si="35"/>
        <v>722087976922.3551</v>
      </c>
      <c r="AM31" s="13">
        <f t="shared" si="36"/>
        <v>991600792790.21277</v>
      </c>
      <c r="AN31" s="13">
        <f t="shared" si="37"/>
        <v>1639350707981.2158</v>
      </c>
      <c r="AO31" s="13">
        <f t="shared" si="38"/>
        <v>2510503434992.9863</v>
      </c>
      <c r="AP31" s="13">
        <f t="shared" si="39"/>
        <v>12159961531.372461</v>
      </c>
      <c r="AQ31" s="13">
        <f t="shared" si="52"/>
        <v>1.5083088456744026E-5</v>
      </c>
      <c r="AR31" s="13">
        <f t="shared" si="40"/>
        <v>6.2350097384262978E-5</v>
      </c>
      <c r="AS31" s="13">
        <f t="shared" si="41"/>
        <v>1.4044058452358441E-4</v>
      </c>
      <c r="AT31" s="13">
        <f t="shared" si="42"/>
        <v>2.370621963955157E-4</v>
      </c>
      <c r="AU31" s="13">
        <f t="shared" si="43"/>
        <v>3.4133696571676575E-4</v>
      </c>
      <c r="AV31" s="13">
        <f t="shared" si="44"/>
        <v>4.4612966807061779E-4</v>
      </c>
      <c r="AW31" s="13">
        <f t="shared" si="45"/>
        <v>5.4731708384049723E-4</v>
      </c>
      <c r="AX31" s="13">
        <f t="shared" si="46"/>
        <v>6.8352844637994449E-4</v>
      </c>
      <c r="AY31" s="13">
        <f t="shared" si="47"/>
        <v>7.3146793342594035E-4</v>
      </c>
      <c r="AZ31" s="13">
        <f t="shared" si="48"/>
        <v>8.132346997708446E-4</v>
      </c>
      <c r="BA31" s="13">
        <f t="shared" si="49"/>
        <v>8.8820221950466416E-4</v>
      </c>
      <c r="BB31" s="13">
        <f t="shared" si="50"/>
        <v>1.5823303870346356E-5</v>
      </c>
    </row>
    <row r="32" spans="1:54">
      <c r="A32">
        <f>data0!A30</f>
        <v>440</v>
      </c>
      <c r="B32" s="13">
        <v>2.3E-2</v>
      </c>
      <c r="C32" t="e">
        <f ca="1">(Calculations!C31-C$2)/C$1</f>
        <v>#DIV/0!</v>
      </c>
      <c r="D32" s="13" t="e">
        <f t="shared" ca="1" si="14"/>
        <v>#DIV/0!</v>
      </c>
      <c r="E32" s="13" t="e">
        <f t="shared" ca="1" si="15"/>
        <v>#DIV/0!</v>
      </c>
      <c r="F32" s="13" t="e">
        <f t="shared" ca="1" si="16"/>
        <v>#DIV/0!</v>
      </c>
      <c r="G32" s="13" t="e">
        <f t="shared" ca="1" si="17"/>
        <v>#DIV/0!</v>
      </c>
      <c r="H32" s="13" t="e">
        <f t="shared" ca="1" si="18"/>
        <v>#DIV/0!</v>
      </c>
      <c r="I32" s="13" t="e">
        <f t="shared" ca="1" si="19"/>
        <v>#DIV/0!</v>
      </c>
      <c r="J32" s="13" t="e">
        <f t="shared" ca="1" si="20"/>
        <v>#DIV/0!</v>
      </c>
      <c r="K32" s="13" t="e">
        <f t="shared" ca="1" si="21"/>
        <v>#DIV/0!</v>
      </c>
      <c r="L32" s="13" t="e">
        <f t="shared" ca="1" si="22"/>
        <v>#DIV/0!</v>
      </c>
      <c r="M32" s="13" t="e">
        <f t="shared" ca="1" si="23"/>
        <v>#DIV/0!</v>
      </c>
      <c r="N32" s="13" t="e">
        <f t="shared" ca="1" si="24"/>
        <v>#DIV/0!</v>
      </c>
      <c r="O32" s="13" t="e">
        <f t="shared" ca="1" si="25"/>
        <v>#DIV/0!</v>
      </c>
      <c r="P32" s="13" t="e">
        <f t="shared" ca="1" si="26"/>
        <v>#DIV/0!</v>
      </c>
      <c r="Q32" s="13">
        <f t="shared" si="53"/>
        <v>7733834.7724420028</v>
      </c>
      <c r="R32" s="13">
        <f t="shared" si="53"/>
        <v>1799908792.5427215</v>
      </c>
      <c r="S32" s="13">
        <f t="shared" si="53"/>
        <v>47354877260.808495</v>
      </c>
      <c r="T32" s="13">
        <f t="shared" si="53"/>
        <v>418903565592.6123</v>
      </c>
      <c r="U32" s="13">
        <f t="shared" si="53"/>
        <v>1987872551887.0063</v>
      </c>
      <c r="V32" s="13">
        <f t="shared" si="53"/>
        <v>6392285509040.71</v>
      </c>
      <c r="W32" s="13">
        <f t="shared" si="53"/>
        <v>15860367065694.578</v>
      </c>
      <c r="X32" s="13">
        <f t="shared" si="53"/>
        <v>32826030685281.348</v>
      </c>
      <c r="Y32" s="54">
        <f t="shared" si="53"/>
        <v>43524041071529.453</v>
      </c>
      <c r="Z32" s="13">
        <f t="shared" si="53"/>
        <v>59556808197717.906</v>
      </c>
      <c r="AA32" s="13">
        <f t="shared" si="53"/>
        <v>97911049902623.484</v>
      </c>
      <c r="AB32" s="13">
        <f t="shared" si="28"/>
        <v>149236351505285.59</v>
      </c>
      <c r="AC32" s="13">
        <f t="shared" si="51"/>
        <v>1001052944645.1774</v>
      </c>
      <c r="AD32" s="13">
        <f t="shared" si="29"/>
        <v>177878.19976616607</v>
      </c>
      <c r="AE32" s="13">
        <f t="shared" si="30"/>
        <v>41397902.228482597</v>
      </c>
      <c r="AF32" s="13">
        <f t="shared" si="31"/>
        <v>1089162176.9985952</v>
      </c>
      <c r="AG32" s="13">
        <f t="shared" si="32"/>
        <v>9634782008.6300831</v>
      </c>
      <c r="AH32" s="13">
        <f t="shared" si="33"/>
        <v>45721068693.401146</v>
      </c>
      <c r="AI32" s="13">
        <f t="shared" si="34"/>
        <v>147022566707.93634</v>
      </c>
      <c r="AJ32" s="13">
        <f t="shared" si="35"/>
        <v>364788442510.97528</v>
      </c>
      <c r="AK32" s="13">
        <f t="shared" si="35"/>
        <v>754998705761.47095</v>
      </c>
      <c r="AL32" s="13">
        <f t="shared" si="35"/>
        <v>1001052944645.1774</v>
      </c>
      <c r="AM32" s="13">
        <f t="shared" si="36"/>
        <v>1369806588547.5117</v>
      </c>
      <c r="AN32" s="13">
        <f t="shared" si="37"/>
        <v>2251954147760.3403</v>
      </c>
      <c r="AO32" s="13">
        <f t="shared" si="38"/>
        <v>3432436084621.5684</v>
      </c>
      <c r="AP32" s="13">
        <f t="shared" si="39"/>
        <v>23024217726.839081</v>
      </c>
      <c r="AQ32" s="13">
        <f t="shared" si="52"/>
        <v>2.4996538680174911E-5</v>
      </c>
      <c r="AR32" s="13">
        <f t="shared" si="40"/>
        <v>9.7055802014775364E-5</v>
      </c>
      <c r="AS32" s="13">
        <f t="shared" si="41"/>
        <v>2.1054938327699939E-4</v>
      </c>
      <c r="AT32" s="13">
        <f t="shared" si="42"/>
        <v>3.4661102466542409E-4</v>
      </c>
      <c r="AU32" s="13">
        <f t="shared" si="43"/>
        <v>4.9022267712204876E-4</v>
      </c>
      <c r="AV32" s="13">
        <f t="shared" si="44"/>
        <v>6.3219140104638094E-4</v>
      </c>
      <c r="AW32" s="13">
        <f t="shared" si="45"/>
        <v>7.6754815101627333E-4</v>
      </c>
      <c r="AX32" s="13">
        <f t="shared" si="46"/>
        <v>9.4759667224172972E-4</v>
      </c>
      <c r="AY32" s="13">
        <f t="shared" si="47"/>
        <v>1.0104566291225896E-3</v>
      </c>
      <c r="AZ32" s="13">
        <f t="shared" si="48"/>
        <v>1.1171296332966069E-3</v>
      </c>
      <c r="BA32" s="13">
        <f t="shared" si="49"/>
        <v>1.2143768879875256E-3</v>
      </c>
      <c r="BB32" s="13">
        <f t="shared" si="50"/>
        <v>2.9960554770576677E-5</v>
      </c>
    </row>
    <row r="33" spans="1:54">
      <c r="A33">
        <f>data0!A31</f>
        <v>445</v>
      </c>
      <c r="B33" s="13">
        <v>2.98E-2</v>
      </c>
      <c r="C33" t="e">
        <f ca="1">(Calculations!C32-C$2)/C$1</f>
        <v>#DIV/0!</v>
      </c>
      <c r="D33" s="13" t="e">
        <f t="shared" ca="1" si="14"/>
        <v>#DIV/0!</v>
      </c>
      <c r="E33" s="13" t="e">
        <f t="shared" ca="1" si="15"/>
        <v>#DIV/0!</v>
      </c>
      <c r="F33" s="13" t="e">
        <f t="shared" ca="1" si="16"/>
        <v>#DIV/0!</v>
      </c>
      <c r="G33" s="13" t="e">
        <f t="shared" ca="1" si="17"/>
        <v>#DIV/0!</v>
      </c>
      <c r="H33" s="13" t="e">
        <f t="shared" ca="1" si="18"/>
        <v>#DIV/0!</v>
      </c>
      <c r="I33" s="13" t="e">
        <f t="shared" ca="1" si="19"/>
        <v>#DIV/0!</v>
      </c>
      <c r="J33" s="13" t="e">
        <f t="shared" ca="1" si="20"/>
        <v>#DIV/0!</v>
      </c>
      <c r="K33" s="13" t="e">
        <f t="shared" ca="1" si="21"/>
        <v>#DIV/0!</v>
      </c>
      <c r="L33" s="13" t="e">
        <f t="shared" ca="1" si="22"/>
        <v>#DIV/0!</v>
      </c>
      <c r="M33" s="13" t="e">
        <f t="shared" ca="1" si="23"/>
        <v>#DIV/0!</v>
      </c>
      <c r="N33" s="13" t="e">
        <f t="shared" ca="1" si="24"/>
        <v>#DIV/0!</v>
      </c>
      <c r="O33" s="13" t="e">
        <f t="shared" ca="1" si="25"/>
        <v>#DIV/0!</v>
      </c>
      <c r="P33" s="13" t="e">
        <f t="shared" ca="1" si="26"/>
        <v>#DIV/0!</v>
      </c>
      <c r="Q33" s="13">
        <f t="shared" si="53"/>
        <v>9337567.3750165999</v>
      </c>
      <c r="R33" s="13">
        <f t="shared" si="53"/>
        <v>2044068669.1790259</v>
      </c>
      <c r="S33" s="13">
        <f t="shared" si="53"/>
        <v>51838628780.89537</v>
      </c>
      <c r="T33" s="13">
        <f t="shared" si="53"/>
        <v>447472339820.56921</v>
      </c>
      <c r="U33" s="13">
        <f t="shared" si="53"/>
        <v>2086630684768.7358</v>
      </c>
      <c r="V33" s="13">
        <f t="shared" si="53"/>
        <v>6622501833827.1631</v>
      </c>
      <c r="W33" s="13">
        <f t="shared" si="53"/>
        <v>16265255868640.227</v>
      </c>
      <c r="X33" s="13">
        <f t="shared" si="53"/>
        <v>33391987554742.551</v>
      </c>
      <c r="Y33" s="54">
        <f t="shared" si="53"/>
        <v>44135867111675.156</v>
      </c>
      <c r="Z33" s="13">
        <f t="shared" si="53"/>
        <v>60184549175530.828</v>
      </c>
      <c r="AA33" s="13">
        <f t="shared" si="53"/>
        <v>98402760545293.172</v>
      </c>
      <c r="AB33" s="13">
        <f t="shared" si="28"/>
        <v>149297417979173.5</v>
      </c>
      <c r="AC33" s="13">
        <f t="shared" si="51"/>
        <v>1315248839927.9197</v>
      </c>
      <c r="AD33" s="13">
        <f t="shared" si="29"/>
        <v>278259.50777549465</v>
      </c>
      <c r="AE33" s="13">
        <f t="shared" si="30"/>
        <v>60913246.341534972</v>
      </c>
      <c r="AF33" s="13">
        <f t="shared" si="31"/>
        <v>1544791137.670682</v>
      </c>
      <c r="AG33" s="13">
        <f t="shared" si="32"/>
        <v>13334675726.652962</v>
      </c>
      <c r="AH33" s="13">
        <f t="shared" si="33"/>
        <v>62181594406.10833</v>
      </c>
      <c r="AI33" s="13">
        <f t="shared" si="34"/>
        <v>197350554648.04947</v>
      </c>
      <c r="AJ33" s="13">
        <f t="shared" si="35"/>
        <v>484704624885.47876</v>
      </c>
      <c r="AK33" s="13">
        <f t="shared" si="35"/>
        <v>995081229131.328</v>
      </c>
      <c r="AL33" s="13">
        <f t="shared" si="35"/>
        <v>1315248839927.9197</v>
      </c>
      <c r="AM33" s="13">
        <f t="shared" si="36"/>
        <v>1793499565430.8186</v>
      </c>
      <c r="AN33" s="13">
        <f t="shared" si="37"/>
        <v>2932402264249.7363</v>
      </c>
      <c r="AO33" s="13">
        <f t="shared" si="38"/>
        <v>4449063055779.3701</v>
      </c>
      <c r="AP33" s="13">
        <f t="shared" si="39"/>
        <v>39194415429.852005</v>
      </c>
      <c r="AQ33" s="13">
        <f t="shared" si="52"/>
        <v>3.9102737482053059E-5</v>
      </c>
      <c r="AR33" s="13">
        <f t="shared" si="40"/>
        <v>1.4280878157477489E-4</v>
      </c>
      <c r="AS33" s="13">
        <f t="shared" si="41"/>
        <v>2.9862845790756451E-4</v>
      </c>
      <c r="AT33" s="13">
        <f t="shared" si="42"/>
        <v>4.797146020591192E-4</v>
      </c>
      <c r="AU33" s="13">
        <f t="shared" si="43"/>
        <v>6.6671293013497248E-4</v>
      </c>
      <c r="AV33" s="13">
        <f t="shared" si="44"/>
        <v>8.4859981997237148E-4</v>
      </c>
      <c r="AW33" s="13">
        <f t="shared" si="45"/>
        <v>1.0198627348471773E-3</v>
      </c>
      <c r="AX33" s="13">
        <f t="shared" si="46"/>
        <v>1.2450144925424014E-3</v>
      </c>
      <c r="AY33" s="13">
        <f t="shared" si="47"/>
        <v>1.3229995682380938E-3</v>
      </c>
      <c r="AZ33" s="13">
        <f t="shared" si="48"/>
        <v>1.454680358122494E-3</v>
      </c>
      <c r="BA33" s="13">
        <f t="shared" si="49"/>
        <v>1.5740538832883452E-3</v>
      </c>
      <c r="BB33" s="13">
        <f t="shared" si="50"/>
        <v>5.1002229223100317E-5</v>
      </c>
    </row>
    <row r="34" spans="1:54">
      <c r="A34">
        <f>data0!A32</f>
        <v>450</v>
      </c>
      <c r="B34" s="13">
        <v>3.7999999999999999E-2</v>
      </c>
      <c r="C34" t="e">
        <f ca="1">(Calculations!C33-C$2)/C$1</f>
        <v>#DIV/0!</v>
      </c>
      <c r="D34" s="13" t="e">
        <f t="shared" ca="1" si="14"/>
        <v>#DIV/0!</v>
      </c>
      <c r="E34" s="13" t="e">
        <f t="shared" ca="1" si="15"/>
        <v>#DIV/0!</v>
      </c>
      <c r="F34" s="13" t="e">
        <f t="shared" ca="1" si="16"/>
        <v>#DIV/0!</v>
      </c>
      <c r="G34" s="13" t="e">
        <f t="shared" ca="1" si="17"/>
        <v>#DIV/0!</v>
      </c>
      <c r="H34" s="13" t="e">
        <f t="shared" ca="1" si="18"/>
        <v>#DIV/0!</v>
      </c>
      <c r="I34" s="13" t="e">
        <f t="shared" ca="1" si="19"/>
        <v>#DIV/0!</v>
      </c>
      <c r="J34" s="13" t="e">
        <f t="shared" ca="1" si="20"/>
        <v>#DIV/0!</v>
      </c>
      <c r="K34" s="13" t="e">
        <f t="shared" ca="1" si="21"/>
        <v>#DIV/0!</v>
      </c>
      <c r="L34" s="13" t="e">
        <f t="shared" ca="1" si="22"/>
        <v>#DIV/0!</v>
      </c>
      <c r="M34" s="13" t="e">
        <f t="shared" ca="1" si="23"/>
        <v>#DIV/0!</v>
      </c>
      <c r="N34" s="13" t="e">
        <f t="shared" ca="1" si="24"/>
        <v>#DIV/0!</v>
      </c>
      <c r="O34" s="13" t="e">
        <f t="shared" ca="1" si="25"/>
        <v>#DIV/0!</v>
      </c>
      <c r="P34" s="13" t="e">
        <f t="shared" ca="1" si="26"/>
        <v>#DIV/0!</v>
      </c>
      <c r="Q34" s="13">
        <f t="shared" si="53"/>
        <v>11219741.869568655</v>
      </c>
      <c r="R34" s="13">
        <f t="shared" si="53"/>
        <v>2313351886.4059515</v>
      </c>
      <c r="S34" s="13">
        <f t="shared" si="53"/>
        <v>56597615174.09417</v>
      </c>
      <c r="T34" s="13">
        <f t="shared" si="53"/>
        <v>476991510145.45142</v>
      </c>
      <c r="U34" s="13">
        <f t="shared" si="53"/>
        <v>2186573382392.3174</v>
      </c>
      <c r="V34" s="13">
        <f t="shared" si="53"/>
        <v>6851356071612.0762</v>
      </c>
      <c r="W34" s="13">
        <f t="shared" si="53"/>
        <v>16660817506778.877</v>
      </c>
      <c r="X34" s="13">
        <f t="shared" si="53"/>
        <v>33933888480681.926</v>
      </c>
      <c r="Y34" s="54">
        <f t="shared" si="53"/>
        <v>44714932060673.875</v>
      </c>
      <c r="Z34" s="13">
        <f t="shared" si="53"/>
        <v>60767530882071.516</v>
      </c>
      <c r="AA34" s="13">
        <f t="shared" si="53"/>
        <v>98825874875497.609</v>
      </c>
      <c r="AB34" s="13">
        <f t="shared" si="28"/>
        <v>149267179518288.94</v>
      </c>
      <c r="AC34" s="13">
        <f t="shared" si="51"/>
        <v>1699167418305.6072</v>
      </c>
      <c r="AD34" s="13">
        <f t="shared" si="29"/>
        <v>426350.19104360888</v>
      </c>
      <c r="AE34" s="13">
        <f t="shared" si="30"/>
        <v>87907371.683426157</v>
      </c>
      <c r="AF34" s="13">
        <f t="shared" si="31"/>
        <v>2150709376.6155782</v>
      </c>
      <c r="AG34" s="13">
        <f t="shared" si="32"/>
        <v>18125677385.527153</v>
      </c>
      <c r="AH34" s="13">
        <f t="shared" si="33"/>
        <v>83089788530.908066</v>
      </c>
      <c r="AI34" s="13">
        <f t="shared" si="34"/>
        <v>260351530721.25888</v>
      </c>
      <c r="AJ34" s="13">
        <f t="shared" si="35"/>
        <v>633111065257.59729</v>
      </c>
      <c r="AK34" s="13">
        <f t="shared" si="35"/>
        <v>1289487762265.9131</v>
      </c>
      <c r="AL34" s="13">
        <f t="shared" si="35"/>
        <v>1699167418305.6072</v>
      </c>
      <c r="AM34" s="13">
        <f t="shared" si="36"/>
        <v>2309166173518.7178</v>
      </c>
      <c r="AN34" s="13">
        <f t="shared" si="37"/>
        <v>3755383245268.9092</v>
      </c>
      <c r="AO34" s="13">
        <f t="shared" si="38"/>
        <v>5672152821694.9795</v>
      </c>
      <c r="AP34" s="13">
        <f t="shared" si="39"/>
        <v>64568361895.613068</v>
      </c>
      <c r="AQ34" s="13">
        <f t="shared" si="52"/>
        <v>5.9913351134266635E-5</v>
      </c>
      <c r="AR34" s="13">
        <f t="shared" si="40"/>
        <v>2.0609547833261332E-4</v>
      </c>
      <c r="AS34" s="13">
        <f t="shared" si="41"/>
        <v>4.1576042798542189E-4</v>
      </c>
      <c r="AT34" s="13">
        <f t="shared" si="42"/>
        <v>6.5207075839651034E-4</v>
      </c>
      <c r="AU34" s="13">
        <f t="shared" si="43"/>
        <v>8.9089121796939784E-4</v>
      </c>
      <c r="AV34" s="13">
        <f t="shared" si="44"/>
        <v>1.1195016020785998E-3</v>
      </c>
      <c r="AW34" s="13">
        <f t="shared" si="45"/>
        <v>1.3321234197593624E-3</v>
      </c>
      <c r="AX34" s="13">
        <f t="shared" si="46"/>
        <v>1.6084318015154259E-3</v>
      </c>
      <c r="AY34" s="13">
        <f t="shared" si="47"/>
        <v>1.7033881186480375E-3</v>
      </c>
      <c r="AZ34" s="13">
        <f t="shared" si="48"/>
        <v>1.8629375344288532E-3</v>
      </c>
      <c r="BA34" s="13">
        <f t="shared" si="49"/>
        <v>2.0067762725898041E-3</v>
      </c>
      <c r="BB34" s="13">
        <f t="shared" si="50"/>
        <v>8.40203982593902E-5</v>
      </c>
    </row>
    <row r="35" spans="1:54">
      <c r="A35">
        <f>data0!A33</f>
        <v>455</v>
      </c>
      <c r="B35" s="13">
        <v>4.8000000000000001E-2</v>
      </c>
      <c r="C35" t="e">
        <f ca="1">(Calculations!C34-C$2)/C$1</f>
        <v>#DIV/0!</v>
      </c>
      <c r="D35" s="13" t="e">
        <f t="shared" ca="1" si="14"/>
        <v>#DIV/0!</v>
      </c>
      <c r="E35" s="13" t="e">
        <f t="shared" ca="1" si="15"/>
        <v>#DIV/0!</v>
      </c>
      <c r="F35" s="13" t="e">
        <f t="shared" ca="1" si="16"/>
        <v>#DIV/0!</v>
      </c>
      <c r="G35" s="13" t="e">
        <f t="shared" ca="1" si="17"/>
        <v>#DIV/0!</v>
      </c>
      <c r="H35" s="13" t="e">
        <f t="shared" ca="1" si="18"/>
        <v>#DIV/0!</v>
      </c>
      <c r="I35" s="13" t="e">
        <f t="shared" ca="1" si="19"/>
        <v>#DIV/0!</v>
      </c>
      <c r="J35" s="13" t="e">
        <f t="shared" ca="1" si="20"/>
        <v>#DIV/0!</v>
      </c>
      <c r="K35" s="13" t="e">
        <f t="shared" ca="1" si="21"/>
        <v>#DIV/0!</v>
      </c>
      <c r="L35" s="13" t="e">
        <f t="shared" ca="1" si="22"/>
        <v>#DIV/0!</v>
      </c>
      <c r="M35" s="13" t="e">
        <f t="shared" ca="1" si="23"/>
        <v>#DIV/0!</v>
      </c>
      <c r="N35" s="13" t="e">
        <f t="shared" ca="1" si="24"/>
        <v>#DIV/0!</v>
      </c>
      <c r="O35" s="13" t="e">
        <f t="shared" ca="1" si="25"/>
        <v>#DIV/0!</v>
      </c>
      <c r="P35" s="13" t="e">
        <f t="shared" ca="1" si="26"/>
        <v>#DIV/0!</v>
      </c>
      <c r="Q35" s="13">
        <f t="shared" si="53"/>
        <v>13418813.341382926</v>
      </c>
      <c r="R35" s="13">
        <f t="shared" si="53"/>
        <v>2609405296.2521582</v>
      </c>
      <c r="S35" s="13">
        <f t="shared" si="53"/>
        <v>61636688387.989998</v>
      </c>
      <c r="T35" s="13">
        <f t="shared" si="53"/>
        <v>507434901209.00879</v>
      </c>
      <c r="U35" s="13">
        <f t="shared" si="53"/>
        <v>2287553709248.0161</v>
      </c>
      <c r="V35" s="13">
        <f t="shared" si="53"/>
        <v>7078524172413.5967</v>
      </c>
      <c r="W35" s="13">
        <f t="shared" si="53"/>
        <v>17046664920383.092</v>
      </c>
      <c r="X35" s="13">
        <f t="shared" si="53"/>
        <v>34451633827046.031</v>
      </c>
      <c r="Y35" s="54">
        <f t="shared" si="53"/>
        <v>45261434801364.992</v>
      </c>
      <c r="Z35" s="13">
        <f t="shared" si="53"/>
        <v>61306482658939.531</v>
      </c>
      <c r="AA35" s="13">
        <f t="shared" si="53"/>
        <v>99182564056719.094</v>
      </c>
      <c r="AB35" s="13">
        <f t="shared" si="28"/>
        <v>149149795109232.94</v>
      </c>
      <c r="AC35" s="13">
        <f t="shared" si="51"/>
        <v>2172548870465.5198</v>
      </c>
      <c r="AD35" s="13">
        <f t="shared" si="29"/>
        <v>644103.04038638051</v>
      </c>
      <c r="AE35" s="13">
        <f t="shared" si="30"/>
        <v>125251454.22010359</v>
      </c>
      <c r="AF35" s="13">
        <f t="shared" si="31"/>
        <v>2958561042.6235199</v>
      </c>
      <c r="AG35" s="13">
        <f t="shared" si="32"/>
        <v>24356875258.032421</v>
      </c>
      <c r="AH35" s="13">
        <f t="shared" si="33"/>
        <v>109802578043.90477</v>
      </c>
      <c r="AI35" s="13">
        <f t="shared" si="34"/>
        <v>339769160275.85266</v>
      </c>
      <c r="AJ35" s="13">
        <f t="shared" si="35"/>
        <v>818239916178.38843</v>
      </c>
      <c r="AK35" s="13">
        <f t="shared" si="35"/>
        <v>1653678423698.2095</v>
      </c>
      <c r="AL35" s="13">
        <f t="shared" si="35"/>
        <v>2172548870465.5198</v>
      </c>
      <c r="AM35" s="13">
        <f t="shared" si="36"/>
        <v>2942711167629.0977</v>
      </c>
      <c r="AN35" s="13">
        <f t="shared" si="37"/>
        <v>4760763074722.5166</v>
      </c>
      <c r="AO35" s="13">
        <f t="shared" si="38"/>
        <v>7159190165243.1807</v>
      </c>
      <c r="AP35" s="13">
        <f t="shared" si="39"/>
        <v>104282345782.34496</v>
      </c>
      <c r="AQ35" s="13">
        <f t="shared" si="52"/>
        <v>9.0513320824033022E-5</v>
      </c>
      <c r="AR35" s="13">
        <f t="shared" si="40"/>
        <v>2.9364725477527311E-4</v>
      </c>
      <c r="AS35" s="13">
        <f t="shared" si="41"/>
        <v>5.71928787160355E-4</v>
      </c>
      <c r="AT35" s="13">
        <f t="shared" si="42"/>
        <v>8.7623793493952714E-4</v>
      </c>
      <c r="AU35" s="13">
        <f t="shared" si="43"/>
        <v>1.1773065525774676E-3</v>
      </c>
      <c r="AV35" s="13">
        <f t="shared" si="44"/>
        <v>1.4609943648572468E-3</v>
      </c>
      <c r="AW35" s="13">
        <f t="shared" si="45"/>
        <v>1.72165140547603E-3</v>
      </c>
      <c r="AX35" s="13">
        <f t="shared" si="46"/>
        <v>2.056534662774865E-3</v>
      </c>
      <c r="AY35" s="13">
        <f t="shared" si="47"/>
        <v>2.170731278257947E-3</v>
      </c>
      <c r="AZ35" s="13">
        <f t="shared" si="48"/>
        <v>2.3616775293431908E-3</v>
      </c>
      <c r="BA35" s="13">
        <f t="shared" si="49"/>
        <v>2.5328818538910788E-3</v>
      </c>
      <c r="BB35" s="13">
        <f t="shared" si="50"/>
        <v>1.3569872251399589E-4</v>
      </c>
    </row>
    <row r="36" spans="1:54">
      <c r="A36">
        <f>data0!A34</f>
        <v>460</v>
      </c>
      <c r="B36" s="13">
        <v>0.06</v>
      </c>
      <c r="C36" t="e">
        <f ca="1">(Calculations!C35-C$2)/C$1</f>
        <v>#DIV/0!</v>
      </c>
      <c r="D36" s="13" t="e">
        <f t="shared" ca="1" si="14"/>
        <v>#DIV/0!</v>
      </c>
      <c r="E36" s="13" t="e">
        <f t="shared" ca="1" si="15"/>
        <v>#DIV/0!</v>
      </c>
      <c r="F36" s="13" t="e">
        <f t="shared" ca="1" si="16"/>
        <v>#DIV/0!</v>
      </c>
      <c r="G36" s="13" t="e">
        <f t="shared" ca="1" si="17"/>
        <v>#DIV/0!</v>
      </c>
      <c r="H36" s="13" t="e">
        <f t="shared" ca="1" si="18"/>
        <v>#DIV/0!</v>
      </c>
      <c r="I36" s="13" t="e">
        <f t="shared" ca="1" si="19"/>
        <v>#DIV/0!</v>
      </c>
      <c r="J36" s="13" t="e">
        <f t="shared" ca="1" si="20"/>
        <v>#DIV/0!</v>
      </c>
      <c r="K36" s="13" t="e">
        <f t="shared" ca="1" si="21"/>
        <v>#DIV/0!</v>
      </c>
      <c r="L36" s="13" t="e">
        <f t="shared" ca="1" si="22"/>
        <v>#DIV/0!</v>
      </c>
      <c r="M36" s="13" t="e">
        <f t="shared" ca="1" si="23"/>
        <v>#DIV/0!</v>
      </c>
      <c r="N36" s="13" t="e">
        <f t="shared" ca="1" si="24"/>
        <v>#DIV/0!</v>
      </c>
      <c r="O36" s="13" t="e">
        <f t="shared" ca="1" si="25"/>
        <v>#DIV/0!</v>
      </c>
      <c r="P36" s="13" t="e">
        <f t="shared" ca="1" si="26"/>
        <v>#DIV/0!</v>
      </c>
      <c r="Q36" s="13">
        <f t="shared" ref="Q36:AA51" si="54">(3.7418E-16/POWER($A36*0.000000001,5))/(EXP(0.0143877/($A36*Q$3/1000000000))-1)</f>
        <v>15977034.397171924</v>
      </c>
      <c r="R36" s="13">
        <f t="shared" si="54"/>
        <v>2933898266.7235079</v>
      </c>
      <c r="S36" s="13">
        <f t="shared" si="54"/>
        <v>66960065140.291</v>
      </c>
      <c r="T36" s="13">
        <f t="shared" si="54"/>
        <v>538774050683.04749</v>
      </c>
      <c r="U36" s="13">
        <f t="shared" si="54"/>
        <v>2389425115751.5513</v>
      </c>
      <c r="V36" s="13">
        <f t="shared" si="54"/>
        <v>7303697167604.8359</v>
      </c>
      <c r="W36" s="13">
        <f t="shared" si="54"/>
        <v>17422452382850.035</v>
      </c>
      <c r="X36" s="13">
        <f t="shared" si="54"/>
        <v>34945190302753.172</v>
      </c>
      <c r="Y36" s="54">
        <f t="shared" si="54"/>
        <v>45775646100154.602</v>
      </c>
      <c r="Z36" s="13">
        <f t="shared" si="54"/>
        <v>61802203817689.406</v>
      </c>
      <c r="AA36" s="13">
        <f t="shared" si="54"/>
        <v>99475032199522.516</v>
      </c>
      <c r="AB36" s="13">
        <f t="shared" ref="AB36:AB67" si="55">(3.7418E-16/POWER($A36*0.000000001,5))/(EXP(0.0143877/($A36*AB$3/1000000000))-1)</f>
        <v>148949366890246.19</v>
      </c>
      <c r="AC36" s="13">
        <f t="shared" si="51"/>
        <v>2746538766009.2759</v>
      </c>
      <c r="AD36" s="13">
        <f t="shared" si="29"/>
        <v>958622.06383031537</v>
      </c>
      <c r="AE36" s="13">
        <f t="shared" si="30"/>
        <v>176033896.00341046</v>
      </c>
      <c r="AF36" s="13">
        <f t="shared" si="31"/>
        <v>4017603908.41746</v>
      </c>
      <c r="AG36" s="13">
        <f t="shared" si="32"/>
        <v>32326443040.982849</v>
      </c>
      <c r="AH36" s="13">
        <f t="shared" si="33"/>
        <v>143365506945.09308</v>
      </c>
      <c r="AI36" s="13">
        <f t="shared" si="34"/>
        <v>438221830056.29016</v>
      </c>
      <c r="AJ36" s="13">
        <f t="shared" si="35"/>
        <v>1045347142971.0021</v>
      </c>
      <c r="AK36" s="13">
        <f t="shared" si="35"/>
        <v>2096711418165.1902</v>
      </c>
      <c r="AL36" s="13">
        <f t="shared" si="35"/>
        <v>2746538766009.2759</v>
      </c>
      <c r="AM36" s="13">
        <f t="shared" si="36"/>
        <v>3708132229061.3643</v>
      </c>
      <c r="AN36" s="13">
        <f t="shared" si="37"/>
        <v>5968501931971.3506</v>
      </c>
      <c r="AO36" s="13">
        <f t="shared" si="38"/>
        <v>8936962013414.7715</v>
      </c>
      <c r="AP36" s="13">
        <f t="shared" si="39"/>
        <v>164792325960.55655</v>
      </c>
      <c r="AQ36" s="13">
        <f t="shared" si="52"/>
        <v>1.3471146846383476E-4</v>
      </c>
      <c r="AR36" s="13">
        <f t="shared" si="40"/>
        <v>4.1270475165868816E-4</v>
      </c>
      <c r="AS36" s="13">
        <f t="shared" si="41"/>
        <v>7.7665571118124639E-4</v>
      </c>
      <c r="AT36" s="13">
        <f t="shared" si="42"/>
        <v>1.1629429224436255E-3</v>
      </c>
      <c r="AU36" s="13">
        <f t="shared" si="43"/>
        <v>1.5371692882525897E-3</v>
      </c>
      <c r="AV36" s="13">
        <f t="shared" si="44"/>
        <v>1.8843370709391947E-3</v>
      </c>
      <c r="AW36" s="13">
        <f t="shared" si="45"/>
        <v>2.1995057223705666E-3</v>
      </c>
      <c r="AX36" s="13">
        <f t="shared" si="46"/>
        <v>2.5998734720028126E-3</v>
      </c>
      <c r="AY36" s="13">
        <f t="shared" si="47"/>
        <v>2.7353546287810244E-3</v>
      </c>
      <c r="AZ36" s="13">
        <f t="shared" si="48"/>
        <v>2.9608020133200462E-3</v>
      </c>
      <c r="BA36" s="13">
        <f t="shared" ref="BA36:BA67" si="56">AO36/AO$2</f>
        <v>3.1618476936941726E-3</v>
      </c>
      <c r="BB36" s="13">
        <f t="shared" ref="BB36:BB67" si="57">AP36/AP$2</f>
        <v>2.1443810019033382E-4</v>
      </c>
    </row>
    <row r="37" spans="1:54">
      <c r="A37">
        <f>data0!A35</f>
        <v>465</v>
      </c>
      <c r="B37" s="13">
        <v>7.3899999999999993E-2</v>
      </c>
      <c r="C37" t="e">
        <f ca="1">(Calculations!C36-C$2)/C$1</f>
        <v>#DIV/0!</v>
      </c>
      <c r="D37" s="13" t="e">
        <f t="shared" ca="1" si="14"/>
        <v>#DIV/0!</v>
      </c>
      <c r="E37" s="13" t="e">
        <f t="shared" ca="1" si="15"/>
        <v>#DIV/0!</v>
      </c>
      <c r="F37" s="13" t="e">
        <f t="shared" ca="1" si="16"/>
        <v>#DIV/0!</v>
      </c>
      <c r="G37" s="13" t="e">
        <f t="shared" ca="1" si="17"/>
        <v>#DIV/0!</v>
      </c>
      <c r="H37" s="13" t="e">
        <f t="shared" ca="1" si="18"/>
        <v>#DIV/0!</v>
      </c>
      <c r="I37" s="13" t="e">
        <f t="shared" ca="1" si="19"/>
        <v>#DIV/0!</v>
      </c>
      <c r="J37" s="13" t="e">
        <f t="shared" ca="1" si="20"/>
        <v>#DIV/0!</v>
      </c>
      <c r="K37" s="13" t="e">
        <f t="shared" ca="1" si="21"/>
        <v>#DIV/0!</v>
      </c>
      <c r="L37" s="13" t="e">
        <f t="shared" ca="1" si="22"/>
        <v>#DIV/0!</v>
      </c>
      <c r="M37" s="13" t="e">
        <f t="shared" ca="1" si="23"/>
        <v>#DIV/0!</v>
      </c>
      <c r="N37" s="13" t="e">
        <f t="shared" ca="1" si="24"/>
        <v>#DIV/0!</v>
      </c>
      <c r="O37" s="13" t="e">
        <f t="shared" ca="1" si="25"/>
        <v>#DIV/0!</v>
      </c>
      <c r="P37" s="13" t="e">
        <f t="shared" ca="1" si="26"/>
        <v>#DIV/0!</v>
      </c>
      <c r="Q37" s="13">
        <f t="shared" si="54"/>
        <v>18940642.486333575</v>
      </c>
      <c r="R37" s="13">
        <f t="shared" si="54"/>
        <v>3288516794.5112948</v>
      </c>
      <c r="S37" s="13">
        <f t="shared" si="54"/>
        <v>72571312451.467407</v>
      </c>
      <c r="T37" s="13">
        <f t="shared" si="54"/>
        <v>570978379155.42102</v>
      </c>
      <c r="U37" s="13">
        <f t="shared" si="54"/>
        <v>2492041983967.9106</v>
      </c>
      <c r="V37" s="13">
        <f t="shared" si="54"/>
        <v>7526581527358.7891</v>
      </c>
      <c r="W37" s="13">
        <f t="shared" si="54"/>
        <v>17787874176337.668</v>
      </c>
      <c r="X37" s="13">
        <f t="shared" si="54"/>
        <v>35414586353720.492</v>
      </c>
      <c r="Y37" s="54">
        <f t="shared" si="54"/>
        <v>46257902241551.266</v>
      </c>
      <c r="Z37" s="13">
        <f t="shared" si="54"/>
        <v>62255555188567.477</v>
      </c>
      <c r="AA37" s="13">
        <f t="shared" si="54"/>
        <v>99705505300122.687</v>
      </c>
      <c r="AB37" s="13">
        <f t="shared" si="55"/>
        <v>148669929593137.25</v>
      </c>
      <c r="AC37" s="13">
        <f t="shared" si="51"/>
        <v>3418458975650.6382</v>
      </c>
      <c r="AD37" s="13">
        <f t="shared" si="29"/>
        <v>1399713.4797400511</v>
      </c>
      <c r="AE37" s="13">
        <f t="shared" si="30"/>
        <v>243021391.11438468</v>
      </c>
      <c r="AF37" s="13">
        <f t="shared" si="31"/>
        <v>5363019990.1634407</v>
      </c>
      <c r="AG37" s="13">
        <f t="shared" si="32"/>
        <v>42195302219.585609</v>
      </c>
      <c r="AH37" s="13">
        <f t="shared" si="33"/>
        <v>184161902615.22858</v>
      </c>
      <c r="AI37" s="13">
        <f t="shared" si="34"/>
        <v>556214374871.81445</v>
      </c>
      <c r="AJ37" s="13">
        <f t="shared" si="35"/>
        <v>1314523901631.3535</v>
      </c>
      <c r="AK37" s="13">
        <f t="shared" si="35"/>
        <v>2617137931539.9443</v>
      </c>
      <c r="AL37" s="13">
        <f t="shared" si="35"/>
        <v>3418458975650.6382</v>
      </c>
      <c r="AM37" s="13">
        <f t="shared" si="36"/>
        <v>4600685528435.1357</v>
      </c>
      <c r="AN37" s="13">
        <f t="shared" si="37"/>
        <v>7368236841679.0664</v>
      </c>
      <c r="AO37" s="13">
        <f t="shared" si="38"/>
        <v>10986707796932.842</v>
      </c>
      <c r="AP37" s="13">
        <f t="shared" si="39"/>
        <v>252624118300.58215</v>
      </c>
      <c r="AQ37" s="13">
        <f t="shared" si="52"/>
        <v>1.9669634718295266E-4</v>
      </c>
      <c r="AR37" s="13">
        <f t="shared" si="40"/>
        <v>5.6975437767773957E-4</v>
      </c>
      <c r="AS37" s="13">
        <f t="shared" si="41"/>
        <v>1.0367423468034991E-3</v>
      </c>
      <c r="AT37" s="13">
        <f t="shared" si="42"/>
        <v>1.5179748670283938E-3</v>
      </c>
      <c r="AU37" s="13">
        <f t="shared" si="43"/>
        <v>1.9745894727293944E-3</v>
      </c>
      <c r="AV37" s="13">
        <f t="shared" si="44"/>
        <v>2.3917004906524185E-3</v>
      </c>
      <c r="AW37" s="13">
        <f t="shared" si="45"/>
        <v>2.7658781709716221E-3</v>
      </c>
      <c r="AX37" s="13">
        <f t="shared" si="46"/>
        <v>3.2359131121377322E-3</v>
      </c>
      <c r="AY37" s="13">
        <f t="shared" si="47"/>
        <v>3.3937588193710191E-3</v>
      </c>
      <c r="AZ37" s="13">
        <f t="shared" si="48"/>
        <v>3.6551702125790712E-3</v>
      </c>
      <c r="BA37" s="13">
        <f t="shared" si="56"/>
        <v>3.8870364064298567E-3</v>
      </c>
      <c r="BB37" s="13">
        <f t="shared" si="57"/>
        <v>3.2873033179713258E-4</v>
      </c>
    </row>
    <row r="38" spans="1:54">
      <c r="A38">
        <f>data0!A36</f>
        <v>470</v>
      </c>
      <c r="B38" s="13">
        <v>9.0980000000000005E-2</v>
      </c>
      <c r="C38" t="e">
        <f ca="1">(Calculations!C37-C$2)/C$1</f>
        <v>#DIV/0!</v>
      </c>
      <c r="D38" s="13" t="e">
        <f t="shared" ca="1" si="14"/>
        <v>#DIV/0!</v>
      </c>
      <c r="E38" s="13" t="e">
        <f t="shared" ca="1" si="15"/>
        <v>#DIV/0!</v>
      </c>
      <c r="F38" s="13" t="e">
        <f t="shared" ca="1" si="16"/>
        <v>#DIV/0!</v>
      </c>
      <c r="G38" s="13" t="e">
        <f t="shared" ca="1" si="17"/>
        <v>#DIV/0!</v>
      </c>
      <c r="H38" s="13" t="e">
        <f t="shared" ca="1" si="18"/>
        <v>#DIV/0!</v>
      </c>
      <c r="I38" s="13" t="e">
        <f t="shared" ca="1" si="19"/>
        <v>#DIV/0!</v>
      </c>
      <c r="J38" s="13" t="e">
        <f t="shared" ca="1" si="20"/>
        <v>#DIV/0!</v>
      </c>
      <c r="K38" s="13" t="e">
        <f t="shared" ca="1" si="21"/>
        <v>#DIV/0!</v>
      </c>
      <c r="L38" s="13" t="e">
        <f t="shared" ca="1" si="22"/>
        <v>#DIV/0!</v>
      </c>
      <c r="M38" s="13" t="e">
        <f t="shared" ca="1" si="23"/>
        <v>#DIV/0!</v>
      </c>
      <c r="N38" s="13" t="e">
        <f t="shared" ca="1" si="24"/>
        <v>#DIV/0!</v>
      </c>
      <c r="O38" s="13" t="e">
        <f t="shared" ca="1" si="25"/>
        <v>#DIV/0!</v>
      </c>
      <c r="P38" s="13" t="e">
        <f t="shared" ca="1" si="26"/>
        <v>#DIV/0!</v>
      </c>
      <c r="Q38" s="13">
        <f t="shared" si="54"/>
        <v>22360037.813303933</v>
      </c>
      <c r="R38" s="13">
        <f t="shared" si="54"/>
        <v>3674957473.9749904</v>
      </c>
      <c r="S38" s="13">
        <f t="shared" si="54"/>
        <v>78473337030.551498</v>
      </c>
      <c r="T38" s="13">
        <f t="shared" si="54"/>
        <v>604015363145.30164</v>
      </c>
      <c r="U38" s="13">
        <f t="shared" si="54"/>
        <v>2595260133807.7324</v>
      </c>
      <c r="V38" s="13">
        <f t="shared" si="54"/>
        <v>7746899410144.0557</v>
      </c>
      <c r="W38" s="13">
        <f t="shared" si="54"/>
        <v>18142663169160.062</v>
      </c>
      <c r="X38" s="13">
        <f t="shared" si="54"/>
        <v>35859907652974.719</v>
      </c>
      <c r="Y38" s="54">
        <f t="shared" si="54"/>
        <v>46708598919723.062</v>
      </c>
      <c r="Z38" s="13">
        <f t="shared" si="54"/>
        <v>62667451170337.961</v>
      </c>
      <c r="AA38" s="13">
        <f t="shared" si="54"/>
        <v>99876221196271.437</v>
      </c>
      <c r="AB38" s="13">
        <f t="shared" si="55"/>
        <v>148315441461166.12</v>
      </c>
      <c r="AC38" s="13">
        <f t="shared" si="51"/>
        <v>4249548329716.4043</v>
      </c>
      <c r="AD38" s="13">
        <f t="shared" si="29"/>
        <v>2034316.2402543919</v>
      </c>
      <c r="AE38" s="13">
        <f t="shared" si="30"/>
        <v>334347630.98224467</v>
      </c>
      <c r="AF38" s="13">
        <f t="shared" si="31"/>
        <v>7139504203.0395756</v>
      </c>
      <c r="AG38" s="13">
        <f t="shared" si="32"/>
        <v>54953317738.959549</v>
      </c>
      <c r="AH38" s="13">
        <f t="shared" si="33"/>
        <v>236116766973.82751</v>
      </c>
      <c r="AI38" s="13">
        <f t="shared" si="34"/>
        <v>704812908334.90625</v>
      </c>
      <c r="AJ38" s="13">
        <f t="shared" si="35"/>
        <v>1650619495130.1826</v>
      </c>
      <c r="AK38" s="13">
        <f t="shared" si="35"/>
        <v>3262534398267.6401</v>
      </c>
      <c r="AL38" s="13">
        <f t="shared" si="35"/>
        <v>4249548329716.4043</v>
      </c>
      <c r="AM38" s="13">
        <f t="shared" si="36"/>
        <v>5701484707477.3477</v>
      </c>
      <c r="AN38" s="13">
        <f t="shared" si="37"/>
        <v>9086738604436.7754</v>
      </c>
      <c r="AO38" s="13">
        <f t="shared" si="38"/>
        <v>13493738864136.895</v>
      </c>
      <c r="AP38" s="13">
        <f t="shared" si="39"/>
        <v>386623907037.59851</v>
      </c>
      <c r="AQ38" s="13">
        <f t="shared" si="52"/>
        <v>2.8587463024740579E-4</v>
      </c>
      <c r="AR38" s="13">
        <f t="shared" si="40"/>
        <v>7.8386526200343058E-4</v>
      </c>
      <c r="AS38" s="13">
        <f t="shared" si="41"/>
        <v>1.3801601254607894E-3</v>
      </c>
      <c r="AT38" s="13">
        <f t="shared" si="42"/>
        <v>1.9769441335781342E-3</v>
      </c>
      <c r="AU38" s="13">
        <f t="shared" si="43"/>
        <v>2.5316510949364283E-3</v>
      </c>
      <c r="AV38" s="13">
        <f t="shared" si="44"/>
        <v>3.0306684883346308E-3</v>
      </c>
      <c r="AW38" s="13">
        <f t="shared" si="45"/>
        <v>3.4730539509361474E-3</v>
      </c>
      <c r="AX38" s="13">
        <f t="shared" si="46"/>
        <v>4.0226222572043707E-3</v>
      </c>
      <c r="AY38" s="13">
        <f t="shared" si="47"/>
        <v>4.2057784410428319E-3</v>
      </c>
      <c r="AZ38" s="13">
        <f t="shared" si="48"/>
        <v>4.5076694723701289E-3</v>
      </c>
      <c r="BA38" s="13">
        <f t="shared" si="56"/>
        <v>4.7740101214305717E-3</v>
      </c>
      <c r="BB38" s="13">
        <f t="shared" si="57"/>
        <v>5.0309925313604003E-4</v>
      </c>
    </row>
    <row r="39" spans="1:54">
      <c r="A39">
        <f>data0!A37</f>
        <v>475</v>
      </c>
      <c r="B39" s="13">
        <v>0.11260000000000001</v>
      </c>
      <c r="C39" t="e">
        <f ca="1">(Calculations!C38-C$2)/C$1</f>
        <v>#DIV/0!</v>
      </c>
      <c r="D39" s="13" t="e">
        <f t="shared" ca="1" si="14"/>
        <v>#DIV/0!</v>
      </c>
      <c r="E39" s="13" t="e">
        <f t="shared" ca="1" si="15"/>
        <v>#DIV/0!</v>
      </c>
      <c r="F39" s="13" t="e">
        <f t="shared" ca="1" si="16"/>
        <v>#DIV/0!</v>
      </c>
      <c r="G39" s="13" t="e">
        <f t="shared" ca="1" si="17"/>
        <v>#DIV/0!</v>
      </c>
      <c r="H39" s="13" t="e">
        <f t="shared" ca="1" si="18"/>
        <v>#DIV/0!</v>
      </c>
      <c r="I39" s="13" t="e">
        <f t="shared" ca="1" si="19"/>
        <v>#DIV/0!</v>
      </c>
      <c r="J39" s="13" t="e">
        <f t="shared" ca="1" si="20"/>
        <v>#DIV/0!</v>
      </c>
      <c r="K39" s="13" t="e">
        <f t="shared" ca="1" si="21"/>
        <v>#DIV/0!</v>
      </c>
      <c r="L39" s="13" t="e">
        <f t="shared" ca="1" si="22"/>
        <v>#DIV/0!</v>
      </c>
      <c r="M39" s="13" t="e">
        <f t="shared" ca="1" si="23"/>
        <v>#DIV/0!</v>
      </c>
      <c r="N39" s="13" t="e">
        <f t="shared" ca="1" si="24"/>
        <v>#DIV/0!</v>
      </c>
      <c r="O39" s="13" t="e">
        <f t="shared" ca="1" si="25"/>
        <v>#DIV/0!</v>
      </c>
      <c r="P39" s="13" t="e">
        <f t="shared" ca="1" si="26"/>
        <v>#DIV/0!</v>
      </c>
      <c r="Q39" s="13">
        <f t="shared" si="54"/>
        <v>26289950.12322285</v>
      </c>
      <c r="R39" s="13">
        <f t="shared" si="54"/>
        <v>4094921367.2426643</v>
      </c>
      <c r="S39" s="13">
        <f t="shared" si="54"/>
        <v>84668378407.227448</v>
      </c>
      <c r="T39" s="13">
        <f t="shared" si="54"/>
        <v>637850709835.90613</v>
      </c>
      <c r="U39" s="13">
        <f t="shared" si="54"/>
        <v>2698937289524.8423</v>
      </c>
      <c r="V39" s="13">
        <f t="shared" si="54"/>
        <v>7964388812812.1133</v>
      </c>
      <c r="W39" s="13">
        <f t="shared" si="54"/>
        <v>18486589314841.809</v>
      </c>
      <c r="X39" s="13">
        <f t="shared" si="54"/>
        <v>36281292708747.633</v>
      </c>
      <c r="Y39" s="54">
        <f t="shared" si="54"/>
        <v>47128185399569.656</v>
      </c>
      <c r="Z39" s="13">
        <f t="shared" si="54"/>
        <v>63038852277017.133</v>
      </c>
      <c r="AA39" s="13">
        <f t="shared" si="54"/>
        <v>99989420485470.812</v>
      </c>
      <c r="AB39" s="13">
        <f t="shared" si="55"/>
        <v>147889776519587.34</v>
      </c>
      <c r="AC39" s="13">
        <f t="shared" si="51"/>
        <v>5306633675991.5439</v>
      </c>
      <c r="AD39" s="13">
        <f t="shared" si="29"/>
        <v>2960248.3838748932</v>
      </c>
      <c r="AE39" s="13">
        <f t="shared" si="30"/>
        <v>461088145.95152402</v>
      </c>
      <c r="AF39" s="13">
        <f t="shared" si="31"/>
        <v>9533659408.6538105</v>
      </c>
      <c r="AG39" s="13">
        <f t="shared" si="32"/>
        <v>71821989927.523041</v>
      </c>
      <c r="AH39" s="13">
        <f t="shared" si="33"/>
        <v>303900338800.49725</v>
      </c>
      <c r="AI39" s="13">
        <f t="shared" si="34"/>
        <v>896790180322.64404</v>
      </c>
      <c r="AJ39" s="13">
        <f t="shared" si="35"/>
        <v>2081589956851.1877</v>
      </c>
      <c r="AK39" s="13">
        <f t="shared" si="35"/>
        <v>4085273559004.9839</v>
      </c>
      <c r="AL39" s="13">
        <f t="shared" si="35"/>
        <v>5306633675991.5439</v>
      </c>
      <c r="AM39" s="13">
        <f t="shared" si="36"/>
        <v>7098174766392.1299</v>
      </c>
      <c r="AN39" s="13">
        <f t="shared" si="37"/>
        <v>11258808746664.014</v>
      </c>
      <c r="AO39" s="13">
        <f t="shared" si="38"/>
        <v>16652388836105.535</v>
      </c>
      <c r="AP39" s="13">
        <f t="shared" si="39"/>
        <v>597526951916.64783</v>
      </c>
      <c r="AQ39" s="13">
        <f t="shared" si="52"/>
        <v>4.1599231006231882E-4</v>
      </c>
      <c r="AR39" s="13">
        <f t="shared" si="40"/>
        <v>1.0810035628820143E-3</v>
      </c>
      <c r="AS39" s="13">
        <f t="shared" si="41"/>
        <v>1.8429818361821533E-3</v>
      </c>
      <c r="AT39" s="13">
        <f t="shared" si="42"/>
        <v>2.5837941636863366E-3</v>
      </c>
      <c r="AU39" s="13">
        <f t="shared" si="43"/>
        <v>3.2584285958866767E-3</v>
      </c>
      <c r="AV39" s="13">
        <f t="shared" si="44"/>
        <v>3.8561633988410371E-3</v>
      </c>
      <c r="AW39" s="13">
        <f t="shared" si="45"/>
        <v>4.3798551060375305E-3</v>
      </c>
      <c r="AX39" s="13">
        <f t="shared" si="46"/>
        <v>5.0232591983012951E-3</v>
      </c>
      <c r="AY39" s="13">
        <f t="shared" si="47"/>
        <v>5.2360660310277387E-3</v>
      </c>
      <c r="AZ39" s="13">
        <f t="shared" si="48"/>
        <v>5.5851709498731502E-3</v>
      </c>
      <c r="BA39" s="13">
        <f t="shared" si="56"/>
        <v>5.8915229981850023E-3</v>
      </c>
      <c r="BB39" s="13">
        <f t="shared" si="57"/>
        <v>7.7753951001453641E-4</v>
      </c>
    </row>
    <row r="40" spans="1:54">
      <c r="A40">
        <f>data0!A38</f>
        <v>480</v>
      </c>
      <c r="B40" s="13">
        <v>0.13902</v>
      </c>
      <c r="C40" t="e">
        <f ca="1">(Calculations!C39-C$2)/C$1</f>
        <v>#DIV/0!</v>
      </c>
      <c r="D40" s="13" t="e">
        <f t="shared" ca="1" si="14"/>
        <v>#DIV/0!</v>
      </c>
      <c r="E40" s="13" t="e">
        <f t="shared" ca="1" si="15"/>
        <v>#DIV/0!</v>
      </c>
      <c r="F40" s="13" t="e">
        <f t="shared" ca="1" si="16"/>
        <v>#DIV/0!</v>
      </c>
      <c r="G40" s="13" t="e">
        <f t="shared" ca="1" si="17"/>
        <v>#DIV/0!</v>
      </c>
      <c r="H40" s="13" t="e">
        <f t="shared" ca="1" si="18"/>
        <v>#DIV/0!</v>
      </c>
      <c r="I40" s="13" t="e">
        <f t="shared" ca="1" si="19"/>
        <v>#DIV/0!</v>
      </c>
      <c r="J40" s="13" t="e">
        <f t="shared" ca="1" si="20"/>
        <v>#DIV/0!</v>
      </c>
      <c r="K40" s="13" t="e">
        <f t="shared" ca="1" si="21"/>
        <v>#DIV/0!</v>
      </c>
      <c r="L40" s="13" t="e">
        <f t="shared" ca="1" si="22"/>
        <v>#DIV/0!</v>
      </c>
      <c r="M40" s="13" t="e">
        <f t="shared" ca="1" si="23"/>
        <v>#DIV/0!</v>
      </c>
      <c r="N40" s="13" t="e">
        <f t="shared" ca="1" si="24"/>
        <v>#DIV/0!</v>
      </c>
      <c r="O40" s="13" t="e">
        <f t="shared" ca="1" si="25"/>
        <v>#DIV/0!</v>
      </c>
      <c r="P40" s="13" t="e">
        <f t="shared" ca="1" si="26"/>
        <v>#DIV/0!</v>
      </c>
      <c r="Q40" s="13">
        <f t="shared" si="54"/>
        <v>30789592.709991857</v>
      </c>
      <c r="R40" s="13">
        <f t="shared" si="54"/>
        <v>4550107819.5539837</v>
      </c>
      <c r="S40" s="13">
        <f t="shared" si="54"/>
        <v>91158005677.720718</v>
      </c>
      <c r="T40" s="13">
        <f t="shared" si="54"/>
        <v>672448532223.22119</v>
      </c>
      <c r="U40" s="13">
        <f t="shared" si="54"/>
        <v>2802933506703.5454</v>
      </c>
      <c r="V40" s="13">
        <f t="shared" si="54"/>
        <v>8178803629694.6084</v>
      </c>
      <c r="W40" s="13">
        <f t="shared" si="54"/>
        <v>18819458090962.691</v>
      </c>
      <c r="X40" s="13">
        <f t="shared" si="54"/>
        <v>36678928606874.742</v>
      </c>
      <c r="Y40" s="54">
        <f t="shared" si="54"/>
        <v>47517158955848.562</v>
      </c>
      <c r="Z40" s="13">
        <f t="shared" si="54"/>
        <v>63370758173656.969</v>
      </c>
      <c r="AA40" s="13">
        <f t="shared" si="54"/>
        <v>100047338349977.16</v>
      </c>
      <c r="AB40" s="13">
        <f t="shared" si="55"/>
        <v>147396718081715.16</v>
      </c>
      <c r="AC40" s="13">
        <f t="shared" si="51"/>
        <v>6605835438042.0674</v>
      </c>
      <c r="AD40" s="13">
        <f t="shared" si="29"/>
        <v>4280369.1785430685</v>
      </c>
      <c r="AE40" s="13">
        <f t="shared" si="30"/>
        <v>632555989.07439482</v>
      </c>
      <c r="AF40" s="13">
        <f t="shared" si="31"/>
        <v>12672785949.316734</v>
      </c>
      <c r="AG40" s="13">
        <f t="shared" si="32"/>
        <v>93483794949.672211</v>
      </c>
      <c r="AH40" s="13">
        <f t="shared" si="33"/>
        <v>389663816101.92688</v>
      </c>
      <c r="AI40" s="13">
        <f t="shared" si="34"/>
        <v>1137017280600.1445</v>
      </c>
      <c r="AJ40" s="13">
        <f t="shared" si="35"/>
        <v>2616281063805.6333</v>
      </c>
      <c r="AK40" s="13">
        <f t="shared" si="35"/>
        <v>5099104654927.7266</v>
      </c>
      <c r="AL40" s="13">
        <f t="shared" si="35"/>
        <v>6605835438042.0674</v>
      </c>
      <c r="AM40" s="13">
        <f t="shared" si="36"/>
        <v>8809802801301.793</v>
      </c>
      <c r="AN40" s="13">
        <f t="shared" si="37"/>
        <v>13908580977413.824</v>
      </c>
      <c r="AO40" s="13">
        <f t="shared" si="38"/>
        <v>20491091747720.043</v>
      </c>
      <c r="AP40" s="13">
        <f t="shared" si="39"/>
        <v>918343242596.60828</v>
      </c>
      <c r="AQ40" s="13">
        <f t="shared" si="52"/>
        <v>6.0150380360006071E-4</v>
      </c>
      <c r="AR40" s="13">
        <f t="shared" si="40"/>
        <v>1.4830033778046147E-3</v>
      </c>
      <c r="AS40" s="13">
        <f t="shared" si="41"/>
        <v>2.449816310536005E-3</v>
      </c>
      <c r="AT40" s="13">
        <f t="shared" si="42"/>
        <v>3.3630770190850867E-3</v>
      </c>
      <c r="AU40" s="13">
        <f t="shared" si="43"/>
        <v>4.1779871854712401E-3</v>
      </c>
      <c r="AV40" s="13">
        <f t="shared" si="44"/>
        <v>4.8891307214387622E-3</v>
      </c>
      <c r="AW40" s="13">
        <f t="shared" si="45"/>
        <v>5.5048939578245682E-3</v>
      </c>
      <c r="AX40" s="13">
        <f t="shared" si="46"/>
        <v>6.2530835276488677E-3</v>
      </c>
      <c r="AY40" s="13">
        <f t="shared" si="47"/>
        <v>6.4986719411806899E-3</v>
      </c>
      <c r="AZ40" s="13">
        <f t="shared" si="48"/>
        <v>6.8996466834936798E-3</v>
      </c>
      <c r="BA40" s="13">
        <f t="shared" si="56"/>
        <v>7.249634840849957E-3</v>
      </c>
      <c r="BB40" s="13">
        <f t="shared" si="57"/>
        <v>1.1950057693352948E-3</v>
      </c>
    </row>
    <row r="41" spans="1:54">
      <c r="A41">
        <f>data0!A39</f>
        <v>485</v>
      </c>
      <c r="B41" s="13">
        <v>0.16930000000000001</v>
      </c>
      <c r="C41" t="e">
        <f ca="1">(Calculations!C40-C$2)/C$1</f>
        <v>#DIV/0!</v>
      </c>
      <c r="D41" s="13" t="e">
        <f t="shared" ref="D41:D72" ca="1" si="58">$C41*Q41</f>
        <v>#DIV/0!</v>
      </c>
      <c r="E41" s="13" t="e">
        <f t="shared" ref="E41:E72" ca="1" si="59">$C41*R41</f>
        <v>#DIV/0!</v>
      </c>
      <c r="F41" s="13" t="e">
        <f t="shared" ref="F41:F72" ca="1" si="60">$C41*S41</f>
        <v>#DIV/0!</v>
      </c>
      <c r="G41" s="13" t="e">
        <f t="shared" ref="G41:G72" ca="1" si="61">$C41*T41</f>
        <v>#DIV/0!</v>
      </c>
      <c r="H41" s="13" t="e">
        <f t="shared" ref="H41:H72" ca="1" si="62">$C41*U41</f>
        <v>#DIV/0!</v>
      </c>
      <c r="I41" s="13" t="e">
        <f t="shared" ref="I41:I72" ca="1" si="63">$C41*V41</f>
        <v>#DIV/0!</v>
      </c>
      <c r="J41" s="13" t="e">
        <f t="shared" ref="J41:J72" ca="1" si="64">$C41*W41</f>
        <v>#DIV/0!</v>
      </c>
      <c r="K41" s="13" t="e">
        <f t="shared" ca="1" si="21"/>
        <v>#DIV/0!</v>
      </c>
      <c r="L41" s="13" t="e">
        <f t="shared" ca="1" si="22"/>
        <v>#DIV/0!</v>
      </c>
      <c r="M41" s="13" t="e">
        <f t="shared" ref="M41:M72" ca="1" si="65">$C41*Z41</f>
        <v>#DIV/0!</v>
      </c>
      <c r="N41" s="13" t="e">
        <f t="shared" ref="N41:N104" ca="1" si="66">$C41*AA41</f>
        <v>#DIV/0!</v>
      </c>
      <c r="O41" s="13" t="e">
        <f t="shared" ref="O41:O72" ca="1" si="67">$C41*AB41</f>
        <v>#DIV/0!</v>
      </c>
      <c r="P41" s="13" t="e">
        <f t="shared" ref="P41:P72" ca="1" si="68">$C41*AC41</f>
        <v>#DIV/0!</v>
      </c>
      <c r="Q41" s="13">
        <f t="shared" si="54"/>
        <v>35922802.080938824</v>
      </c>
      <c r="R41" s="13">
        <f t="shared" si="54"/>
        <v>5042208262.8143167</v>
      </c>
      <c r="S41" s="13">
        <f t="shared" si="54"/>
        <v>97943117710.04718</v>
      </c>
      <c r="T41" s="13">
        <f t="shared" si="54"/>
        <v>707771523491.39917</v>
      </c>
      <c r="U41" s="13">
        <f t="shared" si="54"/>
        <v>2907111560238.2568</v>
      </c>
      <c r="V41" s="13">
        <f t="shared" si="54"/>
        <v>8389913628936.1611</v>
      </c>
      <c r="W41" s="13">
        <f t="shared" si="54"/>
        <v>19141108894215.562</v>
      </c>
      <c r="X41" s="13">
        <f t="shared" si="54"/>
        <v>37053046900589.516</v>
      </c>
      <c r="Y41" s="54">
        <f t="shared" si="54"/>
        <v>47876059595447.734</v>
      </c>
      <c r="Z41" s="13">
        <f t="shared" si="54"/>
        <v>63664201190277.43</v>
      </c>
      <c r="AA41" s="13">
        <f t="shared" si="54"/>
        <v>100052197233174.98</v>
      </c>
      <c r="AB41" s="13">
        <f t="shared" si="55"/>
        <v>146839953379749.69</v>
      </c>
      <c r="AC41" s="13">
        <f t="shared" si="51"/>
        <v>8105416889509.3018</v>
      </c>
      <c r="AD41" s="13">
        <f t="shared" si="29"/>
        <v>6081730.3923029434</v>
      </c>
      <c r="AE41" s="13">
        <f t="shared" si="30"/>
        <v>853645858.8944639</v>
      </c>
      <c r="AF41" s="13">
        <f t="shared" si="31"/>
        <v>16581769828.310987</v>
      </c>
      <c r="AG41" s="13">
        <f t="shared" si="32"/>
        <v>119825718927.09389</v>
      </c>
      <c r="AH41" s="13">
        <f t="shared" si="33"/>
        <v>492173987148.33691</v>
      </c>
      <c r="AI41" s="13">
        <f t="shared" si="34"/>
        <v>1420412377378.8921</v>
      </c>
      <c r="AJ41" s="13">
        <f t="shared" si="35"/>
        <v>3240589735790.6948</v>
      </c>
      <c r="AK41" s="13">
        <f t="shared" si="35"/>
        <v>6273080840269.8057</v>
      </c>
      <c r="AL41" s="13">
        <f t="shared" si="35"/>
        <v>8105416889509.3018</v>
      </c>
      <c r="AM41" s="13">
        <f t="shared" si="36"/>
        <v>10778349261513.969</v>
      </c>
      <c r="AN41" s="13">
        <f t="shared" si="37"/>
        <v>16938836991576.525</v>
      </c>
      <c r="AO41" s="13">
        <f t="shared" si="38"/>
        <v>24860004107191.621</v>
      </c>
      <c r="AP41" s="13">
        <f t="shared" si="39"/>
        <v>1372247079393.9248</v>
      </c>
      <c r="AQ41" s="13">
        <f t="shared" si="52"/>
        <v>8.5464216072256305E-4</v>
      </c>
      <c r="AR41" s="13">
        <f t="shared" si="40"/>
        <v>2.0013401407231353E-3</v>
      </c>
      <c r="AS41" s="13">
        <f t="shared" si="41"/>
        <v>3.205474340481562E-3</v>
      </c>
      <c r="AT41" s="13">
        <f t="shared" si="42"/>
        <v>4.3107270285294656E-3</v>
      </c>
      <c r="AU41" s="13">
        <f t="shared" si="43"/>
        <v>5.2771043303393595E-3</v>
      </c>
      <c r="AV41" s="13">
        <f t="shared" si="44"/>
        <v>6.1077187742384145E-3</v>
      </c>
      <c r="AW41" s="13">
        <f t="shared" si="45"/>
        <v>6.8184963393779306E-3</v>
      </c>
      <c r="AX41" s="13">
        <f t="shared" si="46"/>
        <v>7.6725872619587913E-3</v>
      </c>
      <c r="AY41" s="13">
        <f t="shared" si="47"/>
        <v>7.9507972536792936E-3</v>
      </c>
      <c r="AZ41" s="13">
        <f t="shared" si="48"/>
        <v>8.4028694703621974E-3</v>
      </c>
      <c r="BA41" s="13">
        <f t="shared" si="56"/>
        <v>8.795331851423796E-3</v>
      </c>
      <c r="BB41" s="13">
        <f t="shared" si="57"/>
        <v>1.785653882738446E-3</v>
      </c>
    </row>
    <row r="42" spans="1:54">
      <c r="A42">
        <f>data0!A40</f>
        <v>490</v>
      </c>
      <c r="B42" s="13">
        <v>0.20802000000000001</v>
      </c>
      <c r="C42" t="e">
        <f ca="1">(Calculations!C41-C$2)/C$1</f>
        <v>#DIV/0!</v>
      </c>
      <c r="D42" s="13" t="e">
        <f t="shared" ca="1" si="58"/>
        <v>#DIV/0!</v>
      </c>
      <c r="E42" s="13" t="e">
        <f t="shared" ca="1" si="59"/>
        <v>#DIV/0!</v>
      </c>
      <c r="F42" s="13" t="e">
        <f t="shared" ca="1" si="60"/>
        <v>#DIV/0!</v>
      </c>
      <c r="G42" s="13" t="e">
        <f t="shared" ca="1" si="61"/>
        <v>#DIV/0!</v>
      </c>
      <c r="H42" s="13" t="e">
        <f t="shared" ca="1" si="62"/>
        <v>#DIV/0!</v>
      </c>
      <c r="I42" s="13" t="e">
        <f t="shared" ca="1" si="63"/>
        <v>#DIV/0!</v>
      </c>
      <c r="J42" s="13" t="e">
        <f t="shared" ca="1" si="64"/>
        <v>#DIV/0!</v>
      </c>
      <c r="K42" s="13" t="e">
        <f t="shared" ca="1" si="21"/>
        <v>#DIV/0!</v>
      </c>
      <c r="L42" s="13" t="e">
        <f t="shared" ca="1" si="22"/>
        <v>#DIV/0!</v>
      </c>
      <c r="M42" s="13" t="e">
        <f t="shared" ca="1" si="65"/>
        <v>#DIV/0!</v>
      </c>
      <c r="N42" s="13" t="e">
        <f t="shared" ca="1" si="66"/>
        <v>#DIV/0!</v>
      </c>
      <c r="O42" s="13" t="e">
        <f t="shared" ca="1" si="67"/>
        <v>#DIV/0!</v>
      </c>
      <c r="P42" s="13" t="e">
        <f t="shared" ca="1" si="68"/>
        <v>#DIV/0!</v>
      </c>
      <c r="Q42" s="13">
        <f t="shared" si="54"/>
        <v>41758161.814140283</v>
      </c>
      <c r="R42" s="13">
        <f t="shared" si="54"/>
        <v>5572900048.7807579</v>
      </c>
      <c r="S42" s="13">
        <f t="shared" si="54"/>
        <v>105023946635.80133</v>
      </c>
      <c r="T42" s="13">
        <f t="shared" si="54"/>
        <v>743781129537.91211</v>
      </c>
      <c r="U42" s="13">
        <f t="shared" si="54"/>
        <v>3011337294078.2456</v>
      </c>
      <c r="V42" s="13">
        <f t="shared" si="54"/>
        <v>8597504354035.1025</v>
      </c>
      <c r="W42" s="13">
        <f t="shared" si="54"/>
        <v>19451413406463.551</v>
      </c>
      <c r="X42" s="13">
        <f t="shared" si="54"/>
        <v>37403919657920.609</v>
      </c>
      <c r="Y42" s="54">
        <f t="shared" si="54"/>
        <v>48205465064906.875</v>
      </c>
      <c r="Z42" s="13">
        <f t="shared" si="54"/>
        <v>63920240300580.391</v>
      </c>
      <c r="AA42" s="13">
        <f t="shared" si="54"/>
        <v>100006200312570.09</v>
      </c>
      <c r="AB42" s="13">
        <f t="shared" si="55"/>
        <v>146223069216093.91</v>
      </c>
      <c r="AC42" s="13">
        <f t="shared" si="51"/>
        <v>10027700842801.928</v>
      </c>
      <c r="AD42" s="13">
        <f t="shared" ref="AD42:AD69" si="69">$B42*Q42</f>
        <v>8686532.8205774613</v>
      </c>
      <c r="AE42" s="13">
        <f t="shared" ref="AE42:AE69" si="70">$B42*R42</f>
        <v>1159274668.1473732</v>
      </c>
      <c r="AF42" s="13">
        <f t="shared" ref="AF42:AF69" si="71">$B42*S42</f>
        <v>21847081379.179394</v>
      </c>
      <c r="AG42" s="13">
        <f t="shared" ref="AG42:AG69" si="72">$B42*T42</f>
        <v>154721350566.47647</v>
      </c>
      <c r="AH42" s="13">
        <f t="shared" ref="AH42:AH69" si="73">$B42*U42</f>
        <v>626418383914.15674</v>
      </c>
      <c r="AI42" s="13">
        <f t="shared" ref="AI42:AI69" si="74">$B42*V42</f>
        <v>1788452855726.3821</v>
      </c>
      <c r="AJ42" s="13">
        <f t="shared" ref="AJ42:AJ69" si="75">$B42*W42</f>
        <v>4046283016812.5479</v>
      </c>
      <c r="AK42" s="13">
        <f t="shared" ref="AK42:AK69" si="76">$B42*X42</f>
        <v>7780763367240.6455</v>
      </c>
      <c r="AL42" s="13">
        <f t="shared" ref="AL42:AL69" si="77">$B42*Y42</f>
        <v>10027700842801.928</v>
      </c>
      <c r="AM42" s="13">
        <f t="shared" ref="AM42:AM69" si="78">$B42*Z42</f>
        <v>13296688387326.734</v>
      </c>
      <c r="AN42" s="13">
        <f t="shared" ref="AN42:AN73" si="79">$B42*AA42</f>
        <v>20803289789020.832</v>
      </c>
      <c r="AO42" s="13">
        <f t="shared" ref="AO42:AO73" si="80">$B42*AB42</f>
        <v>30417322858331.855</v>
      </c>
      <c r="AP42" s="13">
        <f t="shared" ref="AP42:AP73" si="81">$B42*AC42</f>
        <v>2085962329319.6572</v>
      </c>
      <c r="AQ42" s="13">
        <f t="shared" si="52"/>
        <v>1.220685018915252E-3</v>
      </c>
      <c r="AR42" s="13">
        <f t="shared" si="40"/>
        <v>2.7178752211034435E-3</v>
      </c>
      <c r="AS42" s="13">
        <f t="shared" si="41"/>
        <v>4.2233283600285835E-3</v>
      </c>
      <c r="AT42" s="13">
        <f t="shared" si="42"/>
        <v>5.5660964419774967E-3</v>
      </c>
      <c r="AU42" s="13">
        <f t="shared" si="43"/>
        <v>6.716476800228125E-3</v>
      </c>
      <c r="AV42" s="13">
        <f t="shared" si="44"/>
        <v>7.6902787230827864E-3</v>
      </c>
      <c r="AW42" s="13">
        <f t="shared" si="45"/>
        <v>8.5137484802566867E-3</v>
      </c>
      <c r="AX42" s="13">
        <f t="shared" si="46"/>
        <v>9.4922211654277187E-3</v>
      </c>
      <c r="AY42" s="13">
        <f t="shared" si="47"/>
        <v>9.8084846712544749E-3</v>
      </c>
      <c r="AZ42" s="13">
        <f t="shared" si="48"/>
        <v>1.0319913270208002E-2</v>
      </c>
      <c r="BA42" s="13">
        <f t="shared" si="56"/>
        <v>1.0761480465465201E-2</v>
      </c>
      <c r="BB42" s="13">
        <f t="shared" si="57"/>
        <v>2.7143848863142783E-3</v>
      </c>
    </row>
    <row r="43" spans="1:54">
      <c r="A43">
        <f>data0!A41</f>
        <v>495</v>
      </c>
      <c r="B43" s="13">
        <v>0.2586</v>
      </c>
      <c r="C43" t="e">
        <f ca="1">(Calculations!C42-C$2)/C$1</f>
        <v>#DIV/0!</v>
      </c>
      <c r="D43" s="13" t="e">
        <f t="shared" ca="1" si="58"/>
        <v>#DIV/0!</v>
      </c>
      <c r="E43" s="13" t="e">
        <f t="shared" ca="1" si="59"/>
        <v>#DIV/0!</v>
      </c>
      <c r="F43" s="13" t="e">
        <f t="shared" ca="1" si="60"/>
        <v>#DIV/0!</v>
      </c>
      <c r="G43" s="13" t="e">
        <f t="shared" ca="1" si="61"/>
        <v>#DIV/0!</v>
      </c>
      <c r="H43" s="13" t="e">
        <f t="shared" ca="1" si="62"/>
        <v>#DIV/0!</v>
      </c>
      <c r="I43" s="13" t="e">
        <f t="shared" ca="1" si="63"/>
        <v>#DIV/0!</v>
      </c>
      <c r="J43" s="13" t="e">
        <f t="shared" ca="1" si="64"/>
        <v>#DIV/0!</v>
      </c>
      <c r="K43" s="13" t="e">
        <f t="shared" ca="1" si="21"/>
        <v>#DIV/0!</v>
      </c>
      <c r="L43" s="13" t="e">
        <f t="shared" ca="1" si="22"/>
        <v>#DIV/0!</v>
      </c>
      <c r="M43" s="13" t="e">
        <f t="shared" ca="1" si="65"/>
        <v>#DIV/0!</v>
      </c>
      <c r="N43" s="13" t="e">
        <f t="shared" ca="1" si="66"/>
        <v>#DIV/0!</v>
      </c>
      <c r="O43" s="13" t="e">
        <f t="shared" ca="1" si="67"/>
        <v>#DIV/0!</v>
      </c>
      <c r="P43" s="13" t="e">
        <f t="shared" ca="1" si="68"/>
        <v>#DIV/0!</v>
      </c>
      <c r="Q43" s="13">
        <f t="shared" si="54"/>
        <v>48369109.261193305</v>
      </c>
      <c r="R43" s="13">
        <f t="shared" si="54"/>
        <v>6143840351.4145651</v>
      </c>
      <c r="S43" s="13">
        <f t="shared" si="54"/>
        <v>112400064440.68472</v>
      </c>
      <c r="T43" s="13">
        <f t="shared" si="54"/>
        <v>780437718682.63794</v>
      </c>
      <c r="U43" s="13">
        <f t="shared" si="54"/>
        <v>3115479933740.3564</v>
      </c>
      <c r="V43" s="13">
        <f t="shared" si="54"/>
        <v>8801376958266.5273</v>
      </c>
      <c r="W43" s="13">
        <f t="shared" si="54"/>
        <v>19750273945026.703</v>
      </c>
      <c r="X43" s="13">
        <f t="shared" si="54"/>
        <v>37731855674333.93</v>
      </c>
      <c r="Y43" s="54">
        <f t="shared" si="54"/>
        <v>48505986142728.664</v>
      </c>
      <c r="Z43" s="13">
        <f t="shared" si="54"/>
        <v>64139955550122.125</v>
      </c>
      <c r="AA43" s="13">
        <f t="shared" si="54"/>
        <v>99911525715758.406</v>
      </c>
      <c r="AB43" s="13">
        <f t="shared" si="55"/>
        <v>145549548537391.12</v>
      </c>
      <c r="AC43" s="13">
        <f t="shared" si="51"/>
        <v>12543648016509.633</v>
      </c>
      <c r="AD43" s="13">
        <f t="shared" si="69"/>
        <v>12508251.654944589</v>
      </c>
      <c r="AE43" s="13">
        <f t="shared" si="70"/>
        <v>1588797114.8758066</v>
      </c>
      <c r="AF43" s="13">
        <f t="shared" si="71"/>
        <v>29066656664.361069</v>
      </c>
      <c r="AG43" s="13">
        <f t="shared" si="72"/>
        <v>201821194051.33017</v>
      </c>
      <c r="AH43" s="13">
        <f t="shared" si="73"/>
        <v>805663110865.25623</v>
      </c>
      <c r="AI43" s="13">
        <f t="shared" si="74"/>
        <v>2276036081407.7241</v>
      </c>
      <c r="AJ43" s="13">
        <f t="shared" si="75"/>
        <v>5107420842183.9053</v>
      </c>
      <c r="AK43" s="13">
        <f t="shared" si="76"/>
        <v>9757457877382.7539</v>
      </c>
      <c r="AL43" s="13">
        <f t="shared" si="77"/>
        <v>12543648016509.633</v>
      </c>
      <c r="AM43" s="13">
        <f t="shared" si="78"/>
        <v>16586592505261.582</v>
      </c>
      <c r="AN43" s="13">
        <f t="shared" si="79"/>
        <v>25837120550095.125</v>
      </c>
      <c r="AO43" s="13">
        <f t="shared" si="80"/>
        <v>37639113251769.344</v>
      </c>
      <c r="AP43" s="13">
        <f t="shared" si="81"/>
        <v>3243787377069.3911</v>
      </c>
      <c r="AQ43" s="13">
        <f t="shared" si="52"/>
        <v>1.7577364551991347E-3</v>
      </c>
      <c r="AR43" s="13">
        <f t="shared" si="40"/>
        <v>3.724874206716168E-3</v>
      </c>
      <c r="AS43" s="13">
        <f t="shared" si="41"/>
        <v>5.6189672794829349E-3</v>
      </c>
      <c r="AT43" s="13">
        <f t="shared" si="42"/>
        <v>7.2605120496418204E-3</v>
      </c>
      <c r="AU43" s="13">
        <f t="shared" si="43"/>
        <v>8.6383441672229985E-3</v>
      </c>
      <c r="AV43" s="13">
        <f t="shared" si="44"/>
        <v>9.7868679030454712E-3</v>
      </c>
      <c r="AW43" s="13">
        <f t="shared" si="45"/>
        <v>1.0746479238476117E-2</v>
      </c>
      <c r="AX43" s="13">
        <f t="shared" si="46"/>
        <v>1.1873816646560289E-2</v>
      </c>
      <c r="AY43" s="13">
        <f t="shared" si="47"/>
        <v>1.2235327594144729E-2</v>
      </c>
      <c r="AZ43" s="13">
        <f t="shared" si="48"/>
        <v>1.281705181887199E-2</v>
      </c>
      <c r="BA43" s="13">
        <f t="shared" si="56"/>
        <v>1.331650993359519E-2</v>
      </c>
      <c r="BB43" s="13">
        <f t="shared" si="57"/>
        <v>4.2210193861007697E-3</v>
      </c>
    </row>
    <row r="44" spans="1:54">
      <c r="A44">
        <f>data0!A42</f>
        <v>500</v>
      </c>
      <c r="B44" s="13">
        <v>0.32300000000000001</v>
      </c>
      <c r="C44" t="e">
        <f ca="1">(Calculations!C43-C$2)/C$1</f>
        <v>#DIV/0!</v>
      </c>
      <c r="D44" s="13" t="e">
        <f t="shared" ca="1" si="58"/>
        <v>#DIV/0!</v>
      </c>
      <c r="E44" s="13" t="e">
        <f t="shared" ca="1" si="59"/>
        <v>#DIV/0!</v>
      </c>
      <c r="F44" s="13" t="e">
        <f t="shared" ca="1" si="60"/>
        <v>#DIV/0!</v>
      </c>
      <c r="G44" s="13" t="e">
        <f t="shared" ca="1" si="61"/>
        <v>#DIV/0!</v>
      </c>
      <c r="H44" s="13" t="e">
        <f t="shared" ca="1" si="62"/>
        <v>#DIV/0!</v>
      </c>
      <c r="I44" s="13" t="e">
        <f t="shared" ca="1" si="63"/>
        <v>#DIV/0!</v>
      </c>
      <c r="J44" s="13" t="e">
        <f t="shared" ca="1" si="64"/>
        <v>#DIV/0!</v>
      </c>
      <c r="K44" s="13" t="e">
        <f t="shared" ca="1" si="21"/>
        <v>#DIV/0!</v>
      </c>
      <c r="L44" s="13" t="e">
        <f t="shared" ca="1" si="22"/>
        <v>#DIV/0!</v>
      </c>
      <c r="M44" s="13" t="e">
        <f t="shared" ca="1" si="65"/>
        <v>#DIV/0!</v>
      </c>
      <c r="N44" s="13" t="e">
        <f t="shared" ca="1" si="66"/>
        <v>#DIV/0!</v>
      </c>
      <c r="O44" s="13" t="e">
        <f t="shared" ca="1" si="67"/>
        <v>#DIV/0!</v>
      </c>
      <c r="P44" s="13" t="e">
        <f t="shared" ca="1" si="68"/>
        <v>#DIV/0!</v>
      </c>
      <c r="Q44" s="13">
        <f t="shared" si="54"/>
        <v>55834023.877977535</v>
      </c>
      <c r="R44" s="13">
        <f t="shared" si="54"/>
        <v>6756660175.7570372</v>
      </c>
      <c r="S44" s="13">
        <f t="shared" si="54"/>
        <v>120070392454.20448</v>
      </c>
      <c r="T44" s="13">
        <f t="shared" si="54"/>
        <v>817700747703.77722</v>
      </c>
      <c r="U44" s="13">
        <f t="shared" si="54"/>
        <v>3219412362784.1348</v>
      </c>
      <c r="V44" s="13">
        <f t="shared" si="54"/>
        <v>9001347979325.7969</v>
      </c>
      <c r="W44" s="13">
        <f t="shared" si="54"/>
        <v>20037621808957.855</v>
      </c>
      <c r="X44" s="13">
        <f t="shared" si="54"/>
        <v>38037196855987.781</v>
      </c>
      <c r="Y44" s="54">
        <f t="shared" si="54"/>
        <v>48778262213834.281</v>
      </c>
      <c r="Z44" s="13">
        <f t="shared" si="54"/>
        <v>64324442917097.258</v>
      </c>
      <c r="AA44" s="13">
        <f t="shared" si="54"/>
        <v>99770321427190.406</v>
      </c>
      <c r="AB44" s="13">
        <f t="shared" si="55"/>
        <v>144822767839937.06</v>
      </c>
      <c r="AC44" s="13">
        <f t="shared" si="51"/>
        <v>15755378695068.473</v>
      </c>
      <c r="AD44" s="13">
        <f t="shared" si="69"/>
        <v>18034389.712586746</v>
      </c>
      <c r="AE44" s="13">
        <f t="shared" si="70"/>
        <v>2182401236.7695231</v>
      </c>
      <c r="AF44" s="13">
        <f t="shared" si="71"/>
        <v>38782736762.708046</v>
      </c>
      <c r="AG44" s="13">
        <f t="shared" si="72"/>
        <v>264117341508.32004</v>
      </c>
      <c r="AH44" s="13">
        <f t="shared" si="73"/>
        <v>1039870193179.2755</v>
      </c>
      <c r="AI44" s="13">
        <f t="shared" si="74"/>
        <v>2907435397322.2324</v>
      </c>
      <c r="AJ44" s="13">
        <f t="shared" si="75"/>
        <v>6472151844293.3877</v>
      </c>
      <c r="AK44" s="13">
        <f t="shared" si="76"/>
        <v>12286014584484.053</v>
      </c>
      <c r="AL44" s="13">
        <f t="shared" si="77"/>
        <v>15755378695068.473</v>
      </c>
      <c r="AM44" s="13">
        <f t="shared" si="78"/>
        <v>20776795062222.414</v>
      </c>
      <c r="AN44" s="13">
        <f t="shared" si="79"/>
        <v>32225813820982.504</v>
      </c>
      <c r="AO44" s="13">
        <f t="shared" si="80"/>
        <v>46777754012299.672</v>
      </c>
      <c r="AP44" s="13">
        <f t="shared" si="81"/>
        <v>5088987318507.1172</v>
      </c>
      <c r="AQ44" s="13">
        <f t="shared" si="52"/>
        <v>2.5343033638558815E-3</v>
      </c>
      <c r="AR44" s="13">
        <f t="shared" si="40"/>
        <v>5.1165564183339443E-3</v>
      </c>
      <c r="AS44" s="13">
        <f t="shared" si="41"/>
        <v>7.4972134358214336E-3</v>
      </c>
      <c r="AT44" s="13">
        <f t="shared" si="42"/>
        <v>9.5016142856275149E-3</v>
      </c>
      <c r="AU44" s="13">
        <f t="shared" si="43"/>
        <v>1.1149519565655745E-2</v>
      </c>
      <c r="AV44" s="13">
        <f t="shared" si="44"/>
        <v>1.2501860758126489E-2</v>
      </c>
      <c r="AW44" s="13">
        <f t="shared" si="45"/>
        <v>1.361799772764043E-2</v>
      </c>
      <c r="AX44" s="13">
        <f t="shared" si="46"/>
        <v>1.491404076199683E-2</v>
      </c>
      <c r="AY44" s="13">
        <f t="shared" si="47"/>
        <v>1.532628801618291E-2</v>
      </c>
      <c r="AZ44" s="13">
        <f t="shared" si="48"/>
        <v>1.598629866079768E-2</v>
      </c>
      <c r="BA44" s="13">
        <f t="shared" si="56"/>
        <v>1.6549710451714179E-2</v>
      </c>
      <c r="BB44" s="13">
        <f t="shared" si="57"/>
        <v>6.6221091674776552E-3</v>
      </c>
    </row>
    <row r="45" spans="1:54">
      <c r="A45">
        <f>data0!A43</f>
        <v>505</v>
      </c>
      <c r="B45" s="13">
        <v>0.4073</v>
      </c>
      <c r="C45" t="e">
        <f ca="1">(Calculations!C44-C$2)/C$1</f>
        <v>#DIV/0!</v>
      </c>
      <c r="D45" s="13" t="e">
        <f t="shared" ca="1" si="58"/>
        <v>#DIV/0!</v>
      </c>
      <c r="E45" s="13" t="e">
        <f t="shared" ca="1" si="59"/>
        <v>#DIV/0!</v>
      </c>
      <c r="F45" s="13" t="e">
        <f t="shared" ca="1" si="60"/>
        <v>#DIV/0!</v>
      </c>
      <c r="G45" s="13" t="e">
        <f t="shared" ca="1" si="61"/>
        <v>#DIV/0!</v>
      </c>
      <c r="H45" s="13" t="e">
        <f t="shared" ca="1" si="62"/>
        <v>#DIV/0!</v>
      </c>
      <c r="I45" s="13" t="e">
        <f t="shared" ca="1" si="63"/>
        <v>#DIV/0!</v>
      </c>
      <c r="J45" s="13" t="e">
        <f t="shared" ca="1" si="64"/>
        <v>#DIV/0!</v>
      </c>
      <c r="K45" s="13" t="e">
        <f t="shared" ca="1" si="21"/>
        <v>#DIV/0!</v>
      </c>
      <c r="L45" s="13" t="e">
        <f t="shared" ca="1" si="22"/>
        <v>#DIV/0!</v>
      </c>
      <c r="M45" s="13" t="e">
        <f t="shared" ca="1" si="65"/>
        <v>#DIV/0!</v>
      </c>
      <c r="N45" s="13" t="e">
        <f t="shared" ca="1" si="66"/>
        <v>#DIV/0!</v>
      </c>
      <c r="O45" s="13" t="e">
        <f t="shared" ca="1" si="67"/>
        <v>#DIV/0!</v>
      </c>
      <c r="P45" s="13" t="e">
        <f t="shared" ca="1" si="68"/>
        <v>#DIV/0!</v>
      </c>
      <c r="Q45" s="13">
        <f t="shared" si="54"/>
        <v>64236296.106671602</v>
      </c>
      <c r="R45" s="13">
        <f t="shared" si="54"/>
        <v>7412958508.2702379</v>
      </c>
      <c r="S45" s="13">
        <f t="shared" si="54"/>
        <v>128033213530.24184</v>
      </c>
      <c r="T45" s="13">
        <f t="shared" si="54"/>
        <v>855528923448.82117</v>
      </c>
      <c r="U45" s="13">
        <f t="shared" si="54"/>
        <v>3323011364601.5488</v>
      </c>
      <c r="V45" s="13">
        <f t="shared" si="54"/>
        <v>9197249061169.8965</v>
      </c>
      <c r="W45" s="13">
        <f t="shared" si="54"/>
        <v>20313415631688.031</v>
      </c>
      <c r="X45" s="13">
        <f t="shared" si="54"/>
        <v>38320314776980.523</v>
      </c>
      <c r="Y45" s="54">
        <f t="shared" si="54"/>
        <v>49022957121684.289</v>
      </c>
      <c r="Z45" s="13">
        <f t="shared" si="54"/>
        <v>64474809587769.375</v>
      </c>
      <c r="AA45" s="13">
        <f t="shared" si="54"/>
        <v>99584700835293.859</v>
      </c>
      <c r="AB45" s="13">
        <f t="shared" si="55"/>
        <v>144045995321426.41</v>
      </c>
      <c r="AC45" s="13">
        <f t="shared" si="51"/>
        <v>19967050435662.012</v>
      </c>
      <c r="AD45" s="13">
        <f t="shared" si="69"/>
        <v>26163443.404247344</v>
      </c>
      <c r="AE45" s="13">
        <f t="shared" si="70"/>
        <v>3019298000.418468</v>
      </c>
      <c r="AF45" s="13">
        <f t="shared" si="71"/>
        <v>52147927870.8675</v>
      </c>
      <c r="AG45" s="13">
        <f t="shared" si="72"/>
        <v>348456930520.70483</v>
      </c>
      <c r="AH45" s="13">
        <f t="shared" si="73"/>
        <v>1353462528802.2109</v>
      </c>
      <c r="AI45" s="13">
        <f t="shared" si="74"/>
        <v>3746039542614.499</v>
      </c>
      <c r="AJ45" s="13">
        <f t="shared" si="75"/>
        <v>8273654186786.5352</v>
      </c>
      <c r="AK45" s="13">
        <f t="shared" si="76"/>
        <v>15607864208664.168</v>
      </c>
      <c r="AL45" s="13">
        <f t="shared" si="77"/>
        <v>19967050435662.012</v>
      </c>
      <c r="AM45" s="13">
        <f t="shared" si="78"/>
        <v>26260589945098.465</v>
      </c>
      <c r="AN45" s="13">
        <f t="shared" si="79"/>
        <v>40560848650215.187</v>
      </c>
      <c r="AO45" s="13">
        <f t="shared" si="80"/>
        <v>58669933894416.977</v>
      </c>
      <c r="AP45" s="13">
        <f t="shared" si="81"/>
        <v>8132579642445.1377</v>
      </c>
      <c r="AQ45" s="13">
        <f t="shared" si="52"/>
        <v>3.6766479867716279E-3</v>
      </c>
      <c r="AR45" s="13">
        <f t="shared" si="40"/>
        <v>7.0786289444058894E-3</v>
      </c>
      <c r="AS45" s="13">
        <f t="shared" si="41"/>
        <v>1.0080880776305879E-2</v>
      </c>
      <c r="AT45" s="13">
        <f t="shared" si="42"/>
        <v>1.2535728741072253E-2</v>
      </c>
      <c r="AU45" s="13">
        <f t="shared" si="43"/>
        <v>1.4511866043707756E-2</v>
      </c>
      <c r="AV45" s="13">
        <f t="shared" si="44"/>
        <v>1.6107826436774941E-2</v>
      </c>
      <c r="AW45" s="13">
        <f t="shared" si="45"/>
        <v>1.7408522949640848E-2</v>
      </c>
      <c r="AX45" s="13">
        <f t="shared" si="46"/>
        <v>1.8900809041646181E-2</v>
      </c>
      <c r="AY45" s="13">
        <f t="shared" si="47"/>
        <v>1.9371484570556503E-2</v>
      </c>
      <c r="AZ45" s="13">
        <f t="shared" si="48"/>
        <v>2.0121069527049836E-2</v>
      </c>
      <c r="BA45" s="13">
        <f t="shared" si="56"/>
        <v>2.0757097870036836E-2</v>
      </c>
      <c r="BB45" s="13">
        <f t="shared" si="57"/>
        <v>1.0582622206509391E-2</v>
      </c>
    </row>
    <row r="46" spans="1:54">
      <c r="A46">
        <f>data0!A44</f>
        <v>510</v>
      </c>
      <c r="B46" s="13">
        <v>0.503</v>
      </c>
      <c r="C46" t="e">
        <f ca="1">(Calculations!C45-C$2)/C$1</f>
        <v>#DIV/0!</v>
      </c>
      <c r="D46" s="13" t="e">
        <f t="shared" ca="1" si="58"/>
        <v>#DIV/0!</v>
      </c>
      <c r="E46" s="13" t="e">
        <f t="shared" ca="1" si="59"/>
        <v>#DIV/0!</v>
      </c>
      <c r="F46" s="13" t="e">
        <f t="shared" ca="1" si="60"/>
        <v>#DIV/0!</v>
      </c>
      <c r="G46" s="13" t="e">
        <f t="shared" ca="1" si="61"/>
        <v>#DIV/0!</v>
      </c>
      <c r="H46" s="13" t="e">
        <f t="shared" ca="1" si="62"/>
        <v>#DIV/0!</v>
      </c>
      <c r="I46" s="13" t="e">
        <f t="shared" ca="1" si="63"/>
        <v>#DIV/0!</v>
      </c>
      <c r="J46" s="13" t="e">
        <f t="shared" ca="1" si="64"/>
        <v>#DIV/0!</v>
      </c>
      <c r="K46" s="13" t="e">
        <f t="shared" ca="1" si="21"/>
        <v>#DIV/0!</v>
      </c>
      <c r="L46" s="13" t="e">
        <f t="shared" ca="1" si="22"/>
        <v>#DIV/0!</v>
      </c>
      <c r="M46" s="13" t="e">
        <f t="shared" ca="1" si="65"/>
        <v>#DIV/0!</v>
      </c>
      <c r="N46" s="13" t="e">
        <f t="shared" ca="1" si="66"/>
        <v>#DIV/0!</v>
      </c>
      <c r="O46" s="13" t="e">
        <f t="shared" ca="1" si="67"/>
        <v>#DIV/0!</v>
      </c>
      <c r="P46" s="13" t="e">
        <f t="shared" ca="1" si="68"/>
        <v>#DIV/0!</v>
      </c>
      <c r="Q46" s="13">
        <f t="shared" si="54"/>
        <v>73664375.881925568</v>
      </c>
      <c r="R46" s="13">
        <f t="shared" si="54"/>
        <v>8114296640.9744425</v>
      </c>
      <c r="S46" s="13">
        <f t="shared" si="54"/>
        <v>136286186704.21547</v>
      </c>
      <c r="T46" s="13">
        <f t="shared" si="54"/>
        <v>893880359369.88464</v>
      </c>
      <c r="U46" s="13">
        <f t="shared" si="54"/>
        <v>3426157830998.3076</v>
      </c>
      <c r="V46" s="13">
        <f t="shared" si="54"/>
        <v>9388926629652.0937</v>
      </c>
      <c r="W46" s="13">
        <f t="shared" si="54"/>
        <v>20577639749132.82</v>
      </c>
      <c r="X46" s="13">
        <f t="shared" si="54"/>
        <v>38581607412224.367</v>
      </c>
      <c r="Y46" s="54">
        <f t="shared" si="54"/>
        <v>49240755292053.211</v>
      </c>
      <c r="Z46" s="13">
        <f t="shared" si="54"/>
        <v>64592169627780.648</v>
      </c>
      <c r="AA46" s="13">
        <f t="shared" si="54"/>
        <v>99356738871463.578</v>
      </c>
      <c r="AB46" s="13">
        <f t="shared" si="55"/>
        <v>143222389700099.16</v>
      </c>
      <c r="AC46" s="13">
        <f t="shared" si="51"/>
        <v>24768099911902.766</v>
      </c>
      <c r="AD46" s="13">
        <f t="shared" si="69"/>
        <v>37053181.06860856</v>
      </c>
      <c r="AE46" s="13">
        <f t="shared" si="70"/>
        <v>4081491210.4101448</v>
      </c>
      <c r="AF46" s="13">
        <f t="shared" si="71"/>
        <v>68551951912.220383</v>
      </c>
      <c r="AG46" s="13">
        <f t="shared" si="72"/>
        <v>449621820763.052</v>
      </c>
      <c r="AH46" s="13">
        <f t="shared" si="73"/>
        <v>1723357388992.1487</v>
      </c>
      <c r="AI46" s="13">
        <f t="shared" si="74"/>
        <v>4722630094715.0029</v>
      </c>
      <c r="AJ46" s="13">
        <f t="shared" si="75"/>
        <v>10350552793813.809</v>
      </c>
      <c r="AK46" s="13">
        <f t="shared" si="76"/>
        <v>19406548528348.855</v>
      </c>
      <c r="AL46" s="13">
        <f t="shared" si="77"/>
        <v>24768099911902.766</v>
      </c>
      <c r="AM46" s="13">
        <f t="shared" si="78"/>
        <v>32489861322773.668</v>
      </c>
      <c r="AN46" s="13">
        <f t="shared" si="79"/>
        <v>49976439652346.18</v>
      </c>
      <c r="AO46" s="13">
        <f t="shared" si="80"/>
        <v>72040862019149.875</v>
      </c>
      <c r="AP46" s="13">
        <f t="shared" si="81"/>
        <v>12458354255687.092</v>
      </c>
      <c r="AQ46" s="13">
        <f t="shared" si="52"/>
        <v>5.2069409012602897E-3</v>
      </c>
      <c r="AR46" s="13">
        <f t="shared" si="40"/>
        <v>9.5689003915291563E-3</v>
      </c>
      <c r="AS46" s="13">
        <f t="shared" si="41"/>
        <v>1.3251994516856177E-2</v>
      </c>
      <c r="AT46" s="13">
        <f t="shared" si="42"/>
        <v>1.6175132957551335E-2</v>
      </c>
      <c r="AU46" s="13">
        <f t="shared" si="43"/>
        <v>1.847788988781288E-2</v>
      </c>
      <c r="AV46" s="13">
        <f t="shared" si="44"/>
        <v>2.0307128375283059E-2</v>
      </c>
      <c r="AW46" s="13">
        <f t="shared" si="45"/>
        <v>2.1778507027807183E-2</v>
      </c>
      <c r="AX46" s="13">
        <f t="shared" si="46"/>
        <v>2.344548225927124E-2</v>
      </c>
      <c r="AY46" s="13">
        <f t="shared" si="47"/>
        <v>2.3966592092159136E-2</v>
      </c>
      <c r="AZ46" s="13">
        <f t="shared" si="48"/>
        <v>2.4791873208351446E-2</v>
      </c>
      <c r="BA46" s="13">
        <f t="shared" si="56"/>
        <v>2.5487658231631512E-2</v>
      </c>
      <c r="BB46" s="13">
        <f t="shared" si="57"/>
        <v>1.6211591180084087E-2</v>
      </c>
    </row>
    <row r="47" spans="1:54">
      <c r="A47">
        <f>data0!A45</f>
        <v>515</v>
      </c>
      <c r="B47" s="13">
        <v>0.60819999999999996</v>
      </c>
      <c r="C47" t="e">
        <f ca="1">(Calculations!C46-C$2)/C$1</f>
        <v>#DIV/0!</v>
      </c>
      <c r="D47" s="13" t="e">
        <f t="shared" ca="1" si="58"/>
        <v>#DIV/0!</v>
      </c>
      <c r="E47" s="13" t="e">
        <f t="shared" ca="1" si="59"/>
        <v>#DIV/0!</v>
      </c>
      <c r="F47" s="13" t="e">
        <f t="shared" ca="1" si="60"/>
        <v>#DIV/0!</v>
      </c>
      <c r="G47" s="13" t="e">
        <f t="shared" ca="1" si="61"/>
        <v>#DIV/0!</v>
      </c>
      <c r="H47" s="13" t="e">
        <f t="shared" ca="1" si="62"/>
        <v>#DIV/0!</v>
      </c>
      <c r="I47" s="13" t="e">
        <f t="shared" ca="1" si="63"/>
        <v>#DIV/0!</v>
      </c>
      <c r="J47" s="13" t="e">
        <f t="shared" ca="1" si="64"/>
        <v>#DIV/0!</v>
      </c>
      <c r="K47" s="13" t="e">
        <f t="shared" ca="1" si="21"/>
        <v>#DIV/0!</v>
      </c>
      <c r="L47" s="13" t="e">
        <f t="shared" ca="1" si="22"/>
        <v>#DIV/0!</v>
      </c>
      <c r="M47" s="13" t="e">
        <f t="shared" ca="1" si="65"/>
        <v>#DIV/0!</v>
      </c>
      <c r="N47" s="13" t="e">
        <f t="shared" ca="1" si="66"/>
        <v>#DIV/0!</v>
      </c>
      <c r="O47" s="13" t="e">
        <f t="shared" ca="1" si="67"/>
        <v>#DIV/0!</v>
      </c>
      <c r="P47" s="13" t="e">
        <f t="shared" ca="1" si="68"/>
        <v>#DIV/0!</v>
      </c>
      <c r="Q47" s="13">
        <f t="shared" si="54"/>
        <v>84211799.990540519</v>
      </c>
      <c r="R47" s="13">
        <f t="shared" si="54"/>
        <v>8862192698.9600658</v>
      </c>
      <c r="S47" s="13">
        <f t="shared" si="54"/>
        <v>144826364109.17841</v>
      </c>
      <c r="T47" s="13">
        <f t="shared" si="54"/>
        <v>932712726429.03577</v>
      </c>
      <c r="U47" s="13">
        <f t="shared" si="54"/>
        <v>3528736939141.1084</v>
      </c>
      <c r="V47" s="13">
        <f t="shared" si="54"/>
        <v>9576241528153.6523</v>
      </c>
      <c r="W47" s="13">
        <f t="shared" si="54"/>
        <v>20830302591156.621</v>
      </c>
      <c r="X47" s="13">
        <f t="shared" si="54"/>
        <v>38821496046076.383</v>
      </c>
      <c r="Y47" s="54">
        <f t="shared" si="54"/>
        <v>49432358121201.055</v>
      </c>
      <c r="Z47" s="13">
        <f t="shared" si="54"/>
        <v>64677640030080.055</v>
      </c>
      <c r="AA47" s="13">
        <f t="shared" si="54"/>
        <v>99088468694533.156</v>
      </c>
      <c r="AB47" s="13">
        <f t="shared" si="55"/>
        <v>142354999628257.53</v>
      </c>
      <c r="AC47" s="13">
        <f t="shared" si="51"/>
        <v>30064760209314.48</v>
      </c>
      <c r="AD47" s="13">
        <f t="shared" si="69"/>
        <v>51217616.754246742</v>
      </c>
      <c r="AE47" s="13">
        <f t="shared" si="70"/>
        <v>5389985599.5075121</v>
      </c>
      <c r="AF47" s="13">
        <f t="shared" si="71"/>
        <v>88083394651.202301</v>
      </c>
      <c r="AG47" s="13">
        <f t="shared" si="72"/>
        <v>567275880214.13953</v>
      </c>
      <c r="AH47" s="13">
        <f t="shared" si="73"/>
        <v>2146177806385.6221</v>
      </c>
      <c r="AI47" s="13">
        <f t="shared" si="74"/>
        <v>5824270097423.0508</v>
      </c>
      <c r="AJ47" s="13">
        <f t="shared" si="75"/>
        <v>12668990035941.457</v>
      </c>
      <c r="AK47" s="13">
        <f t="shared" si="76"/>
        <v>23611233895223.656</v>
      </c>
      <c r="AL47" s="13">
        <f t="shared" si="77"/>
        <v>30064760209314.48</v>
      </c>
      <c r="AM47" s="13">
        <f t="shared" si="78"/>
        <v>39336940666294.687</v>
      </c>
      <c r="AN47" s="13">
        <f t="shared" si="79"/>
        <v>60265606660015.062</v>
      </c>
      <c r="AO47" s="13">
        <f t="shared" si="80"/>
        <v>86580310773906.219</v>
      </c>
      <c r="AP47" s="13">
        <f t="shared" si="81"/>
        <v>18285387159305.066</v>
      </c>
      <c r="AQ47" s="13">
        <f t="shared" si="52"/>
        <v>7.1974145228977078E-3</v>
      </c>
      <c r="AR47" s="13">
        <f t="shared" si="40"/>
        <v>1.2636615554117808E-2</v>
      </c>
      <c r="AS47" s="13">
        <f t="shared" si="41"/>
        <v>1.7027679451614954E-2</v>
      </c>
      <c r="AT47" s="13">
        <f t="shared" si="42"/>
        <v>2.0407734594605549E-2</v>
      </c>
      <c r="AU47" s="13">
        <f t="shared" si="43"/>
        <v>2.3011383152076986E-2</v>
      </c>
      <c r="AV47" s="13">
        <f t="shared" si="44"/>
        <v>2.5044138157898594E-2</v>
      </c>
      <c r="AW47" s="13">
        <f t="shared" si="45"/>
        <v>2.665671042206303E-2</v>
      </c>
      <c r="AX47" s="13">
        <f t="shared" si="46"/>
        <v>2.8459300657858788E-2</v>
      </c>
      <c r="AY47" s="13">
        <f t="shared" si="47"/>
        <v>2.9017434138499016E-2</v>
      </c>
      <c r="AZ47" s="13">
        <f t="shared" si="48"/>
        <v>2.9896032801314858E-2</v>
      </c>
      <c r="BA47" s="13">
        <f t="shared" si="56"/>
        <v>3.0631634724292631E-2</v>
      </c>
      <c r="BB47" s="13">
        <f t="shared" si="57"/>
        <v>2.3794091507784318E-2</v>
      </c>
    </row>
    <row r="48" spans="1:54">
      <c r="A48">
        <f>data0!A46</f>
        <v>520</v>
      </c>
      <c r="B48" s="13">
        <v>0.71</v>
      </c>
      <c r="C48" t="e">
        <f ca="1">(Calculations!C47-C$2)/C$1</f>
        <v>#DIV/0!</v>
      </c>
      <c r="D48" s="13" t="e">
        <f t="shared" ca="1" si="58"/>
        <v>#DIV/0!</v>
      </c>
      <c r="E48" s="13" t="e">
        <f t="shared" ca="1" si="59"/>
        <v>#DIV/0!</v>
      </c>
      <c r="F48" s="13" t="e">
        <f t="shared" ca="1" si="60"/>
        <v>#DIV/0!</v>
      </c>
      <c r="G48" s="13" t="e">
        <f t="shared" ca="1" si="61"/>
        <v>#DIV/0!</v>
      </c>
      <c r="H48" s="13" t="e">
        <f t="shared" ca="1" si="62"/>
        <v>#DIV/0!</v>
      </c>
      <c r="I48" s="13" t="e">
        <f t="shared" ca="1" si="63"/>
        <v>#DIV/0!</v>
      </c>
      <c r="J48" s="13" t="e">
        <f t="shared" ca="1" si="64"/>
        <v>#DIV/0!</v>
      </c>
      <c r="K48" s="13" t="e">
        <f t="shared" ca="1" si="21"/>
        <v>#DIV/0!</v>
      </c>
      <c r="L48" s="13" t="e">
        <f t="shared" ca="1" si="22"/>
        <v>#DIV/0!</v>
      </c>
      <c r="M48" s="13" t="e">
        <f t="shared" ca="1" si="65"/>
        <v>#DIV/0!</v>
      </c>
      <c r="N48" s="13" t="e">
        <f t="shared" ca="1" si="66"/>
        <v>#DIV/0!</v>
      </c>
      <c r="O48" s="13" t="e">
        <f t="shared" ca="1" si="67"/>
        <v>#DIV/0!</v>
      </c>
      <c r="P48" s="13" t="e">
        <f t="shared" ca="1" si="68"/>
        <v>#DIV/0!</v>
      </c>
      <c r="Q48" s="13">
        <f t="shared" si="54"/>
        <v>95977197.675204605</v>
      </c>
      <c r="R48" s="13">
        <f t="shared" si="54"/>
        <v>9658116397.9950142</v>
      </c>
      <c r="S48" s="13">
        <f t="shared" si="54"/>
        <v>153650209932.09756</v>
      </c>
      <c r="T48" s="13">
        <f t="shared" si="54"/>
        <v>971983397910.24976</v>
      </c>
      <c r="U48" s="13">
        <f t="shared" si="54"/>
        <v>3630638298515.4834</v>
      </c>
      <c r="V48" s="13">
        <f t="shared" si="54"/>
        <v>9759068619018.1289</v>
      </c>
      <c r="W48" s="13">
        <f t="shared" si="54"/>
        <v>21071435103184.891</v>
      </c>
      <c r="X48" s="13">
        <f t="shared" si="54"/>
        <v>39040422355560.484</v>
      </c>
      <c r="Y48" s="54">
        <f t="shared" si="54"/>
        <v>49598480620174.758</v>
      </c>
      <c r="Z48" s="13">
        <f t="shared" si="54"/>
        <v>64732337119950.445</v>
      </c>
      <c r="AA48" s="13">
        <f t="shared" si="54"/>
        <v>98781878876545.937</v>
      </c>
      <c r="AB48" s="13">
        <f t="shared" si="55"/>
        <v>141446763632771.91</v>
      </c>
      <c r="AC48" s="13">
        <f t="shared" si="51"/>
        <v>35214921240324.078</v>
      </c>
      <c r="AD48" s="13">
        <f t="shared" si="69"/>
        <v>68143810.34939526</v>
      </c>
      <c r="AE48" s="13">
        <f t="shared" si="70"/>
        <v>6857262642.5764599</v>
      </c>
      <c r="AF48" s="13">
        <f t="shared" si="71"/>
        <v>109091649051.78926</v>
      </c>
      <c r="AG48" s="13">
        <f t="shared" si="72"/>
        <v>690108212516.27734</v>
      </c>
      <c r="AH48" s="13">
        <f t="shared" si="73"/>
        <v>2577753191945.9932</v>
      </c>
      <c r="AI48" s="13">
        <f t="shared" si="74"/>
        <v>6928938719502.8711</v>
      </c>
      <c r="AJ48" s="13">
        <f t="shared" si="75"/>
        <v>14960718923261.271</v>
      </c>
      <c r="AK48" s="13">
        <f t="shared" si="76"/>
        <v>27718699872447.941</v>
      </c>
      <c r="AL48" s="13">
        <f t="shared" si="77"/>
        <v>35214921240324.078</v>
      </c>
      <c r="AM48" s="13">
        <f t="shared" si="78"/>
        <v>45959959355164.812</v>
      </c>
      <c r="AN48" s="13">
        <f t="shared" si="79"/>
        <v>70135134002347.609</v>
      </c>
      <c r="AO48" s="13">
        <f t="shared" si="80"/>
        <v>100427202179268.05</v>
      </c>
      <c r="AP48" s="13">
        <f t="shared" si="81"/>
        <v>25002594080630.094</v>
      </c>
      <c r="AQ48" s="13">
        <f t="shared" si="52"/>
        <v>9.5759873523138476E-3</v>
      </c>
      <c r="AR48" s="13">
        <f t="shared" si="40"/>
        <v>1.6076590589735564E-2</v>
      </c>
      <c r="AS48" s="13">
        <f t="shared" si="41"/>
        <v>2.108885151687994E-2</v>
      </c>
      <c r="AT48" s="13">
        <f t="shared" si="42"/>
        <v>2.4826624458761527E-2</v>
      </c>
      <c r="AU48" s="13">
        <f t="shared" si="43"/>
        <v>2.7638747449008232E-2</v>
      </c>
      <c r="AV48" s="13">
        <f t="shared" si="44"/>
        <v>2.9794170887717061E-2</v>
      </c>
      <c r="AW48" s="13">
        <f t="shared" si="45"/>
        <v>3.1478717002054894E-2</v>
      </c>
      <c r="AX48" s="13">
        <f t="shared" si="46"/>
        <v>3.3334442857478948E-2</v>
      </c>
      <c r="AY48" s="13">
        <f t="shared" si="47"/>
        <v>3.3902994767950972E-2</v>
      </c>
      <c r="AZ48" s="13">
        <f t="shared" si="48"/>
        <v>3.4792021235056342E-2</v>
      </c>
      <c r="BA48" s="13">
        <f t="shared" si="56"/>
        <v>3.5530588260086857E-2</v>
      </c>
      <c r="BB48" s="13">
        <f t="shared" si="57"/>
        <v>3.2534942044350382E-2</v>
      </c>
    </row>
    <row r="49" spans="1:54">
      <c r="A49">
        <f>data0!A47</f>
        <v>525</v>
      </c>
      <c r="B49" s="13">
        <v>0.79320000000000002</v>
      </c>
      <c r="C49" t="e">
        <f ca="1">(Calculations!C48-C$2)/C$1</f>
        <v>#DIV/0!</v>
      </c>
      <c r="D49" s="13" t="e">
        <f t="shared" ca="1" si="58"/>
        <v>#DIV/0!</v>
      </c>
      <c r="E49" s="13" t="e">
        <f t="shared" ca="1" si="59"/>
        <v>#DIV/0!</v>
      </c>
      <c r="F49" s="13" t="e">
        <f t="shared" ca="1" si="60"/>
        <v>#DIV/0!</v>
      </c>
      <c r="G49" s="13" t="e">
        <f t="shared" ca="1" si="61"/>
        <v>#DIV/0!</v>
      </c>
      <c r="H49" s="13" t="e">
        <f t="shared" ca="1" si="62"/>
        <v>#DIV/0!</v>
      </c>
      <c r="I49" s="13" t="e">
        <f t="shared" ca="1" si="63"/>
        <v>#DIV/0!</v>
      </c>
      <c r="J49" s="13" t="e">
        <f t="shared" ca="1" si="64"/>
        <v>#DIV/0!</v>
      </c>
      <c r="K49" s="13" t="e">
        <f t="shared" ca="1" si="21"/>
        <v>#DIV/0!</v>
      </c>
      <c r="L49" s="13" t="e">
        <f t="shared" ca="1" si="22"/>
        <v>#DIV/0!</v>
      </c>
      <c r="M49" s="13" t="e">
        <f t="shared" ca="1" si="65"/>
        <v>#DIV/0!</v>
      </c>
      <c r="N49" s="13" t="e">
        <f t="shared" ca="1" si="66"/>
        <v>#DIV/0!</v>
      </c>
      <c r="O49" s="13" t="e">
        <f t="shared" ca="1" si="67"/>
        <v>#DIV/0!</v>
      </c>
      <c r="P49" s="13" t="e">
        <f t="shared" ca="1" si="68"/>
        <v>#DIV/0!</v>
      </c>
      <c r="Q49" s="13">
        <f t="shared" si="54"/>
        <v>109064274.03675312</v>
      </c>
      <c r="R49" s="13">
        <f t="shared" si="54"/>
        <v>10503484056.02846</v>
      </c>
      <c r="S49" s="13">
        <f t="shared" si="54"/>
        <v>162753621192.55954</v>
      </c>
      <c r="T49" s="13">
        <f t="shared" si="54"/>
        <v>1011649587760.0201</v>
      </c>
      <c r="U49" s="13">
        <f t="shared" si="54"/>
        <v>3731756069586.6807</v>
      </c>
      <c r="V49" s="13">
        <f t="shared" si="54"/>
        <v>9937296356194.7012</v>
      </c>
      <c r="W49" s="13">
        <f t="shared" si="54"/>
        <v>21301089203740.523</v>
      </c>
      <c r="X49" s="13">
        <f t="shared" si="54"/>
        <v>39238845665912.172</v>
      </c>
      <c r="Y49" s="54">
        <f t="shared" si="54"/>
        <v>49739848306186.883</v>
      </c>
      <c r="Z49" s="13">
        <f t="shared" si="54"/>
        <v>64757373297570.352</v>
      </c>
      <c r="AA49" s="13">
        <f t="shared" si="54"/>
        <v>98438911047912.437</v>
      </c>
      <c r="AB49" s="13">
        <f t="shared" si="55"/>
        <v>140500510520574.75</v>
      </c>
      <c r="AC49" s="13">
        <f t="shared" si="51"/>
        <v>39453647676467.437</v>
      </c>
      <c r="AD49" s="13">
        <f t="shared" si="69"/>
        <v>86509782.165952578</v>
      </c>
      <c r="AE49" s="13">
        <f t="shared" si="70"/>
        <v>8331363553.2417746</v>
      </c>
      <c r="AF49" s="13">
        <f t="shared" si="71"/>
        <v>129096172329.93823</v>
      </c>
      <c r="AG49" s="13">
        <f t="shared" si="72"/>
        <v>802440453011.24805</v>
      </c>
      <c r="AH49" s="13">
        <f t="shared" si="73"/>
        <v>2960028914396.1553</v>
      </c>
      <c r="AI49" s="13">
        <f t="shared" si="74"/>
        <v>7882263469733.6367</v>
      </c>
      <c r="AJ49" s="13">
        <f t="shared" si="75"/>
        <v>16896023956406.984</v>
      </c>
      <c r="AK49" s="13">
        <f t="shared" si="76"/>
        <v>31124252382201.535</v>
      </c>
      <c r="AL49" s="13">
        <f t="shared" si="77"/>
        <v>39453647676467.437</v>
      </c>
      <c r="AM49" s="13">
        <f t="shared" si="78"/>
        <v>51365548499632.805</v>
      </c>
      <c r="AN49" s="13">
        <f t="shared" si="79"/>
        <v>78081744243204.141</v>
      </c>
      <c r="AO49" s="13">
        <f t="shared" si="80"/>
        <v>111445004944919.89</v>
      </c>
      <c r="AP49" s="13">
        <f t="shared" si="81"/>
        <v>31294633336973.973</v>
      </c>
      <c r="AQ49" s="13">
        <f t="shared" si="52"/>
        <v>1.215688667283249E-2</v>
      </c>
      <c r="AR49" s="13">
        <f t="shared" si="40"/>
        <v>1.9532563922531585E-2</v>
      </c>
      <c r="AS49" s="13">
        <f t="shared" si="41"/>
        <v>2.4955989146072582E-2</v>
      </c>
      <c r="AT49" s="13">
        <f t="shared" si="42"/>
        <v>2.8867773801429499E-2</v>
      </c>
      <c r="AU49" s="13">
        <f t="shared" si="43"/>
        <v>3.1737519271577877E-2</v>
      </c>
      <c r="AV49" s="13">
        <f t="shared" si="44"/>
        <v>3.3893430770030389E-2</v>
      </c>
      <c r="AW49" s="13">
        <f t="shared" si="45"/>
        <v>3.5550775287724913E-2</v>
      </c>
      <c r="AX49" s="13">
        <f t="shared" si="46"/>
        <v>3.7346821110715273E-2</v>
      </c>
      <c r="AY49" s="13">
        <f t="shared" si="47"/>
        <v>3.7890501786100594E-2</v>
      </c>
      <c r="AZ49" s="13">
        <f t="shared" si="48"/>
        <v>3.8734105843283399E-2</v>
      </c>
      <c r="BA49" s="13">
        <f t="shared" si="56"/>
        <v>3.942862589433687E-2</v>
      </c>
      <c r="BB49" s="13">
        <f t="shared" si="57"/>
        <v>4.0722537774847738E-2</v>
      </c>
    </row>
    <row r="50" spans="1:54">
      <c r="A50">
        <f>data0!A48</f>
        <v>530</v>
      </c>
      <c r="B50" s="13">
        <v>0.86199999999999999</v>
      </c>
      <c r="C50" t="e">
        <f ca="1">(Calculations!C49-C$2)/C$1</f>
        <v>#DIV/0!</v>
      </c>
      <c r="D50" s="13" t="e">
        <f t="shared" ca="1" si="58"/>
        <v>#DIV/0!</v>
      </c>
      <c r="E50" s="13" t="e">
        <f t="shared" ca="1" si="59"/>
        <v>#DIV/0!</v>
      </c>
      <c r="F50" s="13" t="e">
        <f t="shared" ca="1" si="60"/>
        <v>#DIV/0!</v>
      </c>
      <c r="G50" s="13" t="e">
        <f t="shared" ca="1" si="61"/>
        <v>#DIV/0!</v>
      </c>
      <c r="H50" s="13" t="e">
        <f t="shared" ca="1" si="62"/>
        <v>#DIV/0!</v>
      </c>
      <c r="I50" s="13" t="e">
        <f t="shared" ca="1" si="63"/>
        <v>#DIV/0!</v>
      </c>
      <c r="J50" s="13" t="e">
        <f t="shared" ca="1" si="64"/>
        <v>#DIV/0!</v>
      </c>
      <c r="K50" s="13" t="e">
        <f t="shared" ca="1" si="21"/>
        <v>#DIV/0!</v>
      </c>
      <c r="L50" s="13" t="e">
        <f t="shared" ca="1" si="22"/>
        <v>#DIV/0!</v>
      </c>
      <c r="M50" s="13" t="e">
        <f t="shared" ca="1" si="65"/>
        <v>#DIV/0!</v>
      </c>
      <c r="N50" s="13" t="e">
        <f t="shared" ca="1" si="66"/>
        <v>#DIV/0!</v>
      </c>
      <c r="O50" s="13" t="e">
        <f t="shared" ca="1" si="67"/>
        <v>#DIV/0!</v>
      </c>
      <c r="P50" s="13" t="e">
        <f t="shared" ca="1" si="68"/>
        <v>#DIV/0!</v>
      </c>
      <c r="Q50" s="13">
        <f t="shared" si="54"/>
        <v>123581770.95411034</v>
      </c>
      <c r="R50" s="13">
        <f t="shared" si="54"/>
        <v>11399653879.448437</v>
      </c>
      <c r="S50" s="13">
        <f t="shared" si="54"/>
        <v>172131950128.99115</v>
      </c>
      <c r="T50" s="13">
        <f t="shared" si="54"/>
        <v>1051668482158.2163</v>
      </c>
      <c r="U50" s="13">
        <f t="shared" si="54"/>
        <v>3831989055883.3442</v>
      </c>
      <c r="V50" s="13">
        <f t="shared" si="54"/>
        <v>10110826334102.732</v>
      </c>
      <c r="W50" s="13">
        <f t="shared" si="54"/>
        <v>21519336282750.645</v>
      </c>
      <c r="X50" s="13">
        <f t="shared" si="54"/>
        <v>39417240375251.758</v>
      </c>
      <c r="Y50" s="54">
        <f t="shared" si="54"/>
        <v>49857194331421.57</v>
      </c>
      <c r="Z50" s="13">
        <f t="shared" si="54"/>
        <v>64753854098685.07</v>
      </c>
      <c r="AA50" s="13">
        <f t="shared" si="54"/>
        <v>98061457962338.828</v>
      </c>
      <c r="AB50" s="13">
        <f t="shared" si="55"/>
        <v>139518960192259.16</v>
      </c>
      <c r="AC50" s="13">
        <f t="shared" si="51"/>
        <v>42976901513685.391</v>
      </c>
      <c r="AD50" s="13">
        <f t="shared" si="69"/>
        <v>106527486.56244311</v>
      </c>
      <c r="AE50" s="13">
        <f t="shared" si="70"/>
        <v>9826501644.0845528</v>
      </c>
      <c r="AF50" s="13">
        <f t="shared" si="71"/>
        <v>148377741011.19037</v>
      </c>
      <c r="AG50" s="13">
        <f t="shared" si="72"/>
        <v>906538231620.38245</v>
      </c>
      <c r="AH50" s="13">
        <f t="shared" si="73"/>
        <v>3303174566171.4429</v>
      </c>
      <c r="AI50" s="13">
        <f t="shared" si="74"/>
        <v>8715532299996.5557</v>
      </c>
      <c r="AJ50" s="13">
        <f t="shared" si="75"/>
        <v>18549667875731.055</v>
      </c>
      <c r="AK50" s="13">
        <f t="shared" si="76"/>
        <v>33977661203467.016</v>
      </c>
      <c r="AL50" s="13">
        <f t="shared" si="77"/>
        <v>42976901513685.391</v>
      </c>
      <c r="AM50" s="13">
        <f t="shared" si="78"/>
        <v>55817822233066.531</v>
      </c>
      <c r="AN50" s="13">
        <f t="shared" si="79"/>
        <v>84528976763536.062</v>
      </c>
      <c r="AO50" s="13">
        <f t="shared" si="80"/>
        <v>120265343685727.39</v>
      </c>
      <c r="AP50" s="13">
        <f t="shared" si="81"/>
        <v>37046089104796.805</v>
      </c>
      <c r="AQ50" s="13">
        <f t="shared" si="52"/>
        <v>1.4969897614549688E-2</v>
      </c>
      <c r="AR50" s="13">
        <f t="shared" si="40"/>
        <v>2.3037858121466769E-2</v>
      </c>
      <c r="AS50" s="13">
        <f t="shared" si="41"/>
        <v>2.8683370136879778E-2</v>
      </c>
      <c r="AT50" s="13">
        <f t="shared" si="42"/>
        <v>3.2612688598337991E-2</v>
      </c>
      <c r="AU50" s="13">
        <f t="shared" si="43"/>
        <v>3.541673729651329E-2</v>
      </c>
      <c r="AV50" s="13">
        <f t="shared" si="44"/>
        <v>3.7476454798570612E-2</v>
      </c>
      <c r="AW50" s="13">
        <f t="shared" si="45"/>
        <v>3.9030192902986413E-2</v>
      </c>
      <c r="AX50" s="13">
        <f t="shared" si="46"/>
        <v>4.0681933034085127E-2</v>
      </c>
      <c r="AY50" s="13">
        <f t="shared" si="47"/>
        <v>4.117478260810107E-2</v>
      </c>
      <c r="AZ50" s="13">
        <f t="shared" si="48"/>
        <v>4.1932392321886634E-2</v>
      </c>
      <c r="BA50" s="13">
        <f t="shared" si="56"/>
        <v>4.2549212919699805E-2</v>
      </c>
      <c r="BB50" s="13">
        <f t="shared" si="57"/>
        <v>4.8206692397896551E-2</v>
      </c>
    </row>
    <row r="51" spans="1:54">
      <c r="A51">
        <f>data0!A49</f>
        <v>535</v>
      </c>
      <c r="B51" s="13">
        <v>0.91485000000000005</v>
      </c>
      <c r="C51" t="e">
        <f ca="1">(Calculations!C50-C$2)/C$1</f>
        <v>#DIV/0!</v>
      </c>
      <c r="D51" s="13" t="e">
        <f t="shared" ca="1" si="58"/>
        <v>#DIV/0!</v>
      </c>
      <c r="E51" s="13" t="e">
        <f t="shared" ca="1" si="59"/>
        <v>#DIV/0!</v>
      </c>
      <c r="F51" s="13" t="e">
        <f t="shared" ca="1" si="60"/>
        <v>#DIV/0!</v>
      </c>
      <c r="G51" s="13" t="e">
        <f t="shared" ca="1" si="61"/>
        <v>#DIV/0!</v>
      </c>
      <c r="H51" s="13" t="e">
        <f t="shared" ca="1" si="62"/>
        <v>#DIV/0!</v>
      </c>
      <c r="I51" s="13" t="e">
        <f t="shared" ca="1" si="63"/>
        <v>#DIV/0!</v>
      </c>
      <c r="J51" s="13" t="e">
        <f t="shared" ca="1" si="64"/>
        <v>#DIV/0!</v>
      </c>
      <c r="K51" s="13" t="e">
        <f t="shared" ca="1" si="21"/>
        <v>#DIV/0!</v>
      </c>
      <c r="L51" s="13" t="e">
        <f t="shared" ca="1" si="22"/>
        <v>#DIV/0!</v>
      </c>
      <c r="M51" s="13" t="e">
        <f t="shared" ca="1" si="65"/>
        <v>#DIV/0!</v>
      </c>
      <c r="N51" s="13" t="e">
        <f t="shared" ca="1" si="66"/>
        <v>#DIV/0!</v>
      </c>
      <c r="O51" s="13" t="e">
        <f t="shared" ca="1" si="67"/>
        <v>#DIV/0!</v>
      </c>
      <c r="P51" s="13" t="e">
        <f t="shared" ca="1" si="68"/>
        <v>#DIV/0!</v>
      </c>
      <c r="Q51" s="13">
        <f t="shared" si="54"/>
        <v>139643405.40470085</v>
      </c>
      <c r="R51" s="13">
        <f t="shared" si="54"/>
        <v>12347921542.015114</v>
      </c>
      <c r="S51" s="13">
        <f t="shared" si="54"/>
        <v>181780027981.92813</v>
      </c>
      <c r="T51" s="13">
        <f t="shared" si="54"/>
        <v>1091997364094.3801</v>
      </c>
      <c r="U51" s="13">
        <f t="shared" si="54"/>
        <v>3931240771232.6689</v>
      </c>
      <c r="V51" s="13">
        <f t="shared" si="54"/>
        <v>10279572817341.734</v>
      </c>
      <c r="W51" s="13">
        <f t="shared" si="54"/>
        <v>21726265744623.535</v>
      </c>
      <c r="X51" s="13">
        <f t="shared" si="54"/>
        <v>39576093544418.242</v>
      </c>
      <c r="Y51" s="54">
        <f t="shared" si="54"/>
        <v>49951256839188.023</v>
      </c>
      <c r="Z51" s="13">
        <f t="shared" si="54"/>
        <v>64722875554233.469</v>
      </c>
      <c r="AA51" s="13">
        <f t="shared" si="54"/>
        <v>97651361944204.078</v>
      </c>
      <c r="AB51" s="13">
        <f t="shared" si="55"/>
        <v>138504724811707.31</v>
      </c>
      <c r="AC51" s="13">
        <f t="shared" si="51"/>
        <v>45697907319331.164</v>
      </c>
      <c r="AD51" s="13">
        <f t="shared" si="69"/>
        <v>127752769.43449058</v>
      </c>
      <c r="AE51" s="13">
        <f t="shared" si="70"/>
        <v>11296496022.712528</v>
      </c>
      <c r="AF51" s="13">
        <f t="shared" si="71"/>
        <v>166301458599.26697</v>
      </c>
      <c r="AG51" s="13">
        <f t="shared" si="72"/>
        <v>999013788541.74377</v>
      </c>
      <c r="AH51" s="13">
        <f t="shared" si="73"/>
        <v>3596495619562.2075</v>
      </c>
      <c r="AI51" s="13">
        <f t="shared" si="74"/>
        <v>9404267191945.0859</v>
      </c>
      <c r="AJ51" s="13">
        <f t="shared" si="75"/>
        <v>19876274216468.844</v>
      </c>
      <c r="AK51" s="13">
        <f t="shared" si="76"/>
        <v>36206189179111.031</v>
      </c>
      <c r="AL51" s="13">
        <f t="shared" si="77"/>
        <v>45697907319331.164</v>
      </c>
      <c r="AM51" s="13">
        <f t="shared" si="78"/>
        <v>59211722700790.492</v>
      </c>
      <c r="AN51" s="13">
        <f t="shared" si="79"/>
        <v>89336348474655.109</v>
      </c>
      <c r="AO51" s="13">
        <f t="shared" si="80"/>
        <v>126711047493990.44</v>
      </c>
      <c r="AP51" s="13">
        <f t="shared" si="81"/>
        <v>41806730511090.117</v>
      </c>
      <c r="AQ51" s="13">
        <f t="shared" si="52"/>
        <v>1.7952604910925787E-2</v>
      </c>
      <c r="AR51" s="13">
        <f t="shared" si="40"/>
        <v>2.6484203846608094E-2</v>
      </c>
      <c r="AS51" s="13">
        <f t="shared" si="41"/>
        <v>3.2148260640698201E-2</v>
      </c>
      <c r="AT51" s="13">
        <f t="shared" si="42"/>
        <v>3.5939494281363116E-2</v>
      </c>
      <c r="AU51" s="13">
        <f t="shared" si="43"/>
        <v>3.8561734475247945E-2</v>
      </c>
      <c r="AV51" s="13">
        <f t="shared" si="44"/>
        <v>4.0437988432760426E-2</v>
      </c>
      <c r="AW51" s="13">
        <f t="shared" si="45"/>
        <v>4.1821493627732152E-2</v>
      </c>
      <c r="AX51" s="13">
        <f t="shared" si="46"/>
        <v>4.3257637006959691E-2</v>
      </c>
      <c r="AY51" s="13">
        <f t="shared" si="47"/>
        <v>4.3678339865648154E-2</v>
      </c>
      <c r="AZ51" s="13">
        <f t="shared" si="48"/>
        <v>4.4317191054180555E-2</v>
      </c>
      <c r="BA51" s="13">
        <f t="shared" si="56"/>
        <v>4.4829667249683583E-2</v>
      </c>
      <c r="BB51" s="13">
        <f t="shared" si="57"/>
        <v>5.4401537290718338E-2</v>
      </c>
    </row>
    <row r="52" spans="1:54">
      <c r="A52">
        <f>data0!A50</f>
        <v>540</v>
      </c>
      <c r="B52" s="13">
        <v>0.95399999999999996</v>
      </c>
      <c r="C52" t="e">
        <f ca="1">(Calculations!C51-C$2)/C$1</f>
        <v>#DIV/0!</v>
      </c>
      <c r="D52" s="13" t="e">
        <f t="shared" ca="1" si="58"/>
        <v>#DIV/0!</v>
      </c>
      <c r="E52" s="13" t="e">
        <f t="shared" ca="1" si="59"/>
        <v>#DIV/0!</v>
      </c>
      <c r="F52" s="13" t="e">
        <f t="shared" ca="1" si="60"/>
        <v>#DIV/0!</v>
      </c>
      <c r="G52" s="13" t="e">
        <f t="shared" ca="1" si="61"/>
        <v>#DIV/0!</v>
      </c>
      <c r="H52" s="13" t="e">
        <f t="shared" ca="1" si="62"/>
        <v>#DIV/0!</v>
      </c>
      <c r="I52" s="13" t="e">
        <f t="shared" ca="1" si="63"/>
        <v>#DIV/0!</v>
      </c>
      <c r="J52" s="13" t="e">
        <f t="shared" ca="1" si="64"/>
        <v>#DIV/0!</v>
      </c>
      <c r="K52" s="13" t="e">
        <f t="shared" ca="1" si="21"/>
        <v>#DIV/0!</v>
      </c>
      <c r="L52" s="13" t="e">
        <f t="shared" ca="1" si="22"/>
        <v>#DIV/0!</v>
      </c>
      <c r="M52" s="13" t="e">
        <f t="shared" ca="1" si="65"/>
        <v>#DIV/0!</v>
      </c>
      <c r="N52" s="13" t="e">
        <f t="shared" ca="1" si="66"/>
        <v>#DIV/0!</v>
      </c>
      <c r="O52" s="13" t="e">
        <f t="shared" ca="1" si="67"/>
        <v>#DIV/0!</v>
      </c>
      <c r="P52" s="13" t="e">
        <f t="shared" ca="1" si="68"/>
        <v>#DIV/0!</v>
      </c>
      <c r="Q52" s="13">
        <f t="shared" ref="Q52:AA67" si="82">(3.7418E-16/POWER($A52*0.000000001,5))/(EXP(0.0143877/($A52*Q$3/1000000000))-1)</f>
        <v>157367785.22895485</v>
      </c>
      <c r="R52" s="13">
        <f t="shared" si="82"/>
        <v>13349516071.495127</v>
      </c>
      <c r="S52" s="13">
        <f t="shared" si="82"/>
        <v>191692189969.71909</v>
      </c>
      <c r="T52" s="13">
        <f t="shared" si="82"/>
        <v>1132593730792.3223</v>
      </c>
      <c r="U52" s="13">
        <f t="shared" si="82"/>
        <v>4029419483869.6582</v>
      </c>
      <c r="V52" s="13">
        <f t="shared" si="82"/>
        <v>10443462255494.008</v>
      </c>
      <c r="W52" s="13">
        <f t="shared" si="82"/>
        <v>21921983599329.07</v>
      </c>
      <c r="X52" s="13">
        <f t="shared" si="82"/>
        <v>39715902647367.547</v>
      </c>
      <c r="Y52" s="54">
        <f t="shared" si="82"/>
        <v>50022776537056.016</v>
      </c>
      <c r="Z52" s="13">
        <f t="shared" si="82"/>
        <v>64665521830185.031</v>
      </c>
      <c r="AA52" s="13">
        <f t="shared" si="82"/>
        <v>97210413683339.469</v>
      </c>
      <c r="AB52" s="13">
        <f t="shared" si="55"/>
        <v>137460310284226.84</v>
      </c>
      <c r="AC52" s="13">
        <f t="shared" si="51"/>
        <v>47721728816351.437</v>
      </c>
      <c r="AD52" s="13">
        <f t="shared" si="69"/>
        <v>150128867.10842294</v>
      </c>
      <c r="AE52" s="13">
        <f t="shared" si="70"/>
        <v>12735438332.20635</v>
      </c>
      <c r="AF52" s="13">
        <f t="shared" si="71"/>
        <v>182874349231.112</v>
      </c>
      <c r="AG52" s="13">
        <f t="shared" si="72"/>
        <v>1080494419175.8754</v>
      </c>
      <c r="AH52" s="13">
        <f t="shared" si="73"/>
        <v>3844066187611.6538</v>
      </c>
      <c r="AI52" s="13">
        <f t="shared" si="74"/>
        <v>9963062991741.2832</v>
      </c>
      <c r="AJ52" s="13">
        <f t="shared" si="75"/>
        <v>20913572353759.934</v>
      </c>
      <c r="AK52" s="13">
        <f t="shared" si="76"/>
        <v>37888971125588.641</v>
      </c>
      <c r="AL52" s="13">
        <f t="shared" si="77"/>
        <v>47721728816351.437</v>
      </c>
      <c r="AM52" s="13">
        <f t="shared" si="78"/>
        <v>61690907825996.516</v>
      </c>
      <c r="AN52" s="13">
        <f t="shared" si="79"/>
        <v>92738734653905.844</v>
      </c>
      <c r="AO52" s="13">
        <f t="shared" si="80"/>
        <v>131137136011152.41</v>
      </c>
      <c r="AP52" s="13">
        <f t="shared" si="81"/>
        <v>45526529290799.266</v>
      </c>
      <c r="AQ52" s="13">
        <f t="shared" si="52"/>
        <v>2.1097031781408485E-2</v>
      </c>
      <c r="AR52" s="13">
        <f t="shared" si="40"/>
        <v>2.9857749180623318E-2</v>
      </c>
      <c r="AS52" s="13">
        <f t="shared" si="41"/>
        <v>3.535201851564379E-2</v>
      </c>
      <c r="AT52" s="13">
        <f t="shared" si="42"/>
        <v>3.8870757785735531E-2</v>
      </c>
      <c r="AU52" s="13">
        <f t="shared" si="43"/>
        <v>4.121619357067461E-2</v>
      </c>
      <c r="AV52" s="13">
        <f t="shared" si="44"/>
        <v>4.2840788951634255E-2</v>
      </c>
      <c r="AW52" s="13">
        <f t="shared" si="45"/>
        <v>4.4004063508099031E-2</v>
      </c>
      <c r="AX52" s="13">
        <f t="shared" si="46"/>
        <v>4.5173386344740663E-2</v>
      </c>
      <c r="AY52" s="13">
        <f t="shared" si="47"/>
        <v>4.5507144797330409E-2</v>
      </c>
      <c r="AZ52" s="13">
        <f t="shared" si="48"/>
        <v>4.6005016904693531E-2</v>
      </c>
      <c r="BA52" s="13">
        <f t="shared" si="56"/>
        <v>4.6395592868374622E-2</v>
      </c>
      <c r="BB52" s="13">
        <f t="shared" si="57"/>
        <v>5.9241972540124768E-2</v>
      </c>
    </row>
    <row r="53" spans="1:54">
      <c r="A53">
        <f>data0!A51</f>
        <v>545</v>
      </c>
      <c r="B53" s="13">
        <v>0.98029999999999995</v>
      </c>
      <c r="C53" t="e">
        <f ca="1">(Calculations!C52-C$2)/C$1</f>
        <v>#DIV/0!</v>
      </c>
      <c r="D53" s="13" t="e">
        <f t="shared" ca="1" si="58"/>
        <v>#DIV/0!</v>
      </c>
      <c r="E53" s="13" t="e">
        <f t="shared" ca="1" si="59"/>
        <v>#DIV/0!</v>
      </c>
      <c r="F53" s="13" t="e">
        <f t="shared" ca="1" si="60"/>
        <v>#DIV/0!</v>
      </c>
      <c r="G53" s="13" t="e">
        <f t="shared" ca="1" si="61"/>
        <v>#DIV/0!</v>
      </c>
      <c r="H53" s="13" t="e">
        <f t="shared" ca="1" si="62"/>
        <v>#DIV/0!</v>
      </c>
      <c r="I53" s="13" t="e">
        <f t="shared" ca="1" si="63"/>
        <v>#DIV/0!</v>
      </c>
      <c r="J53" s="13" t="e">
        <f t="shared" ca="1" si="64"/>
        <v>#DIV/0!</v>
      </c>
      <c r="K53" s="13" t="e">
        <f t="shared" ca="1" si="21"/>
        <v>#DIV/0!</v>
      </c>
      <c r="L53" s="13" t="e">
        <f t="shared" ca="1" si="22"/>
        <v>#DIV/0!</v>
      </c>
      <c r="M53" s="13" t="e">
        <f t="shared" ca="1" si="65"/>
        <v>#DIV/0!</v>
      </c>
      <c r="N53" s="13" t="e">
        <f t="shared" ca="1" si="66"/>
        <v>#DIV/0!</v>
      </c>
      <c r="O53" s="13" t="e">
        <f t="shared" ca="1" si="67"/>
        <v>#DIV/0!</v>
      </c>
      <c r="P53" s="13" t="e">
        <f t="shared" ca="1" si="68"/>
        <v>#DIV/0!</v>
      </c>
      <c r="Q53" s="13">
        <f t="shared" si="82"/>
        <v>176878302.53901702</v>
      </c>
      <c r="R53" s="13">
        <f t="shared" si="82"/>
        <v>14405596056.19146</v>
      </c>
      <c r="S53" s="13">
        <f t="shared" si="82"/>
        <v>201862301259.06412</v>
      </c>
      <c r="T53" s="13">
        <f t="shared" si="82"/>
        <v>1173415403887.6238</v>
      </c>
      <c r="U53" s="13">
        <f t="shared" si="82"/>
        <v>4126438239122.7476</v>
      </c>
      <c r="V53" s="13">
        <f t="shared" si="82"/>
        <v>10602432786902.053</v>
      </c>
      <c r="W53" s="13">
        <f t="shared" si="82"/>
        <v>22106611104023.289</v>
      </c>
      <c r="X53" s="13">
        <f t="shared" si="82"/>
        <v>39837173477029.648</v>
      </c>
      <c r="Y53" s="54">
        <f t="shared" si="82"/>
        <v>50072494476448.742</v>
      </c>
      <c r="Z53" s="13">
        <f t="shared" si="82"/>
        <v>64582863129334.141</v>
      </c>
      <c r="AA53" s="13">
        <f t="shared" si="82"/>
        <v>96740351344390.953</v>
      </c>
      <c r="AB53" s="13">
        <f t="shared" si="55"/>
        <v>136388117999908.08</v>
      </c>
      <c r="AC53" s="13">
        <f t="shared" si="51"/>
        <v>49086066335262.703</v>
      </c>
      <c r="AD53" s="13">
        <f t="shared" si="69"/>
        <v>173393799.97899836</v>
      </c>
      <c r="AE53" s="13">
        <f t="shared" si="70"/>
        <v>14121805813.884487</v>
      </c>
      <c r="AF53" s="13">
        <f t="shared" si="71"/>
        <v>197885613924.26056</v>
      </c>
      <c r="AG53" s="13">
        <f t="shared" si="72"/>
        <v>1150299120431.0376</v>
      </c>
      <c r="AH53" s="13">
        <f t="shared" si="73"/>
        <v>4045147405812.0293</v>
      </c>
      <c r="AI53" s="13">
        <f t="shared" si="74"/>
        <v>10393564861000.082</v>
      </c>
      <c r="AJ53" s="13">
        <f t="shared" si="75"/>
        <v>21671110865274.027</v>
      </c>
      <c r="AK53" s="13">
        <f t="shared" si="76"/>
        <v>39052381159532.164</v>
      </c>
      <c r="AL53" s="13">
        <f t="shared" si="77"/>
        <v>49086066335262.703</v>
      </c>
      <c r="AM53" s="13">
        <f t="shared" si="78"/>
        <v>63310580725686.258</v>
      </c>
      <c r="AN53" s="13">
        <f t="shared" si="79"/>
        <v>94834566422906.453</v>
      </c>
      <c r="AO53" s="13">
        <f t="shared" si="80"/>
        <v>133701272075309.87</v>
      </c>
      <c r="AP53" s="13">
        <f t="shared" si="81"/>
        <v>48119070828458.023</v>
      </c>
      <c r="AQ53" s="13">
        <f t="shared" si="52"/>
        <v>2.4366363240550148E-2</v>
      </c>
      <c r="AR53" s="13">
        <f t="shared" si="40"/>
        <v>3.3108034837100363E-2</v>
      </c>
      <c r="AS53" s="13">
        <f t="shared" si="41"/>
        <v>3.8253893544080722E-2</v>
      </c>
      <c r="AT53" s="13">
        <f t="shared" si="42"/>
        <v>4.1381980043472502E-2</v>
      </c>
      <c r="AU53" s="13">
        <f t="shared" si="43"/>
        <v>4.3372192455262755E-2</v>
      </c>
      <c r="AV53" s="13">
        <f t="shared" si="44"/>
        <v>4.4691930487072533E-2</v>
      </c>
      <c r="AW53" s="13">
        <f t="shared" si="45"/>
        <v>4.5597993622315217E-2</v>
      </c>
      <c r="AX53" s="13">
        <f t="shared" si="46"/>
        <v>4.6464868178594215E-2</v>
      </c>
      <c r="AY53" s="13">
        <f t="shared" si="47"/>
        <v>4.670191874000585E-2</v>
      </c>
      <c r="AZ53" s="13">
        <f t="shared" si="48"/>
        <v>4.7044698719655685E-2</v>
      </c>
      <c r="BA53" s="13">
        <f t="shared" si="56"/>
        <v>4.7302770015217668E-2</v>
      </c>
      <c r="BB53" s="13">
        <f t="shared" si="57"/>
        <v>6.2615550033855494E-2</v>
      </c>
    </row>
    <row r="54" spans="1:54">
      <c r="A54">
        <f>data0!A52</f>
        <v>550</v>
      </c>
      <c r="B54" s="13">
        <v>0.99495</v>
      </c>
      <c r="C54" t="e">
        <f ca="1">(Calculations!C53-C$2)/C$1</f>
        <v>#DIV/0!</v>
      </c>
      <c r="D54" s="13" t="e">
        <f t="shared" ca="1" si="58"/>
        <v>#DIV/0!</v>
      </c>
      <c r="E54" s="13" t="e">
        <f t="shared" ca="1" si="59"/>
        <v>#DIV/0!</v>
      </c>
      <c r="F54" s="13" t="e">
        <f t="shared" ca="1" si="60"/>
        <v>#DIV/0!</v>
      </c>
      <c r="G54" s="13" t="e">
        <f t="shared" ca="1" si="61"/>
        <v>#DIV/0!</v>
      </c>
      <c r="H54" s="13" t="e">
        <f t="shared" ca="1" si="62"/>
        <v>#DIV/0!</v>
      </c>
      <c r="I54" s="13" t="e">
        <f t="shared" ca="1" si="63"/>
        <v>#DIV/0!</v>
      </c>
      <c r="J54" s="13" t="e">
        <f t="shared" ca="1" si="64"/>
        <v>#DIV/0!</v>
      </c>
      <c r="K54" s="13" t="e">
        <f t="shared" ca="1" si="21"/>
        <v>#DIV/0!</v>
      </c>
      <c r="L54" s="13" t="e">
        <f t="shared" ca="1" si="22"/>
        <v>#DIV/0!</v>
      </c>
      <c r="M54" s="13" t="e">
        <f t="shared" ca="1" si="65"/>
        <v>#DIV/0!</v>
      </c>
      <c r="N54" s="13" t="e">
        <f t="shared" ca="1" si="66"/>
        <v>#DIV/0!</v>
      </c>
      <c r="O54" s="13" t="e">
        <f t="shared" ca="1" si="67"/>
        <v>#DIV/0!</v>
      </c>
      <c r="P54" s="13" t="e">
        <f t="shared" ca="1" si="68"/>
        <v>#DIV/0!</v>
      </c>
      <c r="Q54" s="13">
        <f t="shared" si="82"/>
        <v>198303005.1224311</v>
      </c>
      <c r="R54" s="13">
        <f t="shared" si="82"/>
        <v>15517246180.821732</v>
      </c>
      <c r="S54" s="13">
        <f t="shared" si="82"/>
        <v>212283783740.81955</v>
      </c>
      <c r="T54" s="13">
        <f t="shared" si="82"/>
        <v>1214420632318.5708</v>
      </c>
      <c r="U54" s="13">
        <f t="shared" si="82"/>
        <v>4222214862347.0693</v>
      </c>
      <c r="V54" s="13">
        <f t="shared" si="82"/>
        <v>10756433734952.994</v>
      </c>
      <c r="W54" s="13">
        <f t="shared" si="82"/>
        <v>22280283457137.437</v>
      </c>
      <c r="X54" s="13">
        <f t="shared" si="82"/>
        <v>39940418201127.164</v>
      </c>
      <c r="Y54" s="54">
        <f t="shared" si="82"/>
        <v>50101150028116.234</v>
      </c>
      <c r="Z54" s="13">
        <f t="shared" si="82"/>
        <v>64475953837377.867</v>
      </c>
      <c r="AA54" s="13">
        <f t="shared" si="82"/>
        <v>96242859960118.734</v>
      </c>
      <c r="AB54" s="13">
        <f t="shared" si="55"/>
        <v>135290446802902.87</v>
      </c>
      <c r="AC54" s="13">
        <f t="shared" si="51"/>
        <v>49848139220474.25</v>
      </c>
      <c r="AD54" s="13">
        <f t="shared" si="69"/>
        <v>197301574.94656283</v>
      </c>
      <c r="AE54" s="13">
        <f t="shared" si="70"/>
        <v>15438884087.608582</v>
      </c>
      <c r="AF54" s="13">
        <f t="shared" si="71"/>
        <v>211211750632.92841</v>
      </c>
      <c r="AG54" s="13">
        <f t="shared" si="72"/>
        <v>1208287808125.3621</v>
      </c>
      <c r="AH54" s="13">
        <f t="shared" si="73"/>
        <v>4200892677292.2168</v>
      </c>
      <c r="AI54" s="13">
        <f t="shared" si="74"/>
        <v>10702113744591.482</v>
      </c>
      <c r="AJ54" s="13">
        <f t="shared" si="75"/>
        <v>22167768025678.895</v>
      </c>
      <c r="AK54" s="13">
        <f t="shared" si="76"/>
        <v>39738719089211.469</v>
      </c>
      <c r="AL54" s="13">
        <f t="shared" si="77"/>
        <v>49848139220474.25</v>
      </c>
      <c r="AM54" s="13">
        <f t="shared" si="78"/>
        <v>64150350270499.109</v>
      </c>
      <c r="AN54" s="13">
        <f t="shared" si="79"/>
        <v>95756833517320.141</v>
      </c>
      <c r="AO54" s="13">
        <f t="shared" si="80"/>
        <v>134607230046548.22</v>
      </c>
      <c r="AP54" s="13">
        <f t="shared" si="81"/>
        <v>49596406117410.852</v>
      </c>
      <c r="AQ54" s="13">
        <f t="shared" si="52"/>
        <v>2.7726030824994148E-2</v>
      </c>
      <c r="AR54" s="13">
        <f t="shared" si="40"/>
        <v>3.6195874589632027E-2</v>
      </c>
      <c r="AS54" s="13">
        <f t="shared" si="41"/>
        <v>4.0830011155148498E-2</v>
      </c>
      <c r="AT54" s="13">
        <f t="shared" si="42"/>
        <v>4.3468121529883871E-2</v>
      </c>
      <c r="AU54" s="13">
        <f t="shared" si="43"/>
        <v>4.5042097952137927E-2</v>
      </c>
      <c r="AV54" s="13">
        <f t="shared" si="44"/>
        <v>4.6018678858949613E-2</v>
      </c>
      <c r="AW54" s="13">
        <f t="shared" si="45"/>
        <v>4.6643005581942419E-2</v>
      </c>
      <c r="AX54" s="13">
        <f t="shared" si="46"/>
        <v>4.7186246337356914E-2</v>
      </c>
      <c r="AY54" s="13">
        <f t="shared" si="47"/>
        <v>4.7321386269645327E-2</v>
      </c>
      <c r="AZ54" s="13">
        <f t="shared" si="48"/>
        <v>4.7502208879002653E-2</v>
      </c>
      <c r="BA54" s="13">
        <f t="shared" si="56"/>
        <v>4.7623292930906926E-2</v>
      </c>
      <c r="BB54" s="13">
        <f t="shared" si="57"/>
        <v>6.4537951279548256E-2</v>
      </c>
    </row>
    <row r="55" spans="1:54">
      <c r="A55">
        <f>data0!A53</f>
        <v>555</v>
      </c>
      <c r="B55" s="13">
        <v>1</v>
      </c>
      <c r="C55" t="e">
        <f ca="1">(Calculations!C54-C$2)/C$1</f>
        <v>#DIV/0!</v>
      </c>
      <c r="D55" s="13" t="e">
        <f t="shared" ca="1" si="58"/>
        <v>#DIV/0!</v>
      </c>
      <c r="E55" s="13" t="e">
        <f t="shared" ca="1" si="59"/>
        <v>#DIV/0!</v>
      </c>
      <c r="F55" s="13" t="e">
        <f t="shared" ca="1" si="60"/>
        <v>#DIV/0!</v>
      </c>
      <c r="G55" s="13" t="e">
        <f t="shared" ca="1" si="61"/>
        <v>#DIV/0!</v>
      </c>
      <c r="H55" s="13" t="e">
        <f t="shared" ca="1" si="62"/>
        <v>#DIV/0!</v>
      </c>
      <c r="I55" s="13" t="e">
        <f t="shared" ca="1" si="63"/>
        <v>#DIV/0!</v>
      </c>
      <c r="J55" s="13" t="e">
        <f t="shared" ca="1" si="64"/>
        <v>#DIV/0!</v>
      </c>
      <c r="K55" s="13" t="e">
        <f t="shared" ca="1" si="21"/>
        <v>#DIV/0!</v>
      </c>
      <c r="L55" s="13" t="e">
        <f t="shared" ca="1" si="22"/>
        <v>#DIV/0!</v>
      </c>
      <c r="M55" s="13" t="e">
        <f t="shared" ca="1" si="65"/>
        <v>#DIV/0!</v>
      </c>
      <c r="N55" s="13" t="e">
        <f t="shared" ca="1" si="66"/>
        <v>#DIV/0!</v>
      </c>
      <c r="O55" s="13" t="e">
        <f t="shared" ca="1" si="67"/>
        <v>#DIV/0!</v>
      </c>
      <c r="P55" s="13" t="e">
        <f t="shared" ca="1" si="68"/>
        <v>#DIV/0!</v>
      </c>
      <c r="Q55" s="13">
        <f t="shared" si="82"/>
        <v>221774446.33519736</v>
      </c>
      <c r="R55" s="13">
        <f t="shared" si="82"/>
        <v>16685474098.564188</v>
      </c>
      <c r="S55" s="13">
        <f t="shared" si="82"/>
        <v>222949643430.2843</v>
      </c>
      <c r="T55" s="13">
        <f t="shared" si="82"/>
        <v>1255568187941.3845</v>
      </c>
      <c r="U55" s="13">
        <f t="shared" si="82"/>
        <v>4316671943735.3657</v>
      </c>
      <c r="V55" s="13">
        <f t="shared" si="82"/>
        <v>10905425100067.117</v>
      </c>
      <c r="W55" s="13">
        <f t="shared" si="82"/>
        <v>22443148546295.383</v>
      </c>
      <c r="X55" s="13">
        <f t="shared" si="82"/>
        <v>40026153562155.969</v>
      </c>
      <c r="Y55" s="54">
        <f t="shared" si="82"/>
        <v>50109479042950.211</v>
      </c>
      <c r="Z55" s="13">
        <f t="shared" si="82"/>
        <v>64345830896235.164</v>
      </c>
      <c r="AA55" s="13">
        <f t="shared" si="82"/>
        <v>95719571080088.422</v>
      </c>
      <c r="AB55" s="13">
        <f t="shared" si="55"/>
        <v>134169495151015.95</v>
      </c>
      <c r="AC55" s="13">
        <f t="shared" si="51"/>
        <v>50109479042950.211</v>
      </c>
      <c r="AD55" s="13">
        <f t="shared" si="69"/>
        <v>221774446.33519736</v>
      </c>
      <c r="AE55" s="13">
        <f t="shared" si="70"/>
        <v>16685474098.564188</v>
      </c>
      <c r="AF55" s="13">
        <f t="shared" si="71"/>
        <v>222949643430.2843</v>
      </c>
      <c r="AG55" s="13">
        <f t="shared" si="72"/>
        <v>1255568187941.3845</v>
      </c>
      <c r="AH55" s="13">
        <f t="shared" si="73"/>
        <v>4316671943735.3657</v>
      </c>
      <c r="AI55" s="13">
        <f t="shared" si="74"/>
        <v>10905425100067.117</v>
      </c>
      <c r="AJ55" s="13">
        <f t="shared" si="75"/>
        <v>22443148546295.383</v>
      </c>
      <c r="AK55" s="13">
        <f t="shared" si="76"/>
        <v>40026153562155.969</v>
      </c>
      <c r="AL55" s="13">
        <f t="shared" si="77"/>
        <v>50109479042950.211</v>
      </c>
      <c r="AM55" s="13">
        <f t="shared" si="78"/>
        <v>64345830896235.164</v>
      </c>
      <c r="AN55" s="13">
        <f t="shared" si="79"/>
        <v>95719571080088.422</v>
      </c>
      <c r="AO55" s="13">
        <f t="shared" si="80"/>
        <v>134169495151015.95</v>
      </c>
      <c r="AP55" s="13">
        <f t="shared" si="81"/>
        <v>50109479042950.211</v>
      </c>
      <c r="AQ55" s="13">
        <f t="shared" si="52"/>
        <v>3.116510923418157E-2</v>
      </c>
      <c r="AR55" s="13">
        <f t="shared" si="40"/>
        <v>3.9118457299962245E-2</v>
      </c>
      <c r="AS55" s="13">
        <f t="shared" si="41"/>
        <v>4.3099100315281899E-2</v>
      </c>
      <c r="AT55" s="13">
        <f t="shared" si="42"/>
        <v>4.5169031927225815E-2</v>
      </c>
      <c r="AU55" s="13">
        <f t="shared" si="43"/>
        <v>4.628348673794247E-2</v>
      </c>
      <c r="AV55" s="13">
        <f t="shared" si="44"/>
        <v>4.6892909893985965E-2</v>
      </c>
      <c r="AW55" s="13">
        <f t="shared" si="45"/>
        <v>4.722243131146981E-2</v>
      </c>
      <c r="AX55" s="13">
        <f t="shared" si="46"/>
        <v>4.743363060152312E-2</v>
      </c>
      <c r="AY55" s="13">
        <f t="shared" si="47"/>
        <v>4.7465585235974932E-2</v>
      </c>
      <c r="AZ55" s="13">
        <f t="shared" si="48"/>
        <v>4.7483724056440073E-2</v>
      </c>
      <c r="BA55" s="13">
        <f t="shared" si="56"/>
        <v>4.7468424747758038E-2</v>
      </c>
      <c r="BB55" s="13">
        <f t="shared" si="57"/>
        <v>6.5205593918672672E-2</v>
      </c>
    </row>
    <row r="56" spans="1:54">
      <c r="A56">
        <f>data0!A54</f>
        <v>560</v>
      </c>
      <c r="B56" s="13">
        <v>0.995</v>
      </c>
      <c r="C56" t="e">
        <f ca="1">(Calculations!C55-C$2)/C$1</f>
        <v>#DIV/0!</v>
      </c>
      <c r="D56" s="13" t="e">
        <f t="shared" ca="1" si="58"/>
        <v>#DIV/0!</v>
      </c>
      <c r="E56" s="13" t="e">
        <f t="shared" ca="1" si="59"/>
        <v>#DIV/0!</v>
      </c>
      <c r="F56" s="13" t="e">
        <f t="shared" ca="1" si="60"/>
        <v>#DIV/0!</v>
      </c>
      <c r="G56" s="13" t="e">
        <f t="shared" ca="1" si="61"/>
        <v>#DIV/0!</v>
      </c>
      <c r="H56" s="13" t="e">
        <f t="shared" ca="1" si="62"/>
        <v>#DIV/0!</v>
      </c>
      <c r="I56" s="13" t="e">
        <f t="shared" ca="1" si="63"/>
        <v>#DIV/0!</v>
      </c>
      <c r="J56" s="13" t="e">
        <f t="shared" ca="1" si="64"/>
        <v>#DIV/0!</v>
      </c>
      <c r="K56" s="13" t="e">
        <f t="shared" ca="1" si="21"/>
        <v>#DIV/0!</v>
      </c>
      <c r="L56" s="13" t="e">
        <f t="shared" ca="1" si="22"/>
        <v>#DIV/0!</v>
      </c>
      <c r="M56" s="13" t="e">
        <f t="shared" ca="1" si="65"/>
        <v>#DIV/0!</v>
      </c>
      <c r="N56" s="13" t="e">
        <f t="shared" ca="1" si="66"/>
        <v>#DIV/0!</v>
      </c>
      <c r="O56" s="13" t="e">
        <f t="shared" ca="1" si="67"/>
        <v>#DIV/0!</v>
      </c>
      <c r="P56" s="13" t="e">
        <f t="shared" ca="1" si="68"/>
        <v>#DIV/0!</v>
      </c>
      <c r="Q56" s="13">
        <f t="shared" si="82"/>
        <v>247429514.11404416</v>
      </c>
      <c r="R56" s="13">
        <f t="shared" si="82"/>
        <v>17911207643.582417</v>
      </c>
      <c r="S56" s="13">
        <f t="shared" si="82"/>
        <v>233852498320.64508</v>
      </c>
      <c r="T56" s="13">
        <f t="shared" si="82"/>
        <v>1296817453925.5535</v>
      </c>
      <c r="U56" s="13">
        <f t="shared" si="82"/>
        <v>4409736806587.7686</v>
      </c>
      <c r="V56" s="13">
        <f t="shared" si="82"/>
        <v>11049377050270.09</v>
      </c>
      <c r="W56" s="13">
        <f t="shared" si="82"/>
        <v>22595365750932.156</v>
      </c>
      <c r="X56" s="13">
        <f t="shared" si="82"/>
        <v>40094899215519.883</v>
      </c>
      <c r="Y56" s="54">
        <f t="shared" si="82"/>
        <v>50098212187719.133</v>
      </c>
      <c r="Z56" s="13">
        <f t="shared" si="82"/>
        <v>64193512388247.789</v>
      </c>
      <c r="AA56" s="13">
        <f t="shared" si="82"/>
        <v>95172062648236.875</v>
      </c>
      <c r="AB56" s="13">
        <f t="shared" si="55"/>
        <v>133027363433441.64</v>
      </c>
      <c r="AC56" s="13">
        <f t="shared" si="51"/>
        <v>49847721126780.539</v>
      </c>
      <c r="AD56" s="13">
        <f t="shared" si="69"/>
        <v>246192366.54347393</v>
      </c>
      <c r="AE56" s="13">
        <f t="shared" si="70"/>
        <v>17821651605.364506</v>
      </c>
      <c r="AF56" s="13">
        <f t="shared" si="71"/>
        <v>232683235829.04184</v>
      </c>
      <c r="AG56" s="13">
        <f t="shared" si="72"/>
        <v>1290333366655.9258</v>
      </c>
      <c r="AH56" s="13">
        <f t="shared" si="73"/>
        <v>4387688122554.8296</v>
      </c>
      <c r="AI56" s="13">
        <f t="shared" si="74"/>
        <v>10994130165018.74</v>
      </c>
      <c r="AJ56" s="13">
        <f t="shared" si="75"/>
        <v>22482388922177.496</v>
      </c>
      <c r="AK56" s="13">
        <f t="shared" si="76"/>
        <v>39894424719442.281</v>
      </c>
      <c r="AL56" s="13">
        <f t="shared" si="77"/>
        <v>49847721126780.539</v>
      </c>
      <c r="AM56" s="13">
        <f t="shared" si="78"/>
        <v>63872544826306.547</v>
      </c>
      <c r="AN56" s="13">
        <f t="shared" si="79"/>
        <v>94696202334995.687</v>
      </c>
      <c r="AO56" s="13">
        <f t="shared" si="80"/>
        <v>132362226616274.44</v>
      </c>
      <c r="AP56" s="13">
        <f t="shared" si="81"/>
        <v>49598482521146.633</v>
      </c>
      <c r="AQ56" s="13">
        <f t="shared" si="52"/>
        <v>3.4596465565525029E-2</v>
      </c>
      <c r="AR56" s="13">
        <f t="shared" si="40"/>
        <v>4.1782182107684092E-2</v>
      </c>
      <c r="AS56" s="13">
        <f t="shared" si="41"/>
        <v>4.4980731829769145E-2</v>
      </c>
      <c r="AT56" s="13">
        <f t="shared" si="42"/>
        <v>4.6419708300197232E-2</v>
      </c>
      <c r="AU56" s="13">
        <f t="shared" si="43"/>
        <v>4.7044924348539713E-2</v>
      </c>
      <c r="AV56" s="13">
        <f t="shared" si="44"/>
        <v>4.7274338272957732E-2</v>
      </c>
      <c r="AW56" s="13">
        <f t="shared" si="45"/>
        <v>4.7304996640969231E-2</v>
      </c>
      <c r="AX56" s="13">
        <f t="shared" si="46"/>
        <v>4.7185850569885307E-2</v>
      </c>
      <c r="AY56" s="13">
        <f t="shared" si="47"/>
        <v>4.7116459271164195E-2</v>
      </c>
      <c r="AZ56" s="13">
        <f t="shared" si="48"/>
        <v>4.6976060278263398E-2</v>
      </c>
      <c r="BA56" s="13">
        <f t="shared" si="56"/>
        <v>4.682902314351254E-2</v>
      </c>
      <c r="BB56" s="13">
        <f t="shared" si="57"/>
        <v>6.4540653226193734E-2</v>
      </c>
    </row>
    <row r="57" spans="1:54">
      <c r="A57">
        <f>data0!A55</f>
        <v>565</v>
      </c>
      <c r="B57" s="13">
        <v>0.97860000000000003</v>
      </c>
      <c r="C57" t="e">
        <f ca="1">(Calculations!C56-C$2)/C$1</f>
        <v>#DIV/0!</v>
      </c>
      <c r="D57" s="13" t="e">
        <f t="shared" ca="1" si="58"/>
        <v>#DIV/0!</v>
      </c>
      <c r="E57" s="13" t="e">
        <f t="shared" ca="1" si="59"/>
        <v>#DIV/0!</v>
      </c>
      <c r="F57" s="13" t="e">
        <f t="shared" ca="1" si="60"/>
        <v>#DIV/0!</v>
      </c>
      <c r="G57" s="13" t="e">
        <f t="shared" ca="1" si="61"/>
        <v>#DIV/0!</v>
      </c>
      <c r="H57" s="13" t="e">
        <f t="shared" ca="1" si="62"/>
        <v>#DIV/0!</v>
      </c>
      <c r="I57" s="13" t="e">
        <f t="shared" ca="1" si="63"/>
        <v>#DIV/0!</v>
      </c>
      <c r="J57" s="13" t="e">
        <f t="shared" ca="1" si="64"/>
        <v>#DIV/0!</v>
      </c>
      <c r="K57" s="13" t="e">
        <f t="shared" ca="1" si="21"/>
        <v>#DIV/0!</v>
      </c>
      <c r="L57" s="13" t="e">
        <f t="shared" ca="1" si="22"/>
        <v>#DIV/0!</v>
      </c>
      <c r="M57" s="13" t="e">
        <f t="shared" ca="1" si="65"/>
        <v>#DIV/0!</v>
      </c>
      <c r="N57" s="13" t="e">
        <f t="shared" ca="1" si="66"/>
        <v>#DIV/0!</v>
      </c>
      <c r="O57" s="13" t="e">
        <f t="shared" ca="1" si="67"/>
        <v>#DIV/0!</v>
      </c>
      <c r="P57" s="13" t="e">
        <f t="shared" ca="1" si="68"/>
        <v>#DIV/0!</v>
      </c>
      <c r="Q57" s="13">
        <f t="shared" si="82"/>
        <v>275409239.86406434</v>
      </c>
      <c r="R57" s="13">
        <f t="shared" si="82"/>
        <v>19195292385.969643</v>
      </c>
      <c r="S57" s="13">
        <f t="shared" si="82"/>
        <v>244984606528.1514</v>
      </c>
      <c r="T57" s="13">
        <f t="shared" si="82"/>
        <v>1338128506024.6978</v>
      </c>
      <c r="U57" s="13">
        <f t="shared" si="82"/>
        <v>4501341460566.0566</v>
      </c>
      <c r="V57" s="13">
        <f t="shared" si="82"/>
        <v>11188269412927.268</v>
      </c>
      <c r="W57" s="13">
        <f t="shared" si="82"/>
        <v>22737104800047.914</v>
      </c>
      <c r="X57" s="13">
        <f t="shared" si="82"/>
        <v>40147176199670.773</v>
      </c>
      <c r="Y57" s="54">
        <f t="shared" si="82"/>
        <v>50068073445478.484</v>
      </c>
      <c r="Z57" s="13">
        <f t="shared" si="82"/>
        <v>64019996315609.789</v>
      </c>
      <c r="AA57" s="13">
        <f t="shared" si="82"/>
        <v>94601859084728.234</v>
      </c>
      <c r="AB57" s="13">
        <f t="shared" si="55"/>
        <v>131866056417659.98</v>
      </c>
      <c r="AC57" s="13">
        <f t="shared" si="51"/>
        <v>48996616673745.242</v>
      </c>
      <c r="AD57" s="13">
        <f t="shared" si="69"/>
        <v>269515482.13097334</v>
      </c>
      <c r="AE57" s="13">
        <f t="shared" si="70"/>
        <v>18784513128.909893</v>
      </c>
      <c r="AF57" s="13">
        <f t="shared" si="71"/>
        <v>239741935948.44897</v>
      </c>
      <c r="AG57" s="13">
        <f t="shared" si="72"/>
        <v>1309492555995.7693</v>
      </c>
      <c r="AH57" s="13">
        <f t="shared" si="73"/>
        <v>4405012753309.9434</v>
      </c>
      <c r="AI57" s="13">
        <f t="shared" si="74"/>
        <v>10948840447490.625</v>
      </c>
      <c r="AJ57" s="13">
        <f t="shared" si="75"/>
        <v>22250530757326.891</v>
      </c>
      <c r="AK57" s="13">
        <f t="shared" si="76"/>
        <v>39288026628997.82</v>
      </c>
      <c r="AL57" s="13">
        <f t="shared" si="77"/>
        <v>48996616673745.242</v>
      </c>
      <c r="AM57" s="13">
        <f t="shared" si="78"/>
        <v>62649968394455.742</v>
      </c>
      <c r="AN57" s="13">
        <f t="shared" si="79"/>
        <v>92577379300315.047</v>
      </c>
      <c r="AO57" s="13">
        <f t="shared" si="80"/>
        <v>129044122810322.06</v>
      </c>
      <c r="AP57" s="13">
        <f t="shared" si="81"/>
        <v>47948089076927.094</v>
      </c>
      <c r="AQ57" s="13">
        <f t="shared" si="52"/>
        <v>3.7873973217904644E-2</v>
      </c>
      <c r="AR57" s="13">
        <f t="shared" si="40"/>
        <v>4.4039574206469471E-2</v>
      </c>
      <c r="AS57" s="13">
        <f t="shared" si="41"/>
        <v>4.6345271462401257E-2</v>
      </c>
      <c r="AT57" s="13">
        <f t="shared" si="42"/>
        <v>4.7108959623464709E-2</v>
      </c>
      <c r="AU57" s="13">
        <f t="shared" si="43"/>
        <v>4.7230679561871998E-2</v>
      </c>
      <c r="AV57" s="13">
        <f t="shared" si="44"/>
        <v>4.7079594223671944E-2</v>
      </c>
      <c r="AW57" s="13">
        <f t="shared" si="45"/>
        <v>4.6817145917124672E-2</v>
      </c>
      <c r="AX57" s="13">
        <f t="shared" si="46"/>
        <v>4.6380195133037032E-2</v>
      </c>
      <c r="AY57" s="13">
        <f t="shared" si="47"/>
        <v>4.6214608987700009E-2</v>
      </c>
      <c r="AZ57" s="13">
        <f t="shared" si="48"/>
        <v>4.5924973158169381E-2</v>
      </c>
      <c r="BA57" s="13">
        <f t="shared" si="56"/>
        <v>4.5655096382881753E-2</v>
      </c>
      <c r="BB57" s="13">
        <f t="shared" si="57"/>
        <v>6.2393057865292471E-2</v>
      </c>
    </row>
    <row r="58" spans="1:54">
      <c r="A58">
        <f>data0!A56</f>
        <v>570</v>
      </c>
      <c r="B58" s="13">
        <v>0.95199999999999996</v>
      </c>
      <c r="C58" t="e">
        <f ca="1">(Calculations!C57-C$2)/C$1</f>
        <v>#DIV/0!</v>
      </c>
      <c r="D58" s="13" t="e">
        <f t="shared" ca="1" si="58"/>
        <v>#DIV/0!</v>
      </c>
      <c r="E58" s="13" t="e">
        <f t="shared" ca="1" si="59"/>
        <v>#DIV/0!</v>
      </c>
      <c r="F58" s="13" t="e">
        <f t="shared" ca="1" si="60"/>
        <v>#DIV/0!</v>
      </c>
      <c r="G58" s="13" t="e">
        <f t="shared" ca="1" si="61"/>
        <v>#DIV/0!</v>
      </c>
      <c r="H58" s="13" t="e">
        <f t="shared" ca="1" si="62"/>
        <v>#DIV/0!</v>
      </c>
      <c r="I58" s="13" t="e">
        <f t="shared" ca="1" si="63"/>
        <v>#DIV/0!</v>
      </c>
      <c r="J58" s="13" t="e">
        <f t="shared" ca="1" si="64"/>
        <v>#DIV/0!</v>
      </c>
      <c r="K58" s="13" t="e">
        <f t="shared" ca="1" si="21"/>
        <v>#DIV/0!</v>
      </c>
      <c r="L58" s="13" t="e">
        <f t="shared" ca="1" si="22"/>
        <v>#DIV/0!</v>
      </c>
      <c r="M58" s="13" t="e">
        <f t="shared" ca="1" si="65"/>
        <v>#DIV/0!</v>
      </c>
      <c r="N58" s="13" t="e">
        <f t="shared" ca="1" si="66"/>
        <v>#DIV/0!</v>
      </c>
      <c r="O58" s="13" t="e">
        <f t="shared" ca="1" si="67"/>
        <v>#DIV/0!</v>
      </c>
      <c r="P58" s="13" t="e">
        <f t="shared" ca="1" si="68"/>
        <v>#DIV/0!</v>
      </c>
      <c r="Q58" s="13">
        <f t="shared" si="82"/>
        <v>305858588.0943417</v>
      </c>
      <c r="R58" s="13">
        <f t="shared" si="82"/>
        <v>20538489528.83268</v>
      </c>
      <c r="S58" s="13">
        <f t="shared" si="82"/>
        <v>256337894577.82996</v>
      </c>
      <c r="T58" s="13">
        <f t="shared" si="82"/>
        <v>1379462186853.3386</v>
      </c>
      <c r="U58" s="13">
        <f t="shared" si="82"/>
        <v>4591422541397.5859</v>
      </c>
      <c r="V58" s="13">
        <f t="shared" si="82"/>
        <v>11322091169935.994</v>
      </c>
      <c r="W58" s="13">
        <f t="shared" si="82"/>
        <v>22868544685151.523</v>
      </c>
      <c r="X58" s="13">
        <f t="shared" si="82"/>
        <v>40183505532033.969</v>
      </c>
      <c r="Y58" s="54">
        <f t="shared" si="82"/>
        <v>50019778770648.328</v>
      </c>
      <c r="Z58" s="13">
        <f t="shared" si="82"/>
        <v>63826259560105.758</v>
      </c>
      <c r="AA58" s="13">
        <f t="shared" si="82"/>
        <v>94010431549372.859</v>
      </c>
      <c r="AB58" s="13">
        <f t="shared" si="55"/>
        <v>130687485799452.33</v>
      </c>
      <c r="AC58" s="13">
        <f t="shared" si="51"/>
        <v>47618829389657.203</v>
      </c>
      <c r="AD58" s="13">
        <f t="shared" si="69"/>
        <v>291177375.86581326</v>
      </c>
      <c r="AE58" s="13">
        <f t="shared" si="70"/>
        <v>19552642031.448711</v>
      </c>
      <c r="AF58" s="13">
        <f t="shared" si="71"/>
        <v>244033675638.09412</v>
      </c>
      <c r="AG58" s="13">
        <f t="shared" si="72"/>
        <v>1313248001884.3784</v>
      </c>
      <c r="AH58" s="13">
        <f t="shared" si="73"/>
        <v>4371034259410.5015</v>
      </c>
      <c r="AI58" s="13">
        <f t="shared" si="74"/>
        <v>10778630793779.066</v>
      </c>
      <c r="AJ58" s="13">
        <f t="shared" si="75"/>
        <v>21770854540264.25</v>
      </c>
      <c r="AK58" s="13">
        <f t="shared" si="76"/>
        <v>38254697266496.336</v>
      </c>
      <c r="AL58" s="13">
        <f t="shared" si="77"/>
        <v>47618829389657.203</v>
      </c>
      <c r="AM58" s="13">
        <f t="shared" si="78"/>
        <v>60762599101220.68</v>
      </c>
      <c r="AN58" s="13">
        <f t="shared" si="79"/>
        <v>89497930835002.953</v>
      </c>
      <c r="AO58" s="13">
        <f t="shared" si="80"/>
        <v>124414486481078.61</v>
      </c>
      <c r="AP58" s="13">
        <f t="shared" si="81"/>
        <v>45333125578953.656</v>
      </c>
      <c r="AQ58" s="13">
        <f t="shared" si="52"/>
        <v>4.0918035758117942E-2</v>
      </c>
      <c r="AR58" s="13">
        <f t="shared" si="40"/>
        <v>4.5840423106376801E-2</v>
      </c>
      <c r="AS58" s="13">
        <f t="shared" si="41"/>
        <v>4.7174921227994771E-2</v>
      </c>
      <c r="AT58" s="13">
        <f t="shared" si="42"/>
        <v>4.7244061688707123E-2</v>
      </c>
      <c r="AU58" s="13">
        <f t="shared" si="43"/>
        <v>4.6866361125755401E-2</v>
      </c>
      <c r="AV58" s="13">
        <f t="shared" si="44"/>
        <v>4.6347699237337704E-2</v>
      </c>
      <c r="AW58" s="13">
        <f t="shared" si="45"/>
        <v>4.5807863410917443E-2</v>
      </c>
      <c r="AX58" s="13">
        <f t="shared" si="46"/>
        <v>4.5075981752073883E-2</v>
      </c>
      <c r="AY58" s="13">
        <f t="shared" si="47"/>
        <v>4.4822365126488913E-2</v>
      </c>
      <c r="AZ58" s="13">
        <f t="shared" si="48"/>
        <v>4.4397347412222794E-2</v>
      </c>
      <c r="BA58" s="13">
        <f t="shared" si="56"/>
        <v>4.4017156674926346E-2</v>
      </c>
      <c r="BB58" s="13">
        <f t="shared" si="57"/>
        <v>5.8990303511872455E-2</v>
      </c>
    </row>
    <row r="59" spans="1:54">
      <c r="A59">
        <f>data0!A57</f>
        <v>575</v>
      </c>
      <c r="B59" s="13">
        <v>0.91539999999999999</v>
      </c>
      <c r="C59" t="e">
        <f ca="1">(Calculations!C58-C$2)/C$1</f>
        <v>#DIV/0!</v>
      </c>
      <c r="D59" s="13" t="e">
        <f t="shared" ca="1" si="58"/>
        <v>#DIV/0!</v>
      </c>
      <c r="E59" s="13" t="e">
        <f t="shared" ca="1" si="59"/>
        <v>#DIV/0!</v>
      </c>
      <c r="F59" s="13" t="e">
        <f t="shared" ca="1" si="60"/>
        <v>#DIV/0!</v>
      </c>
      <c r="G59" s="13" t="e">
        <f t="shared" ca="1" si="61"/>
        <v>#DIV/0!</v>
      </c>
      <c r="H59" s="13" t="e">
        <f t="shared" ca="1" si="62"/>
        <v>#DIV/0!</v>
      </c>
      <c r="I59" s="13" t="e">
        <f t="shared" ca="1" si="63"/>
        <v>#DIV/0!</v>
      </c>
      <c r="J59" s="13" t="e">
        <f t="shared" ca="1" si="64"/>
        <v>#DIV/0!</v>
      </c>
      <c r="K59" s="13" t="e">
        <f t="shared" ca="1" si="21"/>
        <v>#DIV/0!</v>
      </c>
      <c r="L59" s="13" t="e">
        <f t="shared" ca="1" si="22"/>
        <v>#DIV/0!</v>
      </c>
      <c r="M59" s="13" t="e">
        <f t="shared" ca="1" si="65"/>
        <v>#DIV/0!</v>
      </c>
      <c r="N59" s="13" t="e">
        <f t="shared" ca="1" si="66"/>
        <v>#DIV/0!</v>
      </c>
      <c r="O59" s="13" t="e">
        <f t="shared" ca="1" si="67"/>
        <v>#DIV/0!</v>
      </c>
      <c r="P59" s="13" t="e">
        <f t="shared" ca="1" si="68"/>
        <v>#DIV/0!</v>
      </c>
      <c r="Q59" s="13">
        <f t="shared" si="82"/>
        <v>338926227.78012305</v>
      </c>
      <c r="R59" s="13">
        <f t="shared" si="82"/>
        <v>21941474145.170555</v>
      </c>
      <c r="S59" s="13">
        <f t="shared" si="82"/>
        <v>267903985688.9917</v>
      </c>
      <c r="T59" s="13">
        <f t="shared" si="82"/>
        <v>1420780173330.0369</v>
      </c>
      <c r="U59" s="13">
        <f t="shared" si="82"/>
        <v>4679921238429.8145</v>
      </c>
      <c r="V59" s="13">
        <f t="shared" si="82"/>
        <v>11450839958406.16</v>
      </c>
      <c r="W59" s="13">
        <f t="shared" si="82"/>
        <v>22989872628112.117</v>
      </c>
      <c r="X59" s="13">
        <f t="shared" si="82"/>
        <v>40204406924481.586</v>
      </c>
      <c r="Y59" s="54">
        <f t="shared" si="82"/>
        <v>49954034889020.633</v>
      </c>
      <c r="Z59" s="13">
        <f t="shared" si="82"/>
        <v>63613257008976.422</v>
      </c>
      <c r="AA59" s="13">
        <f t="shared" si="82"/>
        <v>93399198365635.281</v>
      </c>
      <c r="AB59" s="13">
        <f t="shared" si="55"/>
        <v>129493472832707.52</v>
      </c>
      <c r="AC59" s="13">
        <f t="shared" si="51"/>
        <v>45727923537409.484</v>
      </c>
      <c r="AD59" s="13">
        <f t="shared" si="69"/>
        <v>310253068.90992463</v>
      </c>
      <c r="AE59" s="13">
        <f t="shared" si="70"/>
        <v>20085225432.489124</v>
      </c>
      <c r="AF59" s="13">
        <f t="shared" si="71"/>
        <v>245239308499.703</v>
      </c>
      <c r="AG59" s="13">
        <f t="shared" si="72"/>
        <v>1300582170666.3157</v>
      </c>
      <c r="AH59" s="13">
        <f t="shared" si="73"/>
        <v>4283999901658.6523</v>
      </c>
      <c r="AI59" s="13">
        <f t="shared" si="74"/>
        <v>10482098897924.998</v>
      </c>
      <c r="AJ59" s="13">
        <f t="shared" si="75"/>
        <v>21044929403773.832</v>
      </c>
      <c r="AK59" s="13">
        <f t="shared" si="76"/>
        <v>36803114098670.445</v>
      </c>
      <c r="AL59" s="13">
        <f t="shared" si="77"/>
        <v>45727923537409.484</v>
      </c>
      <c r="AM59" s="13">
        <f t="shared" si="78"/>
        <v>58231575466017.016</v>
      </c>
      <c r="AN59" s="13">
        <f t="shared" si="79"/>
        <v>85497626183902.531</v>
      </c>
      <c r="AO59" s="13">
        <f t="shared" si="80"/>
        <v>118538325031060.45</v>
      </c>
      <c r="AP59" s="13">
        <f t="shared" si="81"/>
        <v>41859341206144.641</v>
      </c>
      <c r="AQ59" s="13">
        <f t="shared" si="52"/>
        <v>4.3598669470709464E-2</v>
      </c>
      <c r="AR59" s="13">
        <f t="shared" si="40"/>
        <v>4.7089044566528231E-2</v>
      </c>
      <c r="AS59" s="13">
        <f t="shared" si="41"/>
        <v>4.7407985927477594E-2</v>
      </c>
      <c r="AT59" s="13">
        <f t="shared" si="42"/>
        <v>4.6788408749927637E-2</v>
      </c>
      <c r="AU59" s="13">
        <f t="shared" si="43"/>
        <v>4.5933176117661581E-2</v>
      </c>
      <c r="AV59" s="13">
        <f t="shared" si="44"/>
        <v>4.5072623452085459E-2</v>
      </c>
      <c r="AW59" s="13">
        <f t="shared" si="45"/>
        <v>4.4280450720827369E-2</v>
      </c>
      <c r="AX59" s="13">
        <f t="shared" si="46"/>
        <v>4.3286050357638543E-2</v>
      </c>
      <c r="AY59" s="13">
        <f t="shared" si="47"/>
        <v>4.2955320806480672E-2</v>
      </c>
      <c r="AZ59" s="13">
        <f t="shared" si="48"/>
        <v>4.2412911418087222E-2</v>
      </c>
      <c r="BA59" s="13">
        <f t="shared" si="56"/>
        <v>4.193820327883651E-2</v>
      </c>
      <c r="BB59" s="13">
        <f t="shared" si="57"/>
        <v>5.4469997623633873E-2</v>
      </c>
    </row>
    <row r="60" spans="1:54">
      <c r="A60">
        <f>data0!A58</f>
        <v>580</v>
      </c>
      <c r="B60" s="13">
        <v>0.87</v>
      </c>
      <c r="C60" t="e">
        <f ca="1">(Calculations!C59-C$2)/C$1</f>
        <v>#DIV/0!</v>
      </c>
      <c r="D60" s="13" t="e">
        <f t="shared" ca="1" si="58"/>
        <v>#DIV/0!</v>
      </c>
      <c r="E60" s="13" t="e">
        <f t="shared" ca="1" si="59"/>
        <v>#DIV/0!</v>
      </c>
      <c r="F60" s="13" t="e">
        <f t="shared" ca="1" si="60"/>
        <v>#DIV/0!</v>
      </c>
      <c r="G60" s="13" t="e">
        <f t="shared" ca="1" si="61"/>
        <v>#DIV/0!</v>
      </c>
      <c r="H60" s="13" t="e">
        <f t="shared" ca="1" si="62"/>
        <v>#DIV/0!</v>
      </c>
      <c r="I60" s="13" t="e">
        <f t="shared" ca="1" si="63"/>
        <v>#DIV/0!</v>
      </c>
      <c r="J60" s="13" t="e">
        <f t="shared" ca="1" si="64"/>
        <v>#DIV/0!</v>
      </c>
      <c r="K60" s="13" t="e">
        <f t="shared" ca="1" si="21"/>
        <v>#DIV/0!</v>
      </c>
      <c r="L60" s="13" t="e">
        <f t="shared" ca="1" si="22"/>
        <v>#DIV/0!</v>
      </c>
      <c r="M60" s="13" t="e">
        <f t="shared" ca="1" si="65"/>
        <v>#DIV/0!</v>
      </c>
      <c r="N60" s="13" t="e">
        <f t="shared" ca="1" si="66"/>
        <v>#DIV/0!</v>
      </c>
      <c r="O60" s="13" t="e">
        <f t="shared" ca="1" si="67"/>
        <v>#DIV/0!</v>
      </c>
      <c r="P60" s="13" t="e">
        <f t="shared" ca="1" si="68"/>
        <v>#DIV/0!</v>
      </c>
      <c r="Q60" s="13">
        <f t="shared" si="82"/>
        <v>374764286.52509677</v>
      </c>
      <c r="R60" s="13">
        <f t="shared" si="82"/>
        <v>23404833750.299961</v>
      </c>
      <c r="S60" s="13">
        <f t="shared" si="82"/>
        <v>279674227930.29968</v>
      </c>
      <c r="T60" s="13">
        <f t="shared" si="82"/>
        <v>1462045037473.2214</v>
      </c>
      <c r="U60" s="13">
        <f t="shared" si="82"/>
        <v>4766783211368.7588</v>
      </c>
      <c r="V60" s="13">
        <f t="shared" si="82"/>
        <v>11574521578611.604</v>
      </c>
      <c r="W60" s="13">
        <f t="shared" si="82"/>
        <v>23101283103348.336</v>
      </c>
      <c r="X60" s="13">
        <f t="shared" si="82"/>
        <v>40210397612145.914</v>
      </c>
      <c r="Y60" s="54">
        <f t="shared" si="82"/>
        <v>49871538233270.625</v>
      </c>
      <c r="Z60" s="13">
        <f t="shared" si="82"/>
        <v>63381920833471.867</v>
      </c>
      <c r="AA60" s="13">
        <f t="shared" si="82"/>
        <v>92769525585922.062</v>
      </c>
      <c r="AB60" s="13">
        <f t="shared" si="55"/>
        <v>128285751018182.83</v>
      </c>
      <c r="AC60" s="13">
        <f t="shared" si="51"/>
        <v>43388238262945.445</v>
      </c>
      <c r="AD60" s="13">
        <f t="shared" si="69"/>
        <v>326044929.27683419</v>
      </c>
      <c r="AE60" s="13">
        <f t="shared" si="70"/>
        <v>20362205362.760967</v>
      </c>
      <c r="AF60" s="13">
        <f t="shared" si="71"/>
        <v>243316578299.36072</v>
      </c>
      <c r="AG60" s="13">
        <f t="shared" si="72"/>
        <v>1271979182601.7026</v>
      </c>
      <c r="AH60" s="13">
        <f t="shared" si="73"/>
        <v>4147101393890.8203</v>
      </c>
      <c r="AI60" s="13">
        <f t="shared" si="74"/>
        <v>10069833773392.096</v>
      </c>
      <c r="AJ60" s="13">
        <f t="shared" si="75"/>
        <v>20098116299913.051</v>
      </c>
      <c r="AK60" s="13">
        <f t="shared" si="76"/>
        <v>34983045922566.945</v>
      </c>
      <c r="AL60" s="13">
        <f t="shared" si="77"/>
        <v>43388238262945.445</v>
      </c>
      <c r="AM60" s="13">
        <f t="shared" si="78"/>
        <v>55142271125120.523</v>
      </c>
      <c r="AN60" s="13">
        <f t="shared" si="79"/>
        <v>80709487259752.187</v>
      </c>
      <c r="AO60" s="13">
        <f t="shared" si="80"/>
        <v>111608603385819.06</v>
      </c>
      <c r="AP60" s="13">
        <f t="shared" si="81"/>
        <v>37747767288762.539</v>
      </c>
      <c r="AQ60" s="13">
        <f t="shared" si="52"/>
        <v>4.5817838818118496E-2</v>
      </c>
      <c r="AR60" s="13">
        <f t="shared" si="40"/>
        <v>4.7738413443389693E-2</v>
      </c>
      <c r="AS60" s="13">
        <f t="shared" si="41"/>
        <v>4.7036296874699686E-2</v>
      </c>
      <c r="AT60" s="13">
        <f t="shared" si="42"/>
        <v>4.5759417020515579E-2</v>
      </c>
      <c r="AU60" s="13">
        <f t="shared" si="43"/>
        <v>4.4465346189581922E-2</v>
      </c>
      <c r="AV60" s="13">
        <f t="shared" si="44"/>
        <v>4.3299899219901669E-2</v>
      </c>
      <c r="AW60" s="13">
        <f t="shared" si="45"/>
        <v>4.228826960285114E-2</v>
      </c>
      <c r="AX60" s="13">
        <f t="shared" si="46"/>
        <v>4.1071304382378521E-2</v>
      </c>
      <c r="AY60" s="13">
        <f t="shared" si="47"/>
        <v>4.0676453062132849E-2</v>
      </c>
      <c r="AZ60" s="13">
        <f t="shared" si="48"/>
        <v>4.0037653517819113E-2</v>
      </c>
      <c r="BA60" s="13">
        <f t="shared" si="56"/>
        <v>3.9486506117199241E-2</v>
      </c>
      <c r="BB60" s="13">
        <f t="shared" si="57"/>
        <v>4.9119760017019967E-2</v>
      </c>
    </row>
    <row r="61" spans="1:54">
      <c r="A61">
        <f>data0!A59</f>
        <v>585</v>
      </c>
      <c r="B61" s="13">
        <v>0.81630000000000003</v>
      </c>
      <c r="C61" t="e">
        <f ca="1">(Calculations!C60-C$2)/C$1</f>
        <v>#DIV/0!</v>
      </c>
      <c r="D61" s="13" t="e">
        <f t="shared" ca="1" si="58"/>
        <v>#DIV/0!</v>
      </c>
      <c r="E61" s="13" t="e">
        <f t="shared" ca="1" si="59"/>
        <v>#DIV/0!</v>
      </c>
      <c r="F61" s="13" t="e">
        <f t="shared" ca="1" si="60"/>
        <v>#DIV/0!</v>
      </c>
      <c r="G61" s="13" t="e">
        <f t="shared" ca="1" si="61"/>
        <v>#DIV/0!</v>
      </c>
      <c r="H61" s="13" t="e">
        <f t="shared" ca="1" si="62"/>
        <v>#DIV/0!</v>
      </c>
      <c r="I61" s="13" t="e">
        <f t="shared" ca="1" si="63"/>
        <v>#DIV/0!</v>
      </c>
      <c r="J61" s="13" t="e">
        <f t="shared" ca="1" si="64"/>
        <v>#DIV/0!</v>
      </c>
      <c r="K61" s="13" t="e">
        <f t="shared" ca="1" si="21"/>
        <v>#DIV/0!</v>
      </c>
      <c r="L61" s="13" t="e">
        <f t="shared" ca="1" si="22"/>
        <v>#DIV/0!</v>
      </c>
      <c r="M61" s="13" t="e">
        <f t="shared" ca="1" si="65"/>
        <v>#DIV/0!</v>
      </c>
      <c r="N61" s="13" t="e">
        <f t="shared" ca="1" si="66"/>
        <v>#DIV/0!</v>
      </c>
      <c r="O61" s="13" t="e">
        <f t="shared" ca="1" si="67"/>
        <v>#DIV/0!</v>
      </c>
      <c r="P61" s="13" t="e">
        <f t="shared" ca="1" si="68"/>
        <v>#DIV/0!</v>
      </c>
      <c r="Q61" s="13">
        <f t="shared" si="82"/>
        <v>413528088.68110055</v>
      </c>
      <c r="R61" s="13">
        <f t="shared" si="82"/>
        <v>24929067203.841293</v>
      </c>
      <c r="S61" s="13">
        <f t="shared" si="82"/>
        <v>291639722124.6712</v>
      </c>
      <c r="T61" s="13">
        <f t="shared" si="82"/>
        <v>1503220300757.894</v>
      </c>
      <c r="U61" s="13">
        <f t="shared" si="82"/>
        <v>4851958497466.1514</v>
      </c>
      <c r="V61" s="13">
        <f t="shared" si="82"/>
        <v>11693149510765</v>
      </c>
      <c r="W61" s="13">
        <f t="shared" si="82"/>
        <v>23202976913537.137</v>
      </c>
      <c r="X61" s="13">
        <f t="shared" si="82"/>
        <v>40201991289436.914</v>
      </c>
      <c r="Y61" s="54">
        <f t="shared" si="82"/>
        <v>49772974004881.031</v>
      </c>
      <c r="Z61" s="13">
        <f t="shared" si="82"/>
        <v>63133159907392.227</v>
      </c>
      <c r="AA61" s="13">
        <f t="shared" si="82"/>
        <v>92122727680416.141</v>
      </c>
      <c r="AB61" s="13">
        <f t="shared" si="55"/>
        <v>127065968832682.27</v>
      </c>
      <c r="AC61" s="13">
        <f t="shared" si="51"/>
        <v>40629678680184.391</v>
      </c>
      <c r="AD61" s="13">
        <f t="shared" si="69"/>
        <v>337562978.79038239</v>
      </c>
      <c r="AE61" s="13">
        <f t="shared" si="70"/>
        <v>20349597558.495647</v>
      </c>
      <c r="AF61" s="13">
        <f t="shared" si="71"/>
        <v>238065505170.36911</v>
      </c>
      <c r="AG61" s="13">
        <f t="shared" si="72"/>
        <v>1227078731508.6689</v>
      </c>
      <c r="AH61" s="13">
        <f t="shared" si="73"/>
        <v>3960653721481.6196</v>
      </c>
      <c r="AI61" s="13">
        <f t="shared" si="74"/>
        <v>9545117945637.4707</v>
      </c>
      <c r="AJ61" s="13">
        <f t="shared" si="75"/>
        <v>18940590054520.367</v>
      </c>
      <c r="AK61" s="13">
        <f t="shared" si="76"/>
        <v>32816885489567.355</v>
      </c>
      <c r="AL61" s="13">
        <f t="shared" si="77"/>
        <v>40629678680184.391</v>
      </c>
      <c r="AM61" s="13">
        <f t="shared" si="78"/>
        <v>51535598432404.273</v>
      </c>
      <c r="AN61" s="13">
        <f t="shared" si="79"/>
        <v>75199782605523.703</v>
      </c>
      <c r="AO61" s="13">
        <f t="shared" si="80"/>
        <v>103723950358118.53</v>
      </c>
      <c r="AP61" s="13">
        <f t="shared" si="81"/>
        <v>33166006706634.52</v>
      </c>
      <c r="AQ61" s="13">
        <f t="shared" si="52"/>
        <v>4.7436425978119312E-2</v>
      </c>
      <c r="AR61" s="13">
        <f t="shared" si="40"/>
        <v>4.7708854927408319E-2</v>
      </c>
      <c r="AS61" s="13">
        <f t="shared" si="41"/>
        <v>4.6021195329493315E-2</v>
      </c>
      <c r="AT61" s="13">
        <f t="shared" si="42"/>
        <v>4.4144124495230003E-2</v>
      </c>
      <c r="AU61" s="13">
        <f t="shared" si="43"/>
        <v>4.2466248624200537E-2</v>
      </c>
      <c r="AV61" s="13">
        <f t="shared" si="44"/>
        <v>4.1043641274423281E-2</v>
      </c>
      <c r="AW61" s="13">
        <f t="shared" si="45"/>
        <v>3.9852728818476561E-2</v>
      </c>
      <c r="AX61" s="13">
        <f t="shared" si="46"/>
        <v>3.8460052005780752E-2</v>
      </c>
      <c r="AY61" s="13">
        <f t="shared" si="47"/>
        <v>3.8015941452756732E-2</v>
      </c>
      <c r="AZ61" s="13">
        <f t="shared" si="48"/>
        <v>3.7304447628137775E-2</v>
      </c>
      <c r="BA61" s="13">
        <f t="shared" si="56"/>
        <v>3.669695951805374E-2</v>
      </c>
      <c r="BB61" s="13">
        <f t="shared" si="57"/>
        <v>4.3157686061017581E-2</v>
      </c>
    </row>
    <row r="62" spans="1:54">
      <c r="A62">
        <f>data0!A60</f>
        <v>590</v>
      </c>
      <c r="B62" s="13">
        <v>0.75700000000000001</v>
      </c>
      <c r="C62" t="e">
        <f ca="1">(Calculations!C61-C$2)/C$1</f>
        <v>#DIV/0!</v>
      </c>
      <c r="D62" s="13" t="e">
        <f t="shared" ca="1" si="58"/>
        <v>#DIV/0!</v>
      </c>
      <c r="E62" s="13" t="e">
        <f t="shared" ca="1" si="59"/>
        <v>#DIV/0!</v>
      </c>
      <c r="F62" s="13" t="e">
        <f t="shared" ca="1" si="60"/>
        <v>#DIV/0!</v>
      </c>
      <c r="G62" s="13" t="e">
        <f t="shared" ca="1" si="61"/>
        <v>#DIV/0!</v>
      </c>
      <c r="H62" s="13" t="e">
        <f t="shared" ca="1" si="62"/>
        <v>#DIV/0!</v>
      </c>
      <c r="I62" s="13" t="e">
        <f t="shared" ca="1" si="63"/>
        <v>#DIV/0!</v>
      </c>
      <c r="J62" s="13" t="e">
        <f t="shared" ca="1" si="64"/>
        <v>#DIV/0!</v>
      </c>
      <c r="K62" s="13" t="e">
        <f t="shared" ca="1" si="21"/>
        <v>#DIV/0!</v>
      </c>
      <c r="L62" s="13" t="e">
        <f t="shared" ca="1" si="22"/>
        <v>#DIV/0!</v>
      </c>
      <c r="M62" s="13" t="e">
        <f t="shared" ca="1" si="65"/>
        <v>#DIV/0!</v>
      </c>
      <c r="N62" s="13" t="e">
        <f t="shared" ca="1" si="66"/>
        <v>#DIV/0!</v>
      </c>
      <c r="O62" s="13" t="e">
        <f t="shared" ca="1" si="67"/>
        <v>#DIV/0!</v>
      </c>
      <c r="P62" s="13" t="e">
        <f t="shared" ca="1" si="68"/>
        <v>#DIV/0!</v>
      </c>
      <c r="Q62" s="13">
        <f t="shared" si="82"/>
        <v>455375878.65488577</v>
      </c>
      <c r="R62" s="13">
        <f t="shared" si="82"/>
        <v>26514583933.706535</v>
      </c>
      <c r="S62" s="13">
        <f t="shared" si="82"/>
        <v>303791349394.67914</v>
      </c>
      <c r="T62" s="13">
        <f t="shared" si="82"/>
        <v>1544270482259.3564</v>
      </c>
      <c r="U62" s="13">
        <f t="shared" si="82"/>
        <v>4935401410349.6191</v>
      </c>
      <c r="V62" s="13">
        <f t="shared" si="82"/>
        <v>11806744441955.164</v>
      </c>
      <c r="W62" s="13">
        <f t="shared" si="82"/>
        <v>23295160317811.719</v>
      </c>
      <c r="X62" s="13">
        <f t="shared" si="82"/>
        <v>40179697147230.727</v>
      </c>
      <c r="Y62" s="54">
        <f t="shared" si="82"/>
        <v>49659015353740.977</v>
      </c>
      <c r="Z62" s="13">
        <f t="shared" si="82"/>
        <v>62867859353640.906</v>
      </c>
      <c r="AA62" s="13">
        <f t="shared" si="82"/>
        <v>91460068333197.187</v>
      </c>
      <c r="AB62" s="13">
        <f t="shared" si="55"/>
        <v>125835692482203.48</v>
      </c>
      <c r="AC62" s="13">
        <f t="shared" si="51"/>
        <v>37591874622781.922</v>
      </c>
      <c r="AD62" s="13">
        <f t="shared" si="69"/>
        <v>344719540.14174855</v>
      </c>
      <c r="AE62" s="13">
        <f t="shared" si="70"/>
        <v>20071540037.815849</v>
      </c>
      <c r="AF62" s="13">
        <f t="shared" si="71"/>
        <v>229970051491.77209</v>
      </c>
      <c r="AG62" s="13">
        <f t="shared" si="72"/>
        <v>1169012755070.3328</v>
      </c>
      <c r="AH62" s="13">
        <f t="shared" si="73"/>
        <v>3736098867634.6616</v>
      </c>
      <c r="AI62" s="13">
        <f t="shared" si="74"/>
        <v>8937705542560.0586</v>
      </c>
      <c r="AJ62" s="13">
        <f t="shared" si="75"/>
        <v>17634436360583.473</v>
      </c>
      <c r="AK62" s="13">
        <f t="shared" si="76"/>
        <v>30416030740453.66</v>
      </c>
      <c r="AL62" s="13">
        <f t="shared" si="77"/>
        <v>37591874622781.922</v>
      </c>
      <c r="AM62" s="13">
        <f t="shared" si="78"/>
        <v>47590969530706.164</v>
      </c>
      <c r="AN62" s="13">
        <f t="shared" si="79"/>
        <v>69235271728230.273</v>
      </c>
      <c r="AO62" s="13">
        <f t="shared" si="80"/>
        <v>95257619209028.031</v>
      </c>
      <c r="AP62" s="13">
        <f t="shared" si="81"/>
        <v>28457049089445.914</v>
      </c>
      <c r="AQ62" s="13">
        <f t="shared" si="52"/>
        <v>4.8442109996012638E-2</v>
      </c>
      <c r="AR62" s="13">
        <f t="shared" si="40"/>
        <v>4.7056959680956675E-2</v>
      </c>
      <c r="AS62" s="13">
        <f t="shared" si="41"/>
        <v>4.4456237589156442E-2</v>
      </c>
      <c r="AT62" s="13">
        <f t="shared" si="42"/>
        <v>4.2055202548323213E-2</v>
      </c>
      <c r="AU62" s="13">
        <f t="shared" si="43"/>
        <v>4.0058564710427673E-2</v>
      </c>
      <c r="AV62" s="13">
        <f t="shared" si="44"/>
        <v>3.8431791225054433E-2</v>
      </c>
      <c r="AW62" s="13">
        <f t="shared" si="45"/>
        <v>3.7104462327840204E-2</v>
      </c>
      <c r="AX62" s="13">
        <f t="shared" si="46"/>
        <v>3.5584466822084673E-2</v>
      </c>
      <c r="AY62" s="13">
        <f t="shared" si="47"/>
        <v>3.5106131807749928E-2</v>
      </c>
      <c r="AZ62" s="13">
        <f t="shared" si="48"/>
        <v>3.4345625462166421E-2</v>
      </c>
      <c r="BA62" s="13">
        <f t="shared" si="56"/>
        <v>3.3701618419185793E-2</v>
      </c>
      <c r="BB62" s="13">
        <f t="shared" si="57"/>
        <v>3.7030095353010828E-2</v>
      </c>
    </row>
    <row r="63" spans="1:54">
      <c r="A63">
        <f>data0!A61</f>
        <v>595</v>
      </c>
      <c r="B63" s="13">
        <v>0.69489999999999996</v>
      </c>
      <c r="C63" t="e">
        <f ca="1">(Calculations!C62-C$2)/C$1</f>
        <v>#DIV/0!</v>
      </c>
      <c r="D63" s="13" t="e">
        <f t="shared" ca="1" si="58"/>
        <v>#DIV/0!</v>
      </c>
      <c r="E63" s="13" t="e">
        <f t="shared" ca="1" si="59"/>
        <v>#DIV/0!</v>
      </c>
      <c r="F63" s="13" t="e">
        <f t="shared" ca="1" si="60"/>
        <v>#DIV/0!</v>
      </c>
      <c r="G63" s="13" t="e">
        <f t="shared" ca="1" si="61"/>
        <v>#DIV/0!</v>
      </c>
      <c r="H63" s="13" t="e">
        <f t="shared" ca="1" si="62"/>
        <v>#DIV/0!</v>
      </c>
      <c r="I63" s="13" t="e">
        <f t="shared" ca="1" si="63"/>
        <v>#DIV/0!</v>
      </c>
      <c r="J63" s="13" t="e">
        <f t="shared" ca="1" si="64"/>
        <v>#DIV/0!</v>
      </c>
      <c r="K63" s="13" t="e">
        <f t="shared" ca="1" si="21"/>
        <v>#DIV/0!</v>
      </c>
      <c r="L63" s="13" t="e">
        <f t="shared" ca="1" si="22"/>
        <v>#DIV/0!</v>
      </c>
      <c r="M63" s="13" t="e">
        <f t="shared" ca="1" si="65"/>
        <v>#DIV/0!</v>
      </c>
      <c r="N63" s="13" t="e">
        <f t="shared" ca="1" si="66"/>
        <v>#DIV/0!</v>
      </c>
      <c r="O63" s="13" t="e">
        <f t="shared" ca="1" si="67"/>
        <v>#DIV/0!</v>
      </c>
      <c r="P63" s="13" t="e">
        <f t="shared" ca="1" si="68"/>
        <v>#DIV/0!</v>
      </c>
      <c r="Q63" s="13">
        <f t="shared" si="82"/>
        <v>500468530.69247168</v>
      </c>
      <c r="R63" s="13">
        <f t="shared" si="82"/>
        <v>28161703473.122406</v>
      </c>
      <c r="S63" s="13">
        <f t="shared" si="82"/>
        <v>316119798249.35815</v>
      </c>
      <c r="T63" s="13">
        <f t="shared" si="82"/>
        <v>1585161140824.8247</v>
      </c>
      <c r="U63" s="13">
        <f t="shared" si="82"/>
        <v>5017070431619.9805</v>
      </c>
      <c r="V63" s="13">
        <f t="shared" si="82"/>
        <v>11915333804389.246</v>
      </c>
      <c r="W63" s="13">
        <f t="shared" si="82"/>
        <v>23378044211242.227</v>
      </c>
      <c r="X63" s="13">
        <f t="shared" si="82"/>
        <v>40144019005331.68</v>
      </c>
      <c r="Y63" s="54">
        <f t="shared" si="82"/>
        <v>49530322667050.477</v>
      </c>
      <c r="Z63" s="13">
        <f t="shared" si="82"/>
        <v>62586880207529.602</v>
      </c>
      <c r="AA63" s="13">
        <f t="shared" si="82"/>
        <v>90782761330781.828</v>
      </c>
      <c r="AB63" s="13">
        <f t="shared" si="55"/>
        <v>124596408664532.14</v>
      </c>
      <c r="AC63" s="13">
        <f t="shared" si="51"/>
        <v>34418621221333.375</v>
      </c>
      <c r="AD63" s="13">
        <f t="shared" si="69"/>
        <v>347775581.97819853</v>
      </c>
      <c r="AE63" s="13">
        <f t="shared" si="70"/>
        <v>19569567743.472759</v>
      </c>
      <c r="AF63" s="13">
        <f t="shared" si="71"/>
        <v>219671647803.47897</v>
      </c>
      <c r="AG63" s="13">
        <f t="shared" si="72"/>
        <v>1101528476759.1707</v>
      </c>
      <c r="AH63" s="13">
        <f t="shared" si="73"/>
        <v>3486362242932.7241</v>
      </c>
      <c r="AI63" s="13">
        <f t="shared" si="74"/>
        <v>8279965460670.0869</v>
      </c>
      <c r="AJ63" s="13">
        <f t="shared" si="75"/>
        <v>16245402922392.223</v>
      </c>
      <c r="AK63" s="13">
        <f t="shared" si="76"/>
        <v>27896078806804.984</v>
      </c>
      <c r="AL63" s="13">
        <f t="shared" si="77"/>
        <v>34418621221333.375</v>
      </c>
      <c r="AM63" s="13">
        <f t="shared" si="78"/>
        <v>43491623056212.32</v>
      </c>
      <c r="AN63" s="13">
        <f t="shared" si="79"/>
        <v>63084940848760.289</v>
      </c>
      <c r="AO63" s="13">
        <f t="shared" si="80"/>
        <v>86582044380983.375</v>
      </c>
      <c r="AP63" s="13">
        <f t="shared" si="81"/>
        <v>23917499886704.562</v>
      </c>
      <c r="AQ63" s="13">
        <f t="shared" si="52"/>
        <v>4.8871563791213372E-2</v>
      </c>
      <c r="AR63" s="13">
        <f t="shared" si="40"/>
        <v>4.5880104792325488E-2</v>
      </c>
      <c r="AS63" s="13">
        <f t="shared" si="41"/>
        <v>4.246542061892071E-2</v>
      </c>
      <c r="AT63" s="13">
        <f t="shared" si="42"/>
        <v>3.9627457443837513E-2</v>
      </c>
      <c r="AU63" s="13">
        <f t="shared" si="43"/>
        <v>3.7380881090261595E-2</v>
      </c>
      <c r="AV63" s="13">
        <f t="shared" si="44"/>
        <v>3.5603534085996223E-2</v>
      </c>
      <c r="AW63" s="13">
        <f t="shared" si="45"/>
        <v>3.4181809296826501E-2</v>
      </c>
      <c r="AX63" s="13">
        <f t="shared" si="46"/>
        <v>3.258066529542495E-2</v>
      </c>
      <c r="AY63" s="13">
        <f t="shared" si="47"/>
        <v>3.2082192621842774E-2</v>
      </c>
      <c r="AZ63" s="13">
        <f t="shared" si="48"/>
        <v>3.1294623341688831E-2</v>
      </c>
      <c r="BA63" s="13">
        <f t="shared" si="56"/>
        <v>3.0632248064880904E-2</v>
      </c>
      <c r="BB63" s="13">
        <f t="shared" si="57"/>
        <v>3.1122949488770778E-2</v>
      </c>
    </row>
    <row r="64" spans="1:54">
      <c r="A64">
        <f>data0!A62</f>
        <v>600</v>
      </c>
      <c r="B64" s="13">
        <v>0.63100000000000001</v>
      </c>
      <c r="C64" t="e">
        <f ca="1">(Calculations!C63-C$2)/C$1</f>
        <v>#DIV/0!</v>
      </c>
      <c r="D64" s="13" t="e">
        <f t="shared" ca="1" si="58"/>
        <v>#DIV/0!</v>
      </c>
      <c r="E64" s="13" t="e">
        <f t="shared" ca="1" si="59"/>
        <v>#DIV/0!</v>
      </c>
      <c r="F64" s="13" t="e">
        <f t="shared" ca="1" si="60"/>
        <v>#DIV/0!</v>
      </c>
      <c r="G64" s="13" t="e">
        <f t="shared" ca="1" si="61"/>
        <v>#DIV/0!</v>
      </c>
      <c r="H64" s="13" t="e">
        <f t="shared" ca="1" si="62"/>
        <v>#DIV/0!</v>
      </c>
      <c r="I64" s="13" t="e">
        <f t="shared" ca="1" si="63"/>
        <v>#DIV/0!</v>
      </c>
      <c r="J64" s="13" t="e">
        <f t="shared" ca="1" si="64"/>
        <v>#DIV/0!</v>
      </c>
      <c r="K64" s="13" t="e">
        <f t="shared" ca="1" si="21"/>
        <v>#DIV/0!</v>
      </c>
      <c r="L64" s="13" t="e">
        <f t="shared" ca="1" si="22"/>
        <v>#DIV/0!</v>
      </c>
      <c r="M64" s="13" t="e">
        <f t="shared" ca="1" si="65"/>
        <v>#DIV/0!</v>
      </c>
      <c r="N64" s="13" t="e">
        <f t="shared" ca="1" si="66"/>
        <v>#DIV/0!</v>
      </c>
      <c r="O64" s="13" t="e">
        <f t="shared" ca="1" si="67"/>
        <v>#DIV/0!</v>
      </c>
      <c r="P64" s="13" t="e">
        <f t="shared" ca="1" si="68"/>
        <v>#DIV/0!</v>
      </c>
      <c r="Q64" s="13">
        <f t="shared" si="82"/>
        <v>548969246.48109961</v>
      </c>
      <c r="R64" s="13">
        <f t="shared" si="82"/>
        <v>29870655300.475525</v>
      </c>
      <c r="S64" s="13">
        <f t="shared" si="82"/>
        <v>328615591123.23877</v>
      </c>
      <c r="T64" s="13">
        <f t="shared" si="82"/>
        <v>1625858911525.1309</v>
      </c>
      <c r="U64" s="13">
        <f t="shared" si="82"/>
        <v>5096928096269.6631</v>
      </c>
      <c r="V64" s="13">
        <f t="shared" si="82"/>
        <v>12018951325900.715</v>
      </c>
      <c r="W64" s="13">
        <f t="shared" si="82"/>
        <v>23451843354244.059</v>
      </c>
      <c r="X64" s="13">
        <f t="shared" si="82"/>
        <v>40095454534461.18</v>
      </c>
      <c r="Y64" s="54">
        <f t="shared" si="82"/>
        <v>49387542959536.969</v>
      </c>
      <c r="Z64" s="13">
        <f t="shared" si="82"/>
        <v>62291059186266.547</v>
      </c>
      <c r="AA64" s="13">
        <f t="shared" si="82"/>
        <v>90091971529511.031</v>
      </c>
      <c r="AB64" s="13">
        <f t="shared" si="55"/>
        <v>123349527328503.53</v>
      </c>
      <c r="AC64" s="13">
        <f t="shared" si="51"/>
        <v>31163539607467.828</v>
      </c>
      <c r="AD64" s="13">
        <f t="shared" si="69"/>
        <v>346399594.52957386</v>
      </c>
      <c r="AE64" s="13">
        <f t="shared" si="70"/>
        <v>18848383494.600056</v>
      </c>
      <c r="AF64" s="13">
        <f t="shared" si="71"/>
        <v>207356437998.76367</v>
      </c>
      <c r="AG64" s="13">
        <f t="shared" si="72"/>
        <v>1025916973172.3575</v>
      </c>
      <c r="AH64" s="13">
        <f t="shared" si="73"/>
        <v>3216161628746.1572</v>
      </c>
      <c r="AI64" s="13">
        <f t="shared" si="74"/>
        <v>7583958286643.3516</v>
      </c>
      <c r="AJ64" s="13">
        <f t="shared" si="75"/>
        <v>14798113156528.002</v>
      </c>
      <c r="AK64" s="13">
        <f t="shared" si="76"/>
        <v>25300231811245.004</v>
      </c>
      <c r="AL64" s="13">
        <f t="shared" si="77"/>
        <v>31163539607467.828</v>
      </c>
      <c r="AM64" s="13">
        <f t="shared" si="78"/>
        <v>39305658346534.195</v>
      </c>
      <c r="AN64" s="13">
        <f t="shared" si="79"/>
        <v>56848034035121.461</v>
      </c>
      <c r="AO64" s="13">
        <f t="shared" si="80"/>
        <v>77833551744285.734</v>
      </c>
      <c r="AP64" s="13">
        <f t="shared" si="81"/>
        <v>19664193492312.199</v>
      </c>
      <c r="AQ64" s="13">
        <f t="shared" si="52"/>
        <v>4.8678201571850932E-2</v>
      </c>
      <c r="AR64" s="13">
        <f t="shared" si="40"/>
        <v>4.418931584151229E-2</v>
      </c>
      <c r="AS64" s="13">
        <f t="shared" si="41"/>
        <v>4.0084728483195727E-2</v>
      </c>
      <c r="AT64" s="13">
        <f t="shared" si="42"/>
        <v>3.6907335627771119E-2</v>
      </c>
      <c r="AU64" s="13">
        <f t="shared" si="43"/>
        <v>3.4483781957806756E-2</v>
      </c>
      <c r="AV64" s="13">
        <f t="shared" si="44"/>
        <v>3.261072991763761E-2</v>
      </c>
      <c r="AW64" s="13">
        <f t="shared" si="45"/>
        <v>3.1136579639528802E-2</v>
      </c>
      <c r="AX64" s="13">
        <f t="shared" si="46"/>
        <v>2.9499405186582724E-2</v>
      </c>
      <c r="AY64" s="13">
        <f t="shared" si="47"/>
        <v>2.8994358306012446E-2</v>
      </c>
      <c r="AZ64" s="13">
        <f t="shared" si="48"/>
        <v>2.8200673392239438E-2</v>
      </c>
      <c r="BA64" s="13">
        <f t="shared" si="56"/>
        <v>2.7537079793479288E-2</v>
      </c>
      <c r="BB64" s="13">
        <f t="shared" si="57"/>
        <v>2.5588280702317678E-2</v>
      </c>
    </row>
    <row r="65" spans="1:54">
      <c r="A65">
        <f>data0!A63</f>
        <v>605</v>
      </c>
      <c r="B65" s="13">
        <v>0.56679999999999997</v>
      </c>
      <c r="C65" t="e">
        <f ca="1">(Calculations!C64-C$2)/C$1</f>
        <v>#DIV/0!</v>
      </c>
      <c r="D65" s="13" t="e">
        <f t="shared" ca="1" si="58"/>
        <v>#DIV/0!</v>
      </c>
      <c r="E65" s="13" t="e">
        <f t="shared" ca="1" si="59"/>
        <v>#DIV/0!</v>
      </c>
      <c r="F65" s="13" t="e">
        <f t="shared" ca="1" si="60"/>
        <v>#DIV/0!</v>
      </c>
      <c r="G65" s="13" t="e">
        <f t="shared" ca="1" si="61"/>
        <v>#DIV/0!</v>
      </c>
      <c r="H65" s="13" t="e">
        <f t="shared" ca="1" si="62"/>
        <v>#DIV/0!</v>
      </c>
      <c r="I65" s="13" t="e">
        <f t="shared" ca="1" si="63"/>
        <v>#DIV/0!</v>
      </c>
      <c r="J65" s="13" t="e">
        <f t="shared" ca="1" si="64"/>
        <v>#DIV/0!</v>
      </c>
      <c r="K65" s="13" t="e">
        <f t="shared" ca="1" si="21"/>
        <v>#DIV/0!</v>
      </c>
      <c r="L65" s="13" t="e">
        <f t="shared" ca="1" si="22"/>
        <v>#DIV/0!</v>
      </c>
      <c r="M65" s="13" t="e">
        <f t="shared" ca="1" si="65"/>
        <v>#DIV/0!</v>
      </c>
      <c r="N65" s="13" t="e">
        <f t="shared" ca="1" si="66"/>
        <v>#DIV/0!</v>
      </c>
      <c r="O65" s="13" t="e">
        <f t="shared" ca="1" si="67"/>
        <v>#DIV/0!</v>
      </c>
      <c r="P65" s="13" t="e">
        <f t="shared" ca="1" si="68"/>
        <v>#DIV/0!</v>
      </c>
      <c r="Q65" s="13">
        <f t="shared" si="82"/>
        <v>601043241.94719911</v>
      </c>
      <c r="R65" s="13">
        <f t="shared" si="82"/>
        <v>31641578970.68103</v>
      </c>
      <c r="S65" s="13">
        <f t="shared" si="82"/>
        <v>341269110288.1496</v>
      </c>
      <c r="T65" s="13">
        <f t="shared" si="82"/>
        <v>1666331536647.4502</v>
      </c>
      <c r="U65" s="13">
        <f t="shared" si="82"/>
        <v>5174940872907.0996</v>
      </c>
      <c r="V65" s="13">
        <f t="shared" si="82"/>
        <v>12117636593518.951</v>
      </c>
      <c r="W65" s="13">
        <f t="shared" si="82"/>
        <v>23516775650440.918</v>
      </c>
      <c r="X65" s="13">
        <f t="shared" si="82"/>
        <v>40034494562205.68</v>
      </c>
      <c r="Y65" s="54">
        <f t="shared" si="82"/>
        <v>49231309357371.641</v>
      </c>
      <c r="Z65" s="13">
        <f t="shared" si="82"/>
        <v>61981208554733.25</v>
      </c>
      <c r="AA65" s="13">
        <f t="shared" si="82"/>
        <v>89388815889433.281</v>
      </c>
      <c r="AB65" s="13">
        <f t="shared" si="55"/>
        <v>122096384418752.69</v>
      </c>
      <c r="AC65" s="13">
        <f t="shared" si="51"/>
        <v>27904306143758.246</v>
      </c>
      <c r="AD65" s="13">
        <f t="shared" si="69"/>
        <v>340671309.53567243</v>
      </c>
      <c r="AE65" s="13">
        <f t="shared" si="70"/>
        <v>17934446960.582008</v>
      </c>
      <c r="AF65" s="13">
        <f t="shared" si="71"/>
        <v>193431331711.32318</v>
      </c>
      <c r="AG65" s="13">
        <f t="shared" si="72"/>
        <v>944476714971.77478</v>
      </c>
      <c r="AH65" s="13">
        <f t="shared" si="73"/>
        <v>2933156486763.7441</v>
      </c>
      <c r="AI65" s="13">
        <f t="shared" si="74"/>
        <v>6868276421206.541</v>
      </c>
      <c r="AJ65" s="13">
        <f t="shared" si="75"/>
        <v>13329308438669.912</v>
      </c>
      <c r="AK65" s="13">
        <f t="shared" si="76"/>
        <v>22691551517858.18</v>
      </c>
      <c r="AL65" s="13">
        <f t="shared" si="77"/>
        <v>27904306143758.246</v>
      </c>
      <c r="AM65" s="13">
        <f t="shared" si="78"/>
        <v>35130949008822.805</v>
      </c>
      <c r="AN65" s="13">
        <f t="shared" si="79"/>
        <v>50665580846130.781</v>
      </c>
      <c r="AO65" s="13">
        <f t="shared" si="80"/>
        <v>69204230688549.023</v>
      </c>
      <c r="AP65" s="13">
        <f t="shared" si="81"/>
        <v>15816160722282.174</v>
      </c>
      <c r="AQ65" s="13">
        <f t="shared" si="52"/>
        <v>4.7873227732395884E-2</v>
      </c>
      <c r="AR65" s="13">
        <f t="shared" si="40"/>
        <v>4.2046626513677306E-2</v>
      </c>
      <c r="AS65" s="13">
        <f t="shared" si="41"/>
        <v>3.7392822169512702E-2</v>
      </c>
      <c r="AT65" s="13">
        <f t="shared" si="42"/>
        <v>3.3977524520614137E-2</v>
      </c>
      <c r="AU65" s="13">
        <f t="shared" si="43"/>
        <v>3.1449392292240003E-2</v>
      </c>
      <c r="AV65" s="13">
        <f t="shared" si="44"/>
        <v>2.9533325330403169E-2</v>
      </c>
      <c r="AW65" s="13">
        <f t="shared" si="45"/>
        <v>2.8046080561115603E-2</v>
      </c>
      <c r="AX65" s="13">
        <f t="shared" si="46"/>
        <v>2.6414214936865431E-2</v>
      </c>
      <c r="AY65" s="13">
        <f t="shared" si="47"/>
        <v>2.5914826669780917E-2</v>
      </c>
      <c r="AZ65" s="13">
        <f t="shared" si="48"/>
        <v>2.5133736318605191E-2</v>
      </c>
      <c r="BA65" s="13">
        <f t="shared" si="56"/>
        <v>2.4484073767799389E-2</v>
      </c>
      <c r="BB65" s="13">
        <f t="shared" si="57"/>
        <v>2.0580979349748073E-2</v>
      </c>
    </row>
    <row r="66" spans="1:54">
      <c r="A66">
        <f>data0!A64</f>
        <v>610</v>
      </c>
      <c r="B66" s="13">
        <v>0.503</v>
      </c>
      <c r="C66" t="e">
        <f ca="1">(Calculations!C65-C$2)/C$1</f>
        <v>#DIV/0!</v>
      </c>
      <c r="D66" s="13" t="e">
        <f t="shared" ca="1" si="58"/>
        <v>#DIV/0!</v>
      </c>
      <c r="E66" s="13" t="e">
        <f t="shared" ca="1" si="59"/>
        <v>#DIV/0!</v>
      </c>
      <c r="F66" s="13" t="e">
        <f t="shared" ca="1" si="60"/>
        <v>#DIV/0!</v>
      </c>
      <c r="G66" s="13" t="e">
        <f t="shared" ca="1" si="61"/>
        <v>#DIV/0!</v>
      </c>
      <c r="H66" s="13" t="e">
        <f t="shared" ca="1" si="62"/>
        <v>#DIV/0!</v>
      </c>
      <c r="I66" s="13" t="e">
        <f t="shared" ca="1" si="63"/>
        <v>#DIV/0!</v>
      </c>
      <c r="J66" s="13" t="e">
        <f t="shared" ca="1" si="64"/>
        <v>#DIV/0!</v>
      </c>
      <c r="K66" s="13" t="e">
        <f t="shared" ca="1" si="21"/>
        <v>#DIV/0!</v>
      </c>
      <c r="L66" s="13" t="e">
        <f t="shared" ca="1" si="22"/>
        <v>#DIV/0!</v>
      </c>
      <c r="M66" s="13" t="e">
        <f t="shared" ca="1" si="65"/>
        <v>#DIV/0!</v>
      </c>
      <c r="N66" s="13" t="e">
        <f t="shared" ca="1" si="66"/>
        <v>#DIV/0!</v>
      </c>
      <c r="O66" s="13" t="e">
        <f t="shared" ca="1" si="67"/>
        <v>#DIV/0!</v>
      </c>
      <c r="P66" s="13" t="e">
        <f t="shared" ca="1" si="68"/>
        <v>#DIV/0!</v>
      </c>
      <c r="Q66" s="13">
        <f t="shared" si="82"/>
        <v>656857424.65615749</v>
      </c>
      <c r="R66" s="13">
        <f t="shared" si="82"/>
        <v>33474524525.840031</v>
      </c>
      <c r="S66" s="13">
        <f t="shared" si="82"/>
        <v>354070623067.59802</v>
      </c>
      <c r="T66" s="13">
        <f t="shared" si="82"/>
        <v>1706547891495.7642</v>
      </c>
      <c r="U66" s="13">
        <f t="shared" si="82"/>
        <v>5251079039703.7793</v>
      </c>
      <c r="V66" s="13">
        <f t="shared" si="82"/>
        <v>12211434630744.045</v>
      </c>
      <c r="W66" s="13">
        <f t="shared" si="82"/>
        <v>23573061471412.641</v>
      </c>
      <c r="X66" s="13">
        <f t="shared" si="82"/>
        <v>39961622457539.914</v>
      </c>
      <c r="Y66" s="54">
        <f t="shared" si="82"/>
        <v>49062240668553.102</v>
      </c>
      <c r="Z66" s="13">
        <f t="shared" si="82"/>
        <v>61658116078302.969</v>
      </c>
      <c r="AA66" s="13">
        <f t="shared" si="82"/>
        <v>88674364563455.141</v>
      </c>
      <c r="AB66" s="13">
        <f t="shared" si="55"/>
        <v>120838244596214.05</v>
      </c>
      <c r="AC66" s="13">
        <f t="shared" si="51"/>
        <v>24678307056282.211</v>
      </c>
      <c r="AD66" s="13">
        <f t="shared" si="69"/>
        <v>330399284.6020472</v>
      </c>
      <c r="AE66" s="13">
        <f t="shared" si="70"/>
        <v>16837685836.497536</v>
      </c>
      <c r="AF66" s="13">
        <f t="shared" si="71"/>
        <v>178097523403.0018</v>
      </c>
      <c r="AG66" s="13">
        <f t="shared" si="72"/>
        <v>858393589422.36938</v>
      </c>
      <c r="AH66" s="13">
        <f t="shared" si="73"/>
        <v>2641292756971.001</v>
      </c>
      <c r="AI66" s="13">
        <f t="shared" si="74"/>
        <v>6142351619264.2549</v>
      </c>
      <c r="AJ66" s="13">
        <f t="shared" si="75"/>
        <v>11857249920120.559</v>
      </c>
      <c r="AK66" s="13">
        <f t="shared" si="76"/>
        <v>20100696096142.578</v>
      </c>
      <c r="AL66" s="13">
        <f t="shared" si="77"/>
        <v>24678307056282.211</v>
      </c>
      <c r="AM66" s="13">
        <f t="shared" si="78"/>
        <v>31014032387386.395</v>
      </c>
      <c r="AN66" s="13">
        <f t="shared" si="79"/>
        <v>44603205375417.937</v>
      </c>
      <c r="AO66" s="13">
        <f t="shared" si="80"/>
        <v>60781637031895.664</v>
      </c>
      <c r="AP66" s="13">
        <f t="shared" si="81"/>
        <v>12413188449309.953</v>
      </c>
      <c r="AQ66" s="13">
        <f t="shared" si="52"/>
        <v>4.6429739610104222E-2</v>
      </c>
      <c r="AR66" s="13">
        <f t="shared" si="40"/>
        <v>3.9475311911088405E-2</v>
      </c>
      <c r="AS66" s="13">
        <f t="shared" si="41"/>
        <v>3.4428595215266422E-2</v>
      </c>
      <c r="AT66" s="13">
        <f t="shared" si="42"/>
        <v>3.0880686384955666E-2</v>
      </c>
      <c r="AU66" s="13">
        <f t="shared" si="43"/>
        <v>2.8320020581064864E-2</v>
      </c>
      <c r="AV66" s="13">
        <f t="shared" si="44"/>
        <v>2.6411876508836397E-2</v>
      </c>
      <c r="AW66" s="13">
        <f t="shared" si="45"/>
        <v>2.4948735189307895E-2</v>
      </c>
      <c r="AX66" s="13">
        <f t="shared" si="46"/>
        <v>2.3360484346191548E-2</v>
      </c>
      <c r="AY66" s="13">
        <f t="shared" si="47"/>
        <v>2.2877926623850742E-2</v>
      </c>
      <c r="AZ66" s="13">
        <f t="shared" si="48"/>
        <v>2.2126366344736376E-2</v>
      </c>
      <c r="BA66" s="13">
        <f t="shared" si="56"/>
        <v>2.1504206751665901E-2</v>
      </c>
      <c r="BB66" s="13">
        <f t="shared" si="57"/>
        <v>1.6152818602801596E-2</v>
      </c>
    </row>
    <row r="67" spans="1:54">
      <c r="A67">
        <f>data0!A65</f>
        <v>615</v>
      </c>
      <c r="B67" s="13">
        <v>0.44119999999999998</v>
      </c>
      <c r="C67" t="e">
        <f ca="1">(Calculations!C66-C$2)/C$1</f>
        <v>#DIV/0!</v>
      </c>
      <c r="D67" s="13" t="e">
        <f t="shared" ca="1" si="58"/>
        <v>#DIV/0!</v>
      </c>
      <c r="E67" s="13" t="e">
        <f t="shared" ca="1" si="59"/>
        <v>#DIV/0!</v>
      </c>
      <c r="F67" s="13" t="e">
        <f t="shared" ca="1" si="60"/>
        <v>#DIV/0!</v>
      </c>
      <c r="G67" s="13" t="e">
        <f t="shared" ca="1" si="61"/>
        <v>#DIV/0!</v>
      </c>
      <c r="H67" s="13" t="e">
        <f t="shared" ca="1" si="62"/>
        <v>#DIV/0!</v>
      </c>
      <c r="I67" s="13" t="e">
        <f t="shared" ca="1" si="63"/>
        <v>#DIV/0!</v>
      </c>
      <c r="J67" s="13" t="e">
        <f t="shared" ca="1" si="64"/>
        <v>#DIV/0!</v>
      </c>
      <c r="K67" s="13" t="e">
        <f t="shared" ca="1" si="21"/>
        <v>#DIV/0!</v>
      </c>
      <c r="L67" s="13" t="e">
        <f t="shared" ca="1" si="22"/>
        <v>#DIV/0!</v>
      </c>
      <c r="M67" s="13" t="e">
        <f t="shared" ca="1" si="65"/>
        <v>#DIV/0!</v>
      </c>
      <c r="N67" s="13" t="e">
        <f t="shared" ca="1" si="66"/>
        <v>#DIV/0!</v>
      </c>
      <c r="O67" s="13" t="e">
        <f t="shared" ca="1" si="67"/>
        <v>#DIV/0!</v>
      </c>
      <c r="P67" s="13" t="e">
        <f t="shared" ca="1" si="68"/>
        <v>#DIV/0!</v>
      </c>
      <c r="Q67" s="13">
        <f t="shared" si="82"/>
        <v>716580063.23676109</v>
      </c>
      <c r="R67" s="13">
        <f t="shared" si="82"/>
        <v>35369453172.167892</v>
      </c>
      <c r="S67" s="13">
        <f t="shared" si="82"/>
        <v>367010306292.48163</v>
      </c>
      <c r="T67" s="13">
        <f t="shared" si="82"/>
        <v>1746478005269.6272</v>
      </c>
      <c r="U67" s="13">
        <f t="shared" si="82"/>
        <v>5325316556914.7734</v>
      </c>
      <c r="V67" s="13">
        <f t="shared" si="82"/>
        <v>12300395489033.654</v>
      </c>
      <c r="W67" s="13">
        <f t="shared" si="82"/>
        <v>23620923026686.516</v>
      </c>
      <c r="X67" s="13">
        <f t="shared" si="82"/>
        <v>39877313588742.812</v>
      </c>
      <c r="Y67" s="54">
        <f t="shared" si="82"/>
        <v>48880941032906.016</v>
      </c>
      <c r="Z67" s="13">
        <f t="shared" si="82"/>
        <v>61322545054078.969</v>
      </c>
      <c r="AA67" s="13">
        <f t="shared" si="82"/>
        <v>87949642031591.344</v>
      </c>
      <c r="AB67" s="13">
        <f t="shared" si="55"/>
        <v>119576303925951.22</v>
      </c>
      <c r="AC67" s="13">
        <f t="shared" si="51"/>
        <v>21566271183718.133</v>
      </c>
      <c r="AD67" s="13">
        <f t="shared" si="69"/>
        <v>316155123.90005898</v>
      </c>
      <c r="AE67" s="13">
        <f t="shared" si="70"/>
        <v>15605002739.560474</v>
      </c>
      <c r="AF67" s="13">
        <f t="shared" si="71"/>
        <v>161924947136.24289</v>
      </c>
      <c r="AG67" s="13">
        <f t="shared" si="72"/>
        <v>770546095924.95947</v>
      </c>
      <c r="AH67" s="13">
        <f t="shared" si="73"/>
        <v>2349529664910.7979</v>
      </c>
      <c r="AI67" s="13">
        <f t="shared" si="74"/>
        <v>5426934489761.6484</v>
      </c>
      <c r="AJ67" s="13">
        <f t="shared" si="75"/>
        <v>10421551239374.09</v>
      </c>
      <c r="AK67" s="13">
        <f t="shared" si="76"/>
        <v>17593870755353.328</v>
      </c>
      <c r="AL67" s="13">
        <f t="shared" si="77"/>
        <v>21566271183718.133</v>
      </c>
      <c r="AM67" s="13">
        <f t="shared" si="78"/>
        <v>27055506877859.641</v>
      </c>
      <c r="AN67" s="13">
        <f t="shared" si="79"/>
        <v>38803382064338.102</v>
      </c>
      <c r="AO67" s="13">
        <f t="shared" si="80"/>
        <v>52757065292129.672</v>
      </c>
      <c r="AP67" s="13">
        <f t="shared" si="81"/>
        <v>9515038846256.4395</v>
      </c>
      <c r="AQ67" s="13">
        <f t="shared" si="52"/>
        <v>4.4428062538816475E-2</v>
      </c>
      <c r="AR67" s="13">
        <f t="shared" si="40"/>
        <v>3.6585333429981465E-2</v>
      </c>
      <c r="AS67" s="13">
        <f t="shared" si="41"/>
        <v>3.1302223375629247E-2</v>
      </c>
      <c r="AT67" s="13">
        <f t="shared" si="42"/>
        <v>2.7720375159631348E-2</v>
      </c>
      <c r="AU67" s="13">
        <f t="shared" si="43"/>
        <v>2.519172791069247E-2</v>
      </c>
      <c r="AV67" s="13">
        <f t="shared" si="44"/>
        <v>2.3335610275970944E-2</v>
      </c>
      <c r="AW67" s="13">
        <f t="shared" si="45"/>
        <v>2.1927894232181628E-2</v>
      </c>
      <c r="AX67" s="13">
        <f t="shared" si="46"/>
        <v>2.0414631329612229E-2</v>
      </c>
      <c r="AY67" s="13">
        <f t="shared" si="47"/>
        <v>1.9957865955363564E-2</v>
      </c>
      <c r="AZ67" s="13">
        <f t="shared" si="48"/>
        <v>1.9249240940058174E-2</v>
      </c>
      <c r="BA67" s="13">
        <f t="shared" si="56"/>
        <v>1.8665157686650592E-2</v>
      </c>
      <c r="BB67" s="13">
        <f t="shared" si="57"/>
        <v>1.2381564745416776E-2</v>
      </c>
    </row>
    <row r="68" spans="1:54">
      <c r="A68">
        <f>data0!A66</f>
        <v>620</v>
      </c>
      <c r="B68" s="13">
        <v>0.38100000000000001</v>
      </c>
      <c r="C68" t="e">
        <f ca="1">(Calculations!C67-C$2)/C$1</f>
        <v>#DIV/0!</v>
      </c>
      <c r="D68" s="13" t="e">
        <f t="shared" ca="1" si="58"/>
        <v>#DIV/0!</v>
      </c>
      <c r="E68" s="13" t="e">
        <f t="shared" ca="1" si="59"/>
        <v>#DIV/0!</v>
      </c>
      <c r="F68" s="13" t="e">
        <f t="shared" ca="1" si="60"/>
        <v>#DIV/0!</v>
      </c>
      <c r="G68" s="13" t="e">
        <f t="shared" ca="1" si="61"/>
        <v>#DIV/0!</v>
      </c>
      <c r="H68" s="13" t="e">
        <f t="shared" ca="1" si="62"/>
        <v>#DIV/0!</v>
      </c>
      <c r="I68" s="13" t="e">
        <f t="shared" ca="1" si="63"/>
        <v>#DIV/0!</v>
      </c>
      <c r="J68" s="13" t="e">
        <f t="shared" ca="1" si="64"/>
        <v>#DIV/0!</v>
      </c>
      <c r="K68" s="13" t="e">
        <f t="shared" ref="K68:K131" ca="1" si="83">$C68*X68</f>
        <v>#DIV/0!</v>
      </c>
      <c r="L68" s="13" t="e">
        <f t="shared" ref="L68:L131" ca="1" si="84">$C68*Y68</f>
        <v>#DIV/0!</v>
      </c>
      <c r="M68" s="13" t="e">
        <f t="shared" ca="1" si="65"/>
        <v>#DIV/0!</v>
      </c>
      <c r="N68" s="13" t="e">
        <f t="shared" ca="1" si="66"/>
        <v>#DIV/0!</v>
      </c>
      <c r="O68" s="13" t="e">
        <f t="shared" ca="1" si="67"/>
        <v>#DIV/0!</v>
      </c>
      <c r="P68" s="13" t="e">
        <f t="shared" ca="1" si="68"/>
        <v>#DIV/0!</v>
      </c>
      <c r="Q68" s="13">
        <f t="shared" ref="Q68:AA83" si="85">(3.7418E-16/POWER($A68*0.000000001,5))/(EXP(0.0143877/($A68*Q$3/1000000000))-1)</f>
        <v>780380450.26000476</v>
      </c>
      <c r="R68" s="13">
        <f t="shared" si="85"/>
        <v>37326238209.527664</v>
      </c>
      <c r="S68" s="13">
        <f t="shared" si="85"/>
        <v>380078269945.39722</v>
      </c>
      <c r="T68" s="13">
        <f t="shared" si="85"/>
        <v>1786093077293.1509</v>
      </c>
      <c r="U68" s="13">
        <f t="shared" si="85"/>
        <v>5397630936758.8809</v>
      </c>
      <c r="V68" s="13">
        <f t="shared" si="85"/>
        <v>12384573853883.342</v>
      </c>
      <c r="W68" s="13">
        <f t="shared" si="85"/>
        <v>23660583777275.219</v>
      </c>
      <c r="X68" s="13">
        <f t="shared" si="85"/>
        <v>39782034849729.031</v>
      </c>
      <c r="Y68" s="54">
        <f t="shared" si="85"/>
        <v>48687999645213.648</v>
      </c>
      <c r="Z68" s="13">
        <f t="shared" si="85"/>
        <v>60975234412523.773</v>
      </c>
      <c r="AA68" s="13">
        <f t="shared" si="85"/>
        <v>87215628271115.844</v>
      </c>
      <c r="AB68" s="13">
        <f t="shared" ref="AB68:AB99" si="86">(3.7418E-16/POWER($A68*0.000000001,5))/(EXP(0.0143877/($A68*AB$3/1000000000))-1)</f>
        <v>118311692525078.08</v>
      </c>
      <c r="AC68" s="13">
        <f t="shared" si="51"/>
        <v>18550127864826.398</v>
      </c>
      <c r="AD68" s="13">
        <f t="shared" si="69"/>
        <v>297324951.54906183</v>
      </c>
      <c r="AE68" s="13">
        <f t="shared" si="70"/>
        <v>14221296757.83004</v>
      </c>
      <c r="AF68" s="13">
        <f t="shared" si="71"/>
        <v>144809820849.19635</v>
      </c>
      <c r="AG68" s="13">
        <f t="shared" si="72"/>
        <v>680501462448.69055</v>
      </c>
      <c r="AH68" s="13">
        <f t="shared" si="73"/>
        <v>2056497386905.1335</v>
      </c>
      <c r="AI68" s="13">
        <f t="shared" si="74"/>
        <v>4718522638329.5537</v>
      </c>
      <c r="AJ68" s="13">
        <f t="shared" si="75"/>
        <v>9014682419141.8594</v>
      </c>
      <c r="AK68" s="13">
        <f t="shared" si="76"/>
        <v>15156955277746.762</v>
      </c>
      <c r="AL68" s="13">
        <f t="shared" si="77"/>
        <v>18550127864826.398</v>
      </c>
      <c r="AM68" s="13">
        <f t="shared" si="78"/>
        <v>23231564311171.559</v>
      </c>
      <c r="AN68" s="13">
        <f t="shared" si="79"/>
        <v>33229154371295.137</v>
      </c>
      <c r="AO68" s="13">
        <f t="shared" si="80"/>
        <v>45076754852054.75</v>
      </c>
      <c r="AP68" s="13">
        <f t="shared" si="81"/>
        <v>7067598716498.8574</v>
      </c>
      <c r="AQ68" s="13">
        <f t="shared" si="52"/>
        <v>4.1781930904109039E-2</v>
      </c>
      <c r="AR68" s="13">
        <f t="shared" ref="AR68:AR131" si="87">AE68/AE$2</f>
        <v>3.3341287558567946E-2</v>
      </c>
      <c r="AS68" s="13">
        <f t="shared" ref="AS68:AS131" si="88">AF68/AF$2</f>
        <v>2.799364421216987E-2</v>
      </c>
      <c r="AT68" s="13">
        <f t="shared" ref="AT68:AT131" si="89">AG68/AG$2</f>
        <v>2.4481021882424219E-2</v>
      </c>
      <c r="AU68" s="13">
        <f t="shared" ref="AU68:AU131" si="90">AH68/AH$2</f>
        <v>2.2049826990344076E-2</v>
      </c>
      <c r="AV68" s="13">
        <f t="shared" ref="AV68:AV131" si="91">AI68/AI$2</f>
        <v>2.0289466470276241E-2</v>
      </c>
      <c r="AW68" s="13">
        <f t="shared" ref="AW68:AW131" si="92">AJ68/AJ$2</f>
        <v>1.8967713930802686E-2</v>
      </c>
      <c r="AX68" s="13">
        <f t="shared" ref="AX68:AX131" si="93">AL68/AL$2</f>
        <v>1.7559550200013253E-2</v>
      </c>
      <c r="AY68" s="13">
        <f t="shared" ref="AY68:AY131" si="94">AM68/AM$2</f>
        <v>1.7137082241663385E-2</v>
      </c>
      <c r="AZ68" s="13">
        <f t="shared" ref="AZ68:AZ131" si="95">AN68/AN$2</f>
        <v>1.648402702802803E-2</v>
      </c>
      <c r="BA68" s="13">
        <f t="shared" ref="BA68:BA99" si="96">AO68/AO$2</f>
        <v>1.5947906363957841E-2</v>
      </c>
      <c r="BB68" s="13">
        <f t="shared" ref="BB68:BB99" si="97">AP68/AP$2</f>
        <v>9.1968022954928754E-3</v>
      </c>
    </row>
    <row r="69" spans="1:54">
      <c r="A69">
        <f>data0!A67</f>
        <v>625</v>
      </c>
      <c r="B69" s="13">
        <v>0.32100000000000001</v>
      </c>
      <c r="C69" t="e">
        <f ca="1">(Calculations!C68-C$2)/C$1</f>
        <v>#DIV/0!</v>
      </c>
      <c r="D69" s="13" t="e">
        <f t="shared" ca="1" si="58"/>
        <v>#DIV/0!</v>
      </c>
      <c r="E69" s="13" t="e">
        <f t="shared" ca="1" si="59"/>
        <v>#DIV/0!</v>
      </c>
      <c r="F69" s="13" t="e">
        <f t="shared" ca="1" si="60"/>
        <v>#DIV/0!</v>
      </c>
      <c r="G69" s="13" t="e">
        <f t="shared" ca="1" si="61"/>
        <v>#DIV/0!</v>
      </c>
      <c r="H69" s="13" t="e">
        <f t="shared" ca="1" si="62"/>
        <v>#DIV/0!</v>
      </c>
      <c r="I69" s="13" t="e">
        <f t="shared" ca="1" si="63"/>
        <v>#DIV/0!</v>
      </c>
      <c r="J69" s="13" t="e">
        <f t="shared" ca="1" si="64"/>
        <v>#DIV/0!</v>
      </c>
      <c r="K69" s="13" t="e">
        <f t="shared" ca="1" si="83"/>
        <v>#DIV/0!</v>
      </c>
      <c r="L69" s="13" t="e">
        <f t="shared" ca="1" si="84"/>
        <v>#DIV/0!</v>
      </c>
      <c r="M69" s="13" t="e">
        <f t="shared" ca="1" si="65"/>
        <v>#DIV/0!</v>
      </c>
      <c r="N69" s="13" t="e">
        <f t="shared" ca="1" si="66"/>
        <v>#DIV/0!</v>
      </c>
      <c r="O69" s="13" t="e">
        <f t="shared" ca="1" si="67"/>
        <v>#DIV/0!</v>
      </c>
      <c r="P69" s="13" t="e">
        <f t="shared" ca="1" si="68"/>
        <v>#DIV/0!</v>
      </c>
      <c r="Q69" s="13">
        <f t="shared" si="85"/>
        <v>848428559.99942172</v>
      </c>
      <c r="R69" s="13">
        <f t="shared" si="85"/>
        <v>39344666199.393745</v>
      </c>
      <c r="S69" s="13">
        <f t="shared" si="85"/>
        <v>393264579948.8681</v>
      </c>
      <c r="T69" s="13">
        <f t="shared" si="85"/>
        <v>1825365488865.9207</v>
      </c>
      <c r="U69" s="13">
        <f t="shared" si="85"/>
        <v>5468003111382.5254</v>
      </c>
      <c r="V69" s="13">
        <f t="shared" si="85"/>
        <v>12464028665770.082</v>
      </c>
      <c r="W69" s="13">
        <f t="shared" si="85"/>
        <v>23692267891029.32</v>
      </c>
      <c r="X69" s="13">
        <f t="shared" si="85"/>
        <v>39676244250030.797</v>
      </c>
      <c r="Y69" s="54">
        <f t="shared" si="85"/>
        <v>48483990545372.32</v>
      </c>
      <c r="Z69" s="13">
        <f t="shared" si="85"/>
        <v>60616898882026.961</v>
      </c>
      <c r="AA69" s="13">
        <f t="shared" si="85"/>
        <v>86473259954325.375</v>
      </c>
      <c r="AB69" s="13">
        <f t="shared" si="86"/>
        <v>117045477164611.67</v>
      </c>
      <c r="AC69" s="13">
        <f t="shared" ref="AC69:AC132" si="98">B69*Y69</f>
        <v>15563360965064.516</v>
      </c>
      <c r="AD69" s="13">
        <f t="shared" si="69"/>
        <v>272345567.75981438</v>
      </c>
      <c r="AE69" s="13">
        <f t="shared" si="70"/>
        <v>12629637850.005392</v>
      </c>
      <c r="AF69" s="13">
        <f t="shared" si="71"/>
        <v>126237930163.58667</v>
      </c>
      <c r="AG69" s="13">
        <f t="shared" si="72"/>
        <v>585942321925.96057</v>
      </c>
      <c r="AH69" s="13">
        <f t="shared" si="73"/>
        <v>1755228998753.7908</v>
      </c>
      <c r="AI69" s="13">
        <f t="shared" si="74"/>
        <v>4000953201712.1963</v>
      </c>
      <c r="AJ69" s="13">
        <f t="shared" si="75"/>
        <v>7605217993020.4121</v>
      </c>
      <c r="AK69" s="13">
        <f t="shared" si="76"/>
        <v>12736074404259.887</v>
      </c>
      <c r="AL69" s="13">
        <f t="shared" si="77"/>
        <v>15563360965064.516</v>
      </c>
      <c r="AM69" s="13">
        <f t="shared" si="78"/>
        <v>19458024541130.656</v>
      </c>
      <c r="AN69" s="13">
        <f t="shared" si="79"/>
        <v>27757916445338.445</v>
      </c>
      <c r="AO69" s="13">
        <f t="shared" si="80"/>
        <v>37571598169840.344</v>
      </c>
      <c r="AP69" s="13">
        <f t="shared" si="81"/>
        <v>4995838869785.71</v>
      </c>
      <c r="AQ69" s="13">
        <f t="shared" ref="AQ69:AQ132" si="99">AD69/AD$2</f>
        <v>3.8271674257056874E-2</v>
      </c>
      <c r="AR69" s="13">
        <f t="shared" si="87"/>
        <v>2.9609703987490344E-2</v>
      </c>
      <c r="AS69" s="13">
        <f t="shared" si="88"/>
        <v>2.4403453317992305E-2</v>
      </c>
      <c r="AT69" s="13">
        <f t="shared" si="89"/>
        <v>2.107925933515457E-2</v>
      </c>
      <c r="AU69" s="13">
        <f t="shared" si="90"/>
        <v>1.8819618248676773E-2</v>
      </c>
      <c r="AV69" s="13">
        <f t="shared" si="91"/>
        <v>1.720394539932148E-2</v>
      </c>
      <c r="AW69" s="13">
        <f t="shared" si="92"/>
        <v>1.6002072237918784E-2</v>
      </c>
      <c r="AX69" s="13">
        <f t="shared" si="93"/>
        <v>1.4732276787437368E-2</v>
      </c>
      <c r="AY69" s="13">
        <f t="shared" si="94"/>
        <v>1.4353478842632642E-2</v>
      </c>
      <c r="AZ69" s="13">
        <f t="shared" si="95"/>
        <v>1.3769903375030389E-2</v>
      </c>
      <c r="BA69" s="13">
        <f t="shared" si="96"/>
        <v>1.3292623471308973E-2</v>
      </c>
      <c r="BB69" s="13">
        <f t="shared" si="97"/>
        <v>6.5008985694533497E-3</v>
      </c>
    </row>
    <row r="70" spans="1:54">
      <c r="A70">
        <f>data0!A68</f>
        <v>630</v>
      </c>
      <c r="B70" s="13">
        <v>0.26500000000000001</v>
      </c>
      <c r="C70" t="e">
        <f ca="1">(Calculations!C69-C$2)/C$1</f>
        <v>#DIV/0!</v>
      </c>
      <c r="D70" s="13" t="e">
        <f t="shared" ca="1" si="58"/>
        <v>#DIV/0!</v>
      </c>
      <c r="E70" s="13" t="e">
        <f t="shared" ca="1" si="59"/>
        <v>#DIV/0!</v>
      </c>
      <c r="F70" s="13" t="e">
        <f t="shared" ca="1" si="60"/>
        <v>#DIV/0!</v>
      </c>
      <c r="G70" s="13" t="e">
        <f t="shared" ca="1" si="61"/>
        <v>#DIV/0!</v>
      </c>
      <c r="H70" s="13" t="e">
        <f t="shared" ca="1" si="62"/>
        <v>#DIV/0!</v>
      </c>
      <c r="I70" s="13" t="e">
        <f t="shared" ca="1" si="63"/>
        <v>#DIV/0!</v>
      </c>
      <c r="J70" s="13" t="e">
        <f t="shared" ca="1" si="64"/>
        <v>#DIV/0!</v>
      </c>
      <c r="K70" s="13" t="e">
        <f t="shared" ca="1" si="83"/>
        <v>#DIV/0!</v>
      </c>
      <c r="L70" s="13" t="e">
        <f t="shared" ca="1" si="84"/>
        <v>#DIV/0!</v>
      </c>
      <c r="M70" s="13" t="e">
        <f t="shared" ca="1" si="65"/>
        <v>#DIV/0!</v>
      </c>
      <c r="N70" s="13" t="e">
        <f t="shared" ca="1" si="66"/>
        <v>#DIV/0!</v>
      </c>
      <c r="O70" s="13" t="e">
        <f t="shared" ca="1" si="67"/>
        <v>#DIV/0!</v>
      </c>
      <c r="P70" s="13" t="e">
        <f t="shared" ca="1" si="68"/>
        <v>#DIV/0!</v>
      </c>
      <c r="Q70" s="13">
        <f t="shared" si="85"/>
        <v>920894702.48850012</v>
      </c>
      <c r="R70" s="13">
        <f t="shared" si="85"/>
        <v>41424438356.68251</v>
      </c>
      <c r="S70" s="13">
        <f t="shared" si="85"/>
        <v>406559280060.45068</v>
      </c>
      <c r="T70" s="13">
        <f t="shared" si="85"/>
        <v>1864268811005.5618</v>
      </c>
      <c r="U70" s="13">
        <f t="shared" si="85"/>
        <v>5536417299572.1025</v>
      </c>
      <c r="V70" s="13">
        <f t="shared" si="85"/>
        <v>12538822756127.035</v>
      </c>
      <c r="W70" s="13">
        <f t="shared" si="85"/>
        <v>23716199738049.914</v>
      </c>
      <c r="X70" s="13">
        <f t="shared" si="85"/>
        <v>39560390563879.437</v>
      </c>
      <c r="Y70" s="54">
        <f t="shared" si="85"/>
        <v>48269472469810.625</v>
      </c>
      <c r="Z70" s="13">
        <f t="shared" si="85"/>
        <v>60248229209493.875</v>
      </c>
      <c r="AA70" s="13">
        <f t="shared" si="85"/>
        <v>85723431666460.25</v>
      </c>
      <c r="AB70" s="13">
        <f t="shared" si="86"/>
        <v>115778663820058.73</v>
      </c>
      <c r="AC70" s="13">
        <f t="shared" si="98"/>
        <v>12791410204499.816</v>
      </c>
      <c r="AD70" s="13">
        <f>$B70*Q70</f>
        <v>244037096.15945256</v>
      </c>
      <c r="AE70" s="13">
        <f>$B70*R70</f>
        <v>10977476164.520866</v>
      </c>
      <c r="AF70" s="13">
        <f>$B70*S70</f>
        <v>107738209216.01944</v>
      </c>
      <c r="AG70" s="13">
        <f t="shared" ref="AG70:AG110" si="100">$B70*T70</f>
        <v>494031234916.47388</v>
      </c>
      <c r="AH70" s="13">
        <f t="shared" ref="AH70:AH110" si="101">$B70*U70</f>
        <v>1467150584386.6072</v>
      </c>
      <c r="AI70" s="13">
        <f t="shared" ref="AI70:AI110" si="102">$B70*V70</f>
        <v>3322788030373.6646</v>
      </c>
      <c r="AJ70" s="13">
        <f t="shared" ref="AJ70:AL110" si="103">$B70*W70</f>
        <v>6284792930583.2275</v>
      </c>
      <c r="AK70" s="13">
        <f t="shared" si="103"/>
        <v>10483503499428.051</v>
      </c>
      <c r="AL70" s="13">
        <f t="shared" si="103"/>
        <v>12791410204499.816</v>
      </c>
      <c r="AM70" s="13">
        <f t="shared" ref="AM70:AM110" si="104">$B70*Z70</f>
        <v>15965780740515.877</v>
      </c>
      <c r="AN70" s="13">
        <f t="shared" si="79"/>
        <v>22716709391611.969</v>
      </c>
      <c r="AO70" s="13">
        <f t="shared" si="80"/>
        <v>30681345912315.566</v>
      </c>
      <c r="AP70" s="13">
        <f t="shared" si="81"/>
        <v>3389723704192.4517</v>
      </c>
      <c r="AQ70" s="13">
        <f t="shared" si="99"/>
        <v>3.4293593715060793E-2</v>
      </c>
      <c r="AR70" s="13">
        <f t="shared" si="87"/>
        <v>2.5736273962998466E-2</v>
      </c>
      <c r="AS70" s="13">
        <f t="shared" si="88"/>
        <v>2.0827213784004255E-2</v>
      </c>
      <c r="AT70" s="13">
        <f t="shared" si="89"/>
        <v>1.7772760442088201E-2</v>
      </c>
      <c r="AU70" s="13">
        <f t="shared" si="90"/>
        <v>1.5730832803630121E-2</v>
      </c>
      <c r="AV70" s="13">
        <f t="shared" si="91"/>
        <v>1.4287861158586875E-2</v>
      </c>
      <c r="AW70" s="13">
        <f t="shared" si="92"/>
        <v>1.3223777486437684E-2</v>
      </c>
      <c r="AX70" s="13">
        <f t="shared" si="93"/>
        <v>1.2108348322534775E-2</v>
      </c>
      <c r="AY70" s="13">
        <f t="shared" si="94"/>
        <v>1.1777377275925163E-2</v>
      </c>
      <c r="AZ70" s="13">
        <f t="shared" si="95"/>
        <v>1.1269105659898105E-2</v>
      </c>
      <c r="BA70" s="13">
        <f t="shared" si="96"/>
        <v>1.0854890360580276E-2</v>
      </c>
      <c r="BB70" s="13">
        <f t="shared" si="97"/>
        <v>4.4109208791139488E-3</v>
      </c>
    </row>
    <row r="71" spans="1:54">
      <c r="A71">
        <f>data0!A69</f>
        <v>635</v>
      </c>
      <c r="B71" s="13">
        <v>0.217</v>
      </c>
      <c r="C71" t="e">
        <f ca="1">(Calculations!C70-C$2)/C$1</f>
        <v>#DIV/0!</v>
      </c>
      <c r="D71" s="13" t="e">
        <f t="shared" ca="1" si="58"/>
        <v>#DIV/0!</v>
      </c>
      <c r="E71" s="13" t="e">
        <f t="shared" ca="1" si="59"/>
        <v>#DIV/0!</v>
      </c>
      <c r="F71" s="13" t="e">
        <f t="shared" ca="1" si="60"/>
        <v>#DIV/0!</v>
      </c>
      <c r="G71" s="13" t="e">
        <f t="shared" ca="1" si="61"/>
        <v>#DIV/0!</v>
      </c>
      <c r="H71" s="13" t="e">
        <f t="shared" ca="1" si="62"/>
        <v>#DIV/0!</v>
      </c>
      <c r="I71" s="13" t="e">
        <f t="shared" ca="1" si="63"/>
        <v>#DIV/0!</v>
      </c>
      <c r="J71" s="13" t="e">
        <f t="shared" ca="1" si="64"/>
        <v>#DIV/0!</v>
      </c>
      <c r="K71" s="13" t="e">
        <f t="shared" ca="1" si="83"/>
        <v>#DIV/0!</v>
      </c>
      <c r="L71" s="13" t="e">
        <f t="shared" ca="1" si="84"/>
        <v>#DIV/0!</v>
      </c>
      <c r="M71" s="13" t="e">
        <f t="shared" ca="1" si="65"/>
        <v>#DIV/0!</v>
      </c>
      <c r="N71" s="13" t="e">
        <f t="shared" ca="1" si="66"/>
        <v>#DIV/0!</v>
      </c>
      <c r="O71" s="13" t="e">
        <f t="shared" ca="1" si="67"/>
        <v>#DIV/0!</v>
      </c>
      <c r="P71" s="13" t="e">
        <f t="shared" ca="1" si="68"/>
        <v>#DIV/0!</v>
      </c>
      <c r="Q71" s="13">
        <f t="shared" si="85"/>
        <v>997949175.27076554</v>
      </c>
      <c r="R71" s="13">
        <f t="shared" si="85"/>
        <v>43565172150.621422</v>
      </c>
      <c r="S71" s="13">
        <f t="shared" si="85"/>
        <v>419952412844.83374</v>
      </c>
      <c r="T71" s="13">
        <f t="shared" si="85"/>
        <v>1902777808348.1956</v>
      </c>
      <c r="U71" s="13">
        <f t="shared" si="85"/>
        <v>5602860872821.833</v>
      </c>
      <c r="V71" s="13">
        <f t="shared" si="85"/>
        <v>12609022498427.941</v>
      </c>
      <c r="W71" s="13">
        <f t="shared" si="85"/>
        <v>23732603424398.914</v>
      </c>
      <c r="X71" s="13">
        <f t="shared" si="85"/>
        <v>39434913034050.836</v>
      </c>
      <c r="Y71" s="54">
        <f t="shared" si="85"/>
        <v>48044988758763.367</v>
      </c>
      <c r="Z71" s="13">
        <f t="shared" si="85"/>
        <v>59869892430557.484</v>
      </c>
      <c r="AA71" s="13">
        <f t="shared" si="85"/>
        <v>84966997137098.562</v>
      </c>
      <c r="AB71" s="13">
        <f t="shared" si="86"/>
        <v>114512200166408.47</v>
      </c>
      <c r="AC71" s="13">
        <f t="shared" si="98"/>
        <v>10425762560651.65</v>
      </c>
      <c r="AD71" s="13">
        <f t="shared" ref="AD71:AK127" si="105">$B71*Q71</f>
        <v>216554971.03375611</v>
      </c>
      <c r="AE71" s="13">
        <f t="shared" si="105"/>
        <v>9453642356.6848488</v>
      </c>
      <c r="AF71" s="13">
        <f t="shared" si="105"/>
        <v>91129673587.328918</v>
      </c>
      <c r="AG71" s="13">
        <f t="shared" si="100"/>
        <v>412902784411.55841</v>
      </c>
      <c r="AH71" s="13">
        <f t="shared" si="101"/>
        <v>1215820809402.3376</v>
      </c>
      <c r="AI71" s="13">
        <f t="shared" si="102"/>
        <v>2736157882158.8633</v>
      </c>
      <c r="AJ71" s="13">
        <f t="shared" si="103"/>
        <v>5149974943094.5645</v>
      </c>
      <c r="AK71" s="13">
        <f t="shared" si="103"/>
        <v>8557376128389.0312</v>
      </c>
      <c r="AL71" s="13">
        <f t="shared" si="103"/>
        <v>10425762560651.65</v>
      </c>
      <c r="AM71" s="13">
        <f t="shared" si="104"/>
        <v>12991766657430.975</v>
      </c>
      <c r="AN71" s="13">
        <f t="shared" si="79"/>
        <v>18437838378750.387</v>
      </c>
      <c r="AO71" s="13">
        <f t="shared" si="80"/>
        <v>24849147436110.637</v>
      </c>
      <c r="AP71" s="13">
        <f t="shared" si="81"/>
        <v>2262390475661.4082</v>
      </c>
      <c r="AQ71" s="13">
        <f t="shared" si="99"/>
        <v>3.0431636462171258E-2</v>
      </c>
      <c r="AR71" s="13">
        <f t="shared" si="87"/>
        <v>2.2163703750612253E-2</v>
      </c>
      <c r="AS71" s="13">
        <f t="shared" si="88"/>
        <v>1.7616565262044637E-2</v>
      </c>
      <c r="AT71" s="13">
        <f t="shared" si="89"/>
        <v>1.4854166608430192E-2</v>
      </c>
      <c r="AU71" s="13">
        <f t="shared" si="90"/>
        <v>1.3036067378099874E-2</v>
      </c>
      <c r="AV71" s="13">
        <f t="shared" si="91"/>
        <v>1.1765374008483665E-2</v>
      </c>
      <c r="AW71" s="13">
        <f t="shared" si="92"/>
        <v>1.0836016947640664E-2</v>
      </c>
      <c r="AX71" s="13">
        <f t="shared" si="93"/>
        <v>9.8690263695869491E-3</v>
      </c>
      <c r="AY71" s="13">
        <f t="shared" si="94"/>
        <v>9.5835549724833467E-3</v>
      </c>
      <c r="AZ71" s="13">
        <f t="shared" si="95"/>
        <v>9.1464809118429555E-3</v>
      </c>
      <c r="BA71" s="13">
        <f t="shared" si="96"/>
        <v>8.7914908212877087E-3</v>
      </c>
      <c r="BB71" s="13">
        <f t="shared" si="97"/>
        <v>2.9439642450684151E-3</v>
      </c>
    </row>
    <row r="72" spans="1:54">
      <c r="A72">
        <f>data0!A70</f>
        <v>640</v>
      </c>
      <c r="B72" s="13">
        <v>0.17499999999999999</v>
      </c>
      <c r="C72" t="e">
        <f ca="1">(Calculations!C71-C$2)/C$1</f>
        <v>#DIV/0!</v>
      </c>
      <c r="D72" s="13" t="e">
        <f t="shared" ca="1" si="58"/>
        <v>#DIV/0!</v>
      </c>
      <c r="E72" s="13" t="e">
        <f t="shared" ca="1" si="59"/>
        <v>#DIV/0!</v>
      </c>
      <c r="F72" s="13" t="e">
        <f t="shared" ca="1" si="60"/>
        <v>#DIV/0!</v>
      </c>
      <c r="G72" s="13" t="e">
        <f t="shared" ca="1" si="61"/>
        <v>#DIV/0!</v>
      </c>
      <c r="H72" s="13" t="e">
        <f t="shared" ca="1" si="62"/>
        <v>#DIV/0!</v>
      </c>
      <c r="I72" s="13" t="e">
        <f t="shared" ca="1" si="63"/>
        <v>#DIV/0!</v>
      </c>
      <c r="J72" s="13" t="e">
        <f t="shared" ca="1" si="64"/>
        <v>#DIV/0!</v>
      </c>
      <c r="K72" s="13" t="e">
        <f t="shared" ca="1" si="83"/>
        <v>#DIV/0!</v>
      </c>
      <c r="L72" s="13" t="e">
        <f t="shared" ca="1" si="84"/>
        <v>#DIV/0!</v>
      </c>
      <c r="M72" s="13" t="e">
        <f t="shared" ca="1" si="65"/>
        <v>#DIV/0!</v>
      </c>
      <c r="N72" s="13" t="e">
        <f t="shared" ca="1" si="66"/>
        <v>#DIV/0!</v>
      </c>
      <c r="O72" s="13" t="e">
        <f t="shared" ca="1" si="67"/>
        <v>#DIV/0!</v>
      </c>
      <c r="P72" s="13" t="e">
        <f t="shared" ca="1" si="68"/>
        <v>#DIV/0!</v>
      </c>
      <c r="Q72" s="13">
        <f t="shared" si="85"/>
        <v>1079761914.2105649</v>
      </c>
      <c r="R72" s="13">
        <f t="shared" si="85"/>
        <v>45766403099.666466</v>
      </c>
      <c r="S72" s="13">
        <f t="shared" si="85"/>
        <v>433434039699.73242</v>
      </c>
      <c r="T72" s="13">
        <f t="shared" si="85"/>
        <v>1940868439468.5457</v>
      </c>
      <c r="U72" s="13">
        <f t="shared" si="85"/>
        <v>5667324221310.1025</v>
      </c>
      <c r="V72" s="13">
        <f t="shared" si="85"/>
        <v>12674697474378.863</v>
      </c>
      <c r="W72" s="13">
        <f t="shared" si="85"/>
        <v>23741702362348.105</v>
      </c>
      <c r="X72" s="13">
        <f t="shared" si="85"/>
        <v>39300241126353.57</v>
      </c>
      <c r="Y72" s="54">
        <f t="shared" si="85"/>
        <v>47811067314328.281</v>
      </c>
      <c r="Z72" s="13">
        <f t="shared" si="85"/>
        <v>59482532183501.898</v>
      </c>
      <c r="AA72" s="13">
        <f t="shared" si="85"/>
        <v>84204770479055.609</v>
      </c>
      <c r="AB72" s="13">
        <f t="shared" si="86"/>
        <v>113246978013984.67</v>
      </c>
      <c r="AC72" s="13">
        <f t="shared" si="98"/>
        <v>8366936780007.4482</v>
      </c>
      <c r="AD72" s="13">
        <f t="shared" si="105"/>
        <v>188958334.98684883</v>
      </c>
      <c r="AE72" s="13">
        <f t="shared" si="105"/>
        <v>8009120542.4416313</v>
      </c>
      <c r="AF72" s="13">
        <f t="shared" si="105"/>
        <v>75850956947.453171</v>
      </c>
      <c r="AG72" s="13">
        <f t="shared" si="100"/>
        <v>339651976906.99548</v>
      </c>
      <c r="AH72" s="13">
        <f t="shared" si="101"/>
        <v>991781738729.26782</v>
      </c>
      <c r="AI72" s="13">
        <f t="shared" si="102"/>
        <v>2218072058016.3008</v>
      </c>
      <c r="AJ72" s="13">
        <f t="shared" si="103"/>
        <v>4154797913410.918</v>
      </c>
      <c r="AK72" s="13">
        <f t="shared" si="103"/>
        <v>6877542197111.874</v>
      </c>
      <c r="AL72" s="13">
        <f t="shared" si="103"/>
        <v>8366936780007.4482</v>
      </c>
      <c r="AM72" s="13">
        <f t="shared" si="104"/>
        <v>10409443132112.832</v>
      </c>
      <c r="AN72" s="13">
        <f t="shared" si="79"/>
        <v>14735834833834.73</v>
      </c>
      <c r="AO72" s="13">
        <f t="shared" si="80"/>
        <v>19818221152447.316</v>
      </c>
      <c r="AP72" s="13">
        <f t="shared" si="81"/>
        <v>1464213936501.3035</v>
      </c>
      <c r="AQ72" s="13">
        <f t="shared" si="99"/>
        <v>2.655358743032786E-2</v>
      </c>
      <c r="AR72" s="13">
        <f t="shared" si="87"/>
        <v>1.877707748062812E-2</v>
      </c>
      <c r="AS72" s="13">
        <f t="shared" si="88"/>
        <v>1.4662988252370331E-2</v>
      </c>
      <c r="AT72" s="13">
        <f t="shared" si="89"/>
        <v>1.2218970770684789E-2</v>
      </c>
      <c r="AU72" s="13">
        <f t="shared" si="90"/>
        <v>1.0633913707069441E-2</v>
      </c>
      <c r="AV72" s="13">
        <f t="shared" si="91"/>
        <v>9.5376248243900421E-3</v>
      </c>
      <c r="AW72" s="13">
        <f t="shared" si="92"/>
        <v>8.742073719040247E-3</v>
      </c>
      <c r="AX72" s="13">
        <f t="shared" si="93"/>
        <v>7.9201419785066788E-3</v>
      </c>
      <c r="AY72" s="13">
        <f t="shared" si="94"/>
        <v>7.6786685844979028E-3</v>
      </c>
      <c r="AZ72" s="13">
        <f t="shared" si="95"/>
        <v>7.3100235102979885E-3</v>
      </c>
      <c r="BA72" s="13">
        <f t="shared" si="96"/>
        <v>7.0115769486239184E-3</v>
      </c>
      <c r="BB72" s="13">
        <f t="shared" si="97"/>
        <v>1.905326919717744E-3</v>
      </c>
    </row>
    <row r="73" spans="1:54">
      <c r="A73">
        <f>data0!A71</f>
        <v>645</v>
      </c>
      <c r="B73" s="13">
        <v>0.13819999999999999</v>
      </c>
      <c r="C73" t="e">
        <f ca="1">(Calculations!C72-C$2)/C$1</f>
        <v>#DIV/0!</v>
      </c>
      <c r="D73" s="13" t="e">
        <f t="shared" ref="D73:D104" ca="1" si="106">$C73*Q73</f>
        <v>#DIV/0!</v>
      </c>
      <c r="E73" s="13" t="e">
        <f t="shared" ref="E73:E104" ca="1" si="107">$C73*R73</f>
        <v>#DIV/0!</v>
      </c>
      <c r="F73" s="13" t="e">
        <f t="shared" ref="F73:F104" ca="1" si="108">$C73*S73</f>
        <v>#DIV/0!</v>
      </c>
      <c r="G73" s="13" t="e">
        <f t="shared" ref="G73:G104" ca="1" si="109">$C73*T73</f>
        <v>#DIV/0!</v>
      </c>
      <c r="H73" s="13" t="e">
        <f t="shared" ref="H73:H104" ca="1" si="110">$C73*U73</f>
        <v>#DIV/0!</v>
      </c>
      <c r="I73" s="13" t="e">
        <f t="shared" ref="I73:I104" ca="1" si="111">$C73*V73</f>
        <v>#DIV/0!</v>
      </c>
      <c r="J73" s="13" t="e">
        <f t="shared" ref="J73:J104" ca="1" si="112">$C73*W73</f>
        <v>#DIV/0!</v>
      </c>
      <c r="K73" s="13" t="e">
        <f t="shared" ca="1" si="83"/>
        <v>#DIV/0!</v>
      </c>
      <c r="L73" s="13" t="e">
        <f t="shared" ca="1" si="84"/>
        <v>#DIV/0!</v>
      </c>
      <c r="M73" s="13" t="e">
        <f t="shared" ref="M73:M104" ca="1" si="113">$C73*Z73</f>
        <v>#DIV/0!</v>
      </c>
      <c r="N73" s="13" t="e">
        <f t="shared" ca="1" si="66"/>
        <v>#DIV/0!</v>
      </c>
      <c r="O73" s="13" t="e">
        <f t="shared" ref="O73:O104" ca="1" si="114">$C73*AB73</f>
        <v>#DIV/0!</v>
      </c>
      <c r="P73" s="13" t="e">
        <f t="shared" ref="P73:P104" ca="1" si="115">$C73*AC73</f>
        <v>#DIV/0!</v>
      </c>
      <c r="Q73" s="13">
        <f t="shared" si="85"/>
        <v>1166502144.6977396</v>
      </c>
      <c r="R73" s="13">
        <f t="shared" si="85"/>
        <v>48027586745.421745</v>
      </c>
      <c r="S73" s="13">
        <f t="shared" si="85"/>
        <v>446994259918.60443</v>
      </c>
      <c r="T73" s="13">
        <f t="shared" si="85"/>
        <v>1978517853875.5461</v>
      </c>
      <c r="U73" s="13">
        <f t="shared" si="85"/>
        <v>5729800620285.083</v>
      </c>
      <c r="V73" s="13">
        <f t="shared" si="85"/>
        <v>12735920155143.99</v>
      </c>
      <c r="W73" s="13">
        <f t="shared" si="85"/>
        <v>23743718875420.359</v>
      </c>
      <c r="X73" s="13">
        <f t="shared" si="85"/>
        <v>39156794330849.445</v>
      </c>
      <c r="Y73" s="54">
        <f t="shared" si="85"/>
        <v>47568220604553.187</v>
      </c>
      <c r="Z73" s="13">
        <f t="shared" si="85"/>
        <v>59086769061441.398</v>
      </c>
      <c r="AA73" s="13">
        <f t="shared" si="85"/>
        <v>83437527429467.344</v>
      </c>
      <c r="AB73" s="13">
        <f t="shared" si="86"/>
        <v>111983835682304.12</v>
      </c>
      <c r="AC73" s="13">
        <f t="shared" si="98"/>
        <v>6573928087549.25</v>
      </c>
      <c r="AD73" s="13">
        <f t="shared" si="105"/>
        <v>161210596.39722762</v>
      </c>
      <c r="AE73" s="13">
        <f t="shared" si="105"/>
        <v>6637412488.2172852</v>
      </c>
      <c r="AF73" s="13">
        <f t="shared" si="105"/>
        <v>61774606720.751129</v>
      </c>
      <c r="AG73" s="13">
        <f t="shared" si="100"/>
        <v>273431167405.60046</v>
      </c>
      <c r="AH73" s="13">
        <f t="shared" si="101"/>
        <v>791858445723.39844</v>
      </c>
      <c r="AI73" s="13">
        <f t="shared" si="102"/>
        <v>1760104165440.8994</v>
      </c>
      <c r="AJ73" s="13">
        <f t="shared" si="103"/>
        <v>3281381948583.0933</v>
      </c>
      <c r="AK73" s="13">
        <f t="shared" si="103"/>
        <v>5411468976523.3926</v>
      </c>
      <c r="AL73" s="13">
        <f t="shared" si="103"/>
        <v>6573928087549.25</v>
      </c>
      <c r="AM73" s="13">
        <f t="shared" si="104"/>
        <v>8165791484291.2002</v>
      </c>
      <c r="AN73" s="13">
        <f t="shared" si="79"/>
        <v>11531066290752.387</v>
      </c>
      <c r="AO73" s="13">
        <f t="shared" si="80"/>
        <v>15476166091294.43</v>
      </c>
      <c r="AP73" s="13">
        <f t="shared" si="81"/>
        <v>908516861699.30627</v>
      </c>
      <c r="AQ73" s="13">
        <f t="shared" si="99"/>
        <v>2.2654304539818322E-2</v>
      </c>
      <c r="AR73" s="13">
        <f t="shared" si="87"/>
        <v>1.5561160292407091E-2</v>
      </c>
      <c r="AS73" s="13">
        <f t="shared" si="88"/>
        <v>1.1941844494706602E-2</v>
      </c>
      <c r="AT73" s="13">
        <f t="shared" si="89"/>
        <v>9.8366789227848569E-3</v>
      </c>
      <c r="AU73" s="13">
        <f t="shared" si="90"/>
        <v>8.490330131330796E-3</v>
      </c>
      <c r="AV73" s="13">
        <f t="shared" si="91"/>
        <v>7.5683804415420265E-3</v>
      </c>
      <c r="AW73" s="13">
        <f t="shared" si="92"/>
        <v>6.9043268752610014E-3</v>
      </c>
      <c r="AX73" s="13">
        <f t="shared" si="93"/>
        <v>6.2228800311117678E-3</v>
      </c>
      <c r="AY73" s="13">
        <f t="shared" si="94"/>
        <v>6.0236081548447314E-3</v>
      </c>
      <c r="AZ73" s="13">
        <f t="shared" si="95"/>
        <v>5.7202300809359053E-3</v>
      </c>
      <c r="BA73" s="13">
        <f t="shared" si="96"/>
        <v>5.4753819015383809E-3</v>
      </c>
      <c r="BB73" s="13">
        <f t="shared" si="97"/>
        <v>1.1822190668048117E-3</v>
      </c>
    </row>
    <row r="74" spans="1:54">
      <c r="A74">
        <f>data0!A72</f>
        <v>650</v>
      </c>
      <c r="B74" s="13">
        <v>0.107</v>
      </c>
      <c r="C74" t="e">
        <f ca="1">(Calculations!C73-C$2)/C$1</f>
        <v>#DIV/0!</v>
      </c>
      <c r="D74" s="13" t="e">
        <f t="shared" ca="1" si="106"/>
        <v>#DIV/0!</v>
      </c>
      <c r="E74" s="13" t="e">
        <f t="shared" ca="1" si="107"/>
        <v>#DIV/0!</v>
      </c>
      <c r="F74" s="13" t="e">
        <f t="shared" ca="1" si="108"/>
        <v>#DIV/0!</v>
      </c>
      <c r="G74" s="13" t="e">
        <f t="shared" ca="1" si="109"/>
        <v>#DIV/0!</v>
      </c>
      <c r="H74" s="13" t="e">
        <f t="shared" ca="1" si="110"/>
        <v>#DIV/0!</v>
      </c>
      <c r="I74" s="13" t="e">
        <f t="shared" ca="1" si="111"/>
        <v>#DIV/0!</v>
      </c>
      <c r="J74" s="13" t="e">
        <f t="shared" ca="1" si="112"/>
        <v>#DIV/0!</v>
      </c>
      <c r="K74" s="13" t="e">
        <f t="shared" ca="1" si="83"/>
        <v>#DIV/0!</v>
      </c>
      <c r="L74" s="13" t="e">
        <f t="shared" ca="1" si="84"/>
        <v>#DIV/0!</v>
      </c>
      <c r="M74" s="13" t="e">
        <f t="shared" ca="1" si="113"/>
        <v>#DIV/0!</v>
      </c>
      <c r="N74" s="13" t="e">
        <f t="shared" ca="1" si="66"/>
        <v>#DIV/0!</v>
      </c>
      <c r="O74" s="13" t="e">
        <f t="shared" ca="1" si="114"/>
        <v>#DIV/0!</v>
      </c>
      <c r="P74" s="13" t="e">
        <f t="shared" ca="1" si="115"/>
        <v>#DIV/0!</v>
      </c>
      <c r="Q74" s="13">
        <f t="shared" si="85"/>
        <v>1258338034.5383544</v>
      </c>
      <c r="R74" s="13">
        <f t="shared" si="85"/>
        <v>50348100790.549721</v>
      </c>
      <c r="S74" s="13">
        <f t="shared" si="85"/>
        <v>460623228779.02661</v>
      </c>
      <c r="T74" s="13">
        <f t="shared" si="85"/>
        <v>2015704385932.8486</v>
      </c>
      <c r="U74" s="13">
        <f t="shared" si="85"/>
        <v>5790286097311.6289</v>
      </c>
      <c r="V74" s="13">
        <f t="shared" si="85"/>
        <v>12792765597470.057</v>
      </c>
      <c r="W74" s="13">
        <f t="shared" si="85"/>
        <v>23738873836499.602</v>
      </c>
      <c r="X74" s="13">
        <f t="shared" si="85"/>
        <v>39004982006107.625</v>
      </c>
      <c r="Y74" s="54">
        <f t="shared" si="85"/>
        <v>47316945709115.523</v>
      </c>
      <c r="Z74" s="13">
        <f t="shared" si="85"/>
        <v>58683200997741.172</v>
      </c>
      <c r="AA74" s="13">
        <f t="shared" si="85"/>
        <v>82666006588344.531</v>
      </c>
      <c r="AB74" s="13">
        <f t="shared" si="86"/>
        <v>110723560309714.86</v>
      </c>
      <c r="AC74" s="13">
        <f t="shared" si="98"/>
        <v>5062913190875.3613</v>
      </c>
      <c r="AD74" s="13">
        <f t="shared" si="105"/>
        <v>134642169.69560391</v>
      </c>
      <c r="AE74" s="13">
        <f t="shared" si="105"/>
        <v>5387246784.5888205</v>
      </c>
      <c r="AF74" s="13">
        <f t="shared" si="105"/>
        <v>49286685479.35585</v>
      </c>
      <c r="AG74" s="13">
        <f t="shared" si="100"/>
        <v>215680369294.81479</v>
      </c>
      <c r="AH74" s="13">
        <f t="shared" si="101"/>
        <v>619560612412.34424</v>
      </c>
      <c r="AI74" s="13">
        <f t="shared" si="102"/>
        <v>1368825918929.2961</v>
      </c>
      <c r="AJ74" s="13">
        <f t="shared" si="103"/>
        <v>2540059500505.4575</v>
      </c>
      <c r="AK74" s="13">
        <f t="shared" si="103"/>
        <v>4173533074653.5156</v>
      </c>
      <c r="AL74" s="13">
        <f t="shared" si="103"/>
        <v>5062913190875.3613</v>
      </c>
      <c r="AM74" s="13">
        <f t="shared" si="104"/>
        <v>6279102506758.3057</v>
      </c>
      <c r="AN74" s="13">
        <f t="shared" ref="AN74:AN105" si="116">$B74*AA74</f>
        <v>8845262704952.8652</v>
      </c>
      <c r="AO74" s="13">
        <f t="shared" ref="AO74:AO105" si="117">$B74*AB74</f>
        <v>11847420953139.49</v>
      </c>
      <c r="AP74" s="13">
        <f t="shared" ref="AP74:AP105" si="118">$B74*AC74</f>
        <v>541731711423.66364</v>
      </c>
      <c r="AQ74" s="13">
        <f t="shared" si="99"/>
        <v>1.8920745809228728E-2</v>
      </c>
      <c r="AR74" s="13">
        <f t="shared" si="87"/>
        <v>1.2630194507055168E-2</v>
      </c>
      <c r="AS74" s="13">
        <f t="shared" si="88"/>
        <v>9.5277649652161945E-3</v>
      </c>
      <c r="AT74" s="13">
        <f t="shared" si="89"/>
        <v>7.7590955077687469E-3</v>
      </c>
      <c r="AU74" s="13">
        <f t="shared" si="90"/>
        <v>6.642947567408704E-3</v>
      </c>
      <c r="AV74" s="13">
        <f t="shared" si="91"/>
        <v>5.8858989803624419E-3</v>
      </c>
      <c r="AW74" s="13">
        <f t="shared" si="92"/>
        <v>5.3445168373875366E-3</v>
      </c>
      <c r="AX74" s="13">
        <f t="shared" si="93"/>
        <v>4.79255339808501E-3</v>
      </c>
      <c r="AY74" s="13">
        <f t="shared" si="94"/>
        <v>4.6318661378479216E-3</v>
      </c>
      <c r="AZ74" s="13">
        <f t="shared" si="95"/>
        <v>4.3878802291882832E-3</v>
      </c>
      <c r="BA74" s="13">
        <f t="shared" si="96"/>
        <v>4.1915519569938201E-3</v>
      </c>
      <c r="BB74" s="13">
        <f t="shared" si="97"/>
        <v>7.0493524703543341E-4</v>
      </c>
    </row>
    <row r="75" spans="1:54">
      <c r="A75">
        <f>data0!A73</f>
        <v>655</v>
      </c>
      <c r="B75" s="13">
        <v>8.1600000000000006E-2</v>
      </c>
      <c r="C75" t="e">
        <f ca="1">(Calculations!C74-C$2)/C$1</f>
        <v>#DIV/0!</v>
      </c>
      <c r="D75" s="13" t="e">
        <f t="shared" ca="1" si="106"/>
        <v>#DIV/0!</v>
      </c>
      <c r="E75" s="13" t="e">
        <f t="shared" ca="1" si="107"/>
        <v>#DIV/0!</v>
      </c>
      <c r="F75" s="13" t="e">
        <f t="shared" ca="1" si="108"/>
        <v>#DIV/0!</v>
      </c>
      <c r="G75" s="13" t="e">
        <f t="shared" ca="1" si="109"/>
        <v>#DIV/0!</v>
      </c>
      <c r="H75" s="13" t="e">
        <f t="shared" ca="1" si="110"/>
        <v>#DIV/0!</v>
      </c>
      <c r="I75" s="13" t="e">
        <f t="shared" ca="1" si="111"/>
        <v>#DIV/0!</v>
      </c>
      <c r="J75" s="13" t="e">
        <f t="shared" ca="1" si="112"/>
        <v>#DIV/0!</v>
      </c>
      <c r="K75" s="13" t="e">
        <f t="shared" ca="1" si="83"/>
        <v>#DIV/0!</v>
      </c>
      <c r="L75" s="13" t="e">
        <f t="shared" ca="1" si="84"/>
        <v>#DIV/0!</v>
      </c>
      <c r="M75" s="13" t="e">
        <f t="shared" ca="1" si="113"/>
        <v>#DIV/0!</v>
      </c>
      <c r="N75" s="13" t="e">
        <f t="shared" ca="1" si="66"/>
        <v>#DIV/0!</v>
      </c>
      <c r="O75" s="13" t="e">
        <f t="shared" ca="1" si="114"/>
        <v>#DIV/0!</v>
      </c>
      <c r="P75" s="13" t="e">
        <f t="shared" ca="1" si="115"/>
        <v>#DIV/0!</v>
      </c>
      <c r="Q75" s="13">
        <f t="shared" si="85"/>
        <v>1355436349.7767477</v>
      </c>
      <c r="R75" s="13">
        <f t="shared" si="85"/>
        <v>52727247385.775467</v>
      </c>
      <c r="S75" s="13">
        <f t="shared" si="85"/>
        <v>474311174650.80829</v>
      </c>
      <c r="T75" s="13">
        <f t="shared" si="85"/>
        <v>2052407545946.1221</v>
      </c>
      <c r="U75" s="13">
        <f t="shared" si="85"/>
        <v>5848779300784.7725</v>
      </c>
      <c r="V75" s="13">
        <f t="shared" si="85"/>
        <v>12845311154518.512</v>
      </c>
      <c r="W75" s="13">
        <f t="shared" si="85"/>
        <v>23727386337312.973</v>
      </c>
      <c r="X75" s="13">
        <f t="shared" si="85"/>
        <v>38845203262992.898</v>
      </c>
      <c r="Y75" s="54">
        <f t="shared" si="85"/>
        <v>47057724402450.203</v>
      </c>
      <c r="Z75" s="13">
        <f t="shared" si="85"/>
        <v>58272403680063.82</v>
      </c>
      <c r="AA75" s="13">
        <f t="shared" si="85"/>
        <v>81890910650427.984</v>
      </c>
      <c r="AB75" s="13">
        <f t="shared" si="86"/>
        <v>109466890097137.31</v>
      </c>
      <c r="AC75" s="13">
        <f t="shared" si="98"/>
        <v>3839910311239.937</v>
      </c>
      <c r="AD75" s="13">
        <f t="shared" si="105"/>
        <v>110603606.14178263</v>
      </c>
      <c r="AE75" s="13">
        <f t="shared" si="105"/>
        <v>4302543386.6792784</v>
      </c>
      <c r="AF75" s="13">
        <f t="shared" si="105"/>
        <v>38703791851.505959</v>
      </c>
      <c r="AG75" s="13">
        <f t="shared" si="100"/>
        <v>167476455749.20358</v>
      </c>
      <c r="AH75" s="13">
        <f t="shared" si="101"/>
        <v>477260390944.03748</v>
      </c>
      <c r="AI75" s="13">
        <f t="shared" si="102"/>
        <v>1048177390208.7106</v>
      </c>
      <c r="AJ75" s="13">
        <f t="shared" si="103"/>
        <v>1936154725124.7388</v>
      </c>
      <c r="AK75" s="13">
        <f t="shared" si="103"/>
        <v>3169768586260.2207</v>
      </c>
      <c r="AL75" s="13">
        <f t="shared" si="103"/>
        <v>3839910311239.937</v>
      </c>
      <c r="AM75" s="13">
        <f t="shared" si="104"/>
        <v>4755028140293.208</v>
      </c>
      <c r="AN75" s="13">
        <f t="shared" si="116"/>
        <v>6682298309074.9238</v>
      </c>
      <c r="AO75" s="13">
        <f t="shared" si="117"/>
        <v>8932498231926.4062</v>
      </c>
      <c r="AP75" s="13">
        <f t="shared" si="118"/>
        <v>313336681397.17889</v>
      </c>
      <c r="AQ75" s="13">
        <f t="shared" si="99"/>
        <v>1.5542699008221982E-2</v>
      </c>
      <c r="AR75" s="13">
        <f t="shared" si="87"/>
        <v>1.008714878335591E-2</v>
      </c>
      <c r="AS75" s="13">
        <f t="shared" si="88"/>
        <v>7.4819523454921115E-3</v>
      </c>
      <c r="AT75" s="13">
        <f t="shared" si="89"/>
        <v>6.0249610092443289E-3</v>
      </c>
      <c r="AU75" s="13">
        <f t="shared" si="90"/>
        <v>5.1172003021589321E-3</v>
      </c>
      <c r="AV75" s="13">
        <f t="shared" si="91"/>
        <v>4.5071225982440547E-3</v>
      </c>
      <c r="AW75" s="13">
        <f t="shared" si="92"/>
        <v>4.0738461150840949E-3</v>
      </c>
      <c r="AX75" s="13">
        <f t="shared" si="93"/>
        <v>3.6348589273940942E-3</v>
      </c>
      <c r="AY75" s="13">
        <f t="shared" si="94"/>
        <v>3.5076117651897817E-3</v>
      </c>
      <c r="AZ75" s="13">
        <f t="shared" si="95"/>
        <v>3.3148958503527457E-3</v>
      </c>
      <c r="BA75" s="13">
        <f t="shared" si="96"/>
        <v>3.1602684325109029E-3</v>
      </c>
      <c r="BB75" s="13">
        <f t="shared" si="97"/>
        <v>4.0773332306042799E-4</v>
      </c>
    </row>
    <row r="76" spans="1:54">
      <c r="A76">
        <f>data0!A74</f>
        <v>660</v>
      </c>
      <c r="B76" s="13">
        <v>6.0999999999999999E-2</v>
      </c>
      <c r="C76" t="e">
        <f ca="1">(Calculations!C75-C$2)/C$1</f>
        <v>#DIV/0!</v>
      </c>
      <c r="D76" s="13" t="e">
        <f t="shared" ca="1" si="106"/>
        <v>#DIV/0!</v>
      </c>
      <c r="E76" s="13" t="e">
        <f t="shared" ca="1" si="107"/>
        <v>#DIV/0!</v>
      </c>
      <c r="F76" s="13" t="e">
        <f t="shared" ca="1" si="108"/>
        <v>#DIV/0!</v>
      </c>
      <c r="G76" s="13" t="e">
        <f t="shared" ca="1" si="109"/>
        <v>#DIV/0!</v>
      </c>
      <c r="H76" s="13" t="e">
        <f t="shared" ca="1" si="110"/>
        <v>#DIV/0!</v>
      </c>
      <c r="I76" s="13" t="e">
        <f t="shared" ca="1" si="111"/>
        <v>#DIV/0!</v>
      </c>
      <c r="J76" s="13" t="e">
        <f t="shared" ca="1" si="112"/>
        <v>#DIV/0!</v>
      </c>
      <c r="K76" s="13" t="e">
        <f t="shared" ca="1" si="83"/>
        <v>#DIV/0!</v>
      </c>
      <c r="L76" s="13" t="e">
        <f t="shared" ca="1" si="84"/>
        <v>#DIV/0!</v>
      </c>
      <c r="M76" s="13" t="e">
        <f t="shared" ca="1" si="113"/>
        <v>#DIV/0!</v>
      </c>
      <c r="N76" s="13" t="e">
        <f t="shared" ca="1" si="66"/>
        <v>#DIV/0!</v>
      </c>
      <c r="O76" s="13" t="e">
        <f t="shared" ca="1" si="114"/>
        <v>#DIV/0!</v>
      </c>
      <c r="P76" s="13" t="e">
        <f t="shared" ca="1" si="115"/>
        <v>#DIV/0!</v>
      </c>
      <c r="Q76" s="13">
        <f t="shared" si="85"/>
        <v>1457962114.6423233</v>
      </c>
      <c r="R76" s="13">
        <f t="shared" si="85"/>
        <v>55164255551.29052</v>
      </c>
      <c r="S76" s="13">
        <f t="shared" si="85"/>
        <v>488048415122.88239</v>
      </c>
      <c r="T76" s="13">
        <f t="shared" si="85"/>
        <v>2088608008651.1382</v>
      </c>
      <c r="U76" s="13">
        <f t="shared" si="85"/>
        <v>5905281370071.8623</v>
      </c>
      <c r="V76" s="13">
        <f t="shared" si="85"/>
        <v>12893636201168.527</v>
      </c>
      <c r="W76" s="13">
        <f t="shared" si="85"/>
        <v>23709473387626.258</v>
      </c>
      <c r="X76" s="13">
        <f t="shared" si="85"/>
        <v>38677846884692.781</v>
      </c>
      <c r="Y76" s="54">
        <f t="shared" si="85"/>
        <v>46791023270469.148</v>
      </c>
      <c r="Z76" s="13">
        <f t="shared" si="85"/>
        <v>57854930988816.227</v>
      </c>
      <c r="AA76" s="13">
        <f t="shared" si="85"/>
        <v>81112907626684.234</v>
      </c>
      <c r="AB76" s="13">
        <f t="shared" si="86"/>
        <v>108214516484726.12</v>
      </c>
      <c r="AC76" s="13">
        <f t="shared" si="98"/>
        <v>2854252419498.6182</v>
      </c>
      <c r="AD76" s="13">
        <f t="shared" si="105"/>
        <v>88935688.99318172</v>
      </c>
      <c r="AE76" s="13">
        <f t="shared" si="105"/>
        <v>3365019588.6287217</v>
      </c>
      <c r="AF76" s="13">
        <f t="shared" si="105"/>
        <v>29770953322.495827</v>
      </c>
      <c r="AG76" s="13">
        <f t="shared" si="100"/>
        <v>127405088527.71942</v>
      </c>
      <c r="AH76" s="13">
        <f t="shared" si="101"/>
        <v>360222163574.38361</v>
      </c>
      <c r="AI76" s="13">
        <f t="shared" si="102"/>
        <v>786511808271.28015</v>
      </c>
      <c r="AJ76" s="13">
        <f t="shared" si="103"/>
        <v>1446277876645.2017</v>
      </c>
      <c r="AK76" s="13">
        <f t="shared" si="103"/>
        <v>2359348659966.2598</v>
      </c>
      <c r="AL76" s="13">
        <f t="shared" si="103"/>
        <v>2854252419498.6182</v>
      </c>
      <c r="AM76" s="13">
        <f t="shared" si="104"/>
        <v>3529150790317.7896</v>
      </c>
      <c r="AN76" s="13">
        <f t="shared" si="116"/>
        <v>4947887365227.7383</v>
      </c>
      <c r="AO76" s="13">
        <f t="shared" si="117"/>
        <v>6601085505568.2939</v>
      </c>
      <c r="AP76" s="13">
        <f t="shared" si="118"/>
        <v>174109397589.41571</v>
      </c>
      <c r="AQ76" s="13">
        <f t="shared" si="99"/>
        <v>1.249779002085967E-2</v>
      </c>
      <c r="AR76" s="13">
        <f t="shared" si="87"/>
        <v>7.8891600150957971E-3</v>
      </c>
      <c r="AS76" s="13">
        <f t="shared" si="88"/>
        <v>5.7551170927485455E-3</v>
      </c>
      <c r="AT76" s="13">
        <f t="shared" si="89"/>
        <v>4.583394646876994E-3</v>
      </c>
      <c r="AU76" s="13">
        <f t="shared" si="90"/>
        <v>3.8623128993399429E-3</v>
      </c>
      <c r="AV76" s="13">
        <f t="shared" si="91"/>
        <v>3.3819706263072788E-3</v>
      </c>
      <c r="AW76" s="13">
        <f t="shared" si="92"/>
        <v>3.0431005500986164E-3</v>
      </c>
      <c r="AX76" s="13">
        <f t="shared" si="93"/>
        <v>2.7018352115366572E-3</v>
      </c>
      <c r="AY76" s="13">
        <f t="shared" si="94"/>
        <v>2.6033265141695208E-3</v>
      </c>
      <c r="AZ76" s="13">
        <f t="shared" si="95"/>
        <v>2.4545045037471266E-3</v>
      </c>
      <c r="BA76" s="13">
        <f t="shared" si="96"/>
        <v>2.3354275144428179E-3</v>
      </c>
      <c r="BB76" s="13">
        <f t="shared" si="97"/>
        <v>2.2656205758813175E-4</v>
      </c>
    </row>
    <row r="77" spans="1:54">
      <c r="A77">
        <f>data0!A75</f>
        <v>665</v>
      </c>
      <c r="B77" s="13">
        <v>4.4580000000000002E-2</v>
      </c>
      <c r="C77" t="e">
        <f ca="1">(Calculations!C76-C$2)/C$1</f>
        <v>#DIV/0!</v>
      </c>
      <c r="D77" s="13" t="e">
        <f t="shared" ca="1" si="106"/>
        <v>#DIV/0!</v>
      </c>
      <c r="E77" s="13" t="e">
        <f t="shared" ca="1" si="107"/>
        <v>#DIV/0!</v>
      </c>
      <c r="F77" s="13" t="e">
        <f t="shared" ca="1" si="108"/>
        <v>#DIV/0!</v>
      </c>
      <c r="G77" s="13" t="e">
        <f t="shared" ca="1" si="109"/>
        <v>#DIV/0!</v>
      </c>
      <c r="H77" s="13" t="e">
        <f t="shared" ca="1" si="110"/>
        <v>#DIV/0!</v>
      </c>
      <c r="I77" s="13" t="e">
        <f t="shared" ca="1" si="111"/>
        <v>#DIV/0!</v>
      </c>
      <c r="J77" s="13" t="e">
        <f t="shared" ca="1" si="112"/>
        <v>#DIV/0!</v>
      </c>
      <c r="K77" s="13" t="e">
        <f t="shared" ca="1" si="83"/>
        <v>#DIV/0!</v>
      </c>
      <c r="L77" s="13" t="e">
        <f t="shared" ca="1" si="84"/>
        <v>#DIV/0!</v>
      </c>
      <c r="M77" s="13" t="e">
        <f t="shared" ca="1" si="113"/>
        <v>#DIV/0!</v>
      </c>
      <c r="N77" s="13" t="e">
        <f t="shared" ca="1" si="66"/>
        <v>#DIV/0!</v>
      </c>
      <c r="O77" s="13" t="e">
        <f t="shared" ca="1" si="114"/>
        <v>#DIV/0!</v>
      </c>
      <c r="P77" s="13" t="e">
        <f t="shared" ca="1" si="115"/>
        <v>#DIV/0!</v>
      </c>
      <c r="Q77" s="13">
        <f t="shared" si="85"/>
        <v>1566078276.7582619</v>
      </c>
      <c r="R77" s="13">
        <f t="shared" si="85"/>
        <v>57658283718.114876</v>
      </c>
      <c r="S77" s="13">
        <f t="shared" si="85"/>
        <v>501825372152.38452</v>
      </c>
      <c r="T77" s="13">
        <f t="shared" si="85"/>
        <v>2124287599328.1147</v>
      </c>
      <c r="U77" s="13">
        <f t="shared" si="85"/>
        <v>5959795807603.9648</v>
      </c>
      <c r="V77" s="13">
        <f t="shared" si="85"/>
        <v>12937821873511.783</v>
      </c>
      <c r="W77" s="13">
        <f t="shared" si="85"/>
        <v>23685349642530.941</v>
      </c>
      <c r="X77" s="13">
        <f t="shared" si="85"/>
        <v>38503291279876.516</v>
      </c>
      <c r="Y77" s="54">
        <f t="shared" si="85"/>
        <v>46517293857283.117</v>
      </c>
      <c r="Z77" s="13">
        <f t="shared" si="85"/>
        <v>57431315456124.859</v>
      </c>
      <c r="AA77" s="13">
        <f t="shared" si="85"/>
        <v>80332632052237.719</v>
      </c>
      <c r="AB77" s="13">
        <f t="shared" si="86"/>
        <v>106967086260701.87</v>
      </c>
      <c r="AC77" s="13">
        <f t="shared" si="98"/>
        <v>2073740960157.6814</v>
      </c>
      <c r="AD77" s="13">
        <f t="shared" si="105"/>
        <v>69815769.577883318</v>
      </c>
      <c r="AE77" s="13">
        <f t="shared" si="105"/>
        <v>2570406288.1535611</v>
      </c>
      <c r="AF77" s="13">
        <f t="shared" si="105"/>
        <v>22371375090.553303</v>
      </c>
      <c r="AG77" s="13">
        <f t="shared" si="100"/>
        <v>94700741178.047363</v>
      </c>
      <c r="AH77" s="13">
        <f t="shared" si="101"/>
        <v>265687697102.98477</v>
      </c>
      <c r="AI77" s="13">
        <f t="shared" si="102"/>
        <v>576768099121.15527</v>
      </c>
      <c r="AJ77" s="13">
        <f t="shared" si="103"/>
        <v>1055892887064.0294</v>
      </c>
      <c r="AK77" s="13">
        <f t="shared" si="103"/>
        <v>1716476725256.895</v>
      </c>
      <c r="AL77" s="13">
        <f t="shared" si="103"/>
        <v>2073740960157.6814</v>
      </c>
      <c r="AM77" s="13">
        <f t="shared" si="104"/>
        <v>2560288043034.0464</v>
      </c>
      <c r="AN77" s="13">
        <f t="shared" si="116"/>
        <v>3581228736888.7578</v>
      </c>
      <c r="AO77" s="13">
        <f t="shared" si="117"/>
        <v>4768592705502.0898</v>
      </c>
      <c r="AP77" s="13">
        <f t="shared" si="118"/>
        <v>92447372003.829437</v>
      </c>
      <c r="AQ77" s="13">
        <f t="shared" si="99"/>
        <v>9.8109413465723751E-3</v>
      </c>
      <c r="AR77" s="13">
        <f t="shared" si="87"/>
        <v>6.0262194548815397E-3</v>
      </c>
      <c r="AS77" s="13">
        <f t="shared" si="88"/>
        <v>4.3246812346665791E-3</v>
      </c>
      <c r="AT77" s="13">
        <f t="shared" si="89"/>
        <v>3.4068566270515164E-3</v>
      </c>
      <c r="AU77" s="13">
        <f t="shared" si="90"/>
        <v>2.8487114994102361E-3</v>
      </c>
      <c r="AV77" s="13">
        <f t="shared" si="91"/>
        <v>2.4800807170412315E-3</v>
      </c>
      <c r="AW77" s="13">
        <f t="shared" si="92"/>
        <v>2.2216949296929734E-3</v>
      </c>
      <c r="AX77" s="13">
        <f t="shared" si="93"/>
        <v>1.9630030993348772E-3</v>
      </c>
      <c r="AY77" s="13">
        <f t="shared" si="94"/>
        <v>1.8886316120659554E-3</v>
      </c>
      <c r="AZ77" s="13">
        <f t="shared" si="95"/>
        <v>1.7765444956197992E-3</v>
      </c>
      <c r="BA77" s="13">
        <f t="shared" si="96"/>
        <v>1.6871017047433517E-3</v>
      </c>
      <c r="BB77" s="13">
        <f t="shared" si="97"/>
        <v>1.202983130709328E-4</v>
      </c>
    </row>
    <row r="78" spans="1:54">
      <c r="A78">
        <f>data0!A76</f>
        <v>670</v>
      </c>
      <c r="B78" s="13">
        <v>3.2000000000000001E-2</v>
      </c>
      <c r="C78" t="e">
        <f ca="1">(Calculations!C77-C$2)/C$1</f>
        <v>#DIV/0!</v>
      </c>
      <c r="D78" s="13" t="e">
        <f t="shared" ca="1" si="106"/>
        <v>#DIV/0!</v>
      </c>
      <c r="E78" s="13" t="e">
        <f t="shared" ca="1" si="107"/>
        <v>#DIV/0!</v>
      </c>
      <c r="F78" s="13" t="e">
        <f t="shared" ca="1" si="108"/>
        <v>#DIV/0!</v>
      </c>
      <c r="G78" s="13" t="e">
        <f t="shared" ca="1" si="109"/>
        <v>#DIV/0!</v>
      </c>
      <c r="H78" s="13" t="e">
        <f t="shared" ca="1" si="110"/>
        <v>#DIV/0!</v>
      </c>
      <c r="I78" s="13" t="e">
        <f t="shared" ca="1" si="111"/>
        <v>#DIV/0!</v>
      </c>
      <c r="J78" s="13" t="e">
        <f t="shared" ca="1" si="112"/>
        <v>#DIV/0!</v>
      </c>
      <c r="K78" s="13" t="e">
        <f t="shared" ca="1" si="83"/>
        <v>#DIV/0!</v>
      </c>
      <c r="L78" s="13" t="e">
        <f t="shared" ca="1" si="84"/>
        <v>#DIV/0!</v>
      </c>
      <c r="M78" s="13" t="e">
        <f t="shared" ca="1" si="113"/>
        <v>#DIV/0!</v>
      </c>
      <c r="N78" s="13" t="e">
        <f t="shared" ca="1" si="66"/>
        <v>#DIV/0!</v>
      </c>
      <c r="O78" s="13" t="e">
        <f t="shared" ca="1" si="114"/>
        <v>#DIV/0!</v>
      </c>
      <c r="P78" s="13" t="e">
        <f t="shared" ca="1" si="115"/>
        <v>#DIV/0!</v>
      </c>
      <c r="Q78" s="13">
        <f t="shared" si="85"/>
        <v>1679945378.6892273</v>
      </c>
      <c r="R78" s="13">
        <f t="shared" si="85"/>
        <v>60208422375.306358</v>
      </c>
      <c r="S78" s="13">
        <f t="shared" si="85"/>
        <v>515632586243.41565</v>
      </c>
      <c r="T78" s="13">
        <f t="shared" si="85"/>
        <v>2159429277758.8694</v>
      </c>
      <c r="U78" s="13">
        <f t="shared" si="85"/>
        <v>6012328353199.3789</v>
      </c>
      <c r="V78" s="13">
        <f t="shared" si="85"/>
        <v>12977950822226.633</v>
      </c>
      <c r="W78" s="13">
        <f t="shared" si="85"/>
        <v>23655227156248.18</v>
      </c>
      <c r="X78" s="13">
        <f t="shared" si="85"/>
        <v>38321904466069.328</v>
      </c>
      <c r="Y78" s="54">
        <f t="shared" si="85"/>
        <v>46236972838596.281</v>
      </c>
      <c r="Z78" s="13">
        <f t="shared" si="85"/>
        <v>57002068741805.656</v>
      </c>
      <c r="AA78" s="13">
        <f t="shared" si="85"/>
        <v>79550686177955.297</v>
      </c>
      <c r="AB78" s="13">
        <f t="shared" si="86"/>
        <v>105725203601988.09</v>
      </c>
      <c r="AC78" s="13">
        <f t="shared" si="98"/>
        <v>1479583130835.0811</v>
      </c>
      <c r="AD78" s="13">
        <f t="shared" si="105"/>
        <v>53758252.118055277</v>
      </c>
      <c r="AE78" s="13">
        <f t="shared" si="105"/>
        <v>1926669516.0098035</v>
      </c>
      <c r="AF78" s="13">
        <f t="shared" si="105"/>
        <v>16500242759.789301</v>
      </c>
      <c r="AG78" s="13">
        <f t="shared" si="100"/>
        <v>69101736888.283829</v>
      </c>
      <c r="AH78" s="13">
        <f t="shared" si="101"/>
        <v>192394507302.38013</v>
      </c>
      <c r="AI78" s="13">
        <f t="shared" si="102"/>
        <v>415294426311.25226</v>
      </c>
      <c r="AJ78" s="13">
        <f t="shared" si="103"/>
        <v>756967268999.94177</v>
      </c>
      <c r="AK78" s="13">
        <f t="shared" si="103"/>
        <v>1226300942914.2185</v>
      </c>
      <c r="AL78" s="13">
        <f t="shared" si="103"/>
        <v>1479583130835.0811</v>
      </c>
      <c r="AM78" s="13">
        <f t="shared" si="104"/>
        <v>1824066199737.781</v>
      </c>
      <c r="AN78" s="13">
        <f t="shared" si="116"/>
        <v>2545621957694.5693</v>
      </c>
      <c r="AO78" s="13">
        <f t="shared" si="117"/>
        <v>3383206515263.6191</v>
      </c>
      <c r="AP78" s="13">
        <f t="shared" si="118"/>
        <v>47346660186.722595</v>
      </c>
      <c r="AQ78" s="13">
        <f t="shared" si="99"/>
        <v>7.5544402305288008E-3</v>
      </c>
      <c r="AR78" s="13">
        <f t="shared" si="87"/>
        <v>4.517003157833795E-3</v>
      </c>
      <c r="AS78" s="13">
        <f t="shared" si="88"/>
        <v>3.1897140851585891E-3</v>
      </c>
      <c r="AT78" s="13">
        <f t="shared" si="89"/>
        <v>2.4859331334694218E-3</v>
      </c>
      <c r="AU78" s="13">
        <f t="shared" si="90"/>
        <v>2.0628597084162833E-3</v>
      </c>
      <c r="AV78" s="13">
        <f t="shared" si="91"/>
        <v>1.7857501137088449E-3</v>
      </c>
      <c r="AW78" s="13">
        <f t="shared" si="92"/>
        <v>1.5927281678702382E-3</v>
      </c>
      <c r="AX78" s="13">
        <f t="shared" si="93"/>
        <v>1.4005733249016891E-3</v>
      </c>
      <c r="AY78" s="13">
        <f t="shared" si="94"/>
        <v>1.3455474655278759E-3</v>
      </c>
      <c r="AZ78" s="13">
        <f t="shared" si="95"/>
        <v>1.2628097809803938E-3</v>
      </c>
      <c r="BA78" s="13">
        <f t="shared" si="96"/>
        <v>1.1969597388374741E-3</v>
      </c>
      <c r="BB78" s="13">
        <f t="shared" si="97"/>
        <v>6.1610440908687938E-5</v>
      </c>
    </row>
    <row r="79" spans="1:54">
      <c r="A79">
        <f>data0!A77</f>
        <v>675</v>
      </c>
      <c r="B79" s="13">
        <v>2.3199999999999998E-2</v>
      </c>
      <c r="C79" t="e">
        <f ca="1">(Calculations!C78-C$2)/C$1</f>
        <v>#DIV/0!</v>
      </c>
      <c r="D79" s="13" t="e">
        <f t="shared" ca="1" si="106"/>
        <v>#DIV/0!</v>
      </c>
      <c r="E79" s="13" t="e">
        <f t="shared" ca="1" si="107"/>
        <v>#DIV/0!</v>
      </c>
      <c r="F79" s="13" t="e">
        <f t="shared" ca="1" si="108"/>
        <v>#DIV/0!</v>
      </c>
      <c r="G79" s="13" t="e">
        <f t="shared" ca="1" si="109"/>
        <v>#DIV/0!</v>
      </c>
      <c r="H79" s="13" t="e">
        <f t="shared" ca="1" si="110"/>
        <v>#DIV/0!</v>
      </c>
      <c r="I79" s="13" t="e">
        <f t="shared" ca="1" si="111"/>
        <v>#DIV/0!</v>
      </c>
      <c r="J79" s="13" t="e">
        <f t="shared" ca="1" si="112"/>
        <v>#DIV/0!</v>
      </c>
      <c r="K79" s="13" t="e">
        <f t="shared" ca="1" si="83"/>
        <v>#DIV/0!</v>
      </c>
      <c r="L79" s="13" t="e">
        <f t="shared" ca="1" si="84"/>
        <v>#DIV/0!</v>
      </c>
      <c r="M79" s="13" t="e">
        <f t="shared" ca="1" si="113"/>
        <v>#DIV/0!</v>
      </c>
      <c r="N79" s="13" t="e">
        <f t="shared" ca="1" si="66"/>
        <v>#DIV/0!</v>
      </c>
      <c r="O79" s="13" t="e">
        <f t="shared" ca="1" si="114"/>
        <v>#DIV/0!</v>
      </c>
      <c r="P79" s="13" t="e">
        <f t="shared" ca="1" si="115"/>
        <v>#DIV/0!</v>
      </c>
      <c r="Q79" s="13">
        <f t="shared" si="85"/>
        <v>1799721236.8421724</v>
      </c>
      <c r="R79" s="13">
        <f t="shared" si="85"/>
        <v>62813696809.27758</v>
      </c>
      <c r="S79" s="13">
        <f t="shared" si="85"/>
        <v>529460729666.57642</v>
      </c>
      <c r="T79" s="13">
        <f t="shared" si="85"/>
        <v>2194017120234.2563</v>
      </c>
      <c r="U79" s="13">
        <f t="shared" si="85"/>
        <v>6062886860865.8428</v>
      </c>
      <c r="V79" s="13">
        <f t="shared" si="85"/>
        <v>13014106979489.402</v>
      </c>
      <c r="W79" s="13">
        <f t="shared" si="85"/>
        <v>23619315160920.27</v>
      </c>
      <c r="X79" s="13">
        <f t="shared" si="85"/>
        <v>38134044080502.344</v>
      </c>
      <c r="Y79" s="54">
        <f t="shared" si="85"/>
        <v>45950482218685.297</v>
      </c>
      <c r="Z79" s="13">
        <f t="shared" si="85"/>
        <v>56567682123106.297</v>
      </c>
      <c r="AA79" s="13">
        <f t="shared" si="85"/>
        <v>78767641143282.141</v>
      </c>
      <c r="AB79" s="13">
        <f t="shared" si="86"/>
        <v>104489432046619.58</v>
      </c>
      <c r="AC79" s="13">
        <f t="shared" si="98"/>
        <v>1066051187473.4988</v>
      </c>
      <c r="AD79" s="13">
        <f t="shared" si="105"/>
        <v>41753532.694738396</v>
      </c>
      <c r="AE79" s="13">
        <f t="shared" si="105"/>
        <v>1457277765.9752398</v>
      </c>
      <c r="AF79" s="13">
        <f t="shared" si="105"/>
        <v>12283488928.264572</v>
      </c>
      <c r="AG79" s="13">
        <f t="shared" si="100"/>
        <v>50901197189.434746</v>
      </c>
      <c r="AH79" s="13">
        <f t="shared" si="101"/>
        <v>140658975172.08755</v>
      </c>
      <c r="AI79" s="13">
        <f t="shared" si="102"/>
        <v>301927281924.15411</v>
      </c>
      <c r="AJ79" s="13">
        <f t="shared" si="103"/>
        <v>547968111733.35022</v>
      </c>
      <c r="AK79" s="13">
        <f t="shared" si="103"/>
        <v>884709822667.6543</v>
      </c>
      <c r="AL79" s="13">
        <f t="shared" si="103"/>
        <v>1066051187473.4988</v>
      </c>
      <c r="AM79" s="13">
        <f t="shared" si="104"/>
        <v>1312370225256.0659</v>
      </c>
      <c r="AN79" s="13">
        <f t="shared" si="116"/>
        <v>1827409274524.1455</v>
      </c>
      <c r="AO79" s="13">
        <f t="shared" si="117"/>
        <v>2424154823481.5742</v>
      </c>
      <c r="AP79" s="13">
        <f t="shared" si="118"/>
        <v>24732387549.38517</v>
      </c>
      <c r="AQ79" s="13">
        <f t="shared" si="99"/>
        <v>5.867463221518928E-3</v>
      </c>
      <c r="AR79" s="13">
        <f t="shared" si="87"/>
        <v>3.4165321120478253E-3</v>
      </c>
      <c r="AS79" s="13">
        <f t="shared" si="88"/>
        <v>2.3745600728286138E-3</v>
      </c>
      <c r="AT79" s="13">
        <f t="shared" si="89"/>
        <v>1.831169205356555E-3</v>
      </c>
      <c r="AU79" s="13">
        <f t="shared" si="90"/>
        <v>1.508149772974502E-3</v>
      </c>
      <c r="AV79" s="13">
        <f t="shared" si="91"/>
        <v>1.2982757385329546E-3</v>
      </c>
      <c r="AW79" s="13">
        <f t="shared" si="92"/>
        <v>1.1529748806780177E-3</v>
      </c>
      <c r="AX79" s="13">
        <f t="shared" si="93"/>
        <v>1.0091240059708249E-3</v>
      </c>
      <c r="AY79" s="13">
        <f t="shared" si="94"/>
        <v>9.6808790749008901E-4</v>
      </c>
      <c r="AZ79" s="13">
        <f t="shared" si="95"/>
        <v>9.0652514162523469E-4</v>
      </c>
      <c r="BA79" s="13">
        <f t="shared" si="96"/>
        <v>8.576525586969718E-4</v>
      </c>
      <c r="BB79" s="13">
        <f t="shared" si="97"/>
        <v>3.2183332375141326E-5</v>
      </c>
    </row>
    <row r="80" spans="1:54">
      <c r="A80">
        <f>data0!A78</f>
        <v>680</v>
      </c>
      <c r="B80" s="13">
        <v>1.7000000000000001E-2</v>
      </c>
      <c r="C80" t="e">
        <f ca="1">(Calculations!C79-C$2)/C$1</f>
        <v>#DIV/0!</v>
      </c>
      <c r="D80" s="13" t="e">
        <f t="shared" ca="1" si="106"/>
        <v>#DIV/0!</v>
      </c>
      <c r="E80" s="13" t="e">
        <f t="shared" ca="1" si="107"/>
        <v>#DIV/0!</v>
      </c>
      <c r="F80" s="13" t="e">
        <f t="shared" ca="1" si="108"/>
        <v>#DIV/0!</v>
      </c>
      <c r="G80" s="13" t="e">
        <f t="shared" ca="1" si="109"/>
        <v>#DIV/0!</v>
      </c>
      <c r="H80" s="13" t="e">
        <f t="shared" ca="1" si="110"/>
        <v>#DIV/0!</v>
      </c>
      <c r="I80" s="13" t="e">
        <f t="shared" ca="1" si="111"/>
        <v>#DIV/0!</v>
      </c>
      <c r="J80" s="13" t="e">
        <f t="shared" ca="1" si="112"/>
        <v>#DIV/0!</v>
      </c>
      <c r="K80" s="13" t="e">
        <f t="shared" ca="1" si="83"/>
        <v>#DIV/0!</v>
      </c>
      <c r="L80" s="13" t="e">
        <f t="shared" ca="1" si="84"/>
        <v>#DIV/0!</v>
      </c>
      <c r="M80" s="13" t="e">
        <f t="shared" ca="1" si="113"/>
        <v>#DIV/0!</v>
      </c>
      <c r="N80" s="13" t="e">
        <f t="shared" ca="1" si="66"/>
        <v>#DIV/0!</v>
      </c>
      <c r="O80" s="13" t="e">
        <f t="shared" ca="1" si="114"/>
        <v>#DIV/0!</v>
      </c>
      <c r="P80" s="13" t="e">
        <f t="shared" ca="1" si="115"/>
        <v>#DIV/0!</v>
      </c>
      <c r="Q80" s="13">
        <f t="shared" si="85"/>
        <v>1925560628.6687388</v>
      </c>
      <c r="R80" s="13">
        <f t="shared" si="85"/>
        <v>65473069921.90377</v>
      </c>
      <c r="S80" s="13">
        <f t="shared" si="85"/>
        <v>543300618733.64484</v>
      </c>
      <c r="T80" s="13">
        <f t="shared" si="85"/>
        <v>2228036299810.0171</v>
      </c>
      <c r="U80" s="13">
        <f t="shared" si="85"/>
        <v>6111481178294.9844</v>
      </c>
      <c r="V80" s="13">
        <f t="shared" si="85"/>
        <v>13046375339056.988</v>
      </c>
      <c r="W80" s="13">
        <f t="shared" si="85"/>
        <v>23577819868911.754</v>
      </c>
      <c r="X80" s="13">
        <f t="shared" si="85"/>
        <v>37940057415873.836</v>
      </c>
      <c r="Y80" s="54">
        <f t="shared" si="85"/>
        <v>45658229548107.82</v>
      </c>
      <c r="Z80" s="13">
        <f t="shared" si="85"/>
        <v>56128626995290.867</v>
      </c>
      <c r="AA80" s="13">
        <f t="shared" si="85"/>
        <v>77984038128273.75</v>
      </c>
      <c r="AB80" s="13">
        <f t="shared" si="86"/>
        <v>103260296398188.42</v>
      </c>
      <c r="AC80" s="13">
        <f t="shared" si="98"/>
        <v>776189902317.83301</v>
      </c>
      <c r="AD80" s="13">
        <f t="shared" si="105"/>
        <v>32734530.687368564</v>
      </c>
      <c r="AE80" s="13">
        <f t="shared" si="105"/>
        <v>1113042188.6723642</v>
      </c>
      <c r="AF80" s="13">
        <f t="shared" si="105"/>
        <v>9236110518.471962</v>
      </c>
      <c r="AG80" s="13">
        <f t="shared" si="100"/>
        <v>37876617096.770294</v>
      </c>
      <c r="AH80" s="13">
        <f t="shared" si="101"/>
        <v>103895180031.01474</v>
      </c>
      <c r="AI80" s="13">
        <f t="shared" si="102"/>
        <v>221788380763.96881</v>
      </c>
      <c r="AJ80" s="13">
        <f t="shared" si="103"/>
        <v>400822937771.49982</v>
      </c>
      <c r="AK80" s="13">
        <f t="shared" si="103"/>
        <v>644980976069.85522</v>
      </c>
      <c r="AL80" s="13">
        <f t="shared" si="103"/>
        <v>776189902317.83301</v>
      </c>
      <c r="AM80" s="13">
        <f t="shared" si="104"/>
        <v>954186658919.94482</v>
      </c>
      <c r="AN80" s="13">
        <f t="shared" si="116"/>
        <v>1325728648180.6538</v>
      </c>
      <c r="AO80" s="13">
        <f t="shared" si="117"/>
        <v>1755425038769.2034</v>
      </c>
      <c r="AP80" s="13">
        <f t="shared" si="118"/>
        <v>13195228339.403162</v>
      </c>
      <c r="AQ80" s="13">
        <f t="shared" si="99"/>
        <v>4.6000575876067474E-3</v>
      </c>
      <c r="AR80" s="13">
        <f t="shared" si="87"/>
        <v>2.6094849372235176E-3</v>
      </c>
      <c r="AS80" s="13">
        <f t="shared" si="88"/>
        <v>1.7854617196691241E-3</v>
      </c>
      <c r="AT80" s="13">
        <f t="shared" si="89"/>
        <v>1.3626102854233787E-3</v>
      </c>
      <c r="AU80" s="13">
        <f t="shared" si="90"/>
        <v>1.1139672529621376E-3</v>
      </c>
      <c r="AV80" s="13">
        <f t="shared" si="91"/>
        <v>9.5368153549867866E-4</v>
      </c>
      <c r="AW80" s="13">
        <f t="shared" si="92"/>
        <v>8.4336801531799974E-4</v>
      </c>
      <c r="AX80" s="13">
        <f t="shared" si="93"/>
        <v>7.3474132651866347E-4</v>
      </c>
      <c r="AY80" s="13">
        <f t="shared" si="94"/>
        <v>7.0386888410892731E-4</v>
      </c>
      <c r="AZ80" s="13">
        <f t="shared" si="95"/>
        <v>6.5765582308404693E-4</v>
      </c>
      <c r="BA80" s="13">
        <f t="shared" si="96"/>
        <v>6.2105966232753763E-4</v>
      </c>
      <c r="BB80" s="13">
        <f t="shared" si="97"/>
        <v>1.7170457909287169E-5</v>
      </c>
    </row>
    <row r="81" spans="1:54">
      <c r="A81">
        <f>data0!A79</f>
        <v>685</v>
      </c>
      <c r="B81" s="13">
        <v>1.192E-2</v>
      </c>
      <c r="C81" t="e">
        <f ca="1">(Calculations!C80-C$2)/C$1</f>
        <v>#DIV/0!</v>
      </c>
      <c r="D81" s="13" t="e">
        <f t="shared" ca="1" si="106"/>
        <v>#DIV/0!</v>
      </c>
      <c r="E81" s="13" t="e">
        <f t="shared" ca="1" si="107"/>
        <v>#DIV/0!</v>
      </c>
      <c r="F81" s="13" t="e">
        <f t="shared" ca="1" si="108"/>
        <v>#DIV/0!</v>
      </c>
      <c r="G81" s="13" t="e">
        <f t="shared" ca="1" si="109"/>
        <v>#DIV/0!</v>
      </c>
      <c r="H81" s="13" t="e">
        <f t="shared" ca="1" si="110"/>
        <v>#DIV/0!</v>
      </c>
      <c r="I81" s="13" t="e">
        <f t="shared" ca="1" si="111"/>
        <v>#DIV/0!</v>
      </c>
      <c r="J81" s="13" t="e">
        <f t="shared" ca="1" si="112"/>
        <v>#DIV/0!</v>
      </c>
      <c r="K81" s="13" t="e">
        <f t="shared" ca="1" si="83"/>
        <v>#DIV/0!</v>
      </c>
      <c r="L81" s="13" t="e">
        <f t="shared" ca="1" si="84"/>
        <v>#DIV/0!</v>
      </c>
      <c r="M81" s="13" t="e">
        <f t="shared" ca="1" si="113"/>
        <v>#DIV/0!</v>
      </c>
      <c r="N81" s="13" t="e">
        <f t="shared" ca="1" si="66"/>
        <v>#DIV/0!</v>
      </c>
      <c r="O81" s="13" t="e">
        <f t="shared" ca="1" si="114"/>
        <v>#DIV/0!</v>
      </c>
      <c r="P81" s="13" t="e">
        <f t="shared" ca="1" si="115"/>
        <v>#DIV/0!</v>
      </c>
      <c r="Q81" s="13">
        <f t="shared" si="85"/>
        <v>2057614989.0500655</v>
      </c>
      <c r="R81" s="13">
        <f t="shared" si="85"/>
        <v>68185445114.563484</v>
      </c>
      <c r="S81" s="13">
        <f t="shared" si="85"/>
        <v>557143225144.63123</v>
      </c>
      <c r="T81" s="13">
        <f t="shared" si="85"/>
        <v>2261473064999.5859</v>
      </c>
      <c r="U81" s="13">
        <f t="shared" si="85"/>
        <v>6158123029231.833</v>
      </c>
      <c r="V81" s="13">
        <f t="shared" si="85"/>
        <v>13074841749135.236</v>
      </c>
      <c r="W81" s="13">
        <f t="shared" si="85"/>
        <v>23530944297194.043</v>
      </c>
      <c r="X81" s="13">
        <f t="shared" si="85"/>
        <v>37740281478621.602</v>
      </c>
      <c r="Y81" s="54">
        <f t="shared" si="85"/>
        <v>45360608159501.031</v>
      </c>
      <c r="Z81" s="13">
        <f t="shared" si="85"/>
        <v>55685355380408.945</v>
      </c>
      <c r="AA81" s="13">
        <f t="shared" si="85"/>
        <v>77200389483082.672</v>
      </c>
      <c r="AB81" s="13">
        <f t="shared" si="86"/>
        <v>102038284562842.5</v>
      </c>
      <c r="AC81" s="13">
        <f t="shared" si="98"/>
        <v>540698449261.25232</v>
      </c>
      <c r="AD81" s="13">
        <f t="shared" si="105"/>
        <v>24526770.669476781</v>
      </c>
      <c r="AE81" s="13">
        <f t="shared" si="105"/>
        <v>812770505.76559675</v>
      </c>
      <c r="AF81" s="13">
        <f t="shared" si="105"/>
        <v>6641147243.7240038</v>
      </c>
      <c r="AG81" s="13">
        <f t="shared" si="100"/>
        <v>26956758934.795063</v>
      </c>
      <c r="AH81" s="13">
        <f t="shared" si="101"/>
        <v>73404826508.443451</v>
      </c>
      <c r="AI81" s="13">
        <f t="shared" si="102"/>
        <v>155852113649.69202</v>
      </c>
      <c r="AJ81" s="13">
        <f t="shared" si="103"/>
        <v>280488856022.55298</v>
      </c>
      <c r="AK81" s="13">
        <f t="shared" si="103"/>
        <v>449864155225.16949</v>
      </c>
      <c r="AL81" s="13">
        <f t="shared" si="103"/>
        <v>540698449261.25232</v>
      </c>
      <c r="AM81" s="13">
        <f t="shared" si="104"/>
        <v>663769436134.47461</v>
      </c>
      <c r="AN81" s="13">
        <f t="shared" si="116"/>
        <v>920228642638.34546</v>
      </c>
      <c r="AO81" s="13">
        <f t="shared" si="117"/>
        <v>1216296351989.0825</v>
      </c>
      <c r="AP81" s="13">
        <f t="shared" si="118"/>
        <v>6445125515.194128</v>
      </c>
      <c r="AQ81" s="13">
        <f t="shared" si="99"/>
        <v>3.4466526676416799E-3</v>
      </c>
      <c r="AR81" s="13">
        <f t="shared" si="87"/>
        <v>1.9055094351317333E-3</v>
      </c>
      <c r="AS81" s="13">
        <f t="shared" si="88"/>
        <v>1.2838211663492578E-3</v>
      </c>
      <c r="AT81" s="13">
        <f t="shared" si="89"/>
        <v>9.6976868056578328E-4</v>
      </c>
      <c r="AU81" s="13">
        <f t="shared" si="90"/>
        <v>7.8704876314149449E-4</v>
      </c>
      <c r="AV81" s="13">
        <f t="shared" si="91"/>
        <v>6.7015811443400667E-4</v>
      </c>
      <c r="AW81" s="13">
        <f t="shared" si="92"/>
        <v>5.9017413309168346E-4</v>
      </c>
      <c r="AX81" s="13">
        <f t="shared" si="93"/>
        <v>5.1182512767876983E-4</v>
      </c>
      <c r="AY81" s="13">
        <f t="shared" si="94"/>
        <v>4.8963863406602357E-4</v>
      </c>
      <c r="AZ81" s="13">
        <f t="shared" si="95"/>
        <v>4.5649894209525153E-4</v>
      </c>
      <c r="BA81" s="13">
        <f t="shared" si="96"/>
        <v>4.3031891705623077E-4</v>
      </c>
      <c r="BB81" s="13">
        <f t="shared" si="97"/>
        <v>8.3868011626784104E-6</v>
      </c>
    </row>
    <row r="82" spans="1:54">
      <c r="A82">
        <f>data0!A80</f>
        <v>690</v>
      </c>
      <c r="B82" s="13">
        <v>8.2100000000000003E-3</v>
      </c>
      <c r="C82" t="e">
        <f ca="1">(Calculations!C81-C$2)/C$1</f>
        <v>#DIV/0!</v>
      </c>
      <c r="D82" s="13" t="e">
        <f t="shared" ca="1" si="106"/>
        <v>#DIV/0!</v>
      </c>
      <c r="E82" s="13" t="e">
        <f t="shared" ca="1" si="107"/>
        <v>#DIV/0!</v>
      </c>
      <c r="F82" s="13" t="e">
        <f t="shared" ca="1" si="108"/>
        <v>#DIV/0!</v>
      </c>
      <c r="G82" s="13" t="e">
        <f t="shared" ca="1" si="109"/>
        <v>#DIV/0!</v>
      </c>
      <c r="H82" s="13" t="e">
        <f t="shared" ca="1" si="110"/>
        <v>#DIV/0!</v>
      </c>
      <c r="I82" s="13" t="e">
        <f t="shared" ca="1" si="111"/>
        <v>#DIV/0!</v>
      </c>
      <c r="J82" s="13" t="e">
        <f t="shared" ca="1" si="112"/>
        <v>#DIV/0!</v>
      </c>
      <c r="K82" s="13" t="e">
        <f t="shared" ca="1" si="83"/>
        <v>#DIV/0!</v>
      </c>
      <c r="L82" s="13" t="e">
        <f t="shared" ca="1" si="84"/>
        <v>#DIV/0!</v>
      </c>
      <c r="M82" s="13" t="e">
        <f t="shared" ca="1" si="113"/>
        <v>#DIV/0!</v>
      </c>
      <c r="N82" s="13" t="e">
        <f t="shared" ca="1" si="66"/>
        <v>#DIV/0!</v>
      </c>
      <c r="O82" s="13" t="e">
        <f t="shared" ca="1" si="114"/>
        <v>#DIV/0!</v>
      </c>
      <c r="P82" s="13" t="e">
        <f t="shared" ca="1" si="115"/>
        <v>#DIV/0!</v>
      </c>
      <c r="Q82" s="13">
        <f t="shared" si="85"/>
        <v>2196032116.6763062</v>
      </c>
      <c r="R82" s="13">
        <f t="shared" si="85"/>
        <v>70949669225.751099</v>
      </c>
      <c r="S82" s="13">
        <f t="shared" si="85"/>
        <v>570979686427.00159</v>
      </c>
      <c r="T82" s="13">
        <f t="shared" si="85"/>
        <v>2294314717083.1318</v>
      </c>
      <c r="U82" s="13">
        <f t="shared" si="85"/>
        <v>6202825898873.1914</v>
      </c>
      <c r="V82" s="13">
        <f t="shared" si="85"/>
        <v>13099592717632.594</v>
      </c>
      <c r="W82" s="13">
        <f t="shared" si="85"/>
        <v>23478888112439.77</v>
      </c>
      <c r="X82" s="13">
        <f t="shared" si="85"/>
        <v>37535043067465.305</v>
      </c>
      <c r="Y82" s="54">
        <f t="shared" si="85"/>
        <v>45057997419037.18</v>
      </c>
      <c r="Z82" s="13">
        <f t="shared" si="85"/>
        <v>55238300441842.328</v>
      </c>
      <c r="AA82" s="13">
        <f t="shared" si="85"/>
        <v>76417179833444.984</v>
      </c>
      <c r="AB82" s="13">
        <f t="shared" si="86"/>
        <v>100823849319575.47</v>
      </c>
      <c r="AC82" s="13">
        <f t="shared" si="98"/>
        <v>369926158810.29529</v>
      </c>
      <c r="AD82" s="13">
        <f t="shared" si="105"/>
        <v>18029423.677912474</v>
      </c>
      <c r="AE82" s="13">
        <f t="shared" si="105"/>
        <v>582496784.34341657</v>
      </c>
      <c r="AF82" s="13">
        <f t="shared" si="105"/>
        <v>4687743225.5656834</v>
      </c>
      <c r="AG82" s="13">
        <f t="shared" si="100"/>
        <v>18836323827.252514</v>
      </c>
      <c r="AH82" s="13">
        <f t="shared" si="101"/>
        <v>50925200629.748901</v>
      </c>
      <c r="AI82" s="13">
        <f t="shared" si="102"/>
        <v>107547656211.7636</v>
      </c>
      <c r="AJ82" s="13">
        <f t="shared" si="103"/>
        <v>192761671403.13052</v>
      </c>
      <c r="AK82" s="13">
        <f t="shared" si="103"/>
        <v>308162703583.89014</v>
      </c>
      <c r="AL82" s="13">
        <f t="shared" si="103"/>
        <v>369926158810.29529</v>
      </c>
      <c r="AM82" s="13">
        <f t="shared" si="104"/>
        <v>453506446627.52551</v>
      </c>
      <c r="AN82" s="13">
        <f t="shared" si="116"/>
        <v>627385046432.58337</v>
      </c>
      <c r="AO82" s="13">
        <f t="shared" si="117"/>
        <v>827763802913.7146</v>
      </c>
      <c r="AP82" s="13">
        <f t="shared" si="118"/>
        <v>3037093763.8325243</v>
      </c>
      <c r="AQ82" s="13">
        <f t="shared" si="99"/>
        <v>2.5336055061196006E-3</v>
      </c>
      <c r="AR82" s="13">
        <f t="shared" si="87"/>
        <v>1.3656414825913793E-3</v>
      </c>
      <c r="AS82" s="13">
        <f t="shared" si="88"/>
        <v>9.0620246088940297E-4</v>
      </c>
      <c r="AT82" s="13">
        <f t="shared" si="89"/>
        <v>6.7763624510089381E-4</v>
      </c>
      <c r="AU82" s="13">
        <f t="shared" si="90"/>
        <v>5.4602153665966391E-4</v>
      </c>
      <c r="AV82" s="13">
        <f t="shared" si="91"/>
        <v>4.6245079909966756E-4</v>
      </c>
      <c r="AW82" s="13">
        <f t="shared" si="92"/>
        <v>4.0558813610940496E-4</v>
      </c>
      <c r="AX82" s="13">
        <f t="shared" si="93"/>
        <v>3.5017208524175554E-4</v>
      </c>
      <c r="AY82" s="13">
        <f t="shared" si="94"/>
        <v>3.3453525422922774E-4</v>
      </c>
      <c r="AZ82" s="13">
        <f t="shared" si="95"/>
        <v>3.1122766311829689E-4</v>
      </c>
      <c r="BA82" s="13">
        <f t="shared" si="96"/>
        <v>2.9285825174568491E-4</v>
      </c>
      <c r="BB82" s="13">
        <f t="shared" si="97"/>
        <v>3.9520567054320213E-6</v>
      </c>
    </row>
    <row r="83" spans="1:54">
      <c r="A83">
        <f>data0!A81</f>
        <v>695</v>
      </c>
      <c r="B83" s="13">
        <v>5.7229999999999998E-3</v>
      </c>
      <c r="C83" t="e">
        <f ca="1">(Calculations!C82-C$2)/C$1</f>
        <v>#DIV/0!</v>
      </c>
      <c r="D83" s="13" t="e">
        <f t="shared" ca="1" si="106"/>
        <v>#DIV/0!</v>
      </c>
      <c r="E83" s="13" t="e">
        <f t="shared" ca="1" si="107"/>
        <v>#DIV/0!</v>
      </c>
      <c r="F83" s="13" t="e">
        <f t="shared" ca="1" si="108"/>
        <v>#DIV/0!</v>
      </c>
      <c r="G83" s="13" t="e">
        <f t="shared" ca="1" si="109"/>
        <v>#DIV/0!</v>
      </c>
      <c r="H83" s="13" t="e">
        <f t="shared" ca="1" si="110"/>
        <v>#DIV/0!</v>
      </c>
      <c r="I83" s="13" t="e">
        <f t="shared" ca="1" si="111"/>
        <v>#DIV/0!</v>
      </c>
      <c r="J83" s="13" t="e">
        <f t="shared" ca="1" si="112"/>
        <v>#DIV/0!</v>
      </c>
      <c r="K83" s="13" t="e">
        <f t="shared" ca="1" si="83"/>
        <v>#DIV/0!</v>
      </c>
      <c r="L83" s="13" t="e">
        <f t="shared" ca="1" si="84"/>
        <v>#DIV/0!</v>
      </c>
      <c r="M83" s="13" t="e">
        <f t="shared" ca="1" si="113"/>
        <v>#DIV/0!</v>
      </c>
      <c r="N83" s="13" t="e">
        <f t="shared" ca="1" si="66"/>
        <v>#DIV/0!</v>
      </c>
      <c r="O83" s="13" t="e">
        <f t="shared" ca="1" si="114"/>
        <v>#DIV/0!</v>
      </c>
      <c r="P83" s="13" t="e">
        <f t="shared" ca="1" si="115"/>
        <v>#DIV/0!</v>
      </c>
      <c r="Q83" s="13">
        <f t="shared" si="85"/>
        <v>2340955891.1630535</v>
      </c>
      <c r="R83" s="13">
        <f t="shared" si="85"/>
        <v>73764535510.41304</v>
      </c>
      <c r="S83" s="13">
        <f t="shared" si="85"/>
        <v>584801315489.09338</v>
      </c>
      <c r="T83" s="13">
        <f t="shared" si="85"/>
        <v>2326549586202.3979</v>
      </c>
      <c r="U83" s="13">
        <f t="shared" si="85"/>
        <v>6245604922422.8076</v>
      </c>
      <c r="V83" s="13">
        <f t="shared" si="85"/>
        <v>13120715229386.404</v>
      </c>
      <c r="W83" s="13">
        <f t="shared" si="85"/>
        <v>23421847495509.453</v>
      </c>
      <c r="X83" s="13">
        <f t="shared" si="85"/>
        <v>37324658870129.656</v>
      </c>
      <c r="Y83" s="54">
        <f t="shared" si="85"/>
        <v>44750762991296.422</v>
      </c>
      <c r="Z83" s="13">
        <f t="shared" si="85"/>
        <v>54787877002458.523</v>
      </c>
      <c r="AA83" s="13">
        <f t="shared" si="85"/>
        <v>75634867160966.797</v>
      </c>
      <c r="AB83" s="13">
        <f t="shared" si="86"/>
        <v>99617410024734.922</v>
      </c>
      <c r="AC83" s="13">
        <f t="shared" si="98"/>
        <v>256108616599.18942</v>
      </c>
      <c r="AD83" s="13">
        <f t="shared" si="105"/>
        <v>13397290.565126155</v>
      </c>
      <c r="AE83" s="13">
        <f t="shared" si="105"/>
        <v>422154436.72609383</v>
      </c>
      <c r="AF83" s="13">
        <f t="shared" si="105"/>
        <v>3346817928.5440812</v>
      </c>
      <c r="AG83" s="13">
        <f t="shared" si="100"/>
        <v>13314843281.836323</v>
      </c>
      <c r="AH83" s="13">
        <f t="shared" si="101"/>
        <v>35743596971.025726</v>
      </c>
      <c r="AI83" s="13">
        <f t="shared" si="102"/>
        <v>75089853257.778397</v>
      </c>
      <c r="AJ83" s="13">
        <f t="shared" si="103"/>
        <v>134043233216.8006</v>
      </c>
      <c r="AK83" s="13">
        <f t="shared" si="103"/>
        <v>213609022713.75201</v>
      </c>
      <c r="AL83" s="13">
        <f t="shared" si="103"/>
        <v>256108616599.18942</v>
      </c>
      <c r="AM83" s="13">
        <f t="shared" si="104"/>
        <v>313551020085.07013</v>
      </c>
      <c r="AN83" s="13">
        <f t="shared" si="116"/>
        <v>432858344762.21295</v>
      </c>
      <c r="AO83" s="13">
        <f t="shared" si="117"/>
        <v>570110437571.55798</v>
      </c>
      <c r="AP83" s="13">
        <f t="shared" si="118"/>
        <v>1465709612.7971611</v>
      </c>
      <c r="AQ83" s="13">
        <f t="shared" si="99"/>
        <v>1.8826696709374751E-3</v>
      </c>
      <c r="AR83" s="13">
        <f t="shared" si="87"/>
        <v>9.8972496732834068E-4</v>
      </c>
      <c r="AS83" s="13">
        <f t="shared" si="88"/>
        <v>6.4698395305758929E-4</v>
      </c>
      <c r="AT83" s="13">
        <f t="shared" si="89"/>
        <v>4.7900113038810906E-4</v>
      </c>
      <c r="AU83" s="13">
        <f t="shared" si="90"/>
        <v>3.8324392447188697E-4</v>
      </c>
      <c r="AV83" s="13">
        <f t="shared" si="91"/>
        <v>3.2288349059845085E-4</v>
      </c>
      <c r="AW83" s="13">
        <f t="shared" si="92"/>
        <v>2.8203918716175597E-4</v>
      </c>
      <c r="AX83" s="13">
        <f t="shared" si="93"/>
        <v>2.4243240491924773E-4</v>
      </c>
      <c r="AY83" s="13">
        <f t="shared" si="94"/>
        <v>2.3129521310673716E-4</v>
      </c>
      <c r="AZ83" s="13">
        <f t="shared" si="95"/>
        <v>2.1472856560356973E-4</v>
      </c>
      <c r="BA83" s="13">
        <f t="shared" si="96"/>
        <v>2.0170191721536032E-4</v>
      </c>
      <c r="BB83" s="13">
        <f t="shared" si="97"/>
        <v>1.9072731874308424E-6</v>
      </c>
    </row>
    <row r="84" spans="1:54">
      <c r="A84">
        <f>data0!A82</f>
        <v>700</v>
      </c>
      <c r="B84" s="13">
        <v>4.1019999999999997E-3</v>
      </c>
      <c r="C84" t="e">
        <f ca="1">(Calculations!C83-C$2)/C$1</f>
        <v>#DIV/0!</v>
      </c>
      <c r="D84" s="13" t="e">
        <f t="shared" ca="1" si="106"/>
        <v>#DIV/0!</v>
      </c>
      <c r="E84" s="13" t="e">
        <f t="shared" ca="1" si="107"/>
        <v>#DIV/0!</v>
      </c>
      <c r="F84" s="13" t="e">
        <f t="shared" ca="1" si="108"/>
        <v>#DIV/0!</v>
      </c>
      <c r="G84" s="13" t="e">
        <f t="shared" ca="1" si="109"/>
        <v>#DIV/0!</v>
      </c>
      <c r="H84" s="13" t="e">
        <f t="shared" ca="1" si="110"/>
        <v>#DIV/0!</v>
      </c>
      <c r="I84" s="13" t="e">
        <f t="shared" ca="1" si="111"/>
        <v>#DIV/0!</v>
      </c>
      <c r="J84" s="13" t="e">
        <f t="shared" ca="1" si="112"/>
        <v>#DIV/0!</v>
      </c>
      <c r="K84" s="13" t="e">
        <f t="shared" ca="1" si="83"/>
        <v>#DIV/0!</v>
      </c>
      <c r="L84" s="13" t="e">
        <f t="shared" ca="1" si="84"/>
        <v>#DIV/0!</v>
      </c>
      <c r="M84" s="13" t="e">
        <f t="shared" ca="1" si="113"/>
        <v>#DIV/0!</v>
      </c>
      <c r="N84" s="13" t="e">
        <f t="shared" ca="1" si="66"/>
        <v>#DIV/0!</v>
      </c>
      <c r="O84" s="13" t="e">
        <f t="shared" ca="1" si="114"/>
        <v>#DIV/0!</v>
      </c>
      <c r="P84" s="13" t="e">
        <f t="shared" ca="1" si="115"/>
        <v>#DIV/0!</v>
      </c>
      <c r="Q84" s="13">
        <f t="shared" ref="Q84:AA99" si="119">(3.7418E-16/POWER($A84*0.000000001,5))/(EXP(0.0143877/($A84*Q$3/1000000000))-1)</f>
        <v>2492526001.5770655</v>
      </c>
      <c r="R84" s="13">
        <f t="shared" si="119"/>
        <v>76628786649.708954</v>
      </c>
      <c r="S84" s="13">
        <f t="shared" si="119"/>
        <v>598599609311.62158</v>
      </c>
      <c r="T84" s="13">
        <f t="shared" si="119"/>
        <v>2358167006401.6719</v>
      </c>
      <c r="U84" s="13">
        <f t="shared" si="119"/>
        <v>6286476776906.7168</v>
      </c>
      <c r="V84" s="13">
        <f t="shared" si="119"/>
        <v>13138296574941.551</v>
      </c>
      <c r="W84" s="13">
        <f t="shared" si="119"/>
        <v>23360015024065.152</v>
      </c>
      <c r="X84" s="13">
        <f t="shared" si="119"/>
        <v>37109435576301.43</v>
      </c>
      <c r="Y84" s="54">
        <f t="shared" si="119"/>
        <v>44439257115498.531</v>
      </c>
      <c r="Z84" s="13">
        <f t="shared" si="119"/>
        <v>54334482064415.312</v>
      </c>
      <c r="AA84" s="13">
        <f t="shared" si="119"/>
        <v>74853883857243.344</v>
      </c>
      <c r="AB84" s="13">
        <f t="shared" si="86"/>
        <v>98419354251837.234</v>
      </c>
      <c r="AC84" s="13">
        <f t="shared" si="98"/>
        <v>182289832687.77496</v>
      </c>
      <c r="AD84" s="13">
        <f t="shared" si="105"/>
        <v>10224341.658469122</v>
      </c>
      <c r="AE84" s="13">
        <f t="shared" si="105"/>
        <v>314331282.83710611</v>
      </c>
      <c r="AF84" s="13">
        <f t="shared" si="105"/>
        <v>2455455597.3962717</v>
      </c>
      <c r="AG84" s="13">
        <f t="shared" si="100"/>
        <v>9673201060.2596569</v>
      </c>
      <c r="AH84" s="13">
        <f t="shared" si="101"/>
        <v>25787127738.871349</v>
      </c>
      <c r="AI84" s="13">
        <f t="shared" si="102"/>
        <v>53893292550.41024</v>
      </c>
      <c r="AJ84" s="13">
        <f t="shared" si="103"/>
        <v>95822781628.715256</v>
      </c>
      <c r="AK84" s="13">
        <f t="shared" si="103"/>
        <v>152222904733.98846</v>
      </c>
      <c r="AL84" s="13">
        <f t="shared" si="103"/>
        <v>182289832687.77496</v>
      </c>
      <c r="AM84" s="13">
        <f t="shared" si="104"/>
        <v>222880045428.2316</v>
      </c>
      <c r="AN84" s="13">
        <f t="shared" si="116"/>
        <v>307050631582.41217</v>
      </c>
      <c r="AO84" s="13">
        <f t="shared" si="117"/>
        <v>403716191141.03632</v>
      </c>
      <c r="AP84" s="13">
        <f t="shared" si="118"/>
        <v>747752893.6852529</v>
      </c>
      <c r="AQ84" s="13">
        <f t="shared" si="99"/>
        <v>1.4367873751882849E-3</v>
      </c>
      <c r="AR84" s="13">
        <f t="shared" si="87"/>
        <v>7.3693769760871191E-4</v>
      </c>
      <c r="AS84" s="13">
        <f t="shared" si="88"/>
        <v>4.7467188322727438E-4</v>
      </c>
      <c r="AT84" s="13">
        <f t="shared" si="89"/>
        <v>3.479931490186344E-4</v>
      </c>
      <c r="AU84" s="13">
        <f t="shared" si="90"/>
        <v>2.7649036115514675E-4</v>
      </c>
      <c r="AV84" s="13">
        <f t="shared" si="91"/>
        <v>2.3173909208189041E-4</v>
      </c>
      <c r="AW84" s="13">
        <f t="shared" si="92"/>
        <v>2.0161987139201561E-4</v>
      </c>
      <c r="AX84" s="13">
        <f t="shared" si="93"/>
        <v>1.7255554739880802E-4</v>
      </c>
      <c r="AY84" s="13">
        <f t="shared" si="94"/>
        <v>1.6441052429226879E-4</v>
      </c>
      <c r="AZ84" s="13">
        <f t="shared" si="95"/>
        <v>1.5231898029730947E-4</v>
      </c>
      <c r="BA84" s="13">
        <f t="shared" si="96"/>
        <v>1.4283255383095681E-4</v>
      </c>
      <c r="BB84" s="13">
        <f t="shared" si="97"/>
        <v>9.7302291838559095E-7</v>
      </c>
    </row>
    <row r="85" spans="1:54">
      <c r="A85">
        <f>data0!A83</f>
        <v>705</v>
      </c>
      <c r="B85" s="13">
        <v>2.9290000000000002E-3</v>
      </c>
      <c r="C85" t="e">
        <f ca="1">(Calculations!C84-C$2)/C$1</f>
        <v>#DIV/0!</v>
      </c>
      <c r="D85" s="13" t="e">
        <f t="shared" ca="1" si="106"/>
        <v>#DIV/0!</v>
      </c>
      <c r="E85" s="13" t="e">
        <f t="shared" ca="1" si="107"/>
        <v>#DIV/0!</v>
      </c>
      <c r="F85" s="13" t="e">
        <f t="shared" ca="1" si="108"/>
        <v>#DIV/0!</v>
      </c>
      <c r="G85" s="13" t="e">
        <f t="shared" ca="1" si="109"/>
        <v>#DIV/0!</v>
      </c>
      <c r="H85" s="13" t="e">
        <f t="shared" ca="1" si="110"/>
        <v>#DIV/0!</v>
      </c>
      <c r="I85" s="13" t="e">
        <f t="shared" ca="1" si="111"/>
        <v>#DIV/0!</v>
      </c>
      <c r="J85" s="13" t="e">
        <f t="shared" ca="1" si="112"/>
        <v>#DIV/0!</v>
      </c>
      <c r="K85" s="13" t="e">
        <f t="shared" ca="1" si="83"/>
        <v>#DIV/0!</v>
      </c>
      <c r="L85" s="13" t="e">
        <f t="shared" ca="1" si="84"/>
        <v>#DIV/0!</v>
      </c>
      <c r="M85" s="13" t="e">
        <f t="shared" ca="1" si="113"/>
        <v>#DIV/0!</v>
      </c>
      <c r="N85" s="13" t="e">
        <f t="shared" ca="1" si="66"/>
        <v>#DIV/0!</v>
      </c>
      <c r="O85" s="13" t="e">
        <f t="shared" ca="1" si="114"/>
        <v>#DIV/0!</v>
      </c>
      <c r="P85" s="13" t="e">
        <f t="shared" ca="1" si="115"/>
        <v>#DIV/0!</v>
      </c>
      <c r="Q85" s="13">
        <f t="shared" si="119"/>
        <v>2650877686.9737206</v>
      </c>
      <c r="R85" s="13">
        <f t="shared" si="119"/>
        <v>79541117780.451279</v>
      </c>
      <c r="S85" s="13">
        <f t="shared" si="119"/>
        <v>612366256802.86218</v>
      </c>
      <c r="T85" s="13">
        <f t="shared" si="119"/>
        <v>2389157289765.9351</v>
      </c>
      <c r="U85" s="13">
        <f t="shared" si="119"/>
        <v>6325459576330.0869</v>
      </c>
      <c r="V85" s="13">
        <f t="shared" si="119"/>
        <v>13152424190455.504</v>
      </c>
      <c r="W85" s="13">
        <f t="shared" si="119"/>
        <v>23293579572102.922</v>
      </c>
      <c r="X85" s="13">
        <f t="shared" si="119"/>
        <v>36889670005012.367</v>
      </c>
      <c r="Y85" s="54">
        <f t="shared" si="119"/>
        <v>44123818891205.687</v>
      </c>
      <c r="Z85" s="13">
        <f t="shared" si="119"/>
        <v>53878495328863</v>
      </c>
      <c r="AA85" s="13">
        <f t="shared" si="119"/>
        <v>74074637751052.562</v>
      </c>
      <c r="AB85" s="13">
        <f t="shared" si="86"/>
        <v>97230039367911.734</v>
      </c>
      <c r="AC85" s="13">
        <f t="shared" si="98"/>
        <v>129238665532.34146</v>
      </c>
      <c r="AD85" s="13">
        <f t="shared" si="105"/>
        <v>7764420.7451460278</v>
      </c>
      <c r="AE85" s="13">
        <f t="shared" si="105"/>
        <v>232975933.9789418</v>
      </c>
      <c r="AF85" s="13">
        <f t="shared" si="105"/>
        <v>1793620766.1755834</v>
      </c>
      <c r="AG85" s="13">
        <f t="shared" si="100"/>
        <v>6997841701.7244244</v>
      </c>
      <c r="AH85" s="13">
        <f t="shared" si="101"/>
        <v>18527271099.070827</v>
      </c>
      <c r="AI85" s="13">
        <f t="shared" si="102"/>
        <v>38523450453.84417</v>
      </c>
      <c r="AJ85" s="13">
        <f t="shared" si="103"/>
        <v>68226894566.689461</v>
      </c>
      <c r="AK85" s="13">
        <f t="shared" si="103"/>
        <v>108049843444.68123</v>
      </c>
      <c r="AL85" s="13">
        <f t="shared" si="103"/>
        <v>129238665532.34146</v>
      </c>
      <c r="AM85" s="13">
        <f t="shared" si="104"/>
        <v>157810112818.23975</v>
      </c>
      <c r="AN85" s="13">
        <f t="shared" si="116"/>
        <v>216964613972.83298</v>
      </c>
      <c r="AO85" s="13">
        <f t="shared" si="117"/>
        <v>284786785308.61346</v>
      </c>
      <c r="AP85" s="13">
        <f t="shared" si="118"/>
        <v>378540051.34422815</v>
      </c>
      <c r="AQ85" s="13">
        <f t="shared" si="99"/>
        <v>1.0911041585777929E-3</v>
      </c>
      <c r="AR85" s="13">
        <f t="shared" si="87"/>
        <v>5.4620318676220909E-4</v>
      </c>
      <c r="AS85" s="13">
        <f t="shared" si="88"/>
        <v>3.4673049994424779E-4</v>
      </c>
      <c r="AT85" s="13">
        <f t="shared" si="89"/>
        <v>2.5174716776244014E-4</v>
      </c>
      <c r="AU85" s="13">
        <f t="shared" si="90"/>
        <v>1.9864995936246183E-4</v>
      </c>
      <c r="AV85" s="13">
        <f t="shared" si="91"/>
        <v>1.6564936023689985E-4</v>
      </c>
      <c r="AW85" s="13">
        <f t="shared" si="92"/>
        <v>1.4355560832404705E-4</v>
      </c>
      <c r="AX85" s="13">
        <f t="shared" si="93"/>
        <v>1.2233731496271333E-4</v>
      </c>
      <c r="AY85" s="13">
        <f t="shared" si="94"/>
        <v>1.1641079548964603E-4</v>
      </c>
      <c r="AZ85" s="13">
        <f t="shared" si="95"/>
        <v>1.0762989996348954E-4</v>
      </c>
      <c r="BA85" s="13">
        <f t="shared" si="96"/>
        <v>1.0075598832925533E-4</v>
      </c>
      <c r="BB85" s="13">
        <f t="shared" si="97"/>
        <v>4.9258003358503946E-7</v>
      </c>
    </row>
    <row r="86" spans="1:54">
      <c r="A86">
        <f>data0!A84</f>
        <v>710</v>
      </c>
      <c r="B86" s="13">
        <v>2.091E-3</v>
      </c>
      <c r="C86" t="e">
        <f ca="1">(Calculations!C85-C$2)/C$1</f>
        <v>#DIV/0!</v>
      </c>
      <c r="D86" s="13" t="e">
        <f t="shared" ca="1" si="106"/>
        <v>#DIV/0!</v>
      </c>
      <c r="E86" s="13" t="e">
        <f t="shared" ca="1" si="107"/>
        <v>#DIV/0!</v>
      </c>
      <c r="F86" s="13" t="e">
        <f t="shared" ca="1" si="108"/>
        <v>#DIV/0!</v>
      </c>
      <c r="G86" s="13" t="e">
        <f t="shared" ca="1" si="109"/>
        <v>#DIV/0!</v>
      </c>
      <c r="H86" s="13" t="e">
        <f t="shared" ca="1" si="110"/>
        <v>#DIV/0!</v>
      </c>
      <c r="I86" s="13" t="e">
        <f t="shared" ca="1" si="111"/>
        <v>#DIV/0!</v>
      </c>
      <c r="J86" s="13" t="e">
        <f t="shared" ca="1" si="112"/>
        <v>#DIV/0!</v>
      </c>
      <c r="K86" s="13" t="e">
        <f t="shared" ca="1" si="83"/>
        <v>#DIV/0!</v>
      </c>
      <c r="L86" s="13" t="e">
        <f t="shared" ca="1" si="84"/>
        <v>#DIV/0!</v>
      </c>
      <c r="M86" s="13" t="e">
        <f t="shared" ca="1" si="113"/>
        <v>#DIV/0!</v>
      </c>
      <c r="N86" s="13" t="e">
        <f t="shared" ca="1" si="66"/>
        <v>#DIV/0!</v>
      </c>
      <c r="O86" s="13" t="e">
        <f t="shared" ca="1" si="114"/>
        <v>#DIV/0!</v>
      </c>
      <c r="P86" s="13" t="e">
        <f t="shared" ca="1" si="115"/>
        <v>#DIV/0!</v>
      </c>
      <c r="Q86" s="13">
        <f t="shared" si="119"/>
        <v>2816141489.4789124</v>
      </c>
      <c r="R86" s="13">
        <f t="shared" si="119"/>
        <v>82500179534.043442</v>
      </c>
      <c r="S86" s="13">
        <f t="shared" si="119"/>
        <v>626093145844.40271</v>
      </c>
      <c r="T86" s="13">
        <f t="shared" si="119"/>
        <v>2419511699798.002</v>
      </c>
      <c r="U86" s="13">
        <f t="shared" si="119"/>
        <v>6362572770236.2998</v>
      </c>
      <c r="V86" s="13">
        <f t="shared" si="119"/>
        <v>13163185508300.803</v>
      </c>
      <c r="W86" s="13">
        <f t="shared" si="119"/>
        <v>23222726225248.105</v>
      </c>
      <c r="X86" s="13">
        <f t="shared" si="119"/>
        <v>36665649244767.57</v>
      </c>
      <c r="Y86" s="54">
        <f t="shared" si="119"/>
        <v>43804774571767.633</v>
      </c>
      <c r="Z86" s="13">
        <f t="shared" si="119"/>
        <v>53420279713975</v>
      </c>
      <c r="AA86" s="13">
        <f t="shared" si="119"/>
        <v>73297513108048.875</v>
      </c>
      <c r="AB86" s="13">
        <f t="shared" si="86"/>
        <v>96049794047711.859</v>
      </c>
      <c r="AC86" s="13">
        <f t="shared" si="98"/>
        <v>91595783629.566116</v>
      </c>
      <c r="AD86" s="13">
        <f t="shared" si="105"/>
        <v>5888551.8545004055</v>
      </c>
      <c r="AE86" s="13">
        <f t="shared" si="105"/>
        <v>172507875.40568483</v>
      </c>
      <c r="AF86" s="13">
        <f t="shared" si="105"/>
        <v>1309160767.9606462</v>
      </c>
      <c r="AG86" s="13">
        <f t="shared" si="100"/>
        <v>5059198964.2776222</v>
      </c>
      <c r="AH86" s="13">
        <f t="shared" si="101"/>
        <v>13304139662.564102</v>
      </c>
      <c r="AI86" s="13">
        <f t="shared" si="102"/>
        <v>27524220897.856979</v>
      </c>
      <c r="AJ86" s="13">
        <f t="shared" si="103"/>
        <v>48558720536.99379</v>
      </c>
      <c r="AK86" s="13">
        <f t="shared" si="103"/>
        <v>76667872570.80899</v>
      </c>
      <c r="AL86" s="13">
        <f t="shared" si="103"/>
        <v>91595783629.566116</v>
      </c>
      <c r="AM86" s="13">
        <f t="shared" si="104"/>
        <v>111701804881.92172</v>
      </c>
      <c r="AN86" s="13">
        <f t="shared" si="116"/>
        <v>153265099908.93021</v>
      </c>
      <c r="AO86" s="13">
        <f t="shared" si="117"/>
        <v>200840119353.7655</v>
      </c>
      <c r="AP86" s="13">
        <f t="shared" si="118"/>
        <v>191526783.56942275</v>
      </c>
      <c r="AQ86" s="13">
        <f t="shared" si="99"/>
        <v>8.2749552443599965E-4</v>
      </c>
      <c r="AR86" s="13">
        <f t="shared" si="87"/>
        <v>4.0443813092162518E-4</v>
      </c>
      <c r="AS86" s="13">
        <f t="shared" si="88"/>
        <v>2.5307800631137092E-4</v>
      </c>
      <c r="AT86" s="13">
        <f t="shared" si="89"/>
        <v>1.8200454721485184E-4</v>
      </c>
      <c r="AU86" s="13">
        <f t="shared" si="90"/>
        <v>1.4264738661126514E-4</v>
      </c>
      <c r="AV86" s="13">
        <f t="shared" si="91"/>
        <v>1.183530947782521E-4</v>
      </c>
      <c r="AW86" s="13">
        <f t="shared" si="92"/>
        <v>1.0217197646760467E-4</v>
      </c>
      <c r="AX86" s="13">
        <f t="shared" si="93"/>
        <v>8.670456465168793E-5</v>
      </c>
      <c r="AY86" s="13">
        <f t="shared" si="94"/>
        <v>8.2398369354887176E-5</v>
      </c>
      <c r="AZ86" s="13">
        <f t="shared" si="95"/>
        <v>7.6030404539414475E-5</v>
      </c>
      <c r="BA86" s="13">
        <f t="shared" si="96"/>
        <v>7.1056122564554282E-5</v>
      </c>
      <c r="BB86" s="13">
        <f t="shared" si="97"/>
        <v>2.4922665157370626E-7</v>
      </c>
    </row>
    <row r="87" spans="1:54">
      <c r="A87">
        <f>data0!A85</f>
        <v>715</v>
      </c>
      <c r="B87" s="13">
        <v>1.4840000000000001E-3</v>
      </c>
      <c r="C87" t="e">
        <f ca="1">(Calculations!C86-C$2)/C$1</f>
        <v>#DIV/0!</v>
      </c>
      <c r="D87" s="13" t="e">
        <f t="shared" ca="1" si="106"/>
        <v>#DIV/0!</v>
      </c>
      <c r="E87" s="13" t="e">
        <f t="shared" ca="1" si="107"/>
        <v>#DIV/0!</v>
      </c>
      <c r="F87" s="13" t="e">
        <f t="shared" ca="1" si="108"/>
        <v>#DIV/0!</v>
      </c>
      <c r="G87" s="13" t="e">
        <f t="shared" ca="1" si="109"/>
        <v>#DIV/0!</v>
      </c>
      <c r="H87" s="13" t="e">
        <f t="shared" ca="1" si="110"/>
        <v>#DIV/0!</v>
      </c>
      <c r="I87" s="13" t="e">
        <f t="shared" ca="1" si="111"/>
        <v>#DIV/0!</v>
      </c>
      <c r="J87" s="13" t="e">
        <f t="shared" ca="1" si="112"/>
        <v>#DIV/0!</v>
      </c>
      <c r="K87" s="13" t="e">
        <f t="shared" ca="1" si="83"/>
        <v>#DIV/0!</v>
      </c>
      <c r="L87" s="13" t="e">
        <f t="shared" ca="1" si="84"/>
        <v>#DIV/0!</v>
      </c>
      <c r="M87" s="13" t="e">
        <f t="shared" ca="1" si="113"/>
        <v>#DIV/0!</v>
      </c>
      <c r="N87" s="13" t="e">
        <f t="shared" ca="1" si="66"/>
        <v>#DIV/0!</v>
      </c>
      <c r="O87" s="13" t="e">
        <f t="shared" ca="1" si="114"/>
        <v>#DIV/0!</v>
      </c>
      <c r="P87" s="13" t="e">
        <f t="shared" ca="1" si="115"/>
        <v>#DIV/0!</v>
      </c>
      <c r="Q87" s="13">
        <f t="shared" si="119"/>
        <v>2988443020.3799858</v>
      </c>
      <c r="R87" s="13">
        <f t="shared" si="119"/>
        <v>85504581075.32225</v>
      </c>
      <c r="S87" s="13">
        <f t="shared" si="119"/>
        <v>639772369555.51428</v>
      </c>
      <c r="T87" s="13">
        <f t="shared" si="119"/>
        <v>2449222424167.8149</v>
      </c>
      <c r="U87" s="13">
        <f t="shared" si="119"/>
        <v>6397837045710.9668</v>
      </c>
      <c r="V87" s="13">
        <f t="shared" si="119"/>
        <v>13170667817936.777</v>
      </c>
      <c r="W87" s="13">
        <f t="shared" si="119"/>
        <v>23147636210713.395</v>
      </c>
      <c r="X87" s="13">
        <f t="shared" si="119"/>
        <v>36437650804863.781</v>
      </c>
      <c r="Y87" s="54">
        <f t="shared" si="119"/>
        <v>43482437863930.555</v>
      </c>
      <c r="Z87" s="13">
        <f t="shared" si="119"/>
        <v>52960181869910.125</v>
      </c>
      <c r="AA87" s="13">
        <f t="shared" si="119"/>
        <v>72522871602554.781</v>
      </c>
      <c r="AB87" s="13">
        <f t="shared" si="86"/>
        <v>94878919727222.781</v>
      </c>
      <c r="AC87" s="13">
        <f t="shared" si="98"/>
        <v>64527937790.072945</v>
      </c>
      <c r="AD87" s="13">
        <f t="shared" si="105"/>
        <v>4434849.4422438992</v>
      </c>
      <c r="AE87" s="13">
        <f t="shared" si="105"/>
        <v>126888798.31577823</v>
      </c>
      <c r="AF87" s="13">
        <f t="shared" si="105"/>
        <v>949422196.42038321</v>
      </c>
      <c r="AG87" s="13">
        <f t="shared" si="100"/>
        <v>3634646077.4650373</v>
      </c>
      <c r="AH87" s="13">
        <f t="shared" si="101"/>
        <v>9494390175.8350754</v>
      </c>
      <c r="AI87" s="13">
        <f t="shared" si="102"/>
        <v>19545271041.81818</v>
      </c>
      <c r="AJ87" s="13">
        <f t="shared" si="103"/>
        <v>34351092136.698681</v>
      </c>
      <c r="AK87" s="13">
        <f t="shared" si="103"/>
        <v>54073473794.417854</v>
      </c>
      <c r="AL87" s="13">
        <f t="shared" si="103"/>
        <v>64527937790.072945</v>
      </c>
      <c r="AM87" s="13">
        <f t="shared" si="104"/>
        <v>78592909894.946625</v>
      </c>
      <c r="AN87" s="13">
        <f t="shared" si="116"/>
        <v>107623941458.1913</v>
      </c>
      <c r="AO87" s="13">
        <f t="shared" si="117"/>
        <v>140800316875.19861</v>
      </c>
      <c r="AP87" s="13">
        <f t="shared" si="118"/>
        <v>95759459.680468261</v>
      </c>
      <c r="AQ87" s="13">
        <f t="shared" si="99"/>
        <v>6.2321232039412339E-4</v>
      </c>
      <c r="AR87" s="13">
        <f t="shared" si="87"/>
        <v>2.9748594552590063E-4</v>
      </c>
      <c r="AS87" s="13">
        <f t="shared" si="88"/>
        <v>1.8353580591337748E-4</v>
      </c>
      <c r="AT87" s="13">
        <f t="shared" si="89"/>
        <v>1.3075629527247045E-4</v>
      </c>
      <c r="AU87" s="13">
        <f t="shared" si="90"/>
        <v>1.0179913774217852E-4</v>
      </c>
      <c r="AV87" s="13">
        <f t="shared" si="91"/>
        <v>8.4043916253376713E-5</v>
      </c>
      <c r="AW87" s="13">
        <f t="shared" si="92"/>
        <v>7.2277830606213488E-5</v>
      </c>
      <c r="AX87" s="13">
        <f t="shared" si="93"/>
        <v>6.1082143001105514E-5</v>
      </c>
      <c r="AY87" s="13">
        <f t="shared" si="94"/>
        <v>5.7975138584777422E-5</v>
      </c>
      <c r="AZ87" s="13">
        <f t="shared" si="95"/>
        <v>5.33891395500651E-5</v>
      </c>
      <c r="BA87" s="13">
        <f t="shared" si="96"/>
        <v>4.9814372771754763E-5</v>
      </c>
      <c r="BB87" s="13">
        <f t="shared" si="97"/>
        <v>1.24608209086432E-7</v>
      </c>
    </row>
    <row r="88" spans="1:54">
      <c r="A88">
        <f>data0!A86</f>
        <v>720</v>
      </c>
      <c r="B88" s="13">
        <v>1.047E-3</v>
      </c>
      <c r="C88" t="e">
        <f ca="1">(Calculations!C87-C$2)/C$1</f>
        <v>#DIV/0!</v>
      </c>
      <c r="D88" s="13" t="e">
        <f t="shared" ca="1" si="106"/>
        <v>#DIV/0!</v>
      </c>
      <c r="E88" s="13" t="e">
        <f t="shared" ca="1" si="107"/>
        <v>#DIV/0!</v>
      </c>
      <c r="F88" s="13" t="e">
        <f t="shared" ca="1" si="108"/>
        <v>#DIV/0!</v>
      </c>
      <c r="G88" s="13" t="e">
        <f t="shared" ca="1" si="109"/>
        <v>#DIV/0!</v>
      </c>
      <c r="H88" s="13" t="e">
        <f t="shared" ca="1" si="110"/>
        <v>#DIV/0!</v>
      </c>
      <c r="I88" s="13" t="e">
        <f t="shared" ca="1" si="111"/>
        <v>#DIV/0!</v>
      </c>
      <c r="J88" s="13" t="e">
        <f t="shared" ca="1" si="112"/>
        <v>#DIV/0!</v>
      </c>
      <c r="K88" s="13" t="e">
        <f t="shared" ca="1" si="83"/>
        <v>#DIV/0!</v>
      </c>
      <c r="L88" s="13" t="e">
        <f t="shared" ca="1" si="84"/>
        <v>#DIV/0!</v>
      </c>
      <c r="M88" s="13" t="e">
        <f t="shared" ca="1" si="113"/>
        <v>#DIV/0!</v>
      </c>
      <c r="N88" s="13" t="e">
        <f t="shared" ca="1" si="66"/>
        <v>#DIV/0!</v>
      </c>
      <c r="O88" s="13" t="e">
        <f t="shared" ca="1" si="114"/>
        <v>#DIV/0!</v>
      </c>
      <c r="P88" s="13" t="e">
        <f t="shared" ca="1" si="115"/>
        <v>#DIV/0!</v>
      </c>
      <c r="Q88" s="13">
        <f t="shared" si="119"/>
        <v>3167902739.6223788</v>
      </c>
      <c r="R88" s="13">
        <f t="shared" si="119"/>
        <v>88552893132.276062</v>
      </c>
      <c r="S88" s="13">
        <f t="shared" si="119"/>
        <v>653396231805.04565</v>
      </c>
      <c r="T88" s="13">
        <f t="shared" si="119"/>
        <v>2478282546958.0503</v>
      </c>
      <c r="U88" s="13">
        <f t="shared" si="119"/>
        <v>6431274232856.0479</v>
      </c>
      <c r="V88" s="13">
        <f t="shared" si="119"/>
        <v>13174958136622.508</v>
      </c>
      <c r="W88" s="13">
        <f t="shared" si="119"/>
        <v>23068486840870.594</v>
      </c>
      <c r="X88" s="13">
        <f t="shared" si="119"/>
        <v>36205942776456.016</v>
      </c>
      <c r="Y88" s="54">
        <f t="shared" si="119"/>
        <v>43157110232169.336</v>
      </c>
      <c r="Z88" s="13">
        <f t="shared" si="119"/>
        <v>52498532689465.664</v>
      </c>
      <c r="AA88" s="13">
        <f t="shared" si="119"/>
        <v>71751053261190.187</v>
      </c>
      <c r="AB88" s="13">
        <f t="shared" si="86"/>
        <v>93717691997969.656</v>
      </c>
      <c r="AC88" s="13">
        <f t="shared" si="98"/>
        <v>45185494413.081291</v>
      </c>
      <c r="AD88" s="13">
        <f t="shared" si="105"/>
        <v>3316794.1683846307</v>
      </c>
      <c r="AE88" s="13">
        <f t="shared" si="105"/>
        <v>92714879.109493032</v>
      </c>
      <c r="AF88" s="13">
        <f t="shared" si="105"/>
        <v>684105854.69988275</v>
      </c>
      <c r="AG88" s="13">
        <f t="shared" si="100"/>
        <v>2594761826.6650786</v>
      </c>
      <c r="AH88" s="13">
        <f t="shared" si="101"/>
        <v>6733544121.8002815</v>
      </c>
      <c r="AI88" s="13">
        <f t="shared" si="102"/>
        <v>13794181169.043766</v>
      </c>
      <c r="AJ88" s="13">
        <f t="shared" si="103"/>
        <v>24152705722.39151</v>
      </c>
      <c r="AK88" s="13">
        <f t="shared" si="103"/>
        <v>37907622086.949448</v>
      </c>
      <c r="AL88" s="13">
        <f t="shared" si="103"/>
        <v>45185494413.081291</v>
      </c>
      <c r="AM88" s="13">
        <f t="shared" si="104"/>
        <v>54965963725.870552</v>
      </c>
      <c r="AN88" s="13">
        <f t="shared" si="116"/>
        <v>75123352764.466125</v>
      </c>
      <c r="AO88" s="13">
        <f t="shared" si="117"/>
        <v>98122423521.874222</v>
      </c>
      <c r="AP88" s="13">
        <f t="shared" si="118"/>
        <v>47309212.65049611</v>
      </c>
      <c r="AQ88" s="13">
        <f t="shared" si="99"/>
        <v>4.6609631665484659E-4</v>
      </c>
      <c r="AR88" s="13">
        <f t="shared" si="87"/>
        <v>2.1736649603669111E-4</v>
      </c>
      <c r="AS88" s="13">
        <f t="shared" si="88"/>
        <v>1.3224666523048995E-4</v>
      </c>
      <c r="AT88" s="13">
        <f t="shared" si="89"/>
        <v>9.334648720619963E-5</v>
      </c>
      <c r="AU88" s="13">
        <f t="shared" si="90"/>
        <v>7.2197263105199194E-5</v>
      </c>
      <c r="AV88" s="13">
        <f t="shared" si="91"/>
        <v>5.9314450256258813E-5</v>
      </c>
      <c r="AW88" s="13">
        <f t="shared" si="92"/>
        <v>5.0819495518156417E-5</v>
      </c>
      <c r="AX88" s="13">
        <f t="shared" si="93"/>
        <v>4.2772586973019482E-5</v>
      </c>
      <c r="AY88" s="13">
        <f t="shared" si="94"/>
        <v>4.0546397489452039E-5</v>
      </c>
      <c r="AZ88" s="13">
        <f t="shared" si="95"/>
        <v>3.7266532983917118E-5</v>
      </c>
      <c r="BA88" s="13">
        <f t="shared" si="96"/>
        <v>3.4715170328197072E-5</v>
      </c>
      <c r="BB88" s="13">
        <f t="shared" si="97"/>
        <v>6.156171182814119E-8</v>
      </c>
    </row>
    <row r="89" spans="1:54">
      <c r="A89">
        <f>data0!A87</f>
        <v>725</v>
      </c>
      <c r="B89" s="13">
        <v>7.3999999999999999E-4</v>
      </c>
      <c r="C89" t="e">
        <f ca="1">(Calculations!C88-C$2)/C$1</f>
        <v>#DIV/0!</v>
      </c>
      <c r="D89" s="13" t="e">
        <f t="shared" ca="1" si="106"/>
        <v>#DIV/0!</v>
      </c>
      <c r="E89" s="13" t="e">
        <f t="shared" ca="1" si="107"/>
        <v>#DIV/0!</v>
      </c>
      <c r="F89" s="13" t="e">
        <f t="shared" ca="1" si="108"/>
        <v>#DIV/0!</v>
      </c>
      <c r="G89" s="13" t="e">
        <f t="shared" ca="1" si="109"/>
        <v>#DIV/0!</v>
      </c>
      <c r="H89" s="13" t="e">
        <f t="shared" ca="1" si="110"/>
        <v>#DIV/0!</v>
      </c>
      <c r="I89" s="13" t="e">
        <f t="shared" ca="1" si="111"/>
        <v>#DIV/0!</v>
      </c>
      <c r="J89" s="13" t="e">
        <f t="shared" ca="1" si="112"/>
        <v>#DIV/0!</v>
      </c>
      <c r="K89" s="13" t="e">
        <f t="shared" ca="1" si="83"/>
        <v>#DIV/0!</v>
      </c>
      <c r="L89" s="13" t="e">
        <f t="shared" ca="1" si="84"/>
        <v>#DIV/0!</v>
      </c>
      <c r="M89" s="13" t="e">
        <f t="shared" ca="1" si="113"/>
        <v>#DIV/0!</v>
      </c>
      <c r="N89" s="13" t="e">
        <f t="shared" ca="1" si="66"/>
        <v>#DIV/0!</v>
      </c>
      <c r="O89" s="13" t="e">
        <f t="shared" ca="1" si="114"/>
        <v>#DIV/0!</v>
      </c>
      <c r="P89" s="13" t="e">
        <f t="shared" ca="1" si="115"/>
        <v>#DIV/0!</v>
      </c>
      <c r="Q89" s="13">
        <f t="shared" si="119"/>
        <v>3354635749.0435481</v>
      </c>
      <c r="R89" s="13">
        <f t="shared" si="119"/>
        <v>91643651008.200607</v>
      </c>
      <c r="S89" s="13">
        <f t="shared" si="119"/>
        <v>666957252000.45581</v>
      </c>
      <c r="T89" s="13">
        <f t="shared" si="119"/>
        <v>2506686020522.1543</v>
      </c>
      <c r="U89" s="13">
        <f t="shared" si="119"/>
        <v>6462907213744.791</v>
      </c>
      <c r="V89" s="13">
        <f t="shared" si="119"/>
        <v>13176143089547.975</v>
      </c>
      <c r="W89" s="13">
        <f t="shared" si="119"/>
        <v>22985451469440.824</v>
      </c>
      <c r="X89" s="13">
        <f t="shared" si="119"/>
        <v>35970784002042.844</v>
      </c>
      <c r="Y89" s="54">
        <f t="shared" si="119"/>
        <v>42829081206434.195</v>
      </c>
      <c r="Z89" s="13">
        <f t="shared" si="119"/>
        <v>52035647813327.523</v>
      </c>
      <c r="AA89" s="13">
        <f t="shared" si="119"/>
        <v>70982377378219.781</v>
      </c>
      <c r="AB89" s="13">
        <f t="shared" si="86"/>
        <v>92566361943690</v>
      </c>
      <c r="AC89" s="13">
        <f t="shared" si="98"/>
        <v>31693520092.761303</v>
      </c>
      <c r="AD89" s="13">
        <f t="shared" si="105"/>
        <v>2482430.4542922257</v>
      </c>
      <c r="AE89" s="13">
        <f t="shared" si="105"/>
        <v>67816301.746068448</v>
      </c>
      <c r="AF89" s="13">
        <f t="shared" si="105"/>
        <v>493548366.48033732</v>
      </c>
      <c r="AG89" s="13">
        <f t="shared" si="100"/>
        <v>1854947655.1863942</v>
      </c>
      <c r="AH89" s="13">
        <f t="shared" si="101"/>
        <v>4782551338.1711454</v>
      </c>
      <c r="AI89" s="13">
        <f t="shared" si="102"/>
        <v>9750345886.265501</v>
      </c>
      <c r="AJ89" s="13">
        <f t="shared" si="103"/>
        <v>17009234087.386209</v>
      </c>
      <c r="AK89" s="13">
        <f t="shared" si="103"/>
        <v>26618380161.511703</v>
      </c>
      <c r="AL89" s="13">
        <f t="shared" si="103"/>
        <v>31693520092.761303</v>
      </c>
      <c r="AM89" s="13">
        <f t="shared" si="104"/>
        <v>38506379381.862366</v>
      </c>
      <c r="AN89" s="13">
        <f t="shared" si="116"/>
        <v>52526959259.882637</v>
      </c>
      <c r="AO89" s="13">
        <f t="shared" si="117"/>
        <v>68499107838.330597</v>
      </c>
      <c r="AP89" s="13">
        <f t="shared" si="118"/>
        <v>23453204.868643362</v>
      </c>
      <c r="AQ89" s="13">
        <f t="shared" si="99"/>
        <v>3.4884639575356576E-4</v>
      </c>
      <c r="AR89" s="13">
        <f t="shared" si="87"/>
        <v>1.5899273154744924E-4</v>
      </c>
      <c r="AS89" s="13">
        <f t="shared" si="88"/>
        <v>9.5409394830591447E-5</v>
      </c>
      <c r="AT89" s="13">
        <f t="shared" si="89"/>
        <v>6.6731692205281018E-5</v>
      </c>
      <c r="AU89" s="13">
        <f t="shared" si="90"/>
        <v>5.1278659652377636E-5</v>
      </c>
      <c r="AV89" s="13">
        <f t="shared" si="91"/>
        <v>4.1926113552146715E-5</v>
      </c>
      <c r="AW89" s="13">
        <f t="shared" si="92"/>
        <v>3.5788979727841739E-5</v>
      </c>
      <c r="AX89" s="13">
        <f t="shared" si="93"/>
        <v>3.0001084690053103E-5</v>
      </c>
      <c r="AY89" s="13">
        <f t="shared" si="94"/>
        <v>2.8404759208502429E-5</v>
      </c>
      <c r="AZ89" s="13">
        <f t="shared" si="95"/>
        <v>2.6057112572446276E-5</v>
      </c>
      <c r="BA89" s="13">
        <f t="shared" si="96"/>
        <v>2.4234605206291839E-5</v>
      </c>
      <c r="BB89" s="13">
        <f t="shared" si="97"/>
        <v>3.0518779719210569E-8</v>
      </c>
    </row>
    <row r="90" spans="1:54">
      <c r="A90">
        <f>data0!A88</f>
        <v>730</v>
      </c>
      <c r="B90" s="13">
        <v>5.1999999999999995E-4</v>
      </c>
      <c r="C90" t="e">
        <f ca="1">(Calculations!C89-C$2)/C$1</f>
        <v>#DIV/0!</v>
      </c>
      <c r="D90" s="13" t="e">
        <f t="shared" ca="1" si="106"/>
        <v>#DIV/0!</v>
      </c>
      <c r="E90" s="13" t="e">
        <f t="shared" ca="1" si="107"/>
        <v>#DIV/0!</v>
      </c>
      <c r="F90" s="13" t="e">
        <f t="shared" ca="1" si="108"/>
        <v>#DIV/0!</v>
      </c>
      <c r="G90" s="13" t="e">
        <f t="shared" ca="1" si="109"/>
        <v>#DIV/0!</v>
      </c>
      <c r="H90" s="13" t="e">
        <f t="shared" ca="1" si="110"/>
        <v>#DIV/0!</v>
      </c>
      <c r="I90" s="13" t="e">
        <f t="shared" ca="1" si="111"/>
        <v>#DIV/0!</v>
      </c>
      <c r="J90" s="13" t="e">
        <f t="shared" ca="1" si="112"/>
        <v>#DIV/0!</v>
      </c>
      <c r="K90" s="13" t="e">
        <f t="shared" ca="1" si="83"/>
        <v>#DIV/0!</v>
      </c>
      <c r="L90" s="13" t="e">
        <f t="shared" ca="1" si="84"/>
        <v>#DIV/0!</v>
      </c>
      <c r="M90" s="13" t="e">
        <f t="shared" ca="1" si="113"/>
        <v>#DIV/0!</v>
      </c>
      <c r="N90" s="13" t="e">
        <f t="shared" ca="1" si="66"/>
        <v>#DIV/0!</v>
      </c>
      <c r="O90" s="13" t="e">
        <f t="shared" ca="1" si="114"/>
        <v>#DIV/0!</v>
      </c>
      <c r="P90" s="13" t="e">
        <f t="shared" ca="1" si="115"/>
        <v>#DIV/0!</v>
      </c>
      <c r="Q90" s="13">
        <f t="shared" si="119"/>
        <v>3548751599.6111054</v>
      </c>
      <c r="R90" s="13">
        <f t="shared" si="119"/>
        <v>94775357568.423264</v>
      </c>
      <c r="S90" s="13">
        <f t="shared" si="119"/>
        <v>680448169184.02722</v>
      </c>
      <c r="T90" s="13">
        <f t="shared" si="119"/>
        <v>2534427637062.4204</v>
      </c>
      <c r="U90" s="13">
        <f t="shared" si="119"/>
        <v>6492759834853.873</v>
      </c>
      <c r="V90" s="13">
        <f t="shared" si="119"/>
        <v>13174308798964.512</v>
      </c>
      <c r="W90" s="13">
        <f t="shared" si="119"/>
        <v>22898699459357.418</v>
      </c>
      <c r="X90" s="13">
        <f t="shared" si="119"/>
        <v>35732424252141.141</v>
      </c>
      <c r="Y90" s="54">
        <f t="shared" si="119"/>
        <v>42498628692122.57</v>
      </c>
      <c r="Z90" s="13">
        <f t="shared" si="119"/>
        <v>51571828128954.469</v>
      </c>
      <c r="AA90" s="13">
        <f t="shared" si="119"/>
        <v>70217143402608.328</v>
      </c>
      <c r="AB90" s="13">
        <f t="shared" si="86"/>
        <v>91425157420978.922</v>
      </c>
      <c r="AC90" s="13">
        <f t="shared" si="98"/>
        <v>22099286919.903736</v>
      </c>
      <c r="AD90" s="13">
        <f t="shared" si="105"/>
        <v>1845350.8317977746</v>
      </c>
      <c r="AE90" s="13">
        <f t="shared" si="105"/>
        <v>49283185.93558009</v>
      </c>
      <c r="AF90" s="13">
        <f t="shared" si="105"/>
        <v>353833047.97569412</v>
      </c>
      <c r="AG90" s="13">
        <f t="shared" si="100"/>
        <v>1317902371.2724586</v>
      </c>
      <c r="AH90" s="13">
        <f t="shared" si="101"/>
        <v>3376235114.1240139</v>
      </c>
      <c r="AI90" s="13">
        <f t="shared" si="102"/>
        <v>6850640575.4615459</v>
      </c>
      <c r="AJ90" s="13">
        <f t="shared" si="103"/>
        <v>11907323718.865856</v>
      </c>
      <c r="AK90" s="13">
        <f t="shared" si="103"/>
        <v>18580860611.113392</v>
      </c>
      <c r="AL90" s="13">
        <f t="shared" si="103"/>
        <v>22099286919.903736</v>
      </c>
      <c r="AM90" s="13">
        <f t="shared" si="104"/>
        <v>26817350627.05632</v>
      </c>
      <c r="AN90" s="13">
        <f t="shared" si="116"/>
        <v>36512914569.356331</v>
      </c>
      <c r="AO90" s="13">
        <f t="shared" si="117"/>
        <v>47541081858.909035</v>
      </c>
      <c r="AP90" s="13">
        <f t="shared" si="118"/>
        <v>11491629.198349942</v>
      </c>
      <c r="AQ90" s="13">
        <f t="shared" si="99"/>
        <v>2.5932004880960035E-4</v>
      </c>
      <c r="AR90" s="13">
        <f t="shared" si="87"/>
        <v>1.1554254876060052E-4</v>
      </c>
      <c r="AS90" s="13">
        <f t="shared" si="88"/>
        <v>6.8400584970367931E-5</v>
      </c>
      <c r="AT90" s="13">
        <f t="shared" si="89"/>
        <v>4.7411502502762786E-5</v>
      </c>
      <c r="AU90" s="13">
        <f t="shared" si="90"/>
        <v>3.620009469459796E-5</v>
      </c>
      <c r="AV90" s="13">
        <f t="shared" si="91"/>
        <v>2.9457491869732372E-5</v>
      </c>
      <c r="AW90" s="13">
        <f t="shared" si="92"/>
        <v>2.5054095028497862E-5</v>
      </c>
      <c r="AX90" s="13">
        <f t="shared" si="93"/>
        <v>2.091918400144017E-5</v>
      </c>
      <c r="AY90" s="13">
        <f t="shared" si="94"/>
        <v>1.9782186728527336E-5</v>
      </c>
      <c r="AZ90" s="13">
        <f t="shared" si="95"/>
        <v>1.8113005943758819E-5</v>
      </c>
      <c r="BA90" s="13">
        <f t="shared" si="96"/>
        <v>1.6819771618776493E-5</v>
      </c>
      <c r="BB90" s="13">
        <f t="shared" si="97"/>
        <v>1.4953627961873376E-8</v>
      </c>
    </row>
    <row r="91" spans="1:54">
      <c r="A91">
        <f>data0!A89</f>
        <v>735</v>
      </c>
      <c r="B91">
        <v>0</v>
      </c>
      <c r="C91" t="e">
        <f ca="1">(Calculations!C90-C$2)/C$1</f>
        <v>#DIV/0!</v>
      </c>
      <c r="D91" s="13" t="e">
        <f t="shared" ca="1" si="106"/>
        <v>#DIV/0!</v>
      </c>
      <c r="E91" s="13" t="e">
        <f t="shared" ca="1" si="107"/>
        <v>#DIV/0!</v>
      </c>
      <c r="F91" s="13" t="e">
        <f t="shared" ca="1" si="108"/>
        <v>#DIV/0!</v>
      </c>
      <c r="G91" s="13" t="e">
        <f t="shared" ca="1" si="109"/>
        <v>#DIV/0!</v>
      </c>
      <c r="H91" s="13" t="e">
        <f t="shared" ca="1" si="110"/>
        <v>#DIV/0!</v>
      </c>
      <c r="I91" s="13" t="e">
        <f t="shared" ca="1" si="111"/>
        <v>#DIV/0!</v>
      </c>
      <c r="J91" s="13" t="e">
        <f t="shared" ca="1" si="112"/>
        <v>#DIV/0!</v>
      </c>
      <c r="K91" s="13" t="e">
        <f t="shared" ca="1" si="83"/>
        <v>#DIV/0!</v>
      </c>
      <c r="L91" s="13" t="e">
        <f t="shared" ca="1" si="84"/>
        <v>#DIV/0!</v>
      </c>
      <c r="M91" s="13" t="e">
        <f t="shared" ca="1" si="113"/>
        <v>#DIV/0!</v>
      </c>
      <c r="N91" s="13" t="e">
        <f t="shared" ca="1" si="66"/>
        <v>#DIV/0!</v>
      </c>
      <c r="O91" s="13" t="e">
        <f t="shared" ca="1" si="114"/>
        <v>#DIV/0!</v>
      </c>
      <c r="P91" s="13" t="e">
        <f t="shared" ca="1" si="115"/>
        <v>#DIV/0!</v>
      </c>
      <c r="Q91" s="13">
        <f t="shared" si="119"/>
        <v>3750354112.8706555</v>
      </c>
      <c r="R91" s="13">
        <f t="shared" si="119"/>
        <v>97946486194.292984</v>
      </c>
      <c r="S91" s="13">
        <f t="shared" si="119"/>
        <v>693861945466.67334</v>
      </c>
      <c r="T91" s="13">
        <f t="shared" si="119"/>
        <v>2561503000028.1226</v>
      </c>
      <c r="U91" s="13">
        <f t="shared" si="119"/>
        <v>6520856822957.0859</v>
      </c>
      <c r="V91" s="13">
        <f t="shared" si="119"/>
        <v>13169540781902.238</v>
      </c>
      <c r="W91" s="13">
        <f t="shared" si="119"/>
        <v>22808396161405.988</v>
      </c>
      <c r="X91" s="13">
        <f t="shared" si="119"/>
        <v>35491104408021.016</v>
      </c>
      <c r="Y91" s="54">
        <f t="shared" si="119"/>
        <v>42166019281200.234</v>
      </c>
      <c r="Z91" s="13">
        <f t="shared" si="119"/>
        <v>51107360262257.773</v>
      </c>
      <c r="AA91" s="13">
        <f t="shared" si="119"/>
        <v>69455631796883.141</v>
      </c>
      <c r="AB91" s="13">
        <f t="shared" si="86"/>
        <v>90294284285545.031</v>
      </c>
      <c r="AC91" s="13">
        <f t="shared" si="98"/>
        <v>0</v>
      </c>
      <c r="AD91" s="13">
        <f t="shared" si="105"/>
        <v>0</v>
      </c>
      <c r="AE91" s="13">
        <f t="shared" si="105"/>
        <v>0</v>
      </c>
      <c r="AF91" s="13">
        <f t="shared" si="105"/>
        <v>0</v>
      </c>
      <c r="AG91" s="13">
        <f t="shared" si="100"/>
        <v>0</v>
      </c>
      <c r="AH91" s="13">
        <f t="shared" si="101"/>
        <v>0</v>
      </c>
      <c r="AI91" s="13">
        <f t="shared" si="102"/>
        <v>0</v>
      </c>
      <c r="AJ91" s="13">
        <f t="shared" si="103"/>
        <v>0</v>
      </c>
      <c r="AK91" s="13">
        <f t="shared" si="103"/>
        <v>0</v>
      </c>
      <c r="AL91" s="13">
        <f t="shared" si="103"/>
        <v>0</v>
      </c>
      <c r="AM91" s="13">
        <f t="shared" si="104"/>
        <v>0</v>
      </c>
      <c r="AN91" s="13">
        <f t="shared" si="116"/>
        <v>0</v>
      </c>
      <c r="AO91" s="13">
        <f t="shared" si="117"/>
        <v>0</v>
      </c>
      <c r="AP91" s="13">
        <f t="shared" si="118"/>
        <v>0</v>
      </c>
      <c r="AQ91" s="13">
        <f t="shared" si="99"/>
        <v>0</v>
      </c>
      <c r="AR91" s="13">
        <f t="shared" si="87"/>
        <v>0</v>
      </c>
      <c r="AS91" s="13">
        <f t="shared" si="88"/>
        <v>0</v>
      </c>
      <c r="AT91" s="13">
        <f t="shared" si="89"/>
        <v>0</v>
      </c>
      <c r="AU91" s="13">
        <f t="shared" si="90"/>
        <v>0</v>
      </c>
      <c r="AV91" s="13">
        <f t="shared" si="91"/>
        <v>0</v>
      </c>
      <c r="AW91" s="13">
        <f t="shared" si="92"/>
        <v>0</v>
      </c>
      <c r="AX91" s="13">
        <f t="shared" si="93"/>
        <v>0</v>
      </c>
      <c r="AY91" s="13">
        <f t="shared" si="94"/>
        <v>0</v>
      </c>
      <c r="AZ91" s="13">
        <f t="shared" si="95"/>
        <v>0</v>
      </c>
      <c r="BA91" s="13">
        <f t="shared" si="96"/>
        <v>0</v>
      </c>
      <c r="BB91" s="13">
        <f t="shared" si="97"/>
        <v>0</v>
      </c>
    </row>
    <row r="92" spans="1:54">
      <c r="A92">
        <f>data0!A90</f>
        <v>740</v>
      </c>
      <c r="B92">
        <v>0</v>
      </c>
      <c r="C92" t="e">
        <f ca="1">(Calculations!C91-C$2)/C$1</f>
        <v>#DIV/0!</v>
      </c>
      <c r="D92" s="13" t="e">
        <f t="shared" ca="1" si="106"/>
        <v>#DIV/0!</v>
      </c>
      <c r="E92" s="13" t="e">
        <f t="shared" ca="1" si="107"/>
        <v>#DIV/0!</v>
      </c>
      <c r="F92" s="13" t="e">
        <f t="shared" ca="1" si="108"/>
        <v>#DIV/0!</v>
      </c>
      <c r="G92" s="13" t="e">
        <f t="shared" ca="1" si="109"/>
        <v>#DIV/0!</v>
      </c>
      <c r="H92" s="13" t="e">
        <f t="shared" ca="1" si="110"/>
        <v>#DIV/0!</v>
      </c>
      <c r="I92" s="13" t="e">
        <f t="shared" ca="1" si="111"/>
        <v>#DIV/0!</v>
      </c>
      <c r="J92" s="13" t="e">
        <f t="shared" ca="1" si="112"/>
        <v>#DIV/0!</v>
      </c>
      <c r="K92" s="13" t="e">
        <f t="shared" ca="1" si="83"/>
        <v>#DIV/0!</v>
      </c>
      <c r="L92" s="13" t="e">
        <f t="shared" ca="1" si="84"/>
        <v>#DIV/0!</v>
      </c>
      <c r="M92" s="13" t="e">
        <f t="shared" ca="1" si="113"/>
        <v>#DIV/0!</v>
      </c>
      <c r="N92" s="13" t="e">
        <f t="shared" ca="1" si="66"/>
        <v>#DIV/0!</v>
      </c>
      <c r="O92" s="13" t="e">
        <f t="shared" ca="1" si="114"/>
        <v>#DIV/0!</v>
      </c>
      <c r="P92" s="13" t="e">
        <f t="shared" ca="1" si="115"/>
        <v>#DIV/0!</v>
      </c>
      <c r="Q92" s="13">
        <f t="shared" si="119"/>
        <v>3959541216.7491221</v>
      </c>
      <c r="R92" s="13">
        <f t="shared" si="119"/>
        <v>101155483697.70309</v>
      </c>
      <c r="S92" s="13">
        <f t="shared" si="119"/>
        <v>707191768829.83386</v>
      </c>
      <c r="T92" s="13">
        <f t="shared" si="119"/>
        <v>2587908495426.0854</v>
      </c>
      <c r="U92" s="13">
        <f t="shared" si="119"/>
        <v>6547223704453.9209</v>
      </c>
      <c r="V92" s="13">
        <f t="shared" si="119"/>
        <v>13161923856070.459</v>
      </c>
      <c r="W92" s="13">
        <f t="shared" si="119"/>
        <v>22714702902794.437</v>
      </c>
      <c r="X92" s="13">
        <f t="shared" si="119"/>
        <v>35247056649460.734</v>
      </c>
      <c r="Y92" s="54">
        <f t="shared" si="119"/>
        <v>41831508563501.172</v>
      </c>
      <c r="Z92" s="13">
        <f t="shared" si="119"/>
        <v>50642517061348.773</v>
      </c>
      <c r="AA92" s="13">
        <f t="shared" si="119"/>
        <v>68698104867991.766</v>
      </c>
      <c r="AB92" s="13">
        <f t="shared" si="86"/>
        <v>89173927565740.531</v>
      </c>
      <c r="AC92" s="13">
        <f t="shared" si="98"/>
        <v>0</v>
      </c>
      <c r="AD92" s="13">
        <f t="shared" si="105"/>
        <v>0</v>
      </c>
      <c r="AE92" s="13">
        <f t="shared" si="105"/>
        <v>0</v>
      </c>
      <c r="AF92" s="13">
        <f t="shared" si="105"/>
        <v>0</v>
      </c>
      <c r="AG92" s="13">
        <f t="shared" si="100"/>
        <v>0</v>
      </c>
      <c r="AH92" s="13">
        <f t="shared" si="101"/>
        <v>0</v>
      </c>
      <c r="AI92" s="13">
        <f t="shared" si="102"/>
        <v>0</v>
      </c>
      <c r="AJ92" s="13">
        <f t="shared" si="103"/>
        <v>0</v>
      </c>
      <c r="AK92" s="13">
        <f t="shared" si="103"/>
        <v>0</v>
      </c>
      <c r="AL92" s="13">
        <f t="shared" si="103"/>
        <v>0</v>
      </c>
      <c r="AM92" s="13">
        <f t="shared" si="104"/>
        <v>0</v>
      </c>
      <c r="AN92" s="13">
        <f t="shared" si="116"/>
        <v>0</v>
      </c>
      <c r="AO92" s="13">
        <f t="shared" si="117"/>
        <v>0</v>
      </c>
      <c r="AP92" s="13">
        <f t="shared" si="118"/>
        <v>0</v>
      </c>
      <c r="AQ92" s="13">
        <f t="shared" si="99"/>
        <v>0</v>
      </c>
      <c r="AR92" s="13">
        <f t="shared" si="87"/>
        <v>0</v>
      </c>
      <c r="AS92" s="13">
        <f t="shared" si="88"/>
        <v>0</v>
      </c>
      <c r="AT92" s="13">
        <f t="shared" si="89"/>
        <v>0</v>
      </c>
      <c r="AU92" s="13">
        <f t="shared" si="90"/>
        <v>0</v>
      </c>
      <c r="AV92" s="13">
        <f t="shared" si="91"/>
        <v>0</v>
      </c>
      <c r="AW92" s="13">
        <f t="shared" si="92"/>
        <v>0</v>
      </c>
      <c r="AX92" s="13">
        <f t="shared" si="93"/>
        <v>0</v>
      </c>
      <c r="AY92" s="13">
        <f t="shared" si="94"/>
        <v>0</v>
      </c>
      <c r="AZ92" s="13">
        <f t="shared" si="95"/>
        <v>0</v>
      </c>
      <c r="BA92" s="13">
        <f t="shared" si="96"/>
        <v>0</v>
      </c>
      <c r="BB92" s="13">
        <f t="shared" si="97"/>
        <v>0</v>
      </c>
    </row>
    <row r="93" spans="1:54">
      <c r="A93">
        <f>data0!A91</f>
        <v>745</v>
      </c>
      <c r="B93">
        <v>0</v>
      </c>
      <c r="C93" t="e">
        <f ca="1">(Calculations!C92-C$2)/C$1</f>
        <v>#DIV/0!</v>
      </c>
      <c r="D93" s="13" t="e">
        <f t="shared" ca="1" si="106"/>
        <v>#DIV/0!</v>
      </c>
      <c r="E93" s="13" t="e">
        <f t="shared" ca="1" si="107"/>
        <v>#DIV/0!</v>
      </c>
      <c r="F93" s="13" t="e">
        <f t="shared" ca="1" si="108"/>
        <v>#DIV/0!</v>
      </c>
      <c r="G93" s="13" t="e">
        <f t="shared" ca="1" si="109"/>
        <v>#DIV/0!</v>
      </c>
      <c r="H93" s="13" t="e">
        <f t="shared" ca="1" si="110"/>
        <v>#DIV/0!</v>
      </c>
      <c r="I93" s="13" t="e">
        <f t="shared" ca="1" si="111"/>
        <v>#DIV/0!</v>
      </c>
      <c r="J93" s="13" t="e">
        <f t="shared" ca="1" si="112"/>
        <v>#DIV/0!</v>
      </c>
      <c r="K93" s="13" t="e">
        <f t="shared" ca="1" si="83"/>
        <v>#DIV/0!</v>
      </c>
      <c r="L93" s="13" t="e">
        <f t="shared" ca="1" si="84"/>
        <v>#DIV/0!</v>
      </c>
      <c r="M93" s="13" t="e">
        <f t="shared" ca="1" si="113"/>
        <v>#DIV/0!</v>
      </c>
      <c r="N93" s="13" t="e">
        <f t="shared" ca="1" si="66"/>
        <v>#DIV/0!</v>
      </c>
      <c r="O93" s="13" t="e">
        <f t="shared" ca="1" si="114"/>
        <v>#DIV/0!</v>
      </c>
      <c r="P93" s="13" t="e">
        <f t="shared" ca="1" si="115"/>
        <v>#DIV/0!</v>
      </c>
      <c r="Q93" s="13">
        <f t="shared" si="119"/>
        <v>4176404795.8018446</v>
      </c>
      <c r="R93" s="13">
        <f t="shared" si="119"/>
        <v>104400773189.94835</v>
      </c>
      <c r="S93" s="13">
        <f t="shared" si="119"/>
        <v>720431055325.97192</v>
      </c>
      <c r="T93" s="13">
        <f t="shared" si="119"/>
        <v>2613641263128.7246</v>
      </c>
      <c r="U93" s="13">
        <f t="shared" si="119"/>
        <v>6571886728096.5283</v>
      </c>
      <c r="V93" s="13">
        <f t="shared" si="119"/>
        <v>13151542053544.436</v>
      </c>
      <c r="W93" s="13">
        <f t="shared" si="119"/>
        <v>22617776984851.074</v>
      </c>
      <c r="X93" s="13">
        <f t="shared" si="119"/>
        <v>35000504646567.645</v>
      </c>
      <c r="Y93" s="54">
        <f t="shared" si="119"/>
        <v>41495341437331</v>
      </c>
      <c r="Z93" s="13">
        <f t="shared" si="119"/>
        <v>50177558071727.523</v>
      </c>
      <c r="AA93" s="13">
        <f t="shared" si="119"/>
        <v>67944807570421.086</v>
      </c>
      <c r="AB93" s="13">
        <f t="shared" si="86"/>
        <v>88064252585033.547</v>
      </c>
      <c r="AC93" s="13">
        <f t="shared" si="98"/>
        <v>0</v>
      </c>
      <c r="AD93" s="13">
        <f t="shared" si="105"/>
        <v>0</v>
      </c>
      <c r="AE93" s="13">
        <f t="shared" si="105"/>
        <v>0</v>
      </c>
      <c r="AF93" s="13">
        <f t="shared" si="105"/>
        <v>0</v>
      </c>
      <c r="AG93" s="13">
        <f t="shared" si="100"/>
        <v>0</v>
      </c>
      <c r="AH93" s="13">
        <f t="shared" si="101"/>
        <v>0</v>
      </c>
      <c r="AI93" s="13">
        <f t="shared" si="102"/>
        <v>0</v>
      </c>
      <c r="AJ93" s="13">
        <f t="shared" si="103"/>
        <v>0</v>
      </c>
      <c r="AK93" s="13">
        <f t="shared" si="103"/>
        <v>0</v>
      </c>
      <c r="AL93" s="13">
        <f t="shared" si="103"/>
        <v>0</v>
      </c>
      <c r="AM93" s="13">
        <f t="shared" si="104"/>
        <v>0</v>
      </c>
      <c r="AN93" s="13">
        <f t="shared" si="116"/>
        <v>0</v>
      </c>
      <c r="AO93" s="13">
        <f t="shared" si="117"/>
        <v>0</v>
      </c>
      <c r="AP93" s="13">
        <f t="shared" si="118"/>
        <v>0</v>
      </c>
      <c r="AQ93" s="13">
        <f t="shared" si="99"/>
        <v>0</v>
      </c>
      <c r="AR93" s="13">
        <f t="shared" si="87"/>
        <v>0</v>
      </c>
      <c r="AS93" s="13">
        <f t="shared" si="88"/>
        <v>0</v>
      </c>
      <c r="AT93" s="13">
        <f t="shared" si="89"/>
        <v>0</v>
      </c>
      <c r="AU93" s="13">
        <f t="shared" si="90"/>
        <v>0</v>
      </c>
      <c r="AV93" s="13">
        <f t="shared" si="91"/>
        <v>0</v>
      </c>
      <c r="AW93" s="13">
        <f t="shared" si="92"/>
        <v>0</v>
      </c>
      <c r="AX93" s="13">
        <f t="shared" si="93"/>
        <v>0</v>
      </c>
      <c r="AY93" s="13">
        <f t="shared" si="94"/>
        <v>0</v>
      </c>
      <c r="AZ93" s="13">
        <f t="shared" si="95"/>
        <v>0</v>
      </c>
      <c r="BA93" s="13">
        <f t="shared" si="96"/>
        <v>0</v>
      </c>
      <c r="BB93" s="13">
        <f t="shared" si="97"/>
        <v>0</v>
      </c>
    </row>
    <row r="94" spans="1:54">
      <c r="A94">
        <f>data0!A92</f>
        <v>750</v>
      </c>
      <c r="B94">
        <v>0</v>
      </c>
      <c r="C94" t="e">
        <f ca="1">(Calculations!C93-C$2)/C$1</f>
        <v>#DIV/0!</v>
      </c>
      <c r="D94" s="13" t="e">
        <f t="shared" ca="1" si="106"/>
        <v>#DIV/0!</v>
      </c>
      <c r="E94" s="13" t="e">
        <f t="shared" ca="1" si="107"/>
        <v>#DIV/0!</v>
      </c>
      <c r="F94" s="13" t="e">
        <f t="shared" ca="1" si="108"/>
        <v>#DIV/0!</v>
      </c>
      <c r="G94" s="13" t="e">
        <f t="shared" ca="1" si="109"/>
        <v>#DIV/0!</v>
      </c>
      <c r="H94" s="13" t="e">
        <f t="shared" ca="1" si="110"/>
        <v>#DIV/0!</v>
      </c>
      <c r="I94" s="13" t="e">
        <f t="shared" ca="1" si="111"/>
        <v>#DIV/0!</v>
      </c>
      <c r="J94" s="13" t="e">
        <f t="shared" ca="1" si="112"/>
        <v>#DIV/0!</v>
      </c>
      <c r="K94" s="13" t="e">
        <f t="shared" ca="1" si="83"/>
        <v>#DIV/0!</v>
      </c>
      <c r="L94" s="13" t="e">
        <f t="shared" ca="1" si="84"/>
        <v>#DIV/0!</v>
      </c>
      <c r="M94" s="13" t="e">
        <f t="shared" ca="1" si="113"/>
        <v>#DIV/0!</v>
      </c>
      <c r="N94" s="13" t="e">
        <f t="shared" ca="1" si="66"/>
        <v>#DIV/0!</v>
      </c>
      <c r="O94" s="13" t="e">
        <f t="shared" ca="1" si="114"/>
        <v>#DIV/0!</v>
      </c>
      <c r="P94" s="13" t="e">
        <f t="shared" ca="1" si="115"/>
        <v>#DIV/0!</v>
      </c>
      <c r="Q94" s="13">
        <f t="shared" si="119"/>
        <v>4401030555.9375629</v>
      </c>
      <c r="R94" s="13">
        <f t="shared" si="119"/>
        <v>107680756899.26292</v>
      </c>
      <c r="S94" s="13">
        <f t="shared" si="119"/>
        <v>733573450708.07654</v>
      </c>
      <c r="T94" s="13">
        <f t="shared" si="119"/>
        <v>2638699168257.8267</v>
      </c>
      <c r="U94" s="13">
        <f t="shared" si="119"/>
        <v>6594872791069.8604</v>
      </c>
      <c r="V94" s="13">
        <f t="shared" si="119"/>
        <v>13138478541852.246</v>
      </c>
      <c r="W94" s="13">
        <f t="shared" si="119"/>
        <v>22517771689095.82</v>
      </c>
      <c r="X94" s="13">
        <f t="shared" si="119"/>
        <v>34751663754792.551</v>
      </c>
      <c r="Y94" s="54">
        <f t="shared" si="119"/>
        <v>41157752418590.492</v>
      </c>
      <c r="Z94" s="13">
        <f t="shared" si="119"/>
        <v>49712730002382.234</v>
      </c>
      <c r="AA94" s="13">
        <f t="shared" si="119"/>
        <v>67195968281916.375</v>
      </c>
      <c r="AB94" s="13">
        <f t="shared" si="86"/>
        <v>86965406035100.797</v>
      </c>
      <c r="AC94" s="13">
        <f t="shared" si="98"/>
        <v>0</v>
      </c>
      <c r="AD94" s="13">
        <f t="shared" si="105"/>
        <v>0</v>
      </c>
      <c r="AE94" s="13">
        <f t="shared" si="105"/>
        <v>0</v>
      </c>
      <c r="AF94" s="13">
        <f t="shared" si="105"/>
        <v>0</v>
      </c>
      <c r="AG94" s="13">
        <f t="shared" si="100"/>
        <v>0</v>
      </c>
      <c r="AH94" s="13">
        <f t="shared" si="101"/>
        <v>0</v>
      </c>
      <c r="AI94" s="13">
        <f t="shared" si="102"/>
        <v>0</v>
      </c>
      <c r="AJ94" s="13">
        <f t="shared" si="103"/>
        <v>0</v>
      </c>
      <c r="AK94" s="13">
        <f t="shared" si="103"/>
        <v>0</v>
      </c>
      <c r="AL94" s="13">
        <f t="shared" si="103"/>
        <v>0</v>
      </c>
      <c r="AM94" s="13">
        <f t="shared" si="104"/>
        <v>0</v>
      </c>
      <c r="AN94" s="13">
        <f t="shared" si="116"/>
        <v>0</v>
      </c>
      <c r="AO94" s="13">
        <f t="shared" si="117"/>
        <v>0</v>
      </c>
      <c r="AP94" s="13">
        <f t="shared" si="118"/>
        <v>0</v>
      </c>
      <c r="AQ94" s="13">
        <f t="shared" si="99"/>
        <v>0</v>
      </c>
      <c r="AR94" s="13">
        <f t="shared" si="87"/>
        <v>0</v>
      </c>
      <c r="AS94" s="13">
        <f t="shared" si="88"/>
        <v>0</v>
      </c>
      <c r="AT94" s="13">
        <f t="shared" si="89"/>
        <v>0</v>
      </c>
      <c r="AU94" s="13">
        <f t="shared" si="90"/>
        <v>0</v>
      </c>
      <c r="AV94" s="13">
        <f t="shared" si="91"/>
        <v>0</v>
      </c>
      <c r="AW94" s="13">
        <f t="shared" si="92"/>
        <v>0</v>
      </c>
      <c r="AX94" s="13">
        <f t="shared" si="93"/>
        <v>0</v>
      </c>
      <c r="AY94" s="13">
        <f t="shared" si="94"/>
        <v>0</v>
      </c>
      <c r="AZ94" s="13">
        <f t="shared" si="95"/>
        <v>0</v>
      </c>
      <c r="BA94" s="13">
        <f t="shared" si="96"/>
        <v>0</v>
      </c>
      <c r="BB94" s="13">
        <f t="shared" si="97"/>
        <v>0</v>
      </c>
    </row>
    <row r="95" spans="1:54">
      <c r="A95">
        <f>data0!A93</f>
        <v>755</v>
      </c>
      <c r="B95">
        <v>0</v>
      </c>
      <c r="C95" t="e">
        <f ca="1">(Calculations!C94-C$2)/C$1</f>
        <v>#DIV/0!</v>
      </c>
      <c r="D95" s="13" t="e">
        <f t="shared" ca="1" si="106"/>
        <v>#DIV/0!</v>
      </c>
      <c r="E95" s="13" t="e">
        <f t="shared" ca="1" si="107"/>
        <v>#DIV/0!</v>
      </c>
      <c r="F95" s="13" t="e">
        <f t="shared" ca="1" si="108"/>
        <v>#DIV/0!</v>
      </c>
      <c r="G95" s="13" t="e">
        <f t="shared" ca="1" si="109"/>
        <v>#DIV/0!</v>
      </c>
      <c r="H95" s="13" t="e">
        <f t="shared" ca="1" si="110"/>
        <v>#DIV/0!</v>
      </c>
      <c r="I95" s="13" t="e">
        <f t="shared" ca="1" si="111"/>
        <v>#DIV/0!</v>
      </c>
      <c r="J95" s="13" t="e">
        <f t="shared" ca="1" si="112"/>
        <v>#DIV/0!</v>
      </c>
      <c r="K95" s="13" t="e">
        <f t="shared" ca="1" si="83"/>
        <v>#DIV/0!</v>
      </c>
      <c r="L95" s="13" t="e">
        <f t="shared" ca="1" si="84"/>
        <v>#DIV/0!</v>
      </c>
      <c r="M95" s="13" t="e">
        <f t="shared" ca="1" si="113"/>
        <v>#DIV/0!</v>
      </c>
      <c r="N95" s="13" t="e">
        <f t="shared" ca="1" si="66"/>
        <v>#DIV/0!</v>
      </c>
      <c r="O95" s="13" t="e">
        <f t="shared" ca="1" si="114"/>
        <v>#DIV/0!</v>
      </c>
      <c r="P95" s="13" t="e">
        <f t="shared" ca="1" si="115"/>
        <v>#DIV/0!</v>
      </c>
      <c r="Q95" s="13">
        <f t="shared" si="119"/>
        <v>4633497903.603241</v>
      </c>
      <c r="R95" s="13">
        <f t="shared" si="119"/>
        <v>110993818931.90288</v>
      </c>
      <c r="S95" s="13">
        <f t="shared" si="119"/>
        <v>746612831518.25745</v>
      </c>
      <c r="T95" s="13">
        <f t="shared" si="119"/>
        <v>2663080772715.5869</v>
      </c>
      <c r="U95" s="13">
        <f t="shared" si="119"/>
        <v>6616209368372.3906</v>
      </c>
      <c r="V95" s="13">
        <f t="shared" si="119"/>
        <v>13122815552085.209</v>
      </c>
      <c r="W95" s="13">
        <f t="shared" si="119"/>
        <v>22414836290971.434</v>
      </c>
      <c r="X95" s="13">
        <f t="shared" si="119"/>
        <v>34500741212337.766</v>
      </c>
      <c r="Y95" s="54">
        <f t="shared" si="119"/>
        <v>40818965947717.891</v>
      </c>
      <c r="Z95" s="13">
        <f t="shared" si="119"/>
        <v>49248267182350.781</v>
      </c>
      <c r="AA95" s="13">
        <f t="shared" si="119"/>
        <v>66451799552195.859</v>
      </c>
      <c r="AB95" s="13">
        <f t="shared" si="86"/>
        <v>85877517001205.703</v>
      </c>
      <c r="AC95" s="13">
        <f t="shared" si="98"/>
        <v>0</v>
      </c>
      <c r="AD95" s="13">
        <f t="shared" si="105"/>
        <v>0</v>
      </c>
      <c r="AE95" s="13">
        <f t="shared" si="105"/>
        <v>0</v>
      </c>
      <c r="AF95" s="13">
        <f t="shared" si="105"/>
        <v>0</v>
      </c>
      <c r="AG95" s="13">
        <f t="shared" si="100"/>
        <v>0</v>
      </c>
      <c r="AH95" s="13">
        <f t="shared" si="101"/>
        <v>0</v>
      </c>
      <c r="AI95" s="13">
        <f t="shared" si="102"/>
        <v>0</v>
      </c>
      <c r="AJ95" s="13">
        <f t="shared" si="103"/>
        <v>0</v>
      </c>
      <c r="AK95" s="13">
        <f t="shared" si="103"/>
        <v>0</v>
      </c>
      <c r="AL95" s="13">
        <f t="shared" si="103"/>
        <v>0</v>
      </c>
      <c r="AM95" s="13">
        <f t="shared" si="104"/>
        <v>0</v>
      </c>
      <c r="AN95" s="13">
        <f t="shared" si="116"/>
        <v>0</v>
      </c>
      <c r="AO95" s="13">
        <f t="shared" si="117"/>
        <v>0</v>
      </c>
      <c r="AP95" s="13">
        <f t="shared" si="118"/>
        <v>0</v>
      </c>
      <c r="AQ95" s="13">
        <f t="shared" si="99"/>
        <v>0</v>
      </c>
      <c r="AR95" s="13">
        <f t="shared" si="87"/>
        <v>0</v>
      </c>
      <c r="AS95" s="13">
        <f t="shared" si="88"/>
        <v>0</v>
      </c>
      <c r="AT95" s="13">
        <f t="shared" si="89"/>
        <v>0</v>
      </c>
      <c r="AU95" s="13">
        <f t="shared" si="90"/>
        <v>0</v>
      </c>
      <c r="AV95" s="13">
        <f t="shared" si="91"/>
        <v>0</v>
      </c>
      <c r="AW95" s="13">
        <f t="shared" si="92"/>
        <v>0</v>
      </c>
      <c r="AX95" s="13">
        <f t="shared" si="93"/>
        <v>0</v>
      </c>
      <c r="AY95" s="13">
        <f t="shared" si="94"/>
        <v>0</v>
      </c>
      <c r="AZ95" s="13">
        <f t="shared" si="95"/>
        <v>0</v>
      </c>
      <c r="BA95" s="13">
        <f t="shared" si="96"/>
        <v>0</v>
      </c>
      <c r="BB95" s="13">
        <f t="shared" si="97"/>
        <v>0</v>
      </c>
    </row>
    <row r="96" spans="1:54">
      <c r="A96">
        <f>data0!A94</f>
        <v>760</v>
      </c>
      <c r="B96">
        <v>0</v>
      </c>
      <c r="C96" t="e">
        <f ca="1">(Calculations!C95-C$2)/C$1</f>
        <v>#DIV/0!</v>
      </c>
      <c r="D96" s="13" t="e">
        <f t="shared" ca="1" si="106"/>
        <v>#DIV/0!</v>
      </c>
      <c r="E96" s="13" t="e">
        <f t="shared" ca="1" si="107"/>
        <v>#DIV/0!</v>
      </c>
      <c r="F96" s="13" t="e">
        <f t="shared" ca="1" si="108"/>
        <v>#DIV/0!</v>
      </c>
      <c r="G96" s="13" t="e">
        <f t="shared" ca="1" si="109"/>
        <v>#DIV/0!</v>
      </c>
      <c r="H96" s="13" t="e">
        <f t="shared" ca="1" si="110"/>
        <v>#DIV/0!</v>
      </c>
      <c r="I96" s="13" t="e">
        <f t="shared" ca="1" si="111"/>
        <v>#DIV/0!</v>
      </c>
      <c r="J96" s="13" t="e">
        <f t="shared" ca="1" si="112"/>
        <v>#DIV/0!</v>
      </c>
      <c r="K96" s="13" t="e">
        <f t="shared" ca="1" si="83"/>
        <v>#DIV/0!</v>
      </c>
      <c r="L96" s="13" t="e">
        <f t="shared" ca="1" si="84"/>
        <v>#DIV/0!</v>
      </c>
      <c r="M96" s="13" t="e">
        <f t="shared" ca="1" si="113"/>
        <v>#DIV/0!</v>
      </c>
      <c r="N96" s="13" t="e">
        <f t="shared" ca="1" si="66"/>
        <v>#DIV/0!</v>
      </c>
      <c r="O96" s="13" t="e">
        <f t="shared" ca="1" si="114"/>
        <v>#DIV/0!</v>
      </c>
      <c r="P96" s="13" t="e">
        <f t="shared" ca="1" si="115"/>
        <v>#DIV/0!</v>
      </c>
      <c r="Q96" s="13">
        <f t="shared" si="119"/>
        <v>4873879839.3616619</v>
      </c>
      <c r="R96" s="13">
        <f t="shared" si="119"/>
        <v>114338327972.1404</v>
      </c>
      <c r="S96" s="13">
        <f t="shared" si="119"/>
        <v>759543305665.21753</v>
      </c>
      <c r="T96" s="13">
        <f t="shared" si="119"/>
        <v>2686785306928.1709</v>
      </c>
      <c r="U96" s="13">
        <f t="shared" si="119"/>
        <v>6635924445438.0068</v>
      </c>
      <c r="V96" s="13">
        <f t="shared" si="119"/>
        <v>13104634313665.937</v>
      </c>
      <c r="W96" s="13">
        <f t="shared" si="119"/>
        <v>22309116080564.07</v>
      </c>
      <c r="X96" s="13">
        <f t="shared" si="119"/>
        <v>34247936339231.367</v>
      </c>
      <c r="Y96" s="54">
        <f t="shared" si="119"/>
        <v>40479196693826.641</v>
      </c>
      <c r="Z96" s="13">
        <f t="shared" si="119"/>
        <v>48784392007376.266</v>
      </c>
      <c r="AA96" s="13">
        <f t="shared" si="119"/>
        <v>65712498825108.914</v>
      </c>
      <c r="AB96" s="13">
        <f t="shared" si="86"/>
        <v>84800697941522.719</v>
      </c>
      <c r="AC96" s="13">
        <f t="shared" si="98"/>
        <v>0</v>
      </c>
      <c r="AD96" s="13">
        <f t="shared" si="105"/>
        <v>0</v>
      </c>
      <c r="AE96" s="13">
        <f t="shared" si="105"/>
        <v>0</v>
      </c>
      <c r="AF96" s="13">
        <f t="shared" si="105"/>
        <v>0</v>
      </c>
      <c r="AG96" s="13">
        <f t="shared" si="100"/>
        <v>0</v>
      </c>
      <c r="AH96" s="13">
        <f t="shared" si="101"/>
        <v>0</v>
      </c>
      <c r="AI96" s="13">
        <f t="shared" si="102"/>
        <v>0</v>
      </c>
      <c r="AJ96" s="13">
        <f t="shared" si="103"/>
        <v>0</v>
      </c>
      <c r="AK96" s="13">
        <f t="shared" si="103"/>
        <v>0</v>
      </c>
      <c r="AL96" s="13">
        <f t="shared" si="103"/>
        <v>0</v>
      </c>
      <c r="AM96" s="13">
        <f t="shared" si="104"/>
        <v>0</v>
      </c>
      <c r="AN96" s="13">
        <f t="shared" si="116"/>
        <v>0</v>
      </c>
      <c r="AO96" s="13">
        <f t="shared" si="117"/>
        <v>0</v>
      </c>
      <c r="AP96" s="13">
        <f t="shared" si="118"/>
        <v>0</v>
      </c>
      <c r="AQ96" s="13">
        <f t="shared" si="99"/>
        <v>0</v>
      </c>
      <c r="AR96" s="13">
        <f t="shared" si="87"/>
        <v>0</v>
      </c>
      <c r="AS96" s="13">
        <f t="shared" si="88"/>
        <v>0</v>
      </c>
      <c r="AT96" s="13">
        <f t="shared" si="89"/>
        <v>0</v>
      </c>
      <c r="AU96" s="13">
        <f t="shared" si="90"/>
        <v>0</v>
      </c>
      <c r="AV96" s="13">
        <f t="shared" si="91"/>
        <v>0</v>
      </c>
      <c r="AW96" s="13">
        <f t="shared" si="92"/>
        <v>0</v>
      </c>
      <c r="AX96" s="13">
        <f t="shared" si="93"/>
        <v>0</v>
      </c>
      <c r="AY96" s="13">
        <f t="shared" si="94"/>
        <v>0</v>
      </c>
      <c r="AZ96" s="13">
        <f t="shared" si="95"/>
        <v>0</v>
      </c>
      <c r="BA96" s="13">
        <f t="shared" si="96"/>
        <v>0</v>
      </c>
      <c r="BB96" s="13">
        <f t="shared" si="97"/>
        <v>0</v>
      </c>
    </row>
    <row r="97" spans="1:54">
      <c r="A97">
        <f>data0!A95</f>
        <v>765</v>
      </c>
      <c r="B97">
        <v>0</v>
      </c>
      <c r="C97" t="e">
        <f ca="1">(Calculations!C96-C$2)/C$1</f>
        <v>#DIV/0!</v>
      </c>
      <c r="D97" s="13" t="e">
        <f t="shared" ca="1" si="106"/>
        <v>#DIV/0!</v>
      </c>
      <c r="E97" s="13" t="e">
        <f t="shared" ca="1" si="107"/>
        <v>#DIV/0!</v>
      </c>
      <c r="F97" s="13" t="e">
        <f t="shared" ca="1" si="108"/>
        <v>#DIV/0!</v>
      </c>
      <c r="G97" s="13" t="e">
        <f t="shared" ca="1" si="109"/>
        <v>#DIV/0!</v>
      </c>
      <c r="H97" s="13" t="e">
        <f t="shared" ca="1" si="110"/>
        <v>#DIV/0!</v>
      </c>
      <c r="I97" s="13" t="e">
        <f t="shared" ca="1" si="111"/>
        <v>#DIV/0!</v>
      </c>
      <c r="J97" s="13" t="e">
        <f t="shared" ca="1" si="112"/>
        <v>#DIV/0!</v>
      </c>
      <c r="K97" s="13" t="e">
        <f t="shared" ca="1" si="83"/>
        <v>#DIV/0!</v>
      </c>
      <c r="L97" s="13" t="e">
        <f t="shared" ca="1" si="84"/>
        <v>#DIV/0!</v>
      </c>
      <c r="M97" s="13" t="e">
        <f t="shared" ca="1" si="113"/>
        <v>#DIV/0!</v>
      </c>
      <c r="N97" s="13" t="e">
        <f t="shared" ca="1" si="66"/>
        <v>#DIV/0!</v>
      </c>
      <c r="O97" s="13" t="e">
        <f t="shared" ca="1" si="114"/>
        <v>#DIV/0!</v>
      </c>
      <c r="P97" s="13" t="e">
        <f t="shared" ca="1" si="115"/>
        <v>#DIV/0!</v>
      </c>
      <c r="Q97" s="13">
        <f t="shared" si="119"/>
        <v>5122242865.7487307</v>
      </c>
      <c r="R97" s="13">
        <f t="shared" si="119"/>
        <v>117712639917.02174</v>
      </c>
      <c r="S97" s="13">
        <f t="shared" si="119"/>
        <v>772359212519.90845</v>
      </c>
      <c r="T97" s="13">
        <f t="shared" si="119"/>
        <v>2709812641861.1099</v>
      </c>
      <c r="U97" s="13">
        <f t="shared" si="119"/>
        <v>6654046453933.9854</v>
      </c>
      <c r="V97" s="13">
        <f t="shared" si="119"/>
        <v>13084014995419.061</v>
      </c>
      <c r="W97" s="13">
        <f t="shared" si="119"/>
        <v>22200752389682.754</v>
      </c>
      <c r="X97" s="13">
        <f t="shared" si="119"/>
        <v>33993440737404.598</v>
      </c>
      <c r="Y97" s="54">
        <f t="shared" si="119"/>
        <v>40138649855484.656</v>
      </c>
      <c r="Z97" s="13">
        <f t="shared" si="119"/>
        <v>48321315376355.445</v>
      </c>
      <c r="AA97" s="13">
        <f t="shared" si="119"/>
        <v>64978249134729.445</v>
      </c>
      <c r="AB97" s="13">
        <f t="shared" si="86"/>
        <v>83735045622045.922</v>
      </c>
      <c r="AC97" s="13">
        <f t="shared" si="98"/>
        <v>0</v>
      </c>
      <c r="AD97" s="13">
        <f t="shared" si="105"/>
        <v>0</v>
      </c>
      <c r="AE97" s="13">
        <f t="shared" si="105"/>
        <v>0</v>
      </c>
      <c r="AF97" s="13">
        <f t="shared" si="105"/>
        <v>0</v>
      </c>
      <c r="AG97" s="13">
        <f t="shared" si="100"/>
        <v>0</v>
      </c>
      <c r="AH97" s="13">
        <f t="shared" si="101"/>
        <v>0</v>
      </c>
      <c r="AI97" s="13">
        <f t="shared" si="102"/>
        <v>0</v>
      </c>
      <c r="AJ97" s="13">
        <f t="shared" si="103"/>
        <v>0</v>
      </c>
      <c r="AK97" s="13">
        <f t="shared" si="103"/>
        <v>0</v>
      </c>
      <c r="AL97" s="13">
        <f t="shared" si="103"/>
        <v>0</v>
      </c>
      <c r="AM97" s="13">
        <f t="shared" si="104"/>
        <v>0</v>
      </c>
      <c r="AN97" s="13">
        <f t="shared" si="116"/>
        <v>0</v>
      </c>
      <c r="AO97" s="13">
        <f t="shared" si="117"/>
        <v>0</v>
      </c>
      <c r="AP97" s="13">
        <f t="shared" si="118"/>
        <v>0</v>
      </c>
      <c r="AQ97" s="13">
        <f t="shared" si="99"/>
        <v>0</v>
      </c>
      <c r="AR97" s="13">
        <f t="shared" si="87"/>
        <v>0</v>
      </c>
      <c r="AS97" s="13">
        <f t="shared" si="88"/>
        <v>0</v>
      </c>
      <c r="AT97" s="13">
        <f t="shared" si="89"/>
        <v>0</v>
      </c>
      <c r="AU97" s="13">
        <f t="shared" si="90"/>
        <v>0</v>
      </c>
      <c r="AV97" s="13">
        <f t="shared" si="91"/>
        <v>0</v>
      </c>
      <c r="AW97" s="13">
        <f t="shared" si="92"/>
        <v>0</v>
      </c>
      <c r="AX97" s="13">
        <f t="shared" si="93"/>
        <v>0</v>
      </c>
      <c r="AY97" s="13">
        <f t="shared" si="94"/>
        <v>0</v>
      </c>
      <c r="AZ97" s="13">
        <f t="shared" si="95"/>
        <v>0</v>
      </c>
      <c r="BA97" s="13">
        <f t="shared" si="96"/>
        <v>0</v>
      </c>
      <c r="BB97" s="13">
        <f t="shared" si="97"/>
        <v>0</v>
      </c>
    </row>
    <row r="98" spans="1:54">
      <c r="A98">
        <f>data0!A96</f>
        <v>770</v>
      </c>
      <c r="B98">
        <v>0</v>
      </c>
      <c r="C98" t="e">
        <f ca="1">(Calculations!C97-C$2)/C$1</f>
        <v>#DIV/0!</v>
      </c>
      <c r="D98" s="13" t="e">
        <f t="shared" ca="1" si="106"/>
        <v>#DIV/0!</v>
      </c>
      <c r="E98" s="13" t="e">
        <f t="shared" ca="1" si="107"/>
        <v>#DIV/0!</v>
      </c>
      <c r="F98" s="13" t="e">
        <f t="shared" ca="1" si="108"/>
        <v>#DIV/0!</v>
      </c>
      <c r="G98" s="13" t="e">
        <f t="shared" ca="1" si="109"/>
        <v>#DIV/0!</v>
      </c>
      <c r="H98" s="13" t="e">
        <f t="shared" ca="1" si="110"/>
        <v>#DIV/0!</v>
      </c>
      <c r="I98" s="13" t="e">
        <f t="shared" ca="1" si="111"/>
        <v>#DIV/0!</v>
      </c>
      <c r="J98" s="13" t="e">
        <f t="shared" ca="1" si="112"/>
        <v>#DIV/0!</v>
      </c>
      <c r="K98" s="13" t="e">
        <f t="shared" ca="1" si="83"/>
        <v>#DIV/0!</v>
      </c>
      <c r="L98" s="13" t="e">
        <f t="shared" ca="1" si="84"/>
        <v>#DIV/0!</v>
      </c>
      <c r="M98" s="13" t="e">
        <f t="shared" ca="1" si="113"/>
        <v>#DIV/0!</v>
      </c>
      <c r="N98" s="13" t="e">
        <f t="shared" ca="1" si="66"/>
        <v>#DIV/0!</v>
      </c>
      <c r="O98" s="13" t="e">
        <f t="shared" ca="1" si="114"/>
        <v>#DIV/0!</v>
      </c>
      <c r="P98" s="13" t="e">
        <f t="shared" ca="1" si="115"/>
        <v>#DIV/0!</v>
      </c>
      <c r="Q98" s="13">
        <f t="shared" si="119"/>
        <v>5378646909.2537584</v>
      </c>
      <c r="R98" s="13">
        <f t="shared" si="119"/>
        <v>121115100442.21425</v>
      </c>
      <c r="S98" s="13">
        <f t="shared" si="119"/>
        <v>785055122558.13599</v>
      </c>
      <c r="T98" s="13">
        <f t="shared" si="119"/>
        <v>2732163261360.0762</v>
      </c>
      <c r="U98" s="13">
        <f t="shared" si="119"/>
        <v>6670604210665.2861</v>
      </c>
      <c r="V98" s="13">
        <f t="shared" si="119"/>
        <v>13061036652601.373</v>
      </c>
      <c r="W98" s="13">
        <f t="shared" si="119"/>
        <v>22089882624705.234</v>
      </c>
      <c r="X98" s="13">
        <f t="shared" si="119"/>
        <v>33737438491170.707</v>
      </c>
      <c r="Y98" s="54">
        <f t="shared" si="119"/>
        <v>39797521457648.727</v>
      </c>
      <c r="Z98" s="13">
        <f t="shared" si="119"/>
        <v>47859237117345.57</v>
      </c>
      <c r="AA98" s="13">
        <f t="shared" si="119"/>
        <v>64249219775911.906</v>
      </c>
      <c r="AB98" s="13">
        <f t="shared" si="86"/>
        <v>82680642008701.578</v>
      </c>
      <c r="AC98" s="13">
        <f t="shared" si="98"/>
        <v>0</v>
      </c>
      <c r="AD98" s="13">
        <f t="shared" si="105"/>
        <v>0</v>
      </c>
      <c r="AE98" s="13">
        <f t="shared" si="105"/>
        <v>0</v>
      </c>
      <c r="AF98" s="13">
        <f t="shared" si="105"/>
        <v>0</v>
      </c>
      <c r="AG98" s="13">
        <f t="shared" si="100"/>
        <v>0</v>
      </c>
      <c r="AH98" s="13">
        <f t="shared" si="101"/>
        <v>0</v>
      </c>
      <c r="AI98" s="13">
        <f t="shared" si="102"/>
        <v>0</v>
      </c>
      <c r="AJ98" s="13">
        <f t="shared" si="103"/>
        <v>0</v>
      </c>
      <c r="AK98" s="13">
        <f t="shared" si="103"/>
        <v>0</v>
      </c>
      <c r="AL98" s="13">
        <f t="shared" si="103"/>
        <v>0</v>
      </c>
      <c r="AM98" s="13">
        <f t="shared" si="104"/>
        <v>0</v>
      </c>
      <c r="AN98" s="13">
        <f t="shared" si="116"/>
        <v>0</v>
      </c>
      <c r="AO98" s="13">
        <f t="shared" si="117"/>
        <v>0</v>
      </c>
      <c r="AP98" s="13">
        <f t="shared" si="118"/>
        <v>0</v>
      </c>
      <c r="AQ98" s="13">
        <f t="shared" si="99"/>
        <v>0</v>
      </c>
      <c r="AR98" s="13">
        <f t="shared" si="87"/>
        <v>0</v>
      </c>
      <c r="AS98" s="13">
        <f t="shared" si="88"/>
        <v>0</v>
      </c>
      <c r="AT98" s="13">
        <f t="shared" si="89"/>
        <v>0</v>
      </c>
      <c r="AU98" s="13">
        <f t="shared" si="90"/>
        <v>0</v>
      </c>
      <c r="AV98" s="13">
        <f t="shared" si="91"/>
        <v>0</v>
      </c>
      <c r="AW98" s="13">
        <f t="shared" si="92"/>
        <v>0</v>
      </c>
      <c r="AX98" s="13">
        <f t="shared" si="93"/>
        <v>0</v>
      </c>
      <c r="AY98" s="13">
        <f t="shared" si="94"/>
        <v>0</v>
      </c>
      <c r="AZ98" s="13">
        <f t="shared" si="95"/>
        <v>0</v>
      </c>
      <c r="BA98" s="13">
        <f t="shared" si="96"/>
        <v>0</v>
      </c>
      <c r="BB98" s="13">
        <f t="shared" si="97"/>
        <v>0</v>
      </c>
    </row>
    <row r="99" spans="1:54">
      <c r="A99">
        <f>data0!A97</f>
        <v>775</v>
      </c>
      <c r="B99">
        <v>0</v>
      </c>
      <c r="C99" t="e">
        <f ca="1">(Calculations!C98-C$2)/C$1</f>
        <v>#DIV/0!</v>
      </c>
      <c r="D99" s="13" t="e">
        <f t="shared" ca="1" si="106"/>
        <v>#DIV/0!</v>
      </c>
      <c r="E99" s="13" t="e">
        <f t="shared" ca="1" si="107"/>
        <v>#DIV/0!</v>
      </c>
      <c r="F99" s="13" t="e">
        <f t="shared" ca="1" si="108"/>
        <v>#DIV/0!</v>
      </c>
      <c r="G99" s="13" t="e">
        <f t="shared" ca="1" si="109"/>
        <v>#DIV/0!</v>
      </c>
      <c r="H99" s="13" t="e">
        <f t="shared" ca="1" si="110"/>
        <v>#DIV/0!</v>
      </c>
      <c r="I99" s="13" t="e">
        <f t="shared" ca="1" si="111"/>
        <v>#DIV/0!</v>
      </c>
      <c r="J99" s="13" t="e">
        <f t="shared" ca="1" si="112"/>
        <v>#DIV/0!</v>
      </c>
      <c r="K99" s="13" t="e">
        <f t="shared" ca="1" si="83"/>
        <v>#DIV/0!</v>
      </c>
      <c r="L99" s="13" t="e">
        <f t="shared" ca="1" si="84"/>
        <v>#DIV/0!</v>
      </c>
      <c r="M99" s="13" t="e">
        <f t="shared" ca="1" si="113"/>
        <v>#DIV/0!</v>
      </c>
      <c r="N99" s="13" t="e">
        <f t="shared" ca="1" si="66"/>
        <v>#DIV/0!</v>
      </c>
      <c r="O99" s="13" t="e">
        <f t="shared" ca="1" si="114"/>
        <v>#DIV/0!</v>
      </c>
      <c r="P99" s="13" t="e">
        <f t="shared" ca="1" si="115"/>
        <v>#DIV/0!</v>
      </c>
      <c r="Q99" s="13">
        <f t="shared" si="119"/>
        <v>5643145256.2261038</v>
      </c>
      <c r="R99" s="13">
        <f t="shared" si="119"/>
        <v>124544047495.70767</v>
      </c>
      <c r="S99" s="13">
        <f t="shared" si="119"/>
        <v>797625836578.27625</v>
      </c>
      <c r="T99" s="13">
        <f t="shared" si="119"/>
        <v>2753838234865.3047</v>
      </c>
      <c r="U99" s="13">
        <f t="shared" si="119"/>
        <v>6685626859510.8848</v>
      </c>
      <c r="V99" s="13">
        <f t="shared" si="119"/>
        <v>13035777179559.201</v>
      </c>
      <c r="W99" s="13">
        <f t="shared" si="119"/>
        <v>21976640304634.871</v>
      </c>
      <c r="X99" s="13">
        <f t="shared" si="119"/>
        <v>33480106367560.066</v>
      </c>
      <c r="Y99" s="54">
        <f t="shared" si="119"/>
        <v>39455998644326.086</v>
      </c>
      <c r="Z99" s="13">
        <f t="shared" si="119"/>
        <v>47398346402950.477</v>
      </c>
      <c r="AA99" s="13">
        <f t="shared" si="119"/>
        <v>63525566949867.922</v>
      </c>
      <c r="AB99" s="13">
        <f t="shared" si="86"/>
        <v>81637555118256.859</v>
      </c>
      <c r="AC99" s="13">
        <f t="shared" si="98"/>
        <v>0</v>
      </c>
      <c r="AD99" s="13">
        <f t="shared" si="105"/>
        <v>0</v>
      </c>
      <c r="AE99" s="13">
        <f t="shared" si="105"/>
        <v>0</v>
      </c>
      <c r="AF99" s="13">
        <f t="shared" si="105"/>
        <v>0</v>
      </c>
      <c r="AG99" s="13">
        <f t="shared" si="100"/>
        <v>0</v>
      </c>
      <c r="AH99" s="13">
        <f t="shared" si="101"/>
        <v>0</v>
      </c>
      <c r="AI99" s="13">
        <f t="shared" si="102"/>
        <v>0</v>
      </c>
      <c r="AJ99" s="13">
        <f t="shared" si="103"/>
        <v>0</v>
      </c>
      <c r="AK99" s="13">
        <f t="shared" si="103"/>
        <v>0</v>
      </c>
      <c r="AL99" s="13">
        <f t="shared" si="103"/>
        <v>0</v>
      </c>
      <c r="AM99" s="13">
        <f t="shared" si="104"/>
        <v>0</v>
      </c>
      <c r="AN99" s="13">
        <f t="shared" si="116"/>
        <v>0</v>
      </c>
      <c r="AO99" s="13">
        <f t="shared" si="117"/>
        <v>0</v>
      </c>
      <c r="AP99" s="13">
        <f t="shared" si="118"/>
        <v>0</v>
      </c>
      <c r="AQ99" s="13">
        <f t="shared" si="99"/>
        <v>0</v>
      </c>
      <c r="AR99" s="13">
        <f t="shared" si="87"/>
        <v>0</v>
      </c>
      <c r="AS99" s="13">
        <f t="shared" si="88"/>
        <v>0</v>
      </c>
      <c r="AT99" s="13">
        <f t="shared" si="89"/>
        <v>0</v>
      </c>
      <c r="AU99" s="13">
        <f t="shared" si="90"/>
        <v>0</v>
      </c>
      <c r="AV99" s="13">
        <f t="shared" si="91"/>
        <v>0</v>
      </c>
      <c r="AW99" s="13">
        <f t="shared" si="92"/>
        <v>0</v>
      </c>
      <c r="AX99" s="13">
        <f t="shared" si="93"/>
        <v>0</v>
      </c>
      <c r="AY99" s="13">
        <f t="shared" si="94"/>
        <v>0</v>
      </c>
      <c r="AZ99" s="13">
        <f t="shared" si="95"/>
        <v>0</v>
      </c>
      <c r="BA99" s="13">
        <f t="shared" si="96"/>
        <v>0</v>
      </c>
      <c r="BB99" s="13">
        <f t="shared" si="97"/>
        <v>0</v>
      </c>
    </row>
    <row r="100" spans="1:54">
      <c r="A100">
        <f>data0!A98</f>
        <v>780</v>
      </c>
      <c r="B100">
        <v>0</v>
      </c>
      <c r="C100" t="e">
        <f ca="1">(Calculations!C99-C$2)/C$1</f>
        <v>#DIV/0!</v>
      </c>
      <c r="D100" s="13" t="e">
        <f t="shared" ca="1" si="106"/>
        <v>#DIV/0!</v>
      </c>
      <c r="E100" s="13" t="e">
        <f t="shared" ca="1" si="107"/>
        <v>#DIV/0!</v>
      </c>
      <c r="F100" s="13" t="e">
        <f t="shared" ca="1" si="108"/>
        <v>#DIV/0!</v>
      </c>
      <c r="G100" s="13" t="e">
        <f t="shared" ca="1" si="109"/>
        <v>#DIV/0!</v>
      </c>
      <c r="H100" s="13" t="e">
        <f t="shared" ca="1" si="110"/>
        <v>#DIV/0!</v>
      </c>
      <c r="I100" s="13" t="e">
        <f t="shared" ca="1" si="111"/>
        <v>#DIV/0!</v>
      </c>
      <c r="J100" s="13" t="e">
        <f t="shared" ca="1" si="112"/>
        <v>#DIV/0!</v>
      </c>
      <c r="K100" s="13" t="e">
        <f t="shared" ca="1" si="83"/>
        <v>#DIV/0!</v>
      </c>
      <c r="L100" s="13" t="e">
        <f t="shared" ca="1" si="84"/>
        <v>#DIV/0!</v>
      </c>
      <c r="M100" s="13" t="e">
        <f t="shared" ca="1" si="113"/>
        <v>#DIV/0!</v>
      </c>
      <c r="N100" s="13" t="e">
        <f t="shared" ca="1" si="66"/>
        <v>#DIV/0!</v>
      </c>
      <c r="O100" s="13" t="e">
        <f t="shared" ca="1" si="114"/>
        <v>#DIV/0!</v>
      </c>
      <c r="P100" s="13" t="e">
        <f t="shared" ca="1" si="115"/>
        <v>#DIV/0!</v>
      </c>
      <c r="Q100" s="13">
        <f t="shared" ref="Q100:AA115" si="120">(3.7418E-16/POWER($A100*0.000000001,5))/(EXP(0.0143877/($A100*Q$3/1000000000))-1)</f>
        <v>5915784502.4740534</v>
      </c>
      <c r="R100" s="13">
        <f t="shared" si="120"/>
        <v>127997813716.57605</v>
      </c>
      <c r="S100" s="13">
        <f t="shared" si="120"/>
        <v>810066384521.62427</v>
      </c>
      <c r="T100" s="13">
        <f t="shared" si="120"/>
        <v>2774839190542.8652</v>
      </c>
      <c r="U100" s="13">
        <f t="shared" si="120"/>
        <v>6699143816314.9355</v>
      </c>
      <c r="V100" s="13">
        <f t="shared" si="120"/>
        <v>13008313267693.285</v>
      </c>
      <c r="W100" s="13">
        <f t="shared" si="120"/>
        <v>21861155103848.742</v>
      </c>
      <c r="X100" s="13">
        <f t="shared" si="120"/>
        <v>33221614016020.648</v>
      </c>
      <c r="Y100" s="54">
        <f t="shared" si="120"/>
        <v>39114259966592.125</v>
      </c>
      <c r="Z100" s="13">
        <f t="shared" si="120"/>
        <v>46938822154960.164</v>
      </c>
      <c r="AA100" s="13">
        <f t="shared" si="120"/>
        <v>62807434385347.375</v>
      </c>
      <c r="AB100" s="13">
        <f t="shared" ref="AB100:AB131" si="121">(3.7418E-16/POWER($A100*0.000000001,5))/(EXP(0.0143877/($A100*AB$3/1000000000))-1)</f>
        <v>80605839829587.187</v>
      </c>
      <c r="AC100" s="13">
        <f t="shared" si="98"/>
        <v>0</v>
      </c>
      <c r="AD100" s="13">
        <f t="shared" si="105"/>
        <v>0</v>
      </c>
      <c r="AE100" s="13">
        <f t="shared" si="105"/>
        <v>0</v>
      </c>
      <c r="AF100" s="13">
        <f t="shared" si="105"/>
        <v>0</v>
      </c>
      <c r="AG100" s="13">
        <f t="shared" si="100"/>
        <v>0</v>
      </c>
      <c r="AH100" s="13">
        <f t="shared" si="101"/>
        <v>0</v>
      </c>
      <c r="AI100" s="13">
        <f t="shared" si="102"/>
        <v>0</v>
      </c>
      <c r="AJ100" s="13">
        <f t="shared" si="103"/>
        <v>0</v>
      </c>
      <c r="AK100" s="13">
        <f t="shared" si="103"/>
        <v>0</v>
      </c>
      <c r="AL100" s="13">
        <f t="shared" si="103"/>
        <v>0</v>
      </c>
      <c r="AM100" s="13">
        <f t="shared" si="104"/>
        <v>0</v>
      </c>
      <c r="AN100" s="13">
        <f t="shared" si="116"/>
        <v>0</v>
      </c>
      <c r="AO100" s="13">
        <f t="shared" si="117"/>
        <v>0</v>
      </c>
      <c r="AP100" s="13">
        <f t="shared" si="118"/>
        <v>0</v>
      </c>
      <c r="AQ100" s="13">
        <f t="shared" si="99"/>
        <v>0</v>
      </c>
      <c r="AR100" s="13">
        <f t="shared" si="87"/>
        <v>0</v>
      </c>
      <c r="AS100" s="13">
        <f t="shared" si="88"/>
        <v>0</v>
      </c>
      <c r="AT100" s="13">
        <f t="shared" si="89"/>
        <v>0</v>
      </c>
      <c r="AU100" s="13">
        <f t="shared" si="90"/>
        <v>0</v>
      </c>
      <c r="AV100" s="13">
        <f t="shared" si="91"/>
        <v>0</v>
      </c>
      <c r="AW100" s="13">
        <f t="shared" si="92"/>
        <v>0</v>
      </c>
      <c r="AX100" s="13">
        <f t="shared" si="93"/>
        <v>0</v>
      </c>
      <c r="AY100" s="13">
        <f t="shared" si="94"/>
        <v>0</v>
      </c>
      <c r="AZ100" s="13">
        <f t="shared" si="95"/>
        <v>0</v>
      </c>
      <c r="BA100" s="13">
        <f t="shared" ref="BA100:BA131" si="122">AO100/AO$2</f>
        <v>0</v>
      </c>
      <c r="BB100" s="13">
        <f t="shared" ref="BB100:BB131" si="123">AP100/AP$2</f>
        <v>0</v>
      </c>
    </row>
    <row r="101" spans="1:54">
      <c r="A101">
        <f>data0!A99</f>
        <v>785</v>
      </c>
      <c r="B101">
        <v>0</v>
      </c>
      <c r="C101" t="e">
        <f ca="1">(Calculations!C100-C$2)/C$1</f>
        <v>#DIV/0!</v>
      </c>
      <c r="D101" s="13" t="e">
        <f t="shared" ca="1" si="106"/>
        <v>#DIV/0!</v>
      </c>
      <c r="E101" s="13" t="e">
        <f t="shared" ca="1" si="107"/>
        <v>#DIV/0!</v>
      </c>
      <c r="F101" s="13" t="e">
        <f t="shared" ca="1" si="108"/>
        <v>#DIV/0!</v>
      </c>
      <c r="G101" s="13" t="e">
        <f t="shared" ca="1" si="109"/>
        <v>#DIV/0!</v>
      </c>
      <c r="H101" s="13" t="e">
        <f t="shared" ca="1" si="110"/>
        <v>#DIV/0!</v>
      </c>
      <c r="I101" s="13" t="e">
        <f t="shared" ca="1" si="111"/>
        <v>#DIV/0!</v>
      </c>
      <c r="J101" s="13" t="e">
        <f t="shared" ca="1" si="112"/>
        <v>#DIV/0!</v>
      </c>
      <c r="K101" s="13" t="e">
        <f t="shared" ca="1" si="83"/>
        <v>#DIV/0!</v>
      </c>
      <c r="L101" s="13" t="e">
        <f t="shared" ca="1" si="84"/>
        <v>#DIV/0!</v>
      </c>
      <c r="M101" s="13" t="e">
        <f t="shared" ca="1" si="113"/>
        <v>#DIV/0!</v>
      </c>
      <c r="N101" s="13" t="e">
        <f t="shared" ca="1" si="66"/>
        <v>#DIV/0!</v>
      </c>
      <c r="O101" s="13" t="e">
        <f t="shared" ca="1" si="114"/>
        <v>#DIV/0!</v>
      </c>
      <c r="P101" s="13" t="e">
        <f t="shared" ca="1" si="115"/>
        <v>#DIV/0!</v>
      </c>
      <c r="Q101" s="13">
        <f t="shared" si="120"/>
        <v>6196604516.2869911</v>
      </c>
      <c r="R101" s="13">
        <f t="shared" si="120"/>
        <v>131474728776.40105</v>
      </c>
      <c r="S101" s="13">
        <f t="shared" si="120"/>
        <v>822372023922.11292</v>
      </c>
      <c r="T101" s="13">
        <f t="shared" si="120"/>
        <v>2795168288871.0508</v>
      </c>
      <c r="U101" s="13">
        <f t="shared" si="120"/>
        <v>6711184716652.2783</v>
      </c>
      <c r="V101" s="13">
        <f t="shared" si="120"/>
        <v>12978720368422.418</v>
      </c>
      <c r="W101" s="13">
        <f t="shared" si="120"/>
        <v>21743552899049.18</v>
      </c>
      <c r="X101" s="13">
        <f t="shared" si="120"/>
        <v>32962124167039.758</v>
      </c>
      <c r="Y101" s="54">
        <f t="shared" si="120"/>
        <v>38772475665642.406</v>
      </c>
      <c r="Z101" s="13">
        <f t="shared" si="120"/>
        <v>46480833438163.086</v>
      </c>
      <c r="AA101" s="13">
        <f t="shared" si="120"/>
        <v>62094953936023.711</v>
      </c>
      <c r="AB101" s="13">
        <f t="shared" si="121"/>
        <v>79585538656833.453</v>
      </c>
      <c r="AC101" s="13">
        <f t="shared" si="98"/>
        <v>0</v>
      </c>
      <c r="AD101" s="13">
        <f t="shared" si="105"/>
        <v>0</v>
      </c>
      <c r="AE101" s="13">
        <f t="shared" si="105"/>
        <v>0</v>
      </c>
      <c r="AF101" s="13">
        <f t="shared" si="105"/>
        <v>0</v>
      </c>
      <c r="AG101" s="13">
        <f t="shared" si="100"/>
        <v>0</v>
      </c>
      <c r="AH101" s="13">
        <f t="shared" si="101"/>
        <v>0</v>
      </c>
      <c r="AI101" s="13">
        <f t="shared" si="102"/>
        <v>0</v>
      </c>
      <c r="AJ101" s="13">
        <f t="shared" si="103"/>
        <v>0</v>
      </c>
      <c r="AK101" s="13">
        <f t="shared" si="103"/>
        <v>0</v>
      </c>
      <c r="AL101" s="13">
        <f t="shared" si="103"/>
        <v>0</v>
      </c>
      <c r="AM101" s="13">
        <f t="shared" si="104"/>
        <v>0</v>
      </c>
      <c r="AN101" s="13">
        <f t="shared" si="116"/>
        <v>0</v>
      </c>
      <c r="AO101" s="13">
        <f t="shared" si="117"/>
        <v>0</v>
      </c>
      <c r="AP101" s="13">
        <f t="shared" si="118"/>
        <v>0</v>
      </c>
      <c r="AQ101" s="13">
        <f t="shared" si="99"/>
        <v>0</v>
      </c>
      <c r="AR101" s="13">
        <f t="shared" si="87"/>
        <v>0</v>
      </c>
      <c r="AS101" s="13">
        <f t="shared" si="88"/>
        <v>0</v>
      </c>
      <c r="AT101" s="13">
        <f t="shared" si="89"/>
        <v>0</v>
      </c>
      <c r="AU101" s="13">
        <f t="shared" si="90"/>
        <v>0</v>
      </c>
      <c r="AV101" s="13">
        <f t="shared" si="91"/>
        <v>0</v>
      </c>
      <c r="AW101" s="13">
        <f t="shared" si="92"/>
        <v>0</v>
      </c>
      <c r="AX101" s="13">
        <f t="shared" si="93"/>
        <v>0</v>
      </c>
      <c r="AY101" s="13">
        <f t="shared" si="94"/>
        <v>0</v>
      </c>
      <c r="AZ101" s="13">
        <f t="shared" si="95"/>
        <v>0</v>
      </c>
      <c r="BA101" s="13">
        <f t="shared" si="122"/>
        <v>0</v>
      </c>
      <c r="BB101" s="13">
        <f t="shared" si="123"/>
        <v>0</v>
      </c>
    </row>
    <row r="102" spans="1:54">
      <c r="A102">
        <f>data0!A100</f>
        <v>790</v>
      </c>
      <c r="B102">
        <v>0</v>
      </c>
      <c r="C102" t="e">
        <f ca="1">(Calculations!C101-C$2)/C$1</f>
        <v>#DIV/0!</v>
      </c>
      <c r="D102" s="13" t="e">
        <f t="shared" ca="1" si="106"/>
        <v>#DIV/0!</v>
      </c>
      <c r="E102" s="13" t="e">
        <f t="shared" ca="1" si="107"/>
        <v>#DIV/0!</v>
      </c>
      <c r="F102" s="13" t="e">
        <f t="shared" ca="1" si="108"/>
        <v>#DIV/0!</v>
      </c>
      <c r="G102" s="13" t="e">
        <f t="shared" ca="1" si="109"/>
        <v>#DIV/0!</v>
      </c>
      <c r="H102" s="13" t="e">
        <f t="shared" ca="1" si="110"/>
        <v>#DIV/0!</v>
      </c>
      <c r="I102" s="13" t="e">
        <f t="shared" ca="1" si="111"/>
        <v>#DIV/0!</v>
      </c>
      <c r="J102" s="13" t="e">
        <f t="shared" ca="1" si="112"/>
        <v>#DIV/0!</v>
      </c>
      <c r="K102" s="13" t="e">
        <f t="shared" ca="1" si="83"/>
        <v>#DIV/0!</v>
      </c>
      <c r="L102" s="13" t="e">
        <f t="shared" ca="1" si="84"/>
        <v>#DIV/0!</v>
      </c>
      <c r="M102" s="13" t="e">
        <f t="shared" ca="1" si="113"/>
        <v>#DIV/0!</v>
      </c>
      <c r="N102" s="13" t="e">
        <f t="shared" ca="1" si="66"/>
        <v>#DIV/0!</v>
      </c>
      <c r="O102" s="13" t="e">
        <f t="shared" ca="1" si="114"/>
        <v>#DIV/0!</v>
      </c>
      <c r="P102" s="13" t="e">
        <f t="shared" ca="1" si="115"/>
        <v>#DIV/0!</v>
      </c>
      <c r="Q102" s="13">
        <f t="shared" si="120"/>
        <v>6485638414.5814381</v>
      </c>
      <c r="R102" s="13">
        <f t="shared" si="120"/>
        <v>134973121641.36118</v>
      </c>
      <c r="S102" s="13">
        <f t="shared" si="120"/>
        <v>834538238011.45239</v>
      </c>
      <c r="T102" s="13">
        <f t="shared" si="120"/>
        <v>2814828196715.9956</v>
      </c>
      <c r="U102" s="13">
        <f t="shared" si="120"/>
        <v>6721779366386.04</v>
      </c>
      <c r="V102" s="13">
        <f t="shared" si="120"/>
        <v>12947072660849.785</v>
      </c>
      <c r="W102" s="13">
        <f t="shared" si="120"/>
        <v>21623955819964.742</v>
      </c>
      <c r="X102" s="13">
        <f t="shared" si="120"/>
        <v>32701792829291.316</v>
      </c>
      <c r="Y102" s="54">
        <f t="shared" si="120"/>
        <v>38430807950605.508</v>
      </c>
      <c r="Z102" s="13">
        <f t="shared" si="120"/>
        <v>46024539843294.625</v>
      </c>
      <c r="AA102" s="13">
        <f t="shared" si="120"/>
        <v>61388246154703.852</v>
      </c>
      <c r="AB102" s="13">
        <f t="shared" si="121"/>
        <v>78576682485944.5</v>
      </c>
      <c r="AC102" s="13">
        <f t="shared" si="98"/>
        <v>0</v>
      </c>
      <c r="AD102" s="13">
        <f t="shared" si="105"/>
        <v>0</v>
      </c>
      <c r="AE102" s="13">
        <f t="shared" si="105"/>
        <v>0</v>
      </c>
      <c r="AF102" s="13">
        <f t="shared" si="105"/>
        <v>0</v>
      </c>
      <c r="AG102" s="13">
        <f t="shared" si="100"/>
        <v>0</v>
      </c>
      <c r="AH102" s="13">
        <f t="shared" si="101"/>
        <v>0</v>
      </c>
      <c r="AI102" s="13">
        <f t="shared" si="102"/>
        <v>0</v>
      </c>
      <c r="AJ102" s="13">
        <f t="shared" si="103"/>
        <v>0</v>
      </c>
      <c r="AK102" s="13">
        <f t="shared" si="103"/>
        <v>0</v>
      </c>
      <c r="AL102" s="13">
        <f t="shared" si="103"/>
        <v>0</v>
      </c>
      <c r="AM102" s="13">
        <f t="shared" si="104"/>
        <v>0</v>
      </c>
      <c r="AN102" s="13">
        <f t="shared" si="116"/>
        <v>0</v>
      </c>
      <c r="AO102" s="13">
        <f t="shared" si="117"/>
        <v>0</v>
      </c>
      <c r="AP102" s="13">
        <f t="shared" si="118"/>
        <v>0</v>
      </c>
      <c r="AQ102" s="13">
        <f t="shared" si="99"/>
        <v>0</v>
      </c>
      <c r="AR102" s="13">
        <f t="shared" si="87"/>
        <v>0</v>
      </c>
      <c r="AS102" s="13">
        <f t="shared" si="88"/>
        <v>0</v>
      </c>
      <c r="AT102" s="13">
        <f t="shared" si="89"/>
        <v>0</v>
      </c>
      <c r="AU102" s="13">
        <f t="shared" si="90"/>
        <v>0</v>
      </c>
      <c r="AV102" s="13">
        <f t="shared" si="91"/>
        <v>0</v>
      </c>
      <c r="AW102" s="13">
        <f t="shared" si="92"/>
        <v>0</v>
      </c>
      <c r="AX102" s="13">
        <f t="shared" si="93"/>
        <v>0</v>
      </c>
      <c r="AY102" s="13">
        <f t="shared" si="94"/>
        <v>0</v>
      </c>
      <c r="AZ102" s="13">
        <f t="shared" si="95"/>
        <v>0</v>
      </c>
      <c r="BA102" s="13">
        <f t="shared" si="122"/>
        <v>0</v>
      </c>
      <c r="BB102" s="13">
        <f t="shared" si="123"/>
        <v>0</v>
      </c>
    </row>
    <row r="103" spans="1:54">
      <c r="A103">
        <f>data0!A101</f>
        <v>795</v>
      </c>
      <c r="B103">
        <v>0</v>
      </c>
      <c r="C103" t="e">
        <f ca="1">(Calculations!C102-C$2)/C$1</f>
        <v>#DIV/0!</v>
      </c>
      <c r="D103" s="13" t="e">
        <f t="shared" ca="1" si="106"/>
        <v>#DIV/0!</v>
      </c>
      <c r="E103" s="13" t="e">
        <f t="shared" ca="1" si="107"/>
        <v>#DIV/0!</v>
      </c>
      <c r="F103" s="13" t="e">
        <f t="shared" ca="1" si="108"/>
        <v>#DIV/0!</v>
      </c>
      <c r="G103" s="13" t="e">
        <f t="shared" ca="1" si="109"/>
        <v>#DIV/0!</v>
      </c>
      <c r="H103" s="13" t="e">
        <f t="shared" ca="1" si="110"/>
        <v>#DIV/0!</v>
      </c>
      <c r="I103" s="13" t="e">
        <f t="shared" ca="1" si="111"/>
        <v>#DIV/0!</v>
      </c>
      <c r="J103" s="13" t="e">
        <f t="shared" ca="1" si="112"/>
        <v>#DIV/0!</v>
      </c>
      <c r="K103" s="13" t="e">
        <f t="shared" ca="1" si="83"/>
        <v>#DIV/0!</v>
      </c>
      <c r="L103" s="13" t="e">
        <f t="shared" ca="1" si="84"/>
        <v>#DIV/0!</v>
      </c>
      <c r="M103" s="13" t="e">
        <f t="shared" ca="1" si="113"/>
        <v>#DIV/0!</v>
      </c>
      <c r="N103" s="13" t="e">
        <f t="shared" ca="1" si="66"/>
        <v>#DIV/0!</v>
      </c>
      <c r="O103" s="13" t="e">
        <f t="shared" ca="1" si="114"/>
        <v>#DIV/0!</v>
      </c>
      <c r="P103" s="13" t="e">
        <f t="shared" ca="1" si="115"/>
        <v>#DIV/0!</v>
      </c>
      <c r="Q103" s="13">
        <f t="shared" si="120"/>
        <v>6782912551.8414383</v>
      </c>
      <c r="R103" s="13">
        <f t="shared" si="120"/>
        <v>138491322753.34534</v>
      </c>
      <c r="S103" s="13">
        <f t="shared" si="120"/>
        <v>846560733504.86597</v>
      </c>
      <c r="T103" s="13">
        <f t="shared" si="120"/>
        <v>2833822061926.0107</v>
      </c>
      <c r="U103" s="13">
        <f t="shared" si="120"/>
        <v>6730957694933.1533</v>
      </c>
      <c r="V103" s="13">
        <f t="shared" si="120"/>
        <v>12913443023847.088</v>
      </c>
      <c r="W103" s="13">
        <f t="shared" si="120"/>
        <v>21502482303375.988</v>
      </c>
      <c r="X103" s="13">
        <f t="shared" si="120"/>
        <v>32440769484953.102</v>
      </c>
      <c r="Y103" s="54">
        <f t="shared" si="120"/>
        <v>38089411270884.656</v>
      </c>
      <c r="Z103" s="13">
        <f t="shared" si="120"/>
        <v>45570091859120.078</v>
      </c>
      <c r="AA103" s="13">
        <f t="shared" si="120"/>
        <v>60687420844987.867</v>
      </c>
      <c r="AB103" s="13">
        <f t="shared" si="121"/>
        <v>77579291276065.266</v>
      </c>
      <c r="AC103" s="13">
        <f t="shared" si="98"/>
        <v>0</v>
      </c>
      <c r="AD103" s="13">
        <f t="shared" si="105"/>
        <v>0</v>
      </c>
      <c r="AE103" s="13">
        <f t="shared" si="105"/>
        <v>0</v>
      </c>
      <c r="AF103" s="13">
        <f t="shared" si="105"/>
        <v>0</v>
      </c>
      <c r="AG103" s="13">
        <f t="shared" si="100"/>
        <v>0</v>
      </c>
      <c r="AH103" s="13">
        <f t="shared" si="101"/>
        <v>0</v>
      </c>
      <c r="AI103" s="13">
        <f t="shared" si="102"/>
        <v>0</v>
      </c>
      <c r="AJ103" s="13">
        <f t="shared" si="103"/>
        <v>0</v>
      </c>
      <c r="AK103" s="13">
        <f t="shared" si="103"/>
        <v>0</v>
      </c>
      <c r="AL103" s="13">
        <f t="shared" si="103"/>
        <v>0</v>
      </c>
      <c r="AM103" s="13">
        <f t="shared" si="104"/>
        <v>0</v>
      </c>
      <c r="AN103" s="13">
        <f t="shared" si="116"/>
        <v>0</v>
      </c>
      <c r="AO103" s="13">
        <f t="shared" si="117"/>
        <v>0</v>
      </c>
      <c r="AP103" s="13">
        <f t="shared" si="118"/>
        <v>0</v>
      </c>
      <c r="AQ103" s="13">
        <f t="shared" si="99"/>
        <v>0</v>
      </c>
      <c r="AR103" s="13">
        <f t="shared" si="87"/>
        <v>0</v>
      </c>
      <c r="AS103" s="13">
        <f t="shared" si="88"/>
        <v>0</v>
      </c>
      <c r="AT103" s="13">
        <f t="shared" si="89"/>
        <v>0</v>
      </c>
      <c r="AU103" s="13">
        <f t="shared" si="90"/>
        <v>0</v>
      </c>
      <c r="AV103" s="13">
        <f t="shared" si="91"/>
        <v>0</v>
      </c>
      <c r="AW103" s="13">
        <f t="shared" si="92"/>
        <v>0</v>
      </c>
      <c r="AX103" s="13">
        <f t="shared" si="93"/>
        <v>0</v>
      </c>
      <c r="AY103" s="13">
        <f t="shared" si="94"/>
        <v>0</v>
      </c>
      <c r="AZ103" s="13">
        <f t="shared" si="95"/>
        <v>0</v>
      </c>
      <c r="BA103" s="13">
        <f t="shared" si="122"/>
        <v>0</v>
      </c>
      <c r="BB103" s="13">
        <f t="shared" si="123"/>
        <v>0</v>
      </c>
    </row>
    <row r="104" spans="1:54">
      <c r="A104">
        <f>data0!A102</f>
        <v>800</v>
      </c>
      <c r="B104">
        <v>0</v>
      </c>
      <c r="C104" t="e">
        <f ca="1">(Calculations!C103-C$2)/C$1</f>
        <v>#DIV/0!</v>
      </c>
      <c r="D104" s="13" t="e">
        <f t="shared" ca="1" si="106"/>
        <v>#DIV/0!</v>
      </c>
      <c r="E104" s="13" t="e">
        <f t="shared" ca="1" si="107"/>
        <v>#DIV/0!</v>
      </c>
      <c r="F104" s="13" t="e">
        <f t="shared" ca="1" si="108"/>
        <v>#DIV/0!</v>
      </c>
      <c r="G104" s="13" t="e">
        <f t="shared" ca="1" si="109"/>
        <v>#DIV/0!</v>
      </c>
      <c r="H104" s="13" t="e">
        <f t="shared" ca="1" si="110"/>
        <v>#DIV/0!</v>
      </c>
      <c r="I104" s="13" t="e">
        <f t="shared" ca="1" si="111"/>
        <v>#DIV/0!</v>
      </c>
      <c r="J104" s="13" t="e">
        <f t="shared" ca="1" si="112"/>
        <v>#DIV/0!</v>
      </c>
      <c r="K104" s="13" t="e">
        <f t="shared" ca="1" si="83"/>
        <v>#DIV/0!</v>
      </c>
      <c r="L104" s="13" t="e">
        <f t="shared" ca="1" si="84"/>
        <v>#DIV/0!</v>
      </c>
      <c r="M104" s="13" t="e">
        <f t="shared" ca="1" si="113"/>
        <v>#DIV/0!</v>
      </c>
      <c r="N104" s="13" t="e">
        <f t="shared" ca="1" si="66"/>
        <v>#DIV/0!</v>
      </c>
      <c r="O104" s="13" t="e">
        <f t="shared" ca="1" si="114"/>
        <v>#DIV/0!</v>
      </c>
      <c r="P104" s="13" t="e">
        <f t="shared" ca="1" si="115"/>
        <v>#DIV/0!</v>
      </c>
      <c r="Q104" s="13">
        <f t="shared" si="120"/>
        <v>7088446521.4995642</v>
      </c>
      <c r="R104" s="13">
        <f t="shared" si="120"/>
        <v>142027666128.80829</v>
      </c>
      <c r="S104" s="13">
        <f t="shared" si="120"/>
        <v>858435438091.83142</v>
      </c>
      <c r="T104" s="13">
        <f t="shared" si="120"/>
        <v>2852153488470.5806</v>
      </c>
      <c r="U104" s="13">
        <f t="shared" si="120"/>
        <v>6738749711152.4268</v>
      </c>
      <c r="V104" s="13">
        <f t="shared" si="120"/>
        <v>12877903012283.535</v>
      </c>
      <c r="W104" s="13">
        <f t="shared" si="120"/>
        <v>21379247150069.516</v>
      </c>
      <c r="X104" s="13">
        <f t="shared" si="120"/>
        <v>32179197282878.598</v>
      </c>
      <c r="Y104" s="54">
        <f t="shared" si="120"/>
        <v>37748432582835.109</v>
      </c>
      <c r="Z104" s="13">
        <f t="shared" si="120"/>
        <v>45117631233685.578</v>
      </c>
      <c r="AA104" s="13">
        <f t="shared" si="120"/>
        <v>59992577591015.727</v>
      </c>
      <c r="AB104" s="13">
        <f t="shared" si="121"/>
        <v>76593374727189.812</v>
      </c>
      <c r="AC104" s="13">
        <f t="shared" si="98"/>
        <v>0</v>
      </c>
      <c r="AD104" s="13">
        <f t="shared" si="105"/>
        <v>0</v>
      </c>
      <c r="AE104" s="13">
        <f t="shared" si="105"/>
        <v>0</v>
      </c>
      <c r="AF104" s="13">
        <f t="shared" si="105"/>
        <v>0</v>
      </c>
      <c r="AG104" s="13">
        <f t="shared" si="100"/>
        <v>0</v>
      </c>
      <c r="AH104" s="13">
        <f t="shared" si="101"/>
        <v>0</v>
      </c>
      <c r="AI104" s="13">
        <f t="shared" si="102"/>
        <v>0</v>
      </c>
      <c r="AJ104" s="13">
        <f t="shared" si="103"/>
        <v>0</v>
      </c>
      <c r="AK104" s="13">
        <f t="shared" si="103"/>
        <v>0</v>
      </c>
      <c r="AL104" s="13">
        <f t="shared" si="103"/>
        <v>0</v>
      </c>
      <c r="AM104" s="13">
        <f t="shared" si="104"/>
        <v>0</v>
      </c>
      <c r="AN104" s="13">
        <f t="shared" si="116"/>
        <v>0</v>
      </c>
      <c r="AO104" s="13">
        <f t="shared" si="117"/>
        <v>0</v>
      </c>
      <c r="AP104" s="13">
        <f t="shared" si="118"/>
        <v>0</v>
      </c>
      <c r="AQ104" s="13">
        <f t="shared" si="99"/>
        <v>0</v>
      </c>
      <c r="AR104" s="13">
        <f t="shared" si="87"/>
        <v>0</v>
      </c>
      <c r="AS104" s="13">
        <f t="shared" si="88"/>
        <v>0</v>
      </c>
      <c r="AT104" s="13">
        <f t="shared" si="89"/>
        <v>0</v>
      </c>
      <c r="AU104" s="13">
        <f t="shared" si="90"/>
        <v>0</v>
      </c>
      <c r="AV104" s="13">
        <f t="shared" si="91"/>
        <v>0</v>
      </c>
      <c r="AW104" s="13">
        <f t="shared" si="92"/>
        <v>0</v>
      </c>
      <c r="AX104" s="13">
        <f t="shared" si="93"/>
        <v>0</v>
      </c>
      <c r="AY104" s="13">
        <f t="shared" si="94"/>
        <v>0</v>
      </c>
      <c r="AZ104" s="13">
        <f t="shared" si="95"/>
        <v>0</v>
      </c>
      <c r="BA104" s="13">
        <f t="shared" si="122"/>
        <v>0</v>
      </c>
      <c r="BB104" s="13">
        <f t="shared" si="123"/>
        <v>0</v>
      </c>
    </row>
    <row r="105" spans="1:54">
      <c r="A105">
        <f>data0!A103</f>
        <v>805</v>
      </c>
      <c r="B105">
        <v>0</v>
      </c>
      <c r="C105" t="e">
        <f ca="1">(Calculations!C104-C$2)/C$1</f>
        <v>#DIV/0!</v>
      </c>
      <c r="D105" s="13" t="e">
        <f t="shared" ref="D105:D126" ca="1" si="124">$C105*Q105</f>
        <v>#DIV/0!</v>
      </c>
      <c r="E105" s="13" t="e">
        <f t="shared" ref="E105:E126" ca="1" si="125">$C105*R105</f>
        <v>#DIV/0!</v>
      </c>
      <c r="F105" s="13" t="e">
        <f t="shared" ref="F105:F126" ca="1" si="126">$C105*S105</f>
        <v>#DIV/0!</v>
      </c>
      <c r="G105" s="13" t="e">
        <f t="shared" ref="G105:G126" ca="1" si="127">$C105*T105</f>
        <v>#DIV/0!</v>
      </c>
      <c r="H105" s="13" t="e">
        <f t="shared" ref="H105:H126" ca="1" si="128">$C105*U105</f>
        <v>#DIV/0!</v>
      </c>
      <c r="I105" s="13" t="e">
        <f t="shared" ref="I105:I126" ca="1" si="129">$C105*V105</f>
        <v>#DIV/0!</v>
      </c>
      <c r="J105" s="13" t="e">
        <f t="shared" ref="J105:J126" ca="1" si="130">$C105*W105</f>
        <v>#DIV/0!</v>
      </c>
      <c r="K105" s="13" t="e">
        <f t="shared" ca="1" si="83"/>
        <v>#DIV/0!</v>
      </c>
      <c r="L105" s="13" t="e">
        <f t="shared" ca="1" si="84"/>
        <v>#DIV/0!</v>
      </c>
      <c r="M105" s="13" t="e">
        <f t="shared" ref="M105:M126" ca="1" si="131">$C105*Z105</f>
        <v>#DIV/0!</v>
      </c>
      <c r="N105" s="13" t="e">
        <f t="shared" ref="N105:N136" ca="1" si="132">$C105*AA105</f>
        <v>#DIV/0!</v>
      </c>
      <c r="O105" s="13" t="e">
        <f t="shared" ref="O105:O136" ca="1" si="133">$C105*AB105</f>
        <v>#DIV/0!</v>
      </c>
      <c r="P105" s="13" t="e">
        <f t="shared" ref="P105:P136" ca="1" si="134">$C105*AC105</f>
        <v>#DIV/0!</v>
      </c>
      <c r="Q105" s="13">
        <f t="shared" si="120"/>
        <v>7402253169.3803625</v>
      </c>
      <c r="R105" s="13">
        <f t="shared" si="120"/>
        <v>145580491374.40283</v>
      </c>
      <c r="S105" s="13">
        <f t="shared" si="120"/>
        <v>870158497655.33228</v>
      </c>
      <c r="T105" s="13">
        <f t="shared" si="120"/>
        <v>2869826512146.0073</v>
      </c>
      <c r="U105" s="13">
        <f t="shared" si="120"/>
        <v>6745185461769.2822</v>
      </c>
      <c r="V105" s="13">
        <f t="shared" si="120"/>
        <v>12840522837138.279</v>
      </c>
      <c r="W105" s="13">
        <f t="shared" si="120"/>
        <v>21254361584353.254</v>
      </c>
      <c r="X105" s="13">
        <f t="shared" si="120"/>
        <v>31917213229344.277</v>
      </c>
      <c r="Y105" s="54">
        <f t="shared" si="120"/>
        <v>37408011610620.625</v>
      </c>
      <c r="Z105" s="13">
        <f t="shared" si="120"/>
        <v>44667291324799.953</v>
      </c>
      <c r="AA105" s="13">
        <f t="shared" si="120"/>
        <v>59303806265940.141</v>
      </c>
      <c r="AB105" s="13">
        <f t="shared" si="121"/>
        <v>75618932915463.937</v>
      </c>
      <c r="AC105" s="13">
        <f t="shared" si="98"/>
        <v>0</v>
      </c>
      <c r="AD105" s="13">
        <f t="shared" si="105"/>
        <v>0</v>
      </c>
      <c r="AE105" s="13">
        <f t="shared" si="105"/>
        <v>0</v>
      </c>
      <c r="AF105" s="13">
        <f t="shared" si="105"/>
        <v>0</v>
      </c>
      <c r="AG105" s="13">
        <f t="shared" si="100"/>
        <v>0</v>
      </c>
      <c r="AH105" s="13">
        <f t="shared" si="101"/>
        <v>0</v>
      </c>
      <c r="AI105" s="13">
        <f t="shared" si="102"/>
        <v>0</v>
      </c>
      <c r="AJ105" s="13">
        <f t="shared" si="103"/>
        <v>0</v>
      </c>
      <c r="AK105" s="13">
        <f t="shared" si="103"/>
        <v>0</v>
      </c>
      <c r="AL105" s="13">
        <f t="shared" si="103"/>
        <v>0</v>
      </c>
      <c r="AM105" s="13">
        <f t="shared" si="104"/>
        <v>0</v>
      </c>
      <c r="AN105" s="13">
        <f t="shared" si="116"/>
        <v>0</v>
      </c>
      <c r="AO105" s="13">
        <f t="shared" si="117"/>
        <v>0</v>
      </c>
      <c r="AP105" s="13">
        <f t="shared" si="118"/>
        <v>0</v>
      </c>
      <c r="AQ105" s="13">
        <f t="shared" si="99"/>
        <v>0</v>
      </c>
      <c r="AR105" s="13">
        <f t="shared" si="87"/>
        <v>0</v>
      </c>
      <c r="AS105" s="13">
        <f t="shared" si="88"/>
        <v>0</v>
      </c>
      <c r="AT105" s="13">
        <f t="shared" si="89"/>
        <v>0</v>
      </c>
      <c r="AU105" s="13">
        <f t="shared" si="90"/>
        <v>0</v>
      </c>
      <c r="AV105" s="13">
        <f t="shared" si="91"/>
        <v>0</v>
      </c>
      <c r="AW105" s="13">
        <f t="shared" si="92"/>
        <v>0</v>
      </c>
      <c r="AX105" s="13">
        <f t="shared" si="93"/>
        <v>0</v>
      </c>
      <c r="AY105" s="13">
        <f t="shared" si="94"/>
        <v>0</v>
      </c>
      <c r="AZ105" s="13">
        <f t="shared" si="95"/>
        <v>0</v>
      </c>
      <c r="BA105" s="13">
        <f t="shared" si="122"/>
        <v>0</v>
      </c>
      <c r="BB105" s="13">
        <f t="shared" si="123"/>
        <v>0</v>
      </c>
    </row>
    <row r="106" spans="1:54">
      <c r="A106">
        <f>data0!A104</f>
        <v>810</v>
      </c>
      <c r="B106">
        <v>0</v>
      </c>
      <c r="C106" t="e">
        <f ca="1">(Calculations!C105-C$2)/C$1</f>
        <v>#DIV/0!</v>
      </c>
      <c r="D106" s="13" t="e">
        <f t="shared" ca="1" si="124"/>
        <v>#DIV/0!</v>
      </c>
      <c r="E106" s="13" t="e">
        <f t="shared" ca="1" si="125"/>
        <v>#DIV/0!</v>
      </c>
      <c r="F106" s="13" t="e">
        <f t="shared" ca="1" si="126"/>
        <v>#DIV/0!</v>
      </c>
      <c r="G106" s="13" t="e">
        <f t="shared" ca="1" si="127"/>
        <v>#DIV/0!</v>
      </c>
      <c r="H106" s="13" t="e">
        <f t="shared" ca="1" si="128"/>
        <v>#DIV/0!</v>
      </c>
      <c r="I106" s="13" t="e">
        <f t="shared" ca="1" si="129"/>
        <v>#DIV/0!</v>
      </c>
      <c r="J106" s="13" t="e">
        <f t="shared" ca="1" si="130"/>
        <v>#DIV/0!</v>
      </c>
      <c r="K106" s="13" t="e">
        <f t="shared" ca="1" si="83"/>
        <v>#DIV/0!</v>
      </c>
      <c r="L106" s="13" t="e">
        <f t="shared" ca="1" si="84"/>
        <v>#DIV/0!</v>
      </c>
      <c r="M106" s="13" t="e">
        <f t="shared" ca="1" si="131"/>
        <v>#DIV/0!</v>
      </c>
      <c r="N106" s="13" t="e">
        <f t="shared" ca="1" si="132"/>
        <v>#DIV/0!</v>
      </c>
      <c r="O106" s="13" t="e">
        <f t="shared" ca="1" si="133"/>
        <v>#DIV/0!</v>
      </c>
      <c r="P106" s="13" t="e">
        <f t="shared" ca="1" si="134"/>
        <v>#DIV/0!</v>
      </c>
      <c r="Q106" s="13">
        <f t="shared" si="120"/>
        <v>7724338618.808486</v>
      </c>
      <c r="R106" s="13">
        <f t="shared" si="120"/>
        <v>149148145618.742</v>
      </c>
      <c r="S106" s="13">
        <f t="shared" si="120"/>
        <v>881726273242.29016</v>
      </c>
      <c r="T106" s="13">
        <f t="shared" si="120"/>
        <v>2886845576866.3794</v>
      </c>
      <c r="U106" s="13">
        <f t="shared" si="120"/>
        <v>6750294992250.584</v>
      </c>
      <c r="V106" s="13">
        <f t="shared" si="120"/>
        <v>12801371349246.35</v>
      </c>
      <c r="W106" s="13">
        <f t="shared" si="120"/>
        <v>21127933315789.336</v>
      </c>
      <c r="X106" s="13">
        <f t="shared" si="120"/>
        <v>31654948376126.102</v>
      </c>
      <c r="Y106" s="54">
        <f t="shared" si="120"/>
        <v>37068281101123.664</v>
      </c>
      <c r="Z106" s="13">
        <f t="shared" si="120"/>
        <v>44219197439835.633</v>
      </c>
      <c r="AA106" s="13">
        <f t="shared" si="120"/>
        <v>58621187519765.687</v>
      </c>
      <c r="AB106" s="13">
        <f t="shared" si="121"/>
        <v>74655956897477.047</v>
      </c>
      <c r="AC106" s="13">
        <f t="shared" si="98"/>
        <v>0</v>
      </c>
      <c r="AD106" s="13">
        <f t="shared" si="105"/>
        <v>0</v>
      </c>
      <c r="AE106" s="13">
        <f t="shared" si="105"/>
        <v>0</v>
      </c>
      <c r="AF106" s="13">
        <f t="shared" si="105"/>
        <v>0</v>
      </c>
      <c r="AG106" s="13">
        <f t="shared" si="100"/>
        <v>0</v>
      </c>
      <c r="AH106" s="13">
        <f t="shared" si="101"/>
        <v>0</v>
      </c>
      <c r="AI106" s="13">
        <f t="shared" si="102"/>
        <v>0</v>
      </c>
      <c r="AJ106" s="13">
        <f t="shared" si="103"/>
        <v>0</v>
      </c>
      <c r="AK106" s="13">
        <f t="shared" si="103"/>
        <v>0</v>
      </c>
      <c r="AL106" s="13">
        <f t="shared" si="103"/>
        <v>0</v>
      </c>
      <c r="AM106" s="13">
        <f t="shared" si="104"/>
        <v>0</v>
      </c>
      <c r="AN106" s="13">
        <f t="shared" ref="AN106:AN137" si="135">$B106*AA106</f>
        <v>0</v>
      </c>
      <c r="AO106" s="13">
        <f t="shared" ref="AO106:AO137" si="136">$B106*AB106</f>
        <v>0</v>
      </c>
      <c r="AP106" s="13">
        <f t="shared" ref="AP106:AP137" si="137">$B106*AC106</f>
        <v>0</v>
      </c>
      <c r="AQ106" s="13">
        <f t="shared" si="99"/>
        <v>0</v>
      </c>
      <c r="AR106" s="13">
        <f t="shared" si="87"/>
        <v>0</v>
      </c>
      <c r="AS106" s="13">
        <f t="shared" si="88"/>
        <v>0</v>
      </c>
      <c r="AT106" s="13">
        <f t="shared" si="89"/>
        <v>0</v>
      </c>
      <c r="AU106" s="13">
        <f t="shared" si="90"/>
        <v>0</v>
      </c>
      <c r="AV106" s="13">
        <f t="shared" si="91"/>
        <v>0</v>
      </c>
      <c r="AW106" s="13">
        <f t="shared" si="92"/>
        <v>0</v>
      </c>
      <c r="AX106" s="13">
        <f t="shared" si="93"/>
        <v>0</v>
      </c>
      <c r="AY106" s="13">
        <f t="shared" si="94"/>
        <v>0</v>
      </c>
      <c r="AZ106" s="13">
        <f t="shared" si="95"/>
        <v>0</v>
      </c>
      <c r="BA106" s="13">
        <f t="shared" si="122"/>
        <v>0</v>
      </c>
      <c r="BB106" s="13">
        <f t="shared" si="123"/>
        <v>0</v>
      </c>
    </row>
    <row r="107" spans="1:54">
      <c r="A107">
        <f>data0!A105</f>
        <v>815</v>
      </c>
      <c r="B107">
        <v>0</v>
      </c>
      <c r="C107" t="e">
        <f ca="1">(Calculations!C106-C$2)/C$1</f>
        <v>#DIV/0!</v>
      </c>
      <c r="D107" s="13" t="e">
        <f t="shared" ca="1" si="124"/>
        <v>#DIV/0!</v>
      </c>
      <c r="E107" s="13" t="e">
        <f t="shared" ca="1" si="125"/>
        <v>#DIV/0!</v>
      </c>
      <c r="F107" s="13" t="e">
        <f t="shared" ca="1" si="126"/>
        <v>#DIV/0!</v>
      </c>
      <c r="G107" s="13" t="e">
        <f t="shared" ca="1" si="127"/>
        <v>#DIV/0!</v>
      </c>
      <c r="H107" s="13" t="e">
        <f t="shared" ca="1" si="128"/>
        <v>#DIV/0!</v>
      </c>
      <c r="I107" s="13" t="e">
        <f t="shared" ca="1" si="129"/>
        <v>#DIV/0!</v>
      </c>
      <c r="J107" s="13" t="e">
        <f t="shared" ca="1" si="130"/>
        <v>#DIV/0!</v>
      </c>
      <c r="K107" s="13" t="e">
        <f t="shared" ca="1" si="83"/>
        <v>#DIV/0!</v>
      </c>
      <c r="L107" s="13" t="e">
        <f t="shared" ca="1" si="84"/>
        <v>#DIV/0!</v>
      </c>
      <c r="M107" s="13" t="e">
        <f t="shared" ca="1" si="131"/>
        <v>#DIV/0!</v>
      </c>
      <c r="N107" s="13" t="e">
        <f t="shared" ca="1" si="132"/>
        <v>#DIV/0!</v>
      </c>
      <c r="O107" s="13" t="e">
        <f t="shared" ca="1" si="133"/>
        <v>#DIV/0!</v>
      </c>
      <c r="P107" s="13" t="e">
        <f t="shared" ca="1" si="134"/>
        <v>#DIV/0!</v>
      </c>
      <c r="Q107" s="13">
        <f t="shared" si="120"/>
        <v>8054702306.9660015</v>
      </c>
      <c r="R107" s="13">
        <f t="shared" si="120"/>
        <v>152728985359.9187</v>
      </c>
      <c r="S107" s="13">
        <f t="shared" si="120"/>
        <v>893135337806.94983</v>
      </c>
      <c r="T107" s="13">
        <f t="shared" si="120"/>
        <v>2903215511555.4126</v>
      </c>
      <c r="U107" s="13">
        <f t="shared" si="120"/>
        <v>6754108310043.332</v>
      </c>
      <c r="V107" s="13">
        <f t="shared" si="120"/>
        <v>12760516026439.041</v>
      </c>
      <c r="W107" s="13">
        <f t="shared" si="120"/>
        <v>21000066602827.488</v>
      </c>
      <c r="X107" s="13">
        <f t="shared" si="120"/>
        <v>31392528005690.398</v>
      </c>
      <c r="Y107" s="54">
        <f t="shared" si="120"/>
        <v>36729367072814.078</v>
      </c>
      <c r="Z107" s="13">
        <f t="shared" si="120"/>
        <v>43773467164961.406</v>
      </c>
      <c r="AA107" s="13">
        <f t="shared" si="120"/>
        <v>57944793247195.461</v>
      </c>
      <c r="AB107" s="13">
        <f t="shared" si="121"/>
        <v>73704429284846.375</v>
      </c>
      <c r="AC107" s="13">
        <f t="shared" si="98"/>
        <v>0</v>
      </c>
      <c r="AD107" s="13">
        <f t="shared" si="105"/>
        <v>0</v>
      </c>
      <c r="AE107" s="13">
        <f t="shared" si="105"/>
        <v>0</v>
      </c>
      <c r="AF107" s="13">
        <f t="shared" si="105"/>
        <v>0</v>
      </c>
      <c r="AG107" s="13">
        <f t="shared" si="100"/>
        <v>0</v>
      </c>
      <c r="AH107" s="13">
        <f t="shared" si="101"/>
        <v>0</v>
      </c>
      <c r="AI107" s="13">
        <f t="shared" si="102"/>
        <v>0</v>
      </c>
      <c r="AJ107" s="13">
        <f t="shared" si="103"/>
        <v>0</v>
      </c>
      <c r="AK107" s="13">
        <f t="shared" si="103"/>
        <v>0</v>
      </c>
      <c r="AL107" s="13">
        <f t="shared" si="103"/>
        <v>0</v>
      </c>
      <c r="AM107" s="13">
        <f t="shared" si="104"/>
        <v>0</v>
      </c>
      <c r="AN107" s="13">
        <f t="shared" si="135"/>
        <v>0</v>
      </c>
      <c r="AO107" s="13">
        <f t="shared" si="136"/>
        <v>0</v>
      </c>
      <c r="AP107" s="13">
        <f t="shared" si="137"/>
        <v>0</v>
      </c>
      <c r="AQ107" s="13">
        <f t="shared" si="99"/>
        <v>0</v>
      </c>
      <c r="AR107" s="13">
        <f t="shared" si="87"/>
        <v>0</v>
      </c>
      <c r="AS107" s="13">
        <f t="shared" si="88"/>
        <v>0</v>
      </c>
      <c r="AT107" s="13">
        <f t="shared" si="89"/>
        <v>0</v>
      </c>
      <c r="AU107" s="13">
        <f t="shared" si="90"/>
        <v>0</v>
      </c>
      <c r="AV107" s="13">
        <f t="shared" si="91"/>
        <v>0</v>
      </c>
      <c r="AW107" s="13">
        <f t="shared" si="92"/>
        <v>0</v>
      </c>
      <c r="AX107" s="13">
        <f t="shared" si="93"/>
        <v>0</v>
      </c>
      <c r="AY107" s="13">
        <f t="shared" si="94"/>
        <v>0</v>
      </c>
      <c r="AZ107" s="13">
        <f t="shared" si="95"/>
        <v>0</v>
      </c>
      <c r="BA107" s="13">
        <f t="shared" si="122"/>
        <v>0</v>
      </c>
      <c r="BB107" s="13">
        <f t="shared" si="123"/>
        <v>0</v>
      </c>
    </row>
    <row r="108" spans="1:54">
      <c r="A108">
        <f>data0!A106</f>
        <v>820</v>
      </c>
      <c r="B108">
        <v>0</v>
      </c>
      <c r="C108" t="e">
        <f ca="1">(Calculations!C107-C$2)/C$1</f>
        <v>#DIV/0!</v>
      </c>
      <c r="D108" s="13" t="e">
        <f t="shared" ca="1" si="124"/>
        <v>#DIV/0!</v>
      </c>
      <c r="E108" s="13" t="e">
        <f t="shared" ca="1" si="125"/>
        <v>#DIV/0!</v>
      </c>
      <c r="F108" s="13" t="e">
        <f t="shared" ca="1" si="126"/>
        <v>#DIV/0!</v>
      </c>
      <c r="G108" s="13" t="e">
        <f t="shared" ca="1" si="127"/>
        <v>#DIV/0!</v>
      </c>
      <c r="H108" s="13" t="e">
        <f t="shared" ca="1" si="128"/>
        <v>#DIV/0!</v>
      </c>
      <c r="I108" s="13" t="e">
        <f t="shared" ca="1" si="129"/>
        <v>#DIV/0!</v>
      </c>
      <c r="J108" s="13" t="e">
        <f t="shared" ca="1" si="130"/>
        <v>#DIV/0!</v>
      </c>
      <c r="K108" s="13" t="e">
        <f t="shared" ca="1" si="83"/>
        <v>#DIV/0!</v>
      </c>
      <c r="L108" s="13" t="e">
        <f t="shared" ca="1" si="84"/>
        <v>#DIV/0!</v>
      </c>
      <c r="M108" s="13" t="e">
        <f t="shared" ca="1" si="131"/>
        <v>#DIV/0!</v>
      </c>
      <c r="N108" s="13" t="e">
        <f t="shared" ca="1" si="132"/>
        <v>#DIV/0!</v>
      </c>
      <c r="O108" s="13" t="e">
        <f t="shared" ca="1" si="133"/>
        <v>#DIV/0!</v>
      </c>
      <c r="P108" s="13" t="e">
        <f t="shared" ca="1" si="134"/>
        <v>#DIV/0!</v>
      </c>
      <c r="Q108" s="13">
        <f t="shared" si="120"/>
        <v>8393337032.0671854</v>
      </c>
      <c r="R108" s="13">
        <f t="shared" si="120"/>
        <v>156321378228.68808</v>
      </c>
      <c r="S108" s="13">
        <f t="shared" si="120"/>
        <v>904382472748.11243</v>
      </c>
      <c r="T108" s="13">
        <f t="shared" si="120"/>
        <v>2918941507651.5405</v>
      </c>
      <c r="U108" s="13">
        <f t="shared" si="120"/>
        <v>6756655350090.9102</v>
      </c>
      <c r="V108" s="13">
        <f t="shared" si="120"/>
        <v>12718022963850.891</v>
      </c>
      <c r="W108" s="13">
        <f t="shared" si="120"/>
        <v>20870862318043.645</v>
      </c>
      <c r="X108" s="13">
        <f t="shared" si="120"/>
        <v>31130071813312.375</v>
      </c>
      <c r="Y108" s="54">
        <f t="shared" si="120"/>
        <v>36391389058507.141</v>
      </c>
      <c r="Z108" s="13">
        <f t="shared" si="120"/>
        <v>43330210683938.336</v>
      </c>
      <c r="AA108" s="13">
        <f t="shared" si="120"/>
        <v>57274687036119.242</v>
      </c>
      <c r="AB108" s="13">
        <f t="shared" si="121"/>
        <v>72764324790352.922</v>
      </c>
      <c r="AC108" s="13">
        <f t="shared" si="98"/>
        <v>0</v>
      </c>
      <c r="AD108" s="13">
        <f t="shared" si="105"/>
        <v>0</v>
      </c>
      <c r="AE108" s="13">
        <f t="shared" si="105"/>
        <v>0</v>
      </c>
      <c r="AF108" s="13">
        <f t="shared" si="105"/>
        <v>0</v>
      </c>
      <c r="AG108" s="13">
        <f t="shared" si="100"/>
        <v>0</v>
      </c>
      <c r="AH108" s="13">
        <f t="shared" si="101"/>
        <v>0</v>
      </c>
      <c r="AI108" s="13">
        <f t="shared" si="102"/>
        <v>0</v>
      </c>
      <c r="AJ108" s="13">
        <f t="shared" si="103"/>
        <v>0</v>
      </c>
      <c r="AK108" s="13">
        <f t="shared" si="103"/>
        <v>0</v>
      </c>
      <c r="AL108" s="13">
        <f t="shared" si="103"/>
        <v>0</v>
      </c>
      <c r="AM108" s="13">
        <f t="shared" si="104"/>
        <v>0</v>
      </c>
      <c r="AN108" s="13">
        <f t="shared" si="135"/>
        <v>0</v>
      </c>
      <c r="AO108" s="13">
        <f t="shared" si="136"/>
        <v>0</v>
      </c>
      <c r="AP108" s="13">
        <f t="shared" si="137"/>
        <v>0</v>
      </c>
      <c r="AQ108" s="13">
        <f t="shared" si="99"/>
        <v>0</v>
      </c>
      <c r="AR108" s="13">
        <f t="shared" si="87"/>
        <v>0</v>
      </c>
      <c r="AS108" s="13">
        <f t="shared" si="88"/>
        <v>0</v>
      </c>
      <c r="AT108" s="13">
        <f t="shared" si="89"/>
        <v>0</v>
      </c>
      <c r="AU108" s="13">
        <f t="shared" si="90"/>
        <v>0</v>
      </c>
      <c r="AV108" s="13">
        <f t="shared" si="91"/>
        <v>0</v>
      </c>
      <c r="AW108" s="13">
        <f t="shared" si="92"/>
        <v>0</v>
      </c>
      <c r="AX108" s="13">
        <f t="shared" si="93"/>
        <v>0</v>
      </c>
      <c r="AY108" s="13">
        <f t="shared" si="94"/>
        <v>0</v>
      </c>
      <c r="AZ108" s="13">
        <f t="shared" si="95"/>
        <v>0</v>
      </c>
      <c r="BA108" s="13">
        <f t="shared" si="122"/>
        <v>0</v>
      </c>
      <c r="BB108" s="13">
        <f t="shared" si="123"/>
        <v>0</v>
      </c>
    </row>
    <row r="109" spans="1:54">
      <c r="A109">
        <f>data0!A107</f>
        <v>825</v>
      </c>
      <c r="B109">
        <v>0</v>
      </c>
      <c r="C109" t="e">
        <f ca="1">(Calculations!C108-C$2)/C$1</f>
        <v>#DIV/0!</v>
      </c>
      <c r="D109" s="13" t="e">
        <f t="shared" ca="1" si="124"/>
        <v>#DIV/0!</v>
      </c>
      <c r="E109" s="13" t="e">
        <f t="shared" ca="1" si="125"/>
        <v>#DIV/0!</v>
      </c>
      <c r="F109" s="13" t="e">
        <f t="shared" ca="1" si="126"/>
        <v>#DIV/0!</v>
      </c>
      <c r="G109" s="13" t="e">
        <f t="shared" ca="1" si="127"/>
        <v>#DIV/0!</v>
      </c>
      <c r="H109" s="13" t="e">
        <f t="shared" ca="1" si="128"/>
        <v>#DIV/0!</v>
      </c>
      <c r="I109" s="13" t="e">
        <f t="shared" ca="1" si="129"/>
        <v>#DIV/0!</v>
      </c>
      <c r="J109" s="13" t="e">
        <f t="shared" ca="1" si="130"/>
        <v>#DIV/0!</v>
      </c>
      <c r="K109" s="13" t="e">
        <f t="shared" ca="1" si="83"/>
        <v>#DIV/0!</v>
      </c>
      <c r="L109" s="13" t="e">
        <f t="shared" ca="1" si="84"/>
        <v>#DIV/0!</v>
      </c>
      <c r="M109" s="13" t="e">
        <f t="shared" ca="1" si="131"/>
        <v>#DIV/0!</v>
      </c>
      <c r="N109" s="13" t="e">
        <f t="shared" ca="1" si="132"/>
        <v>#DIV/0!</v>
      </c>
      <c r="O109" s="13" t="e">
        <f t="shared" ca="1" si="133"/>
        <v>#DIV/0!</v>
      </c>
      <c r="P109" s="13" t="e">
        <f t="shared" ca="1" si="134"/>
        <v>#DIV/0!</v>
      </c>
      <c r="Q109" s="13">
        <f t="shared" si="120"/>
        <v>8740229010.9076443</v>
      </c>
      <c r="R109" s="13">
        <f t="shared" si="120"/>
        <v>159923704667.46613</v>
      </c>
      <c r="S109" s="13">
        <f t="shared" si="120"/>
        <v>915464664260.21484</v>
      </c>
      <c r="T109" s="13">
        <f t="shared" si="120"/>
        <v>2934029097236.2061</v>
      </c>
      <c r="U109" s="13">
        <f t="shared" si="120"/>
        <v>6757965942541.5869</v>
      </c>
      <c r="V109" s="13">
        <f t="shared" si="120"/>
        <v>12673956867176.131</v>
      </c>
      <c r="W109" s="13">
        <f t="shared" si="120"/>
        <v>20740418014711.508</v>
      </c>
      <c r="X109" s="13">
        <f t="shared" si="120"/>
        <v>30867694085961.734</v>
      </c>
      <c r="Y109" s="54">
        <f t="shared" si="120"/>
        <v>36054460341966.422</v>
      </c>
      <c r="Z109" s="13">
        <f t="shared" si="120"/>
        <v>42889531086629.695</v>
      </c>
      <c r="AA109" s="13">
        <f t="shared" si="120"/>
        <v>56610924597376.5</v>
      </c>
      <c r="AB109" s="13">
        <f t="shared" si="121"/>
        <v>71835610746849.937</v>
      </c>
      <c r="AC109" s="13">
        <f t="shared" si="98"/>
        <v>0</v>
      </c>
      <c r="AD109" s="13">
        <f t="shared" si="105"/>
        <v>0</v>
      </c>
      <c r="AE109" s="13">
        <f t="shared" si="105"/>
        <v>0</v>
      </c>
      <c r="AF109" s="13">
        <f t="shared" si="105"/>
        <v>0</v>
      </c>
      <c r="AG109" s="13">
        <f t="shared" si="100"/>
        <v>0</v>
      </c>
      <c r="AH109" s="13">
        <f t="shared" si="101"/>
        <v>0</v>
      </c>
      <c r="AI109" s="13">
        <f t="shared" si="102"/>
        <v>0</v>
      </c>
      <c r="AJ109" s="13">
        <f t="shared" si="103"/>
        <v>0</v>
      </c>
      <c r="AK109" s="13">
        <f t="shared" si="103"/>
        <v>0</v>
      </c>
      <c r="AL109" s="13">
        <f t="shared" si="103"/>
        <v>0</v>
      </c>
      <c r="AM109" s="13">
        <f t="shared" si="104"/>
        <v>0</v>
      </c>
      <c r="AN109" s="13">
        <f t="shared" si="135"/>
        <v>0</v>
      </c>
      <c r="AO109" s="13">
        <f t="shared" si="136"/>
        <v>0</v>
      </c>
      <c r="AP109" s="13">
        <f t="shared" si="137"/>
        <v>0</v>
      </c>
      <c r="AQ109" s="13">
        <f t="shared" si="99"/>
        <v>0</v>
      </c>
      <c r="AR109" s="13">
        <f t="shared" si="87"/>
        <v>0</v>
      </c>
      <c r="AS109" s="13">
        <f t="shared" si="88"/>
        <v>0</v>
      </c>
      <c r="AT109" s="13">
        <f t="shared" si="89"/>
        <v>0</v>
      </c>
      <c r="AU109" s="13">
        <f t="shared" si="90"/>
        <v>0</v>
      </c>
      <c r="AV109" s="13">
        <f t="shared" si="91"/>
        <v>0</v>
      </c>
      <c r="AW109" s="13">
        <f t="shared" si="92"/>
        <v>0</v>
      </c>
      <c r="AX109" s="13">
        <f t="shared" si="93"/>
        <v>0</v>
      </c>
      <c r="AY109" s="13">
        <f t="shared" si="94"/>
        <v>0</v>
      </c>
      <c r="AZ109" s="13">
        <f t="shared" si="95"/>
        <v>0</v>
      </c>
      <c r="BA109" s="13">
        <f t="shared" si="122"/>
        <v>0</v>
      </c>
      <c r="BB109" s="13">
        <f t="shared" si="123"/>
        <v>0</v>
      </c>
    </row>
    <row r="110" spans="1:54">
      <c r="A110">
        <f>data0!A108</f>
        <v>830</v>
      </c>
      <c r="B110">
        <v>0</v>
      </c>
      <c r="C110" t="e">
        <f ca="1">(Calculations!C109-C$2)/C$1</f>
        <v>#DIV/0!</v>
      </c>
      <c r="D110" s="13" t="e">
        <f t="shared" ca="1" si="124"/>
        <v>#DIV/0!</v>
      </c>
      <c r="E110" s="13" t="e">
        <f t="shared" ca="1" si="125"/>
        <v>#DIV/0!</v>
      </c>
      <c r="F110" s="13" t="e">
        <f t="shared" ca="1" si="126"/>
        <v>#DIV/0!</v>
      </c>
      <c r="G110" s="13" t="e">
        <f t="shared" ca="1" si="127"/>
        <v>#DIV/0!</v>
      </c>
      <c r="H110" s="13" t="e">
        <f t="shared" ca="1" si="128"/>
        <v>#DIV/0!</v>
      </c>
      <c r="I110" s="13" t="e">
        <f t="shared" ca="1" si="129"/>
        <v>#DIV/0!</v>
      </c>
      <c r="J110" s="13" t="e">
        <f t="shared" ca="1" si="130"/>
        <v>#DIV/0!</v>
      </c>
      <c r="K110" s="13" t="e">
        <f t="shared" ca="1" si="83"/>
        <v>#DIV/0!</v>
      </c>
      <c r="L110" s="13" t="e">
        <f t="shared" ca="1" si="84"/>
        <v>#DIV/0!</v>
      </c>
      <c r="M110" s="13" t="e">
        <f t="shared" ca="1" si="131"/>
        <v>#DIV/0!</v>
      </c>
      <c r="N110" s="13" t="e">
        <f t="shared" ca="1" si="132"/>
        <v>#DIV/0!</v>
      </c>
      <c r="O110" s="13" t="e">
        <f t="shared" ca="1" si="133"/>
        <v>#DIV/0!</v>
      </c>
      <c r="P110" s="13" t="e">
        <f t="shared" ca="1" si="134"/>
        <v>#DIV/0!</v>
      </c>
      <c r="Q110" s="13">
        <f t="shared" si="120"/>
        <v>9095357946.3322906</v>
      </c>
      <c r="R110" s="13">
        <f t="shared" si="120"/>
        <v>163534359525.5192</v>
      </c>
      <c r="S110" s="13">
        <f t="shared" si="120"/>
        <v>926379099517.3877</v>
      </c>
      <c r="T110" s="13">
        <f t="shared" si="120"/>
        <v>2948484131792.4038</v>
      </c>
      <c r="U110" s="13">
        <f t="shared" si="120"/>
        <v>6758069782564.4209</v>
      </c>
      <c r="V110" s="13">
        <f t="shared" si="120"/>
        <v>12628381048667.461</v>
      </c>
      <c r="W110" s="13">
        <f t="shared" si="120"/>
        <v>20608827994454.316</v>
      </c>
      <c r="X110" s="13">
        <f t="shared" si="120"/>
        <v>30605503877819.117</v>
      </c>
      <c r="Y110" s="54">
        <f t="shared" si="120"/>
        <v>35718688188327.805</v>
      </c>
      <c r="Z110" s="13">
        <f t="shared" si="120"/>
        <v>42451524667389.141</v>
      </c>
      <c r="AA110" s="13">
        <f t="shared" si="120"/>
        <v>55953554176415.5</v>
      </c>
      <c r="AB110" s="13">
        <f t="shared" si="121"/>
        <v>70918247600121.328</v>
      </c>
      <c r="AC110" s="13">
        <f t="shared" si="98"/>
        <v>0</v>
      </c>
      <c r="AD110" s="13">
        <f t="shared" si="105"/>
        <v>0</v>
      </c>
      <c r="AE110" s="13">
        <f t="shared" si="105"/>
        <v>0</v>
      </c>
      <c r="AF110" s="13">
        <f t="shared" si="105"/>
        <v>0</v>
      </c>
      <c r="AG110" s="13">
        <f t="shared" si="100"/>
        <v>0</v>
      </c>
      <c r="AH110" s="13">
        <f t="shared" si="101"/>
        <v>0</v>
      </c>
      <c r="AI110" s="13">
        <f t="shared" si="102"/>
        <v>0</v>
      </c>
      <c r="AJ110" s="13">
        <f t="shared" si="103"/>
        <v>0</v>
      </c>
      <c r="AK110" s="13">
        <f t="shared" si="103"/>
        <v>0</v>
      </c>
      <c r="AL110" s="13">
        <f t="shared" si="103"/>
        <v>0</v>
      </c>
      <c r="AM110" s="13">
        <f t="shared" si="104"/>
        <v>0</v>
      </c>
      <c r="AN110" s="13">
        <f t="shared" si="135"/>
        <v>0</v>
      </c>
      <c r="AO110" s="13">
        <f t="shared" si="136"/>
        <v>0</v>
      </c>
      <c r="AP110" s="13">
        <f t="shared" si="137"/>
        <v>0</v>
      </c>
      <c r="AQ110" s="13">
        <f t="shared" si="99"/>
        <v>0</v>
      </c>
      <c r="AR110" s="13">
        <f t="shared" si="87"/>
        <v>0</v>
      </c>
      <c r="AS110" s="13">
        <f t="shared" si="88"/>
        <v>0</v>
      </c>
      <c r="AT110" s="13">
        <f t="shared" si="89"/>
        <v>0</v>
      </c>
      <c r="AU110" s="13">
        <f t="shared" si="90"/>
        <v>0</v>
      </c>
      <c r="AV110" s="13">
        <f t="shared" si="91"/>
        <v>0</v>
      </c>
      <c r="AW110" s="13">
        <f t="shared" si="92"/>
        <v>0</v>
      </c>
      <c r="AX110" s="13">
        <f t="shared" si="93"/>
        <v>0</v>
      </c>
      <c r="AY110" s="13">
        <f t="shared" si="94"/>
        <v>0</v>
      </c>
      <c r="AZ110" s="13">
        <f t="shared" si="95"/>
        <v>0</v>
      </c>
      <c r="BA110" s="13">
        <f t="shared" si="122"/>
        <v>0</v>
      </c>
      <c r="BB110" s="13">
        <f t="shared" si="123"/>
        <v>0</v>
      </c>
    </row>
    <row r="111" spans="1:54">
      <c r="A111">
        <f>data0!A109</f>
        <v>835</v>
      </c>
      <c r="B111">
        <v>0</v>
      </c>
      <c r="C111" t="e">
        <f ca="1">(Calculations!C110-C$2)/C$1</f>
        <v>#DIV/0!</v>
      </c>
      <c r="D111" s="13" t="e">
        <f t="shared" ca="1" si="124"/>
        <v>#DIV/0!</v>
      </c>
      <c r="E111" s="13" t="e">
        <f t="shared" ca="1" si="125"/>
        <v>#DIV/0!</v>
      </c>
      <c r="F111" s="13" t="e">
        <f t="shared" ca="1" si="126"/>
        <v>#DIV/0!</v>
      </c>
      <c r="G111" s="13" t="e">
        <f t="shared" ca="1" si="127"/>
        <v>#DIV/0!</v>
      </c>
      <c r="H111" s="13" t="e">
        <f t="shared" ca="1" si="128"/>
        <v>#DIV/0!</v>
      </c>
      <c r="I111" s="13" t="e">
        <f t="shared" ca="1" si="129"/>
        <v>#DIV/0!</v>
      </c>
      <c r="J111" s="13" t="e">
        <f t="shared" ca="1" si="130"/>
        <v>#DIV/0!</v>
      </c>
      <c r="K111" s="13" t="e">
        <f t="shared" ca="1" si="83"/>
        <v>#DIV/0!</v>
      </c>
      <c r="L111" s="13" t="e">
        <f t="shared" ca="1" si="84"/>
        <v>#DIV/0!</v>
      </c>
      <c r="M111" s="13" t="e">
        <f t="shared" ca="1" si="131"/>
        <v>#DIV/0!</v>
      </c>
      <c r="N111" s="13" t="e">
        <f t="shared" ca="1" si="132"/>
        <v>#DIV/0!</v>
      </c>
      <c r="O111" s="13" t="e">
        <f t="shared" ca="1" si="133"/>
        <v>#DIV/0!</v>
      </c>
      <c r="P111" s="13" t="e">
        <f t="shared" ca="1" si="134"/>
        <v>#DIV/0!</v>
      </c>
      <c r="Q111" s="13">
        <f t="shared" si="120"/>
        <v>9458697104.1601219</v>
      </c>
      <c r="R111" s="13">
        <f t="shared" si="120"/>
        <v>167151753570.94644</v>
      </c>
      <c r="S111" s="13">
        <f t="shared" si="120"/>
        <v>937123162708.70825</v>
      </c>
      <c r="T111" s="13">
        <f t="shared" si="120"/>
        <v>2962312761598.6025</v>
      </c>
      <c r="U111" s="13">
        <f t="shared" si="120"/>
        <v>6756996402188.998</v>
      </c>
      <c r="V111" s="13">
        <f t="shared" si="120"/>
        <v>12581357425680.764</v>
      </c>
      <c r="W111" s="13">
        <f t="shared" si="120"/>
        <v>20476183375744.535</v>
      </c>
      <c r="X111" s="13">
        <f t="shared" si="120"/>
        <v>30343605182308.437</v>
      </c>
      <c r="Y111" s="54">
        <f t="shared" si="120"/>
        <v>35384174068342.008</v>
      </c>
      <c r="Z111" s="13">
        <f t="shared" si="120"/>
        <v>42016281213505.992</v>
      </c>
      <c r="AA111" s="13">
        <f t="shared" si="120"/>
        <v>55302616947466.656</v>
      </c>
      <c r="AB111" s="13">
        <f t="shared" si="121"/>
        <v>70012189376829.922</v>
      </c>
      <c r="AC111" s="13">
        <f t="shared" si="98"/>
        <v>0</v>
      </c>
      <c r="AD111" s="13">
        <f t="shared" si="105"/>
        <v>0</v>
      </c>
      <c r="AE111" s="13">
        <f t="shared" si="105"/>
        <v>0</v>
      </c>
      <c r="AF111" s="13">
        <f t="shared" si="105"/>
        <v>0</v>
      </c>
      <c r="AG111" s="13">
        <f t="shared" si="105"/>
        <v>0</v>
      </c>
      <c r="AH111" s="13">
        <f t="shared" si="105"/>
        <v>0</v>
      </c>
      <c r="AI111" s="13">
        <f t="shared" si="105"/>
        <v>0</v>
      </c>
      <c r="AJ111" s="13">
        <f t="shared" si="105"/>
        <v>0</v>
      </c>
      <c r="AK111" s="13">
        <f t="shared" si="105"/>
        <v>0</v>
      </c>
      <c r="AL111" s="13">
        <f t="shared" ref="AL111:AL163" si="138">$B111*Y111</f>
        <v>0</v>
      </c>
      <c r="AM111" s="13">
        <f t="shared" ref="AM111:AM142" si="139">$B111*Z111</f>
        <v>0</v>
      </c>
      <c r="AN111" s="13">
        <f t="shared" si="135"/>
        <v>0</v>
      </c>
      <c r="AO111" s="13">
        <f t="shared" si="136"/>
        <v>0</v>
      </c>
      <c r="AP111" s="13">
        <f t="shared" si="137"/>
        <v>0</v>
      </c>
      <c r="AQ111" s="13">
        <f t="shared" si="99"/>
        <v>0</v>
      </c>
      <c r="AR111" s="13">
        <f t="shared" si="87"/>
        <v>0</v>
      </c>
      <c r="AS111" s="13">
        <f t="shared" si="88"/>
        <v>0</v>
      </c>
      <c r="AT111" s="13">
        <f t="shared" si="89"/>
        <v>0</v>
      </c>
      <c r="AU111" s="13">
        <f t="shared" si="90"/>
        <v>0</v>
      </c>
      <c r="AV111" s="13">
        <f t="shared" si="91"/>
        <v>0</v>
      </c>
      <c r="AW111" s="13">
        <f t="shared" si="92"/>
        <v>0</v>
      </c>
      <c r="AX111" s="13">
        <f t="shared" si="93"/>
        <v>0</v>
      </c>
      <c r="AY111" s="13">
        <f t="shared" si="94"/>
        <v>0</v>
      </c>
      <c r="AZ111" s="13">
        <f t="shared" si="95"/>
        <v>0</v>
      </c>
      <c r="BA111" s="13">
        <f t="shared" si="122"/>
        <v>0</v>
      </c>
      <c r="BB111" s="13">
        <f t="shared" si="123"/>
        <v>0</v>
      </c>
    </row>
    <row r="112" spans="1:54">
      <c r="A112">
        <f>data0!A110</f>
        <v>840</v>
      </c>
      <c r="B112">
        <v>0</v>
      </c>
      <c r="C112" t="e">
        <f ca="1">(Calculations!C111-C$2)/C$1</f>
        <v>#DIV/0!</v>
      </c>
      <c r="D112" s="13" t="e">
        <f t="shared" ca="1" si="124"/>
        <v>#DIV/0!</v>
      </c>
      <c r="E112" s="13" t="e">
        <f t="shared" ca="1" si="125"/>
        <v>#DIV/0!</v>
      </c>
      <c r="F112" s="13" t="e">
        <f t="shared" ca="1" si="126"/>
        <v>#DIV/0!</v>
      </c>
      <c r="G112" s="13" t="e">
        <f t="shared" ca="1" si="127"/>
        <v>#DIV/0!</v>
      </c>
      <c r="H112" s="13" t="e">
        <f t="shared" ca="1" si="128"/>
        <v>#DIV/0!</v>
      </c>
      <c r="I112" s="13" t="e">
        <f t="shared" ca="1" si="129"/>
        <v>#DIV/0!</v>
      </c>
      <c r="J112" s="13" t="e">
        <f t="shared" ca="1" si="130"/>
        <v>#DIV/0!</v>
      </c>
      <c r="K112" s="13" t="e">
        <f t="shared" ca="1" si="83"/>
        <v>#DIV/0!</v>
      </c>
      <c r="L112" s="13" t="e">
        <f t="shared" ca="1" si="84"/>
        <v>#DIV/0!</v>
      </c>
      <c r="M112" s="13" t="e">
        <f t="shared" ca="1" si="131"/>
        <v>#DIV/0!</v>
      </c>
      <c r="N112" s="13" t="e">
        <f t="shared" ca="1" si="132"/>
        <v>#DIV/0!</v>
      </c>
      <c r="O112" s="13" t="e">
        <f t="shared" ca="1" si="133"/>
        <v>#DIV/0!</v>
      </c>
      <c r="P112" s="13" t="e">
        <f t="shared" ca="1" si="134"/>
        <v>#DIV/0!</v>
      </c>
      <c r="Q112" s="13">
        <f t="shared" si="120"/>
        <v>9830213399.0955544</v>
      </c>
      <c r="R112" s="13">
        <f t="shared" si="120"/>
        <v>170774314920.23752</v>
      </c>
      <c r="S112" s="13">
        <f t="shared" si="120"/>
        <v>947694430942.0304</v>
      </c>
      <c r="T112" s="13">
        <f t="shared" si="120"/>
        <v>2975521415760.6143</v>
      </c>
      <c r="U112" s="13">
        <f t="shared" si="120"/>
        <v>6754775144086.6377</v>
      </c>
      <c r="V112" s="13">
        <f t="shared" si="120"/>
        <v>12532946521578.521</v>
      </c>
      <c r="W112" s="13">
        <f t="shared" si="120"/>
        <v>20342572163036.949</v>
      </c>
      <c r="X112" s="13">
        <f t="shared" si="120"/>
        <v>30082097100551.125</v>
      </c>
      <c r="Y112" s="54">
        <f t="shared" si="120"/>
        <v>35051013876448.437</v>
      </c>
      <c r="Z112" s="13">
        <f t="shared" si="120"/>
        <v>41583884283895.922</v>
      </c>
      <c r="AA112" s="13">
        <f t="shared" si="120"/>
        <v>54658147390833.102</v>
      </c>
      <c r="AB112" s="13">
        <f t="shared" si="121"/>
        <v>69117384128651.477</v>
      </c>
      <c r="AC112" s="13">
        <f t="shared" si="98"/>
        <v>0</v>
      </c>
      <c r="AD112" s="13">
        <f t="shared" si="105"/>
        <v>0</v>
      </c>
      <c r="AE112" s="13">
        <f t="shared" si="105"/>
        <v>0</v>
      </c>
      <c r="AF112" s="13">
        <f t="shared" si="105"/>
        <v>0</v>
      </c>
      <c r="AG112" s="13">
        <f t="shared" si="105"/>
        <v>0</v>
      </c>
      <c r="AH112" s="13">
        <f t="shared" si="105"/>
        <v>0</v>
      </c>
      <c r="AI112" s="13">
        <f t="shared" si="105"/>
        <v>0</v>
      </c>
      <c r="AJ112" s="13">
        <f t="shared" si="105"/>
        <v>0</v>
      </c>
      <c r="AK112" s="13">
        <f t="shared" si="105"/>
        <v>0</v>
      </c>
      <c r="AL112" s="13">
        <f t="shared" si="138"/>
        <v>0</v>
      </c>
      <c r="AM112" s="13">
        <f t="shared" si="139"/>
        <v>0</v>
      </c>
      <c r="AN112" s="13">
        <f t="shared" si="135"/>
        <v>0</v>
      </c>
      <c r="AO112" s="13">
        <f t="shared" si="136"/>
        <v>0</v>
      </c>
      <c r="AP112" s="13">
        <f t="shared" si="137"/>
        <v>0</v>
      </c>
      <c r="AQ112" s="13">
        <f t="shared" si="99"/>
        <v>0</v>
      </c>
      <c r="AR112" s="13">
        <f t="shared" si="87"/>
        <v>0</v>
      </c>
      <c r="AS112" s="13">
        <f t="shared" si="88"/>
        <v>0</v>
      </c>
      <c r="AT112" s="13">
        <f t="shared" si="89"/>
        <v>0</v>
      </c>
      <c r="AU112" s="13">
        <f t="shared" si="90"/>
        <v>0</v>
      </c>
      <c r="AV112" s="13">
        <f t="shared" si="91"/>
        <v>0</v>
      </c>
      <c r="AW112" s="13">
        <f t="shared" si="92"/>
        <v>0</v>
      </c>
      <c r="AX112" s="13">
        <f t="shared" si="93"/>
        <v>0</v>
      </c>
      <c r="AY112" s="13">
        <f t="shared" si="94"/>
        <v>0</v>
      </c>
      <c r="AZ112" s="13">
        <f t="shared" si="95"/>
        <v>0</v>
      </c>
      <c r="BA112" s="13">
        <f t="shared" si="122"/>
        <v>0</v>
      </c>
      <c r="BB112" s="13">
        <f t="shared" si="123"/>
        <v>0</v>
      </c>
    </row>
    <row r="113" spans="1:54">
      <c r="A113">
        <f>data0!A111</f>
        <v>845</v>
      </c>
      <c r="B113">
        <v>0</v>
      </c>
      <c r="C113" t="e">
        <f ca="1">(Calculations!C112-C$2)/C$1</f>
        <v>#DIV/0!</v>
      </c>
      <c r="D113" s="13" t="e">
        <f t="shared" ca="1" si="124"/>
        <v>#DIV/0!</v>
      </c>
      <c r="E113" s="13" t="e">
        <f t="shared" ca="1" si="125"/>
        <v>#DIV/0!</v>
      </c>
      <c r="F113" s="13" t="e">
        <f t="shared" ca="1" si="126"/>
        <v>#DIV/0!</v>
      </c>
      <c r="G113" s="13" t="e">
        <f t="shared" ca="1" si="127"/>
        <v>#DIV/0!</v>
      </c>
      <c r="H113" s="13" t="e">
        <f t="shared" ca="1" si="128"/>
        <v>#DIV/0!</v>
      </c>
      <c r="I113" s="13" t="e">
        <f t="shared" ca="1" si="129"/>
        <v>#DIV/0!</v>
      </c>
      <c r="J113" s="13" t="e">
        <f t="shared" ca="1" si="130"/>
        <v>#DIV/0!</v>
      </c>
      <c r="K113" s="13" t="e">
        <f t="shared" ca="1" si="83"/>
        <v>#DIV/0!</v>
      </c>
      <c r="L113" s="13" t="e">
        <f t="shared" ca="1" si="84"/>
        <v>#DIV/0!</v>
      </c>
      <c r="M113" s="13" t="e">
        <f t="shared" ca="1" si="131"/>
        <v>#DIV/0!</v>
      </c>
      <c r="N113" s="13" t="e">
        <f t="shared" ca="1" si="132"/>
        <v>#DIV/0!</v>
      </c>
      <c r="O113" s="13" t="e">
        <f t="shared" ca="1" si="133"/>
        <v>#DIV/0!</v>
      </c>
      <c r="P113" s="13" t="e">
        <f t="shared" ca="1" si="134"/>
        <v>#DIV/0!</v>
      </c>
      <c r="Q113" s="13">
        <f t="shared" si="120"/>
        <v>10209867489.153191</v>
      </c>
      <c r="R113" s="13">
        <f t="shared" si="120"/>
        <v>174400490386.38022</v>
      </c>
      <c r="S113" s="13">
        <f t="shared" si="120"/>
        <v>958090670032.896</v>
      </c>
      <c r="T113" s="13">
        <f t="shared" si="120"/>
        <v>2988116782882.3662</v>
      </c>
      <c r="U113" s="13">
        <f t="shared" si="120"/>
        <v>6751435137212.0625</v>
      </c>
      <c r="V113" s="13">
        <f t="shared" si="120"/>
        <v>12483207468814.84</v>
      </c>
      <c r="W113" s="13">
        <f t="shared" si="120"/>
        <v>20208079316337.914</v>
      </c>
      <c r="X113" s="13">
        <f t="shared" si="120"/>
        <v>29821074006166.246</v>
      </c>
      <c r="Y113" s="54">
        <f t="shared" si="120"/>
        <v>34719298142711.328</v>
      </c>
      <c r="Z113" s="13">
        <f t="shared" si="120"/>
        <v>41154411478236.742</v>
      </c>
      <c r="AA113" s="13">
        <f t="shared" si="120"/>
        <v>54020173653895.555</v>
      </c>
      <c r="AB113" s="13">
        <f t="shared" si="121"/>
        <v>68233774353655.344</v>
      </c>
      <c r="AC113" s="13">
        <f t="shared" si="98"/>
        <v>0</v>
      </c>
      <c r="AD113" s="13">
        <f t="shared" si="105"/>
        <v>0</v>
      </c>
      <c r="AE113" s="13">
        <f t="shared" si="105"/>
        <v>0</v>
      </c>
      <c r="AF113" s="13">
        <f t="shared" si="105"/>
        <v>0</v>
      </c>
      <c r="AG113" s="13">
        <f t="shared" si="105"/>
        <v>0</v>
      </c>
      <c r="AH113" s="13">
        <f t="shared" si="105"/>
        <v>0</v>
      </c>
      <c r="AI113" s="13">
        <f t="shared" si="105"/>
        <v>0</v>
      </c>
      <c r="AJ113" s="13">
        <f t="shared" si="105"/>
        <v>0</v>
      </c>
      <c r="AK113" s="13">
        <f t="shared" si="105"/>
        <v>0</v>
      </c>
      <c r="AL113" s="13">
        <f t="shared" si="138"/>
        <v>0</v>
      </c>
      <c r="AM113" s="13">
        <f t="shared" si="139"/>
        <v>0</v>
      </c>
      <c r="AN113" s="13">
        <f t="shared" si="135"/>
        <v>0</v>
      </c>
      <c r="AO113" s="13">
        <f t="shared" si="136"/>
        <v>0</v>
      </c>
      <c r="AP113" s="13">
        <f t="shared" si="137"/>
        <v>0</v>
      </c>
      <c r="AQ113" s="13">
        <f t="shared" si="99"/>
        <v>0</v>
      </c>
      <c r="AR113" s="13">
        <f t="shared" si="87"/>
        <v>0</v>
      </c>
      <c r="AS113" s="13">
        <f t="shared" si="88"/>
        <v>0</v>
      </c>
      <c r="AT113" s="13">
        <f t="shared" si="89"/>
        <v>0</v>
      </c>
      <c r="AU113" s="13">
        <f t="shared" si="90"/>
        <v>0</v>
      </c>
      <c r="AV113" s="13">
        <f t="shared" si="91"/>
        <v>0</v>
      </c>
      <c r="AW113" s="13">
        <f t="shared" si="92"/>
        <v>0</v>
      </c>
      <c r="AX113" s="13">
        <f t="shared" si="93"/>
        <v>0</v>
      </c>
      <c r="AY113" s="13">
        <f t="shared" si="94"/>
        <v>0</v>
      </c>
      <c r="AZ113" s="13">
        <f t="shared" si="95"/>
        <v>0</v>
      </c>
      <c r="BA113" s="13">
        <f t="shared" si="122"/>
        <v>0</v>
      </c>
      <c r="BB113" s="13">
        <f t="shared" si="123"/>
        <v>0</v>
      </c>
    </row>
    <row r="114" spans="1:54">
      <c r="A114">
        <f>data0!A112</f>
        <v>850</v>
      </c>
      <c r="B114">
        <v>0</v>
      </c>
      <c r="C114" t="e">
        <f ca="1">(Calculations!C113-C$2)/C$1</f>
        <v>#DIV/0!</v>
      </c>
      <c r="D114" s="13" t="e">
        <f t="shared" ca="1" si="124"/>
        <v>#DIV/0!</v>
      </c>
      <c r="E114" s="13" t="e">
        <f t="shared" ca="1" si="125"/>
        <v>#DIV/0!</v>
      </c>
      <c r="F114" s="13" t="e">
        <f t="shared" ca="1" si="126"/>
        <v>#DIV/0!</v>
      </c>
      <c r="G114" s="13" t="e">
        <f t="shared" ca="1" si="127"/>
        <v>#DIV/0!</v>
      </c>
      <c r="H114" s="13" t="e">
        <f t="shared" ca="1" si="128"/>
        <v>#DIV/0!</v>
      </c>
      <c r="I114" s="13" t="e">
        <f t="shared" ca="1" si="129"/>
        <v>#DIV/0!</v>
      </c>
      <c r="J114" s="13" t="e">
        <f t="shared" ca="1" si="130"/>
        <v>#DIV/0!</v>
      </c>
      <c r="K114" s="13" t="e">
        <f t="shared" ca="1" si="83"/>
        <v>#DIV/0!</v>
      </c>
      <c r="L114" s="13" t="e">
        <f t="shared" ca="1" si="84"/>
        <v>#DIV/0!</v>
      </c>
      <c r="M114" s="13" t="e">
        <f t="shared" ca="1" si="131"/>
        <v>#DIV/0!</v>
      </c>
      <c r="N114" s="13" t="e">
        <f t="shared" ca="1" si="132"/>
        <v>#DIV/0!</v>
      </c>
      <c r="O114" s="13" t="e">
        <f t="shared" ca="1" si="133"/>
        <v>#DIV/0!</v>
      </c>
      <c r="P114" s="13" t="e">
        <f t="shared" ca="1" si="134"/>
        <v>#DIV/0!</v>
      </c>
      <c r="Q114" s="13">
        <f t="shared" si="120"/>
        <v>10597613878.119793</v>
      </c>
      <c r="R114" s="13">
        <f t="shared" si="120"/>
        <v>178028746746.64081</v>
      </c>
      <c r="S114" s="13">
        <f t="shared" si="120"/>
        <v>968309830194.18835</v>
      </c>
      <c r="T114" s="13">
        <f t="shared" si="120"/>
        <v>3000105792374.5659</v>
      </c>
      <c r="U114" s="13">
        <f t="shared" si="120"/>
        <v>6747005274226.0977</v>
      </c>
      <c r="V114" s="13">
        <f t="shared" si="120"/>
        <v>12432198014033.541</v>
      </c>
      <c r="W114" s="13">
        <f t="shared" si="120"/>
        <v>20072786821030.055</v>
      </c>
      <c r="X114" s="13">
        <f t="shared" si="120"/>
        <v>29560625706357.355</v>
      </c>
      <c r="Y114" s="54">
        <f t="shared" si="120"/>
        <v>34389112238660.652</v>
      </c>
      <c r="Z114" s="13">
        <f t="shared" si="120"/>
        <v>40727934696754.531</v>
      </c>
      <c r="AA114" s="13">
        <f t="shared" si="120"/>
        <v>53388717896413.867</v>
      </c>
      <c r="AB114" s="13">
        <f t="shared" si="121"/>
        <v>67361297395948.953</v>
      </c>
      <c r="AC114" s="13">
        <f t="shared" si="98"/>
        <v>0</v>
      </c>
      <c r="AD114" s="13">
        <f t="shared" si="105"/>
        <v>0</v>
      </c>
      <c r="AE114" s="13">
        <f t="shared" si="105"/>
        <v>0</v>
      </c>
      <c r="AF114" s="13">
        <f t="shared" si="105"/>
        <v>0</v>
      </c>
      <c r="AG114" s="13">
        <f t="shared" si="105"/>
        <v>0</v>
      </c>
      <c r="AH114" s="13">
        <f t="shared" si="105"/>
        <v>0</v>
      </c>
      <c r="AI114" s="13">
        <f t="shared" si="105"/>
        <v>0</v>
      </c>
      <c r="AJ114" s="13">
        <f t="shared" si="105"/>
        <v>0</v>
      </c>
      <c r="AK114" s="13">
        <f t="shared" si="105"/>
        <v>0</v>
      </c>
      <c r="AL114" s="13">
        <f t="shared" si="138"/>
        <v>0</v>
      </c>
      <c r="AM114" s="13">
        <f t="shared" si="139"/>
        <v>0</v>
      </c>
      <c r="AN114" s="13">
        <f t="shared" si="135"/>
        <v>0</v>
      </c>
      <c r="AO114" s="13">
        <f t="shared" si="136"/>
        <v>0</v>
      </c>
      <c r="AP114" s="13">
        <f t="shared" si="137"/>
        <v>0</v>
      </c>
      <c r="AQ114" s="13">
        <f t="shared" si="99"/>
        <v>0</v>
      </c>
      <c r="AR114" s="13">
        <f t="shared" si="87"/>
        <v>0</v>
      </c>
      <c r="AS114" s="13">
        <f t="shared" si="88"/>
        <v>0</v>
      </c>
      <c r="AT114" s="13">
        <f t="shared" si="89"/>
        <v>0</v>
      </c>
      <c r="AU114" s="13">
        <f t="shared" si="90"/>
        <v>0</v>
      </c>
      <c r="AV114" s="13">
        <f t="shared" si="91"/>
        <v>0</v>
      </c>
      <c r="AW114" s="13">
        <f t="shared" si="92"/>
        <v>0</v>
      </c>
      <c r="AX114" s="13">
        <f t="shared" si="93"/>
        <v>0</v>
      </c>
      <c r="AY114" s="13">
        <f t="shared" si="94"/>
        <v>0</v>
      </c>
      <c r="AZ114" s="13">
        <f t="shared" si="95"/>
        <v>0</v>
      </c>
      <c r="BA114" s="13">
        <f t="shared" si="122"/>
        <v>0</v>
      </c>
      <c r="BB114" s="13">
        <f t="shared" si="123"/>
        <v>0</v>
      </c>
    </row>
    <row r="115" spans="1:54">
      <c r="A115">
        <f>data0!A113</f>
        <v>855</v>
      </c>
      <c r="B115">
        <v>0</v>
      </c>
      <c r="C115" t="e">
        <f ca="1">(Calculations!C114-C$2)/C$1</f>
        <v>#DIV/0!</v>
      </c>
      <c r="D115" s="13" t="e">
        <f t="shared" ca="1" si="124"/>
        <v>#DIV/0!</v>
      </c>
      <c r="E115" s="13" t="e">
        <f t="shared" ca="1" si="125"/>
        <v>#DIV/0!</v>
      </c>
      <c r="F115" s="13" t="e">
        <f t="shared" ca="1" si="126"/>
        <v>#DIV/0!</v>
      </c>
      <c r="G115" s="13" t="e">
        <f t="shared" ca="1" si="127"/>
        <v>#DIV/0!</v>
      </c>
      <c r="H115" s="13" t="e">
        <f t="shared" ca="1" si="128"/>
        <v>#DIV/0!</v>
      </c>
      <c r="I115" s="13" t="e">
        <f t="shared" ca="1" si="129"/>
        <v>#DIV/0!</v>
      </c>
      <c r="J115" s="13" t="e">
        <f t="shared" ca="1" si="130"/>
        <v>#DIV/0!</v>
      </c>
      <c r="K115" s="13" t="e">
        <f t="shared" ca="1" si="83"/>
        <v>#DIV/0!</v>
      </c>
      <c r="L115" s="13" t="e">
        <f t="shared" ca="1" si="84"/>
        <v>#DIV/0!</v>
      </c>
      <c r="M115" s="13" t="e">
        <f t="shared" ca="1" si="131"/>
        <v>#DIV/0!</v>
      </c>
      <c r="N115" s="13" t="e">
        <f t="shared" ca="1" si="132"/>
        <v>#DIV/0!</v>
      </c>
      <c r="O115" s="13" t="e">
        <f t="shared" ca="1" si="133"/>
        <v>#DIV/0!</v>
      </c>
      <c r="P115" s="13" t="e">
        <f t="shared" ca="1" si="134"/>
        <v>#DIV/0!</v>
      </c>
      <c r="Q115" s="13">
        <f t="shared" si="120"/>
        <v>10993401025.575857</v>
      </c>
      <c r="R115" s="13">
        <f t="shared" si="120"/>
        <v>181657571931.30386</v>
      </c>
      <c r="S115" s="13">
        <f t="shared" si="120"/>
        <v>978350041641.35962</v>
      </c>
      <c r="T115" s="13">
        <f t="shared" si="120"/>
        <v>3011495596398.5547</v>
      </c>
      <c r="U115" s="13">
        <f t="shared" si="120"/>
        <v>6741514190621.6465</v>
      </c>
      <c r="V115" s="13">
        <f t="shared" si="120"/>
        <v>12379974525020.297</v>
      </c>
      <c r="W115" s="13">
        <f t="shared" si="120"/>
        <v>19936773757786.344</v>
      </c>
      <c r="X115" s="13">
        <f t="shared" si="120"/>
        <v>29300837599242.184</v>
      </c>
      <c r="Y115" s="54">
        <f t="shared" si="120"/>
        <v>34060536577094.621</v>
      </c>
      <c r="Z115" s="13">
        <f t="shared" si="120"/>
        <v>40304520390872.266</v>
      </c>
      <c r="AA115" s="13">
        <f t="shared" si="120"/>
        <v>52763796620695.937</v>
      </c>
      <c r="AB115" s="13">
        <f t="shared" si="121"/>
        <v>66499885824568.617</v>
      </c>
      <c r="AC115" s="13">
        <f t="shared" si="98"/>
        <v>0</v>
      </c>
      <c r="AD115" s="13">
        <f t="shared" si="105"/>
        <v>0</v>
      </c>
      <c r="AE115" s="13">
        <f t="shared" si="105"/>
        <v>0</v>
      </c>
      <c r="AF115" s="13">
        <f t="shared" si="105"/>
        <v>0</v>
      </c>
      <c r="AG115" s="13">
        <f t="shared" si="105"/>
        <v>0</v>
      </c>
      <c r="AH115" s="13">
        <f t="shared" si="105"/>
        <v>0</v>
      </c>
      <c r="AI115" s="13">
        <f t="shared" si="105"/>
        <v>0</v>
      </c>
      <c r="AJ115" s="13">
        <f t="shared" si="105"/>
        <v>0</v>
      </c>
      <c r="AK115" s="13">
        <f t="shared" si="105"/>
        <v>0</v>
      </c>
      <c r="AL115" s="13">
        <f t="shared" si="138"/>
        <v>0</v>
      </c>
      <c r="AM115" s="13">
        <f t="shared" si="139"/>
        <v>0</v>
      </c>
      <c r="AN115" s="13">
        <f t="shared" si="135"/>
        <v>0</v>
      </c>
      <c r="AO115" s="13">
        <f t="shared" si="136"/>
        <v>0</v>
      </c>
      <c r="AP115" s="13">
        <f t="shared" si="137"/>
        <v>0</v>
      </c>
      <c r="AQ115" s="13">
        <f t="shared" si="99"/>
        <v>0</v>
      </c>
      <c r="AR115" s="13">
        <f t="shared" si="87"/>
        <v>0</v>
      </c>
      <c r="AS115" s="13">
        <f t="shared" si="88"/>
        <v>0</v>
      </c>
      <c r="AT115" s="13">
        <f t="shared" si="89"/>
        <v>0</v>
      </c>
      <c r="AU115" s="13">
        <f t="shared" si="90"/>
        <v>0</v>
      </c>
      <c r="AV115" s="13">
        <f t="shared" si="91"/>
        <v>0</v>
      </c>
      <c r="AW115" s="13">
        <f t="shared" si="92"/>
        <v>0</v>
      </c>
      <c r="AX115" s="13">
        <f t="shared" si="93"/>
        <v>0</v>
      </c>
      <c r="AY115" s="13">
        <f t="shared" si="94"/>
        <v>0</v>
      </c>
      <c r="AZ115" s="13">
        <f t="shared" si="95"/>
        <v>0</v>
      </c>
      <c r="BA115" s="13">
        <f t="shared" si="122"/>
        <v>0</v>
      </c>
      <c r="BB115" s="13">
        <f t="shared" si="123"/>
        <v>0</v>
      </c>
    </row>
    <row r="116" spans="1:54">
      <c r="A116">
        <f>data0!A114</f>
        <v>860</v>
      </c>
      <c r="B116">
        <v>0</v>
      </c>
      <c r="C116" t="e">
        <f ca="1">(Calculations!C115-C$2)/C$1</f>
        <v>#DIV/0!</v>
      </c>
      <c r="D116" s="13" t="e">
        <f t="shared" ca="1" si="124"/>
        <v>#DIV/0!</v>
      </c>
      <c r="E116" s="13" t="e">
        <f t="shared" ca="1" si="125"/>
        <v>#DIV/0!</v>
      </c>
      <c r="F116" s="13" t="e">
        <f t="shared" ca="1" si="126"/>
        <v>#DIV/0!</v>
      </c>
      <c r="G116" s="13" t="e">
        <f t="shared" ca="1" si="127"/>
        <v>#DIV/0!</v>
      </c>
      <c r="H116" s="13" t="e">
        <f t="shared" ca="1" si="128"/>
        <v>#DIV/0!</v>
      </c>
      <c r="I116" s="13" t="e">
        <f t="shared" ca="1" si="129"/>
        <v>#DIV/0!</v>
      </c>
      <c r="J116" s="13" t="e">
        <f t="shared" ca="1" si="130"/>
        <v>#DIV/0!</v>
      </c>
      <c r="K116" s="13" t="e">
        <f t="shared" ca="1" si="83"/>
        <v>#DIV/0!</v>
      </c>
      <c r="L116" s="13" t="e">
        <f t="shared" ca="1" si="84"/>
        <v>#DIV/0!</v>
      </c>
      <c r="M116" s="13" t="e">
        <f t="shared" ca="1" si="131"/>
        <v>#DIV/0!</v>
      </c>
      <c r="N116" s="13" t="e">
        <f t="shared" ca="1" si="132"/>
        <v>#DIV/0!</v>
      </c>
      <c r="O116" s="13" t="e">
        <f t="shared" ca="1" si="133"/>
        <v>#DIV/0!</v>
      </c>
      <c r="P116" s="13" t="e">
        <f t="shared" ca="1" si="134"/>
        <v>#DIV/0!</v>
      </c>
      <c r="Q116" s="13">
        <f t="shared" ref="Q116:AA131" si="140">(3.7418E-16/POWER($A116*0.000000001,5))/(EXP(0.0143877/($A116*Q$3/1000000000))-1)</f>
        <v>11397171464.001455</v>
      </c>
      <c r="R116" s="13">
        <f t="shared" si="140"/>
        <v>185285476134.77444</v>
      </c>
      <c r="S116" s="13">
        <f t="shared" si="140"/>
        <v>988209610127.27222</v>
      </c>
      <c r="T116" s="13">
        <f t="shared" si="140"/>
        <v>3022293552441.3975</v>
      </c>
      <c r="U116" s="13">
        <f t="shared" si="140"/>
        <v>6734990245477.0322</v>
      </c>
      <c r="V116" s="13">
        <f t="shared" si="140"/>
        <v>12326591999357.814</v>
      </c>
      <c r="W116" s="13">
        <f t="shared" si="140"/>
        <v>19800116372422.437</v>
      </c>
      <c r="X116" s="13">
        <f t="shared" si="140"/>
        <v>29041790827395.695</v>
      </c>
      <c r="Y116" s="54">
        <f t="shared" si="140"/>
        <v>33733646805910.637</v>
      </c>
      <c r="Z116" s="13">
        <f t="shared" si="140"/>
        <v>39884229804939.266</v>
      </c>
      <c r="AA116" s="13">
        <f t="shared" si="140"/>
        <v>52145420987192.828</v>
      </c>
      <c r="AB116" s="13">
        <f t="shared" si="121"/>
        <v>65649467792559.992</v>
      </c>
      <c r="AC116" s="13">
        <f t="shared" si="98"/>
        <v>0</v>
      </c>
      <c r="AD116" s="13">
        <f t="shared" si="105"/>
        <v>0</v>
      </c>
      <c r="AE116" s="13">
        <f t="shared" si="105"/>
        <v>0</v>
      </c>
      <c r="AF116" s="13">
        <f t="shared" si="105"/>
        <v>0</v>
      </c>
      <c r="AG116" s="13">
        <f t="shared" si="105"/>
        <v>0</v>
      </c>
      <c r="AH116" s="13">
        <f t="shared" si="105"/>
        <v>0</v>
      </c>
      <c r="AI116" s="13">
        <f t="shared" si="105"/>
        <v>0</v>
      </c>
      <c r="AJ116" s="13">
        <f t="shared" si="105"/>
        <v>0</v>
      </c>
      <c r="AK116" s="13">
        <f t="shared" si="105"/>
        <v>0</v>
      </c>
      <c r="AL116" s="13">
        <f t="shared" si="138"/>
        <v>0</v>
      </c>
      <c r="AM116" s="13">
        <f t="shared" si="139"/>
        <v>0</v>
      </c>
      <c r="AN116" s="13">
        <f t="shared" si="135"/>
        <v>0</v>
      </c>
      <c r="AO116" s="13">
        <f t="shared" si="136"/>
        <v>0</v>
      </c>
      <c r="AP116" s="13">
        <f t="shared" si="137"/>
        <v>0</v>
      </c>
      <c r="AQ116" s="13">
        <f t="shared" si="99"/>
        <v>0</v>
      </c>
      <c r="AR116" s="13">
        <f t="shared" si="87"/>
        <v>0</v>
      </c>
      <c r="AS116" s="13">
        <f t="shared" si="88"/>
        <v>0</v>
      </c>
      <c r="AT116" s="13">
        <f t="shared" si="89"/>
        <v>0</v>
      </c>
      <c r="AU116" s="13">
        <f t="shared" si="90"/>
        <v>0</v>
      </c>
      <c r="AV116" s="13">
        <f t="shared" si="91"/>
        <v>0</v>
      </c>
      <c r="AW116" s="13">
        <f t="shared" si="92"/>
        <v>0</v>
      </c>
      <c r="AX116" s="13">
        <f t="shared" si="93"/>
        <v>0</v>
      </c>
      <c r="AY116" s="13">
        <f t="shared" si="94"/>
        <v>0</v>
      </c>
      <c r="AZ116" s="13">
        <f t="shared" si="95"/>
        <v>0</v>
      </c>
      <c r="BA116" s="13">
        <f t="shared" si="122"/>
        <v>0</v>
      </c>
      <c r="BB116" s="13">
        <f t="shared" si="123"/>
        <v>0</v>
      </c>
    </row>
    <row r="117" spans="1:54">
      <c r="A117">
        <f>data0!A115</f>
        <v>865</v>
      </c>
      <c r="B117">
        <v>0</v>
      </c>
      <c r="C117" t="e">
        <f ca="1">(Calculations!C116-C$2)/C$1</f>
        <v>#DIV/0!</v>
      </c>
      <c r="D117" s="13" t="e">
        <f t="shared" ca="1" si="124"/>
        <v>#DIV/0!</v>
      </c>
      <c r="E117" s="13" t="e">
        <f t="shared" ca="1" si="125"/>
        <v>#DIV/0!</v>
      </c>
      <c r="F117" s="13" t="e">
        <f t="shared" ca="1" si="126"/>
        <v>#DIV/0!</v>
      </c>
      <c r="G117" s="13" t="e">
        <f t="shared" ca="1" si="127"/>
        <v>#DIV/0!</v>
      </c>
      <c r="H117" s="13" t="e">
        <f t="shared" ca="1" si="128"/>
        <v>#DIV/0!</v>
      </c>
      <c r="I117" s="13" t="e">
        <f t="shared" ca="1" si="129"/>
        <v>#DIV/0!</v>
      </c>
      <c r="J117" s="13" t="e">
        <f t="shared" ca="1" si="130"/>
        <v>#DIV/0!</v>
      </c>
      <c r="K117" s="13" t="e">
        <f t="shared" ca="1" si="83"/>
        <v>#DIV/0!</v>
      </c>
      <c r="L117" s="13" t="e">
        <f t="shared" ca="1" si="84"/>
        <v>#DIV/0!</v>
      </c>
      <c r="M117" s="13" t="e">
        <f t="shared" ca="1" si="131"/>
        <v>#DIV/0!</v>
      </c>
      <c r="N117" s="13" t="e">
        <f t="shared" ca="1" si="132"/>
        <v>#DIV/0!</v>
      </c>
      <c r="O117" s="13" t="e">
        <f t="shared" ca="1" si="133"/>
        <v>#DIV/0!</v>
      </c>
      <c r="P117" s="13" t="e">
        <f t="shared" ca="1" si="134"/>
        <v>#DIV/0!</v>
      </c>
      <c r="Q117" s="13">
        <f t="shared" si="140"/>
        <v>11808861922.491858</v>
      </c>
      <c r="R117" s="13">
        <f t="shared" si="140"/>
        <v>188910992850.57336</v>
      </c>
      <c r="S117" s="13">
        <f t="shared" si="140"/>
        <v>997887012419.84985</v>
      </c>
      <c r="T117" s="13">
        <f t="shared" si="140"/>
        <v>3032507206516.6348</v>
      </c>
      <c r="U117" s="13">
        <f t="shared" si="140"/>
        <v>6727461503762.4297</v>
      </c>
      <c r="V117" s="13">
        <f t="shared" si="140"/>
        <v>12272104074641.537</v>
      </c>
      <c r="W117" s="13">
        <f t="shared" si="140"/>
        <v>19662888145548.664</v>
      </c>
      <c r="X117" s="13">
        <f t="shared" si="140"/>
        <v>28783562427588.406</v>
      </c>
      <c r="Y117" s="54">
        <f t="shared" si="140"/>
        <v>33408513996040.98</v>
      </c>
      <c r="Z117" s="13">
        <f t="shared" si="140"/>
        <v>39467119209260.562</v>
      </c>
      <c r="AA117" s="13">
        <f t="shared" si="140"/>
        <v>51533597116063.625</v>
      </c>
      <c r="AB117" s="13">
        <f t="shared" si="121"/>
        <v>64809967377154.602</v>
      </c>
      <c r="AC117" s="13">
        <f t="shared" si="98"/>
        <v>0</v>
      </c>
      <c r="AD117" s="13">
        <f t="shared" si="105"/>
        <v>0</v>
      </c>
      <c r="AE117" s="13">
        <f t="shared" si="105"/>
        <v>0</v>
      </c>
      <c r="AF117" s="13">
        <f t="shared" si="105"/>
        <v>0</v>
      </c>
      <c r="AG117" s="13">
        <f t="shared" si="105"/>
        <v>0</v>
      </c>
      <c r="AH117" s="13">
        <f t="shared" si="105"/>
        <v>0</v>
      </c>
      <c r="AI117" s="13">
        <f t="shared" si="105"/>
        <v>0</v>
      </c>
      <c r="AJ117" s="13">
        <f t="shared" si="105"/>
        <v>0</v>
      </c>
      <c r="AK117" s="13">
        <f t="shared" si="105"/>
        <v>0</v>
      </c>
      <c r="AL117" s="13">
        <f t="shared" si="138"/>
        <v>0</v>
      </c>
      <c r="AM117" s="13">
        <f t="shared" si="139"/>
        <v>0</v>
      </c>
      <c r="AN117" s="13">
        <f t="shared" si="135"/>
        <v>0</v>
      </c>
      <c r="AO117" s="13">
        <f t="shared" si="136"/>
        <v>0</v>
      </c>
      <c r="AP117" s="13">
        <f t="shared" si="137"/>
        <v>0</v>
      </c>
      <c r="AQ117" s="13">
        <f t="shared" si="99"/>
        <v>0</v>
      </c>
      <c r="AR117" s="13">
        <f t="shared" si="87"/>
        <v>0</v>
      </c>
      <c r="AS117" s="13">
        <f t="shared" si="88"/>
        <v>0</v>
      </c>
      <c r="AT117" s="13">
        <f t="shared" si="89"/>
        <v>0</v>
      </c>
      <c r="AU117" s="13">
        <f t="shared" si="90"/>
        <v>0</v>
      </c>
      <c r="AV117" s="13">
        <f t="shared" si="91"/>
        <v>0</v>
      </c>
      <c r="AW117" s="13">
        <f t="shared" si="92"/>
        <v>0</v>
      </c>
      <c r="AX117" s="13">
        <f t="shared" si="93"/>
        <v>0</v>
      </c>
      <c r="AY117" s="13">
        <f t="shared" si="94"/>
        <v>0</v>
      </c>
      <c r="AZ117" s="13">
        <f t="shared" si="95"/>
        <v>0</v>
      </c>
      <c r="BA117" s="13">
        <f t="shared" si="122"/>
        <v>0</v>
      </c>
      <c r="BB117" s="13">
        <f t="shared" si="123"/>
        <v>0</v>
      </c>
    </row>
    <row r="118" spans="1:54">
      <c r="A118">
        <f>data0!A116</f>
        <v>870</v>
      </c>
      <c r="B118">
        <v>0</v>
      </c>
      <c r="C118" t="e">
        <f ca="1">(Calculations!C117-C$2)/C$1</f>
        <v>#DIV/0!</v>
      </c>
      <c r="D118" s="13" t="e">
        <f t="shared" ca="1" si="124"/>
        <v>#DIV/0!</v>
      </c>
      <c r="E118" s="13" t="e">
        <f t="shared" ca="1" si="125"/>
        <v>#DIV/0!</v>
      </c>
      <c r="F118" s="13" t="e">
        <f t="shared" ca="1" si="126"/>
        <v>#DIV/0!</v>
      </c>
      <c r="G118" s="13" t="e">
        <f t="shared" ca="1" si="127"/>
        <v>#DIV/0!</v>
      </c>
      <c r="H118" s="13" t="e">
        <f t="shared" ca="1" si="128"/>
        <v>#DIV/0!</v>
      </c>
      <c r="I118" s="13" t="e">
        <f t="shared" ca="1" si="129"/>
        <v>#DIV/0!</v>
      </c>
      <c r="J118" s="13" t="e">
        <f t="shared" ca="1" si="130"/>
        <v>#DIV/0!</v>
      </c>
      <c r="K118" s="13" t="e">
        <f t="shared" ca="1" si="83"/>
        <v>#DIV/0!</v>
      </c>
      <c r="L118" s="13" t="e">
        <f t="shared" ca="1" si="84"/>
        <v>#DIV/0!</v>
      </c>
      <c r="M118" s="13" t="e">
        <f t="shared" ca="1" si="131"/>
        <v>#DIV/0!</v>
      </c>
      <c r="N118" s="13" t="e">
        <f t="shared" ca="1" si="132"/>
        <v>#DIV/0!</v>
      </c>
      <c r="O118" s="13" t="e">
        <f t="shared" ca="1" si="133"/>
        <v>#DIV/0!</v>
      </c>
      <c r="P118" s="13" t="e">
        <f t="shared" ca="1" si="134"/>
        <v>#DIV/0!</v>
      </c>
      <c r="Q118" s="13">
        <f t="shared" si="140"/>
        <v>12228403456.613226</v>
      </c>
      <c r="R118" s="13">
        <f t="shared" si="140"/>
        <v>192532679831.86465</v>
      </c>
      <c r="S118" s="13">
        <f t="shared" si="140"/>
        <v>1007380891735.0482</v>
      </c>
      <c r="T118" s="13">
        <f t="shared" si="140"/>
        <v>3042144276984.1445</v>
      </c>
      <c r="U118" s="13">
        <f t="shared" si="140"/>
        <v>6718955720127.46</v>
      </c>
      <c r="V118" s="13">
        <f t="shared" si="140"/>
        <v>12216563040121.43</v>
      </c>
      <c r="W118" s="13">
        <f t="shared" si="140"/>
        <v>19525159861896.594</v>
      </c>
      <c r="X118" s="13">
        <f t="shared" si="140"/>
        <v>28526225476715.137</v>
      </c>
      <c r="Y118" s="54">
        <f t="shared" si="140"/>
        <v>33085204823579.121</v>
      </c>
      <c r="Z118" s="13">
        <f t="shared" si="140"/>
        <v>39053240124651.016</v>
      </c>
      <c r="AA118" s="13">
        <f t="shared" si="140"/>
        <v>50928326375241.633</v>
      </c>
      <c r="AB118" s="13">
        <f t="shared" si="121"/>
        <v>63981304901914.836</v>
      </c>
      <c r="AC118" s="13">
        <f t="shared" si="98"/>
        <v>0</v>
      </c>
      <c r="AD118" s="13">
        <f t="shared" si="105"/>
        <v>0</v>
      </c>
      <c r="AE118" s="13">
        <f t="shared" si="105"/>
        <v>0</v>
      </c>
      <c r="AF118" s="13">
        <f t="shared" si="105"/>
        <v>0</v>
      </c>
      <c r="AG118" s="13">
        <f t="shared" si="105"/>
        <v>0</v>
      </c>
      <c r="AH118" s="13">
        <f t="shared" si="105"/>
        <v>0</v>
      </c>
      <c r="AI118" s="13">
        <f t="shared" si="105"/>
        <v>0</v>
      </c>
      <c r="AJ118" s="13">
        <f t="shared" si="105"/>
        <v>0</v>
      </c>
      <c r="AK118" s="13">
        <f t="shared" si="105"/>
        <v>0</v>
      </c>
      <c r="AL118" s="13">
        <f t="shared" si="138"/>
        <v>0</v>
      </c>
      <c r="AM118" s="13">
        <f t="shared" si="139"/>
        <v>0</v>
      </c>
      <c r="AN118" s="13">
        <f t="shared" si="135"/>
        <v>0</v>
      </c>
      <c r="AO118" s="13">
        <f t="shared" si="136"/>
        <v>0</v>
      </c>
      <c r="AP118" s="13">
        <f t="shared" si="137"/>
        <v>0</v>
      </c>
      <c r="AQ118" s="13">
        <f t="shared" si="99"/>
        <v>0</v>
      </c>
      <c r="AR118" s="13">
        <f t="shared" si="87"/>
        <v>0</v>
      </c>
      <c r="AS118" s="13">
        <f t="shared" si="88"/>
        <v>0</v>
      </c>
      <c r="AT118" s="13">
        <f t="shared" si="89"/>
        <v>0</v>
      </c>
      <c r="AU118" s="13">
        <f t="shared" si="90"/>
        <v>0</v>
      </c>
      <c r="AV118" s="13">
        <f t="shared" si="91"/>
        <v>0</v>
      </c>
      <c r="AW118" s="13">
        <f t="shared" si="92"/>
        <v>0</v>
      </c>
      <c r="AX118" s="13">
        <f t="shared" si="93"/>
        <v>0</v>
      </c>
      <c r="AY118" s="13">
        <f t="shared" si="94"/>
        <v>0</v>
      </c>
      <c r="AZ118" s="13">
        <f t="shared" si="95"/>
        <v>0</v>
      </c>
      <c r="BA118" s="13">
        <f t="shared" si="122"/>
        <v>0</v>
      </c>
      <c r="BB118" s="13">
        <f t="shared" si="123"/>
        <v>0</v>
      </c>
    </row>
    <row r="119" spans="1:54">
      <c r="A119">
        <f>data0!A117</f>
        <v>875</v>
      </c>
      <c r="B119">
        <v>0</v>
      </c>
      <c r="C119" t="e">
        <f ca="1">(Calculations!C118-C$2)/C$1</f>
        <v>#DIV/0!</v>
      </c>
      <c r="D119" s="13" t="e">
        <f t="shared" ca="1" si="124"/>
        <v>#DIV/0!</v>
      </c>
      <c r="E119" s="13" t="e">
        <f t="shared" ca="1" si="125"/>
        <v>#DIV/0!</v>
      </c>
      <c r="F119" s="13" t="e">
        <f t="shared" ca="1" si="126"/>
        <v>#DIV/0!</v>
      </c>
      <c r="G119" s="13" t="e">
        <f t="shared" ca="1" si="127"/>
        <v>#DIV/0!</v>
      </c>
      <c r="H119" s="13" t="e">
        <f t="shared" ca="1" si="128"/>
        <v>#DIV/0!</v>
      </c>
      <c r="I119" s="13" t="e">
        <f t="shared" ca="1" si="129"/>
        <v>#DIV/0!</v>
      </c>
      <c r="J119" s="13" t="e">
        <f t="shared" ca="1" si="130"/>
        <v>#DIV/0!</v>
      </c>
      <c r="K119" s="13" t="e">
        <f t="shared" ca="1" si="83"/>
        <v>#DIV/0!</v>
      </c>
      <c r="L119" s="13" t="e">
        <f t="shared" ca="1" si="84"/>
        <v>#DIV/0!</v>
      </c>
      <c r="M119" s="13" t="e">
        <f t="shared" ca="1" si="131"/>
        <v>#DIV/0!</v>
      </c>
      <c r="N119" s="13" t="e">
        <f t="shared" ca="1" si="132"/>
        <v>#DIV/0!</v>
      </c>
      <c r="O119" s="13" t="e">
        <f t="shared" ca="1" si="133"/>
        <v>#DIV/0!</v>
      </c>
      <c r="P119" s="13" t="e">
        <f t="shared" ca="1" si="134"/>
        <v>#DIV/0!</v>
      </c>
      <c r="Q119" s="13">
        <f t="shared" si="140"/>
        <v>12655721583.93343</v>
      </c>
      <c r="R119" s="13">
        <f t="shared" si="140"/>
        <v>196149119979.23221</v>
      </c>
      <c r="S119" s="13">
        <f t="shared" si="140"/>
        <v>1016690053136.8115</v>
      </c>
      <c r="T119" s="13">
        <f t="shared" si="140"/>
        <v>3051212638981.3301</v>
      </c>
      <c r="U119" s="13">
        <f t="shared" si="140"/>
        <v>6709500324099.4502</v>
      </c>
      <c r="V119" s="13">
        <f t="shared" si="140"/>
        <v>12160019849642.453</v>
      </c>
      <c r="W119" s="13">
        <f t="shared" si="140"/>
        <v>19386999679205.523</v>
      </c>
      <c r="X119" s="13">
        <f t="shared" si="140"/>
        <v>28269849233917.551</v>
      </c>
      <c r="Y119" s="54">
        <f t="shared" si="140"/>
        <v>32763781746187.777</v>
      </c>
      <c r="Z119" s="13">
        <f t="shared" si="140"/>
        <v>38642639538737.664</v>
      </c>
      <c r="AA119" s="13">
        <f t="shared" si="140"/>
        <v>50329605655517.445</v>
      </c>
      <c r="AB119" s="13">
        <f t="shared" si="121"/>
        <v>63163397241681.898</v>
      </c>
      <c r="AC119" s="13">
        <f t="shared" si="98"/>
        <v>0</v>
      </c>
      <c r="AD119" s="13">
        <f t="shared" si="105"/>
        <v>0</v>
      </c>
      <c r="AE119" s="13">
        <f t="shared" si="105"/>
        <v>0</v>
      </c>
      <c r="AF119" s="13">
        <f t="shared" si="105"/>
        <v>0</v>
      </c>
      <c r="AG119" s="13">
        <f t="shared" si="105"/>
        <v>0</v>
      </c>
      <c r="AH119" s="13">
        <f t="shared" si="105"/>
        <v>0</v>
      </c>
      <c r="AI119" s="13">
        <f t="shared" si="105"/>
        <v>0</v>
      </c>
      <c r="AJ119" s="13">
        <f t="shared" si="105"/>
        <v>0</v>
      </c>
      <c r="AK119" s="13">
        <f t="shared" si="105"/>
        <v>0</v>
      </c>
      <c r="AL119" s="13">
        <f t="shared" si="138"/>
        <v>0</v>
      </c>
      <c r="AM119" s="13">
        <f t="shared" si="139"/>
        <v>0</v>
      </c>
      <c r="AN119" s="13">
        <f t="shared" si="135"/>
        <v>0</v>
      </c>
      <c r="AO119" s="13">
        <f t="shared" si="136"/>
        <v>0</v>
      </c>
      <c r="AP119" s="13">
        <f t="shared" si="137"/>
        <v>0</v>
      </c>
      <c r="AQ119" s="13">
        <f t="shared" si="99"/>
        <v>0</v>
      </c>
      <c r="AR119" s="13">
        <f t="shared" si="87"/>
        <v>0</v>
      </c>
      <c r="AS119" s="13">
        <f t="shared" si="88"/>
        <v>0</v>
      </c>
      <c r="AT119" s="13">
        <f t="shared" si="89"/>
        <v>0</v>
      </c>
      <c r="AU119" s="13">
        <f t="shared" si="90"/>
        <v>0</v>
      </c>
      <c r="AV119" s="13">
        <f t="shared" si="91"/>
        <v>0</v>
      </c>
      <c r="AW119" s="13">
        <f t="shared" si="92"/>
        <v>0</v>
      </c>
      <c r="AX119" s="13">
        <f t="shared" si="93"/>
        <v>0</v>
      </c>
      <c r="AY119" s="13">
        <f t="shared" si="94"/>
        <v>0</v>
      </c>
      <c r="AZ119" s="13">
        <f t="shared" si="95"/>
        <v>0</v>
      </c>
      <c r="BA119" s="13">
        <f t="shared" si="122"/>
        <v>0</v>
      </c>
      <c r="BB119" s="13">
        <f t="shared" si="123"/>
        <v>0</v>
      </c>
    </row>
    <row r="120" spans="1:54">
      <c r="A120">
        <f>data0!A118</f>
        <v>880</v>
      </c>
      <c r="B120">
        <v>0</v>
      </c>
      <c r="C120" t="e">
        <f ca="1">(Calculations!C119-C$2)/C$1</f>
        <v>#DIV/0!</v>
      </c>
      <c r="D120" s="13" t="e">
        <f t="shared" ca="1" si="124"/>
        <v>#DIV/0!</v>
      </c>
      <c r="E120" s="13" t="e">
        <f t="shared" ca="1" si="125"/>
        <v>#DIV/0!</v>
      </c>
      <c r="F120" s="13" t="e">
        <f t="shared" ca="1" si="126"/>
        <v>#DIV/0!</v>
      </c>
      <c r="G120" s="13" t="e">
        <f t="shared" ca="1" si="127"/>
        <v>#DIV/0!</v>
      </c>
      <c r="H120" s="13" t="e">
        <f t="shared" ca="1" si="128"/>
        <v>#DIV/0!</v>
      </c>
      <c r="I120" s="13" t="e">
        <f t="shared" ca="1" si="129"/>
        <v>#DIV/0!</v>
      </c>
      <c r="J120" s="13" t="e">
        <f t="shared" ca="1" si="130"/>
        <v>#DIV/0!</v>
      </c>
      <c r="K120" s="13" t="e">
        <f t="shared" ca="1" si="83"/>
        <v>#DIV/0!</v>
      </c>
      <c r="L120" s="13" t="e">
        <f t="shared" ca="1" si="84"/>
        <v>#DIV/0!</v>
      </c>
      <c r="M120" s="13" t="e">
        <f t="shared" ca="1" si="131"/>
        <v>#DIV/0!</v>
      </c>
      <c r="N120" s="13" t="e">
        <f t="shared" ca="1" si="132"/>
        <v>#DIV/0!</v>
      </c>
      <c r="O120" s="13" t="e">
        <f t="shared" ca="1" si="133"/>
        <v>#DIV/0!</v>
      </c>
      <c r="P120" s="13" t="e">
        <f t="shared" ca="1" si="134"/>
        <v>#DIV/0!</v>
      </c>
      <c r="Q120" s="13">
        <f t="shared" si="140"/>
        <v>13090736424.769135</v>
      </c>
      <c r="R120" s="13">
        <f t="shared" si="140"/>
        <v>199758922157.52219</v>
      </c>
      <c r="S120" s="13">
        <f t="shared" si="140"/>
        <v>1025813458915.0421</v>
      </c>
      <c r="T120" s="13">
        <f t="shared" si="140"/>
        <v>3059720309456.9839</v>
      </c>
      <c r="U120" s="13">
        <f t="shared" si="140"/>
        <v>6699122406624.4893</v>
      </c>
      <c r="V120" s="13">
        <f t="shared" si="140"/>
        <v>12102524135764.383</v>
      </c>
      <c r="W120" s="13">
        <f t="shared" si="140"/>
        <v>19248473196566.668</v>
      </c>
      <c r="X120" s="13">
        <f t="shared" si="140"/>
        <v>28014499278915.113</v>
      </c>
      <c r="Y120" s="54">
        <f t="shared" si="140"/>
        <v>32444303173888.965</v>
      </c>
      <c r="Z120" s="13">
        <f t="shared" si="140"/>
        <v>38235360114237.164</v>
      </c>
      <c r="AA120" s="13">
        <f t="shared" si="140"/>
        <v>49737427633142.375</v>
      </c>
      <c r="AB120" s="13">
        <f t="shared" si="121"/>
        <v>62356158111131.937</v>
      </c>
      <c r="AC120" s="13">
        <f t="shared" si="98"/>
        <v>0</v>
      </c>
      <c r="AD120" s="13">
        <f t="shared" si="105"/>
        <v>0</v>
      </c>
      <c r="AE120" s="13">
        <f t="shared" si="105"/>
        <v>0</v>
      </c>
      <c r="AF120" s="13">
        <f t="shared" si="105"/>
        <v>0</v>
      </c>
      <c r="AG120" s="13">
        <f t="shared" si="105"/>
        <v>0</v>
      </c>
      <c r="AH120" s="13">
        <f t="shared" si="105"/>
        <v>0</v>
      </c>
      <c r="AI120" s="13">
        <f t="shared" si="105"/>
        <v>0</v>
      </c>
      <c r="AJ120" s="13">
        <f t="shared" si="105"/>
        <v>0</v>
      </c>
      <c r="AK120" s="13">
        <f t="shared" si="105"/>
        <v>0</v>
      </c>
      <c r="AL120" s="13">
        <f t="shared" si="138"/>
        <v>0</v>
      </c>
      <c r="AM120" s="13">
        <f t="shared" si="139"/>
        <v>0</v>
      </c>
      <c r="AN120" s="13">
        <f t="shared" si="135"/>
        <v>0</v>
      </c>
      <c r="AO120" s="13">
        <f t="shared" si="136"/>
        <v>0</v>
      </c>
      <c r="AP120" s="13">
        <f t="shared" si="137"/>
        <v>0</v>
      </c>
      <c r="AQ120" s="13">
        <f t="shared" si="99"/>
        <v>0</v>
      </c>
      <c r="AR120" s="13">
        <f t="shared" si="87"/>
        <v>0</v>
      </c>
      <c r="AS120" s="13">
        <f t="shared" si="88"/>
        <v>0</v>
      </c>
      <c r="AT120" s="13">
        <f t="shared" si="89"/>
        <v>0</v>
      </c>
      <c r="AU120" s="13">
        <f t="shared" si="90"/>
        <v>0</v>
      </c>
      <c r="AV120" s="13">
        <f t="shared" si="91"/>
        <v>0</v>
      </c>
      <c r="AW120" s="13">
        <f t="shared" si="92"/>
        <v>0</v>
      </c>
      <c r="AX120" s="13">
        <f t="shared" si="93"/>
        <v>0</v>
      </c>
      <c r="AY120" s="13">
        <f t="shared" si="94"/>
        <v>0</v>
      </c>
      <c r="AZ120" s="13">
        <f t="shared" si="95"/>
        <v>0</v>
      </c>
      <c r="BA120" s="13">
        <f t="shared" si="122"/>
        <v>0</v>
      </c>
      <c r="BB120" s="13">
        <f t="shared" si="123"/>
        <v>0</v>
      </c>
    </row>
    <row r="121" spans="1:54">
      <c r="A121">
        <f>data0!A119</f>
        <v>885</v>
      </c>
      <c r="B121">
        <v>0</v>
      </c>
      <c r="C121" t="e">
        <f ca="1">(Calculations!C120-C$2)/C$1</f>
        <v>#DIV/0!</v>
      </c>
      <c r="D121" s="13" t="e">
        <f t="shared" ca="1" si="124"/>
        <v>#DIV/0!</v>
      </c>
      <c r="E121" s="13" t="e">
        <f t="shared" ca="1" si="125"/>
        <v>#DIV/0!</v>
      </c>
      <c r="F121" s="13" t="e">
        <f t="shared" ca="1" si="126"/>
        <v>#DIV/0!</v>
      </c>
      <c r="G121" s="13" t="e">
        <f t="shared" ca="1" si="127"/>
        <v>#DIV/0!</v>
      </c>
      <c r="H121" s="13" t="e">
        <f t="shared" ca="1" si="128"/>
        <v>#DIV/0!</v>
      </c>
      <c r="I121" s="13" t="e">
        <f t="shared" ca="1" si="129"/>
        <v>#DIV/0!</v>
      </c>
      <c r="J121" s="13" t="e">
        <f t="shared" ca="1" si="130"/>
        <v>#DIV/0!</v>
      </c>
      <c r="K121" s="13" t="e">
        <f t="shared" ca="1" si="83"/>
        <v>#DIV/0!</v>
      </c>
      <c r="L121" s="13" t="e">
        <f t="shared" ca="1" si="84"/>
        <v>#DIV/0!</v>
      </c>
      <c r="M121" s="13" t="e">
        <f t="shared" ca="1" si="131"/>
        <v>#DIV/0!</v>
      </c>
      <c r="N121" s="13" t="e">
        <f t="shared" ca="1" si="132"/>
        <v>#DIV/0!</v>
      </c>
      <c r="O121" s="13" t="e">
        <f t="shared" ca="1" si="133"/>
        <v>#DIV/0!</v>
      </c>
      <c r="P121" s="13" t="e">
        <f t="shared" ca="1" si="134"/>
        <v>#DIV/0!</v>
      </c>
      <c r="Q121" s="13">
        <f t="shared" si="140"/>
        <v>13533362847.697998</v>
      </c>
      <c r="R121" s="13">
        <f t="shared" si="140"/>
        <v>203360721943.61896</v>
      </c>
      <c r="S121" s="13">
        <f t="shared" si="140"/>
        <v>1034750223951.8518</v>
      </c>
      <c r="T121" s="13">
        <f t="shared" si="140"/>
        <v>3067675432798.251</v>
      </c>
      <c r="U121" s="13">
        <f t="shared" si="140"/>
        <v>6687848707884.9316</v>
      </c>
      <c r="V121" s="13">
        <f t="shared" si="140"/>
        <v>12044124224947.777</v>
      </c>
      <c r="W121" s="13">
        <f t="shared" si="140"/>
        <v>19109643522131.312</v>
      </c>
      <c r="X121" s="13">
        <f t="shared" si="140"/>
        <v>27760237646565.879</v>
      </c>
      <c r="Y121" s="54">
        <f t="shared" si="140"/>
        <v>32126823634338.508</v>
      </c>
      <c r="Z121" s="13">
        <f t="shared" si="140"/>
        <v>37831440389432.797</v>
      </c>
      <c r="AA121" s="13">
        <f t="shared" si="140"/>
        <v>49151781020438.828</v>
      </c>
      <c r="AB121" s="13">
        <f t="shared" si="121"/>
        <v>61559498337706.711</v>
      </c>
      <c r="AC121" s="13">
        <f t="shared" si="98"/>
        <v>0</v>
      </c>
      <c r="AD121" s="13">
        <f t="shared" si="105"/>
        <v>0</v>
      </c>
      <c r="AE121" s="13">
        <f t="shared" si="105"/>
        <v>0</v>
      </c>
      <c r="AF121" s="13">
        <f t="shared" si="105"/>
        <v>0</v>
      </c>
      <c r="AG121" s="13">
        <f t="shared" si="105"/>
        <v>0</v>
      </c>
      <c r="AH121" s="13">
        <f t="shared" si="105"/>
        <v>0</v>
      </c>
      <c r="AI121" s="13">
        <f t="shared" si="105"/>
        <v>0</v>
      </c>
      <c r="AJ121" s="13">
        <f t="shared" si="105"/>
        <v>0</v>
      </c>
      <c r="AK121" s="13">
        <f t="shared" si="105"/>
        <v>0</v>
      </c>
      <c r="AL121" s="13">
        <f t="shared" si="138"/>
        <v>0</v>
      </c>
      <c r="AM121" s="13">
        <f t="shared" si="139"/>
        <v>0</v>
      </c>
      <c r="AN121" s="13">
        <f t="shared" si="135"/>
        <v>0</v>
      </c>
      <c r="AO121" s="13">
        <f t="shared" si="136"/>
        <v>0</v>
      </c>
      <c r="AP121" s="13">
        <f t="shared" si="137"/>
        <v>0</v>
      </c>
      <c r="AQ121" s="13">
        <f t="shared" si="99"/>
        <v>0</v>
      </c>
      <c r="AR121" s="13">
        <f t="shared" si="87"/>
        <v>0</v>
      </c>
      <c r="AS121" s="13">
        <f t="shared" si="88"/>
        <v>0</v>
      </c>
      <c r="AT121" s="13">
        <f t="shared" si="89"/>
        <v>0</v>
      </c>
      <c r="AU121" s="13">
        <f t="shared" si="90"/>
        <v>0</v>
      </c>
      <c r="AV121" s="13">
        <f t="shared" si="91"/>
        <v>0</v>
      </c>
      <c r="AW121" s="13">
        <f t="shared" si="92"/>
        <v>0</v>
      </c>
      <c r="AX121" s="13">
        <f t="shared" si="93"/>
        <v>0</v>
      </c>
      <c r="AY121" s="13">
        <f t="shared" si="94"/>
        <v>0</v>
      </c>
      <c r="AZ121" s="13">
        <f t="shared" si="95"/>
        <v>0</v>
      </c>
      <c r="BA121" s="13">
        <f t="shared" si="122"/>
        <v>0</v>
      </c>
      <c r="BB121" s="13">
        <f t="shared" si="123"/>
        <v>0</v>
      </c>
    </row>
    <row r="122" spans="1:54">
      <c r="A122">
        <f>data0!A120</f>
        <v>890</v>
      </c>
      <c r="B122">
        <v>0</v>
      </c>
      <c r="C122" t="e">
        <f ca="1">(Calculations!C121-C$2)/C$1</f>
        <v>#DIV/0!</v>
      </c>
      <c r="D122" s="13" t="e">
        <f t="shared" ca="1" si="124"/>
        <v>#DIV/0!</v>
      </c>
      <c r="E122" s="13" t="e">
        <f t="shared" ca="1" si="125"/>
        <v>#DIV/0!</v>
      </c>
      <c r="F122" s="13" t="e">
        <f t="shared" ca="1" si="126"/>
        <v>#DIV/0!</v>
      </c>
      <c r="G122" s="13" t="e">
        <f t="shared" ca="1" si="127"/>
        <v>#DIV/0!</v>
      </c>
      <c r="H122" s="13" t="e">
        <f t="shared" ca="1" si="128"/>
        <v>#DIV/0!</v>
      </c>
      <c r="I122" s="13" t="e">
        <f t="shared" ca="1" si="129"/>
        <v>#DIV/0!</v>
      </c>
      <c r="J122" s="13" t="e">
        <f t="shared" ca="1" si="130"/>
        <v>#DIV/0!</v>
      </c>
      <c r="K122" s="13" t="e">
        <f t="shared" ca="1" si="83"/>
        <v>#DIV/0!</v>
      </c>
      <c r="L122" s="13" t="e">
        <f t="shared" ca="1" si="84"/>
        <v>#DIV/0!</v>
      </c>
      <c r="M122" s="13" t="e">
        <f t="shared" ca="1" si="131"/>
        <v>#DIV/0!</v>
      </c>
      <c r="N122" s="13" t="e">
        <f t="shared" ca="1" si="132"/>
        <v>#DIV/0!</v>
      </c>
      <c r="O122" s="13" t="e">
        <f t="shared" ca="1" si="133"/>
        <v>#DIV/0!</v>
      </c>
      <c r="P122" s="13" t="e">
        <f t="shared" ca="1" si="134"/>
        <v>#DIV/0!</v>
      </c>
      <c r="Q122" s="13">
        <f t="shared" si="140"/>
        <v>13983510619.392788</v>
      </c>
      <c r="R122" s="13">
        <f t="shared" si="140"/>
        <v>206953182307.09885</v>
      </c>
      <c r="S122" s="13">
        <f t="shared" si="140"/>
        <v>1043499611085.7047</v>
      </c>
      <c r="T122" s="13">
        <f t="shared" si="140"/>
        <v>3075086267040.4116</v>
      </c>
      <c r="U122" s="13">
        <f t="shared" si="140"/>
        <v>6675705606329.4434</v>
      </c>
      <c r="V122" s="13">
        <f t="shared" si="140"/>
        <v>11984867153700.469</v>
      </c>
      <c r="W122" s="13">
        <f t="shared" si="140"/>
        <v>18970571340100.348</v>
      </c>
      <c r="X122" s="13">
        <f t="shared" si="140"/>
        <v>27507122957686.715</v>
      </c>
      <c r="Y122" s="54">
        <f t="shared" si="140"/>
        <v>31811393932694.547</v>
      </c>
      <c r="Z122" s="13">
        <f t="shared" si="140"/>
        <v>37430914971076.086</v>
      </c>
      <c r="AA122" s="13">
        <f t="shared" si="140"/>
        <v>48572650804892.07</v>
      </c>
      <c r="AB122" s="13">
        <f t="shared" si="121"/>
        <v>60773326119659.625</v>
      </c>
      <c r="AC122" s="13">
        <f t="shared" si="98"/>
        <v>0</v>
      </c>
      <c r="AD122" s="13">
        <f t="shared" si="105"/>
        <v>0</v>
      </c>
      <c r="AE122" s="13">
        <f t="shared" si="105"/>
        <v>0</v>
      </c>
      <c r="AF122" s="13">
        <f t="shared" si="105"/>
        <v>0</v>
      </c>
      <c r="AG122" s="13">
        <f t="shared" si="105"/>
        <v>0</v>
      </c>
      <c r="AH122" s="13">
        <f t="shared" si="105"/>
        <v>0</v>
      </c>
      <c r="AI122" s="13">
        <f t="shared" si="105"/>
        <v>0</v>
      </c>
      <c r="AJ122" s="13">
        <f t="shared" si="105"/>
        <v>0</v>
      </c>
      <c r="AK122" s="13">
        <f t="shared" si="105"/>
        <v>0</v>
      </c>
      <c r="AL122" s="13">
        <f t="shared" si="138"/>
        <v>0</v>
      </c>
      <c r="AM122" s="13">
        <f t="shared" si="139"/>
        <v>0</v>
      </c>
      <c r="AN122" s="13">
        <f t="shared" si="135"/>
        <v>0</v>
      </c>
      <c r="AO122" s="13">
        <f t="shared" si="136"/>
        <v>0</v>
      </c>
      <c r="AP122" s="13">
        <f t="shared" si="137"/>
        <v>0</v>
      </c>
      <c r="AQ122" s="13">
        <f t="shared" si="99"/>
        <v>0</v>
      </c>
      <c r="AR122" s="13">
        <f t="shared" si="87"/>
        <v>0</v>
      </c>
      <c r="AS122" s="13">
        <f t="shared" si="88"/>
        <v>0</v>
      </c>
      <c r="AT122" s="13">
        <f t="shared" si="89"/>
        <v>0</v>
      </c>
      <c r="AU122" s="13">
        <f t="shared" si="90"/>
        <v>0</v>
      </c>
      <c r="AV122" s="13">
        <f t="shared" si="91"/>
        <v>0</v>
      </c>
      <c r="AW122" s="13">
        <f t="shared" si="92"/>
        <v>0</v>
      </c>
      <c r="AX122" s="13">
        <f t="shared" si="93"/>
        <v>0</v>
      </c>
      <c r="AY122" s="13">
        <f t="shared" si="94"/>
        <v>0</v>
      </c>
      <c r="AZ122" s="13">
        <f t="shared" si="95"/>
        <v>0</v>
      </c>
      <c r="BA122" s="13">
        <f t="shared" si="122"/>
        <v>0</v>
      </c>
      <c r="BB122" s="13">
        <f t="shared" si="123"/>
        <v>0</v>
      </c>
    </row>
    <row r="123" spans="1:54">
      <c r="A123">
        <f>data0!A121</f>
        <v>895</v>
      </c>
      <c r="B123">
        <v>0</v>
      </c>
      <c r="C123" t="e">
        <f ca="1">(Calculations!C122-C$2)/C$1</f>
        <v>#DIV/0!</v>
      </c>
      <c r="D123" s="13" t="e">
        <f t="shared" ca="1" si="124"/>
        <v>#DIV/0!</v>
      </c>
      <c r="E123" s="13" t="e">
        <f t="shared" ca="1" si="125"/>
        <v>#DIV/0!</v>
      </c>
      <c r="F123" s="13" t="e">
        <f t="shared" ca="1" si="126"/>
        <v>#DIV/0!</v>
      </c>
      <c r="G123" s="13" t="e">
        <f t="shared" ca="1" si="127"/>
        <v>#DIV/0!</v>
      </c>
      <c r="H123" s="13" t="e">
        <f t="shared" ca="1" si="128"/>
        <v>#DIV/0!</v>
      </c>
      <c r="I123" s="13" t="e">
        <f t="shared" ca="1" si="129"/>
        <v>#DIV/0!</v>
      </c>
      <c r="J123" s="13" t="e">
        <f t="shared" ca="1" si="130"/>
        <v>#DIV/0!</v>
      </c>
      <c r="K123" s="13" t="e">
        <f t="shared" ca="1" si="83"/>
        <v>#DIV/0!</v>
      </c>
      <c r="L123" s="13" t="e">
        <f t="shared" ca="1" si="84"/>
        <v>#DIV/0!</v>
      </c>
      <c r="M123" s="13" t="e">
        <f t="shared" ca="1" si="131"/>
        <v>#DIV/0!</v>
      </c>
      <c r="N123" s="13" t="e">
        <f t="shared" ca="1" si="132"/>
        <v>#DIV/0!</v>
      </c>
      <c r="O123" s="13" t="e">
        <f t="shared" ca="1" si="133"/>
        <v>#DIV/0!</v>
      </c>
      <c r="P123" s="13" t="e">
        <f t="shared" ca="1" si="134"/>
        <v>#DIV/0!</v>
      </c>
      <c r="Q123" s="13">
        <f t="shared" si="140"/>
        <v>14441084558.343681</v>
      </c>
      <c r="R123" s="13">
        <f t="shared" si="140"/>
        <v>210534994225.73358</v>
      </c>
      <c r="S123" s="13">
        <f t="shared" si="140"/>
        <v>1052061026482.412</v>
      </c>
      <c r="T123" s="13">
        <f t="shared" si="140"/>
        <v>3081961170648.4995</v>
      </c>
      <c r="U123" s="13">
        <f t="shared" si="140"/>
        <v>6662719108853.6016</v>
      </c>
      <c r="V123" s="13">
        <f t="shared" si="140"/>
        <v>11924798685584.316</v>
      </c>
      <c r="W123" s="13">
        <f t="shared" si="140"/>
        <v>18831314976920.137</v>
      </c>
      <c r="X123" s="13">
        <f t="shared" si="140"/>
        <v>27255210546168.984</v>
      </c>
      <c r="Y123" s="54">
        <f t="shared" si="140"/>
        <v>31498061306191.82</v>
      </c>
      <c r="Z123" s="13">
        <f t="shared" si="140"/>
        <v>37033814719936.734</v>
      </c>
      <c r="AA123" s="13">
        <f t="shared" si="140"/>
        <v>48000018477181.305</v>
      </c>
      <c r="AB123" s="13">
        <f t="shared" si="121"/>
        <v>59997547269921.383</v>
      </c>
      <c r="AC123" s="13">
        <f t="shared" si="98"/>
        <v>0</v>
      </c>
      <c r="AD123" s="13">
        <f t="shared" si="105"/>
        <v>0</v>
      </c>
      <c r="AE123" s="13">
        <f t="shared" si="105"/>
        <v>0</v>
      </c>
      <c r="AF123" s="13">
        <f t="shared" si="105"/>
        <v>0</v>
      </c>
      <c r="AG123" s="13">
        <f t="shared" si="105"/>
        <v>0</v>
      </c>
      <c r="AH123" s="13">
        <f t="shared" si="105"/>
        <v>0</v>
      </c>
      <c r="AI123" s="13">
        <f t="shared" si="105"/>
        <v>0</v>
      </c>
      <c r="AJ123" s="13">
        <f t="shared" si="105"/>
        <v>0</v>
      </c>
      <c r="AK123" s="13">
        <f t="shared" si="105"/>
        <v>0</v>
      </c>
      <c r="AL123" s="13">
        <f t="shared" si="138"/>
        <v>0</v>
      </c>
      <c r="AM123" s="13">
        <f t="shared" si="139"/>
        <v>0</v>
      </c>
      <c r="AN123" s="13">
        <f t="shared" si="135"/>
        <v>0</v>
      </c>
      <c r="AO123" s="13">
        <f t="shared" si="136"/>
        <v>0</v>
      </c>
      <c r="AP123" s="13">
        <f t="shared" si="137"/>
        <v>0</v>
      </c>
      <c r="AQ123" s="13">
        <f t="shared" si="99"/>
        <v>0</v>
      </c>
      <c r="AR123" s="13">
        <f t="shared" si="87"/>
        <v>0</v>
      </c>
      <c r="AS123" s="13">
        <f t="shared" si="88"/>
        <v>0</v>
      </c>
      <c r="AT123" s="13">
        <f t="shared" si="89"/>
        <v>0</v>
      </c>
      <c r="AU123" s="13">
        <f t="shared" si="90"/>
        <v>0</v>
      </c>
      <c r="AV123" s="13">
        <f t="shared" si="91"/>
        <v>0</v>
      </c>
      <c r="AW123" s="13">
        <f t="shared" si="92"/>
        <v>0</v>
      </c>
      <c r="AX123" s="13">
        <f t="shared" si="93"/>
        <v>0</v>
      </c>
      <c r="AY123" s="13">
        <f t="shared" si="94"/>
        <v>0</v>
      </c>
      <c r="AZ123" s="13">
        <f t="shared" si="95"/>
        <v>0</v>
      </c>
      <c r="BA123" s="13">
        <f t="shared" si="122"/>
        <v>0</v>
      </c>
      <c r="BB123" s="13">
        <f t="shared" si="123"/>
        <v>0</v>
      </c>
    </row>
    <row r="124" spans="1:54">
      <c r="A124">
        <f>data0!A122</f>
        <v>900</v>
      </c>
      <c r="B124">
        <v>0</v>
      </c>
      <c r="C124" t="e">
        <f ca="1">(Calculations!C123-C$2)/C$1</f>
        <v>#DIV/0!</v>
      </c>
      <c r="D124" s="13" t="e">
        <f t="shared" ca="1" si="124"/>
        <v>#DIV/0!</v>
      </c>
      <c r="E124" s="13" t="e">
        <f t="shared" ca="1" si="125"/>
        <v>#DIV/0!</v>
      </c>
      <c r="F124" s="13" t="e">
        <f t="shared" ca="1" si="126"/>
        <v>#DIV/0!</v>
      </c>
      <c r="G124" s="13" t="e">
        <f t="shared" ca="1" si="127"/>
        <v>#DIV/0!</v>
      </c>
      <c r="H124" s="13" t="e">
        <f t="shared" ca="1" si="128"/>
        <v>#DIV/0!</v>
      </c>
      <c r="I124" s="13" t="e">
        <f t="shared" ca="1" si="129"/>
        <v>#DIV/0!</v>
      </c>
      <c r="J124" s="13" t="e">
        <f t="shared" ca="1" si="130"/>
        <v>#DIV/0!</v>
      </c>
      <c r="K124" s="13" t="e">
        <f t="shared" ca="1" si="83"/>
        <v>#DIV/0!</v>
      </c>
      <c r="L124" s="13" t="e">
        <f t="shared" ca="1" si="84"/>
        <v>#DIV/0!</v>
      </c>
      <c r="M124" s="13" t="e">
        <f t="shared" ca="1" si="131"/>
        <v>#DIV/0!</v>
      </c>
      <c r="N124" s="13" t="e">
        <f t="shared" ca="1" si="132"/>
        <v>#DIV/0!</v>
      </c>
      <c r="O124" s="13" t="e">
        <f t="shared" ca="1" si="133"/>
        <v>#DIV/0!</v>
      </c>
      <c r="P124" s="13" t="e">
        <f t="shared" ca="1" si="134"/>
        <v>#DIV/0!</v>
      </c>
      <c r="Q124" s="13">
        <f t="shared" si="140"/>
        <v>14905984692.045357</v>
      </c>
      <c r="R124" s="13">
        <f t="shared" si="140"/>
        <v>214104877237.87738</v>
      </c>
      <c r="S124" s="13">
        <f t="shared" si="140"/>
        <v>1060434015021.3102</v>
      </c>
      <c r="T124" s="13">
        <f t="shared" si="140"/>
        <v>3088308589859.3003</v>
      </c>
      <c r="U124" s="13">
        <f t="shared" si="140"/>
        <v>6648914842071.2148</v>
      </c>
      <c r="V124" s="13">
        <f t="shared" si="140"/>
        <v>11863963328989.109</v>
      </c>
      <c r="W124" s="13">
        <f t="shared" si="140"/>
        <v>18691930466618.703</v>
      </c>
      <c r="X124" s="13">
        <f t="shared" si="140"/>
        <v>27004552582431.668</v>
      </c>
      <c r="Y124" s="54">
        <f t="shared" si="140"/>
        <v>31186869573537.012</v>
      </c>
      <c r="Z124" s="13">
        <f t="shared" si="140"/>
        <v>36640166929221.648</v>
      </c>
      <c r="AA124" s="13">
        <f t="shared" si="140"/>
        <v>47433862248595.773</v>
      </c>
      <c r="AB124" s="13">
        <f t="shared" si="121"/>
        <v>59232065446464.086</v>
      </c>
      <c r="AC124" s="13">
        <f t="shared" si="98"/>
        <v>0</v>
      </c>
      <c r="AD124" s="13">
        <f t="shared" si="105"/>
        <v>0</v>
      </c>
      <c r="AE124" s="13">
        <f t="shared" si="105"/>
        <v>0</v>
      </c>
      <c r="AF124" s="13">
        <f t="shared" si="105"/>
        <v>0</v>
      </c>
      <c r="AG124" s="13">
        <f t="shared" si="105"/>
        <v>0</v>
      </c>
      <c r="AH124" s="13">
        <f t="shared" si="105"/>
        <v>0</v>
      </c>
      <c r="AI124" s="13">
        <f t="shared" si="105"/>
        <v>0</v>
      </c>
      <c r="AJ124" s="13">
        <f t="shared" si="105"/>
        <v>0</v>
      </c>
      <c r="AK124" s="13">
        <f t="shared" si="105"/>
        <v>0</v>
      </c>
      <c r="AL124" s="13">
        <f t="shared" si="138"/>
        <v>0</v>
      </c>
      <c r="AM124" s="13">
        <f t="shared" si="139"/>
        <v>0</v>
      </c>
      <c r="AN124" s="13">
        <f t="shared" si="135"/>
        <v>0</v>
      </c>
      <c r="AO124" s="13">
        <f t="shared" si="136"/>
        <v>0</v>
      </c>
      <c r="AP124" s="13">
        <f t="shared" si="137"/>
        <v>0</v>
      </c>
      <c r="AQ124" s="13">
        <f t="shared" si="99"/>
        <v>0</v>
      </c>
      <c r="AR124" s="13">
        <f t="shared" si="87"/>
        <v>0</v>
      </c>
      <c r="AS124" s="13">
        <f t="shared" si="88"/>
        <v>0</v>
      </c>
      <c r="AT124" s="13">
        <f t="shared" si="89"/>
        <v>0</v>
      </c>
      <c r="AU124" s="13">
        <f t="shared" si="90"/>
        <v>0</v>
      </c>
      <c r="AV124" s="13">
        <f t="shared" si="91"/>
        <v>0</v>
      </c>
      <c r="AW124" s="13">
        <f t="shared" si="92"/>
        <v>0</v>
      </c>
      <c r="AX124" s="13">
        <f t="shared" si="93"/>
        <v>0</v>
      </c>
      <c r="AY124" s="13">
        <f t="shared" si="94"/>
        <v>0</v>
      </c>
      <c r="AZ124" s="13">
        <f t="shared" si="95"/>
        <v>0</v>
      </c>
      <c r="BA124" s="13">
        <f t="shared" si="122"/>
        <v>0</v>
      </c>
      <c r="BB124" s="13">
        <f t="shared" si="123"/>
        <v>0</v>
      </c>
    </row>
    <row r="125" spans="1:54">
      <c r="A125">
        <f>data0!A123</f>
        <v>905</v>
      </c>
      <c r="B125">
        <v>0</v>
      </c>
      <c r="C125" t="e">
        <f ca="1">(Calculations!C124-C$2)/C$1</f>
        <v>#DIV/0!</v>
      </c>
      <c r="D125" s="13" t="e">
        <f t="shared" ca="1" si="124"/>
        <v>#DIV/0!</v>
      </c>
      <c r="E125" s="13" t="e">
        <f t="shared" ca="1" si="125"/>
        <v>#DIV/0!</v>
      </c>
      <c r="F125" s="13" t="e">
        <f t="shared" ca="1" si="126"/>
        <v>#DIV/0!</v>
      </c>
      <c r="G125" s="13" t="e">
        <f t="shared" ca="1" si="127"/>
        <v>#DIV/0!</v>
      </c>
      <c r="H125" s="13" t="e">
        <f t="shared" ca="1" si="128"/>
        <v>#DIV/0!</v>
      </c>
      <c r="I125" s="13" t="e">
        <f t="shared" ca="1" si="129"/>
        <v>#DIV/0!</v>
      </c>
      <c r="J125" s="13" t="e">
        <f t="shared" ca="1" si="130"/>
        <v>#DIV/0!</v>
      </c>
      <c r="K125" s="13" t="e">
        <f t="shared" ca="1" si="83"/>
        <v>#DIV/0!</v>
      </c>
      <c r="L125" s="13" t="e">
        <f t="shared" ca="1" si="84"/>
        <v>#DIV/0!</v>
      </c>
      <c r="M125" s="13" t="e">
        <f t="shared" ca="1" si="131"/>
        <v>#DIV/0!</v>
      </c>
      <c r="N125" s="13" t="e">
        <f t="shared" ca="1" si="132"/>
        <v>#DIV/0!</v>
      </c>
      <c r="O125" s="13" t="e">
        <f t="shared" ca="1" si="133"/>
        <v>#DIV/0!</v>
      </c>
      <c r="P125" s="13" t="e">
        <f t="shared" ca="1" si="134"/>
        <v>#DIV/0!</v>
      </c>
      <c r="Q125" s="13">
        <f t="shared" si="140"/>
        <v>15378106417.235184</v>
      </c>
      <c r="R125" s="13">
        <f t="shared" si="140"/>
        <v>217661579933.78299</v>
      </c>
      <c r="S125" s="13">
        <f t="shared" si="140"/>
        <v>1068618255704.3437</v>
      </c>
      <c r="T125" s="13">
        <f t="shared" si="140"/>
        <v>3094137046571.6177</v>
      </c>
      <c r="U125" s="13">
        <f t="shared" si="140"/>
        <v>6634318044618.5645</v>
      </c>
      <c r="V125" s="13">
        <f t="shared" si="140"/>
        <v>11802404355585.461</v>
      </c>
      <c r="W125" s="13">
        <f t="shared" si="140"/>
        <v>18552471615223.617</v>
      </c>
      <c r="X125" s="13">
        <f t="shared" si="140"/>
        <v>26755198193258.965</v>
      </c>
      <c r="Y125" s="54">
        <f t="shared" si="140"/>
        <v>30877859279243.023</v>
      </c>
      <c r="Z125" s="13">
        <f t="shared" si="140"/>
        <v>36249995496082.648</v>
      </c>
      <c r="AA125" s="13">
        <f t="shared" si="140"/>
        <v>46874157258264.906</v>
      </c>
      <c r="AB125" s="13">
        <f t="shared" si="121"/>
        <v>58476782369810.398</v>
      </c>
      <c r="AC125" s="13">
        <f t="shared" si="98"/>
        <v>0</v>
      </c>
      <c r="AD125" s="13">
        <f t="shared" si="105"/>
        <v>0</v>
      </c>
      <c r="AE125" s="13">
        <f t="shared" si="105"/>
        <v>0</v>
      </c>
      <c r="AF125" s="13">
        <f t="shared" si="105"/>
        <v>0</v>
      </c>
      <c r="AG125" s="13">
        <f t="shared" si="105"/>
        <v>0</v>
      </c>
      <c r="AH125" s="13">
        <f t="shared" si="105"/>
        <v>0</v>
      </c>
      <c r="AI125" s="13">
        <f t="shared" si="105"/>
        <v>0</v>
      </c>
      <c r="AJ125" s="13">
        <f t="shared" si="105"/>
        <v>0</v>
      </c>
      <c r="AK125" s="13">
        <f t="shared" si="105"/>
        <v>0</v>
      </c>
      <c r="AL125" s="13">
        <f t="shared" si="138"/>
        <v>0</v>
      </c>
      <c r="AM125" s="13">
        <f t="shared" si="139"/>
        <v>0</v>
      </c>
      <c r="AN125" s="13">
        <f t="shared" si="135"/>
        <v>0</v>
      </c>
      <c r="AO125" s="13">
        <f t="shared" si="136"/>
        <v>0</v>
      </c>
      <c r="AP125" s="13">
        <f t="shared" si="137"/>
        <v>0</v>
      </c>
      <c r="AQ125" s="13">
        <f t="shared" si="99"/>
        <v>0</v>
      </c>
      <c r="AR125" s="13">
        <f t="shared" si="87"/>
        <v>0</v>
      </c>
      <c r="AS125" s="13">
        <f t="shared" si="88"/>
        <v>0</v>
      </c>
      <c r="AT125" s="13">
        <f t="shared" si="89"/>
        <v>0</v>
      </c>
      <c r="AU125" s="13">
        <f t="shared" si="90"/>
        <v>0</v>
      </c>
      <c r="AV125" s="13">
        <f t="shared" si="91"/>
        <v>0</v>
      </c>
      <c r="AW125" s="13">
        <f t="shared" si="92"/>
        <v>0</v>
      </c>
      <c r="AX125" s="13">
        <f t="shared" si="93"/>
        <v>0</v>
      </c>
      <c r="AY125" s="13">
        <f t="shared" si="94"/>
        <v>0</v>
      </c>
      <c r="AZ125" s="13">
        <f t="shared" si="95"/>
        <v>0</v>
      </c>
      <c r="BA125" s="13">
        <f t="shared" si="122"/>
        <v>0</v>
      </c>
      <c r="BB125" s="13">
        <f t="shared" si="123"/>
        <v>0</v>
      </c>
    </row>
    <row r="126" spans="1:54">
      <c r="A126">
        <f>data0!A124</f>
        <v>910</v>
      </c>
      <c r="B126">
        <v>0</v>
      </c>
      <c r="C126" t="e">
        <f ca="1">(Calculations!C125-C$2)/C$1</f>
        <v>#DIV/0!</v>
      </c>
      <c r="D126" s="13" t="e">
        <f t="shared" ca="1" si="124"/>
        <v>#DIV/0!</v>
      </c>
      <c r="E126" s="13" t="e">
        <f t="shared" ca="1" si="125"/>
        <v>#DIV/0!</v>
      </c>
      <c r="F126" s="13" t="e">
        <f t="shared" ca="1" si="126"/>
        <v>#DIV/0!</v>
      </c>
      <c r="G126" s="13" t="e">
        <f t="shared" ca="1" si="127"/>
        <v>#DIV/0!</v>
      </c>
      <c r="H126" s="13" t="e">
        <f t="shared" ca="1" si="128"/>
        <v>#DIV/0!</v>
      </c>
      <c r="I126" s="13" t="e">
        <f t="shared" ca="1" si="129"/>
        <v>#DIV/0!</v>
      </c>
      <c r="J126" s="13" t="e">
        <f t="shared" ca="1" si="130"/>
        <v>#DIV/0!</v>
      </c>
      <c r="K126" s="13" t="e">
        <f t="shared" ca="1" si="83"/>
        <v>#DIV/0!</v>
      </c>
      <c r="L126" s="13" t="e">
        <f t="shared" ca="1" si="84"/>
        <v>#DIV/0!</v>
      </c>
      <c r="M126" s="13" t="e">
        <f t="shared" ca="1" si="131"/>
        <v>#DIV/0!</v>
      </c>
      <c r="N126" s="13" t="e">
        <f t="shared" ca="1" si="132"/>
        <v>#DIV/0!</v>
      </c>
      <c r="O126" s="13" t="e">
        <f t="shared" ca="1" si="133"/>
        <v>#DIV/0!</v>
      </c>
      <c r="P126" s="13" t="e">
        <f t="shared" ca="1" si="134"/>
        <v>#DIV/0!</v>
      </c>
      <c r="Q126" s="13">
        <f t="shared" si="140"/>
        <v>15857340662.781525</v>
      </c>
      <c r="R126" s="13">
        <f t="shared" si="140"/>
        <v>221203880387.9249</v>
      </c>
      <c r="S126" s="13">
        <f t="shared" si="140"/>
        <v>1076613557095.1885</v>
      </c>
      <c r="T126" s="13">
        <f t="shared" si="140"/>
        <v>3099455126772.4717</v>
      </c>
      <c r="U126" s="13">
        <f t="shared" si="140"/>
        <v>6618953560435.8027</v>
      </c>
      <c r="V126" s="13">
        <f t="shared" si="140"/>
        <v>11740163819374.498</v>
      </c>
      <c r="W126" s="13">
        <f t="shared" si="140"/>
        <v>18412990064209.789</v>
      </c>
      <c r="X126" s="13">
        <f t="shared" si="140"/>
        <v>26507193578073.719</v>
      </c>
      <c r="Y126" s="54">
        <f t="shared" si="140"/>
        <v>30571067833021.148</v>
      </c>
      <c r="Z126" s="13">
        <f t="shared" si="140"/>
        <v>35863321086428.766</v>
      </c>
      <c r="AA126" s="13">
        <f t="shared" si="140"/>
        <v>46320875770619.43</v>
      </c>
      <c r="AB126" s="13">
        <f t="shared" si="121"/>
        <v>57731598028308.734</v>
      </c>
      <c r="AC126" s="13">
        <f t="shared" si="98"/>
        <v>0</v>
      </c>
      <c r="AD126" s="13">
        <f t="shared" si="105"/>
        <v>0</v>
      </c>
      <c r="AE126" s="13">
        <f t="shared" si="105"/>
        <v>0</v>
      </c>
      <c r="AF126" s="13">
        <f t="shared" si="105"/>
        <v>0</v>
      </c>
      <c r="AG126" s="13">
        <f t="shared" si="105"/>
        <v>0</v>
      </c>
      <c r="AH126" s="13">
        <f t="shared" si="105"/>
        <v>0</v>
      </c>
      <c r="AI126" s="13">
        <f t="shared" si="105"/>
        <v>0</v>
      </c>
      <c r="AJ126" s="13">
        <f t="shared" si="105"/>
        <v>0</v>
      </c>
      <c r="AK126" s="13">
        <f t="shared" si="105"/>
        <v>0</v>
      </c>
      <c r="AL126" s="13">
        <f t="shared" si="138"/>
        <v>0</v>
      </c>
      <c r="AM126" s="13">
        <f t="shared" si="139"/>
        <v>0</v>
      </c>
      <c r="AN126" s="13">
        <f t="shared" si="135"/>
        <v>0</v>
      </c>
      <c r="AO126" s="13">
        <f t="shared" si="136"/>
        <v>0</v>
      </c>
      <c r="AP126" s="13">
        <f t="shared" si="137"/>
        <v>0</v>
      </c>
      <c r="AQ126" s="13">
        <f t="shared" si="99"/>
        <v>0</v>
      </c>
      <c r="AR126" s="13">
        <f t="shared" si="87"/>
        <v>0</v>
      </c>
      <c r="AS126" s="13">
        <f t="shared" si="88"/>
        <v>0</v>
      </c>
      <c r="AT126" s="13">
        <f t="shared" si="89"/>
        <v>0</v>
      </c>
      <c r="AU126" s="13">
        <f t="shared" si="90"/>
        <v>0</v>
      </c>
      <c r="AV126" s="13">
        <f t="shared" si="91"/>
        <v>0</v>
      </c>
      <c r="AW126" s="13">
        <f t="shared" si="92"/>
        <v>0</v>
      </c>
      <c r="AX126" s="13">
        <f t="shared" si="93"/>
        <v>0</v>
      </c>
      <c r="AY126" s="13">
        <f t="shared" si="94"/>
        <v>0</v>
      </c>
      <c r="AZ126" s="13">
        <f t="shared" si="95"/>
        <v>0</v>
      </c>
      <c r="BA126" s="13">
        <f t="shared" si="122"/>
        <v>0</v>
      </c>
      <c r="BB126" s="13">
        <f t="shared" si="123"/>
        <v>0</v>
      </c>
    </row>
    <row r="127" spans="1:54">
      <c r="A127">
        <f>data0!A125</f>
        <v>915</v>
      </c>
      <c r="B127">
        <v>0</v>
      </c>
      <c r="C127" t="e">
        <f ca="1">(Calculations!C126-C$2)/C$1</f>
        <v>#DIV/0!</v>
      </c>
      <c r="D127" s="13" t="e">
        <f t="shared" ref="D127:D164" ca="1" si="141">$C127*Q127</f>
        <v>#DIV/0!</v>
      </c>
      <c r="E127" s="13" t="e">
        <f t="shared" ref="E127:E164" ca="1" si="142">$C127*R127</f>
        <v>#DIV/0!</v>
      </c>
      <c r="F127" s="13" t="e">
        <f t="shared" ref="F127:F164" ca="1" si="143">$C127*S127</f>
        <v>#DIV/0!</v>
      </c>
      <c r="G127" s="13" t="e">
        <f t="shared" ref="G127:G164" ca="1" si="144">$C127*T127</f>
        <v>#DIV/0!</v>
      </c>
      <c r="H127" s="13" t="e">
        <f t="shared" ref="H127:H164" ca="1" si="145">$C127*U127</f>
        <v>#DIV/0!</v>
      </c>
      <c r="I127" s="13" t="e">
        <f t="shared" ref="I127:I164" ca="1" si="146">$C127*V127</f>
        <v>#DIV/0!</v>
      </c>
      <c r="J127" s="13" t="e">
        <f t="shared" ref="J127:J164" ca="1" si="147">$C127*W127</f>
        <v>#DIV/0!</v>
      </c>
      <c r="K127" s="13" t="e">
        <f t="shared" ca="1" si="83"/>
        <v>#DIV/0!</v>
      </c>
      <c r="L127" s="13" t="e">
        <f t="shared" ca="1" si="84"/>
        <v>#DIV/0!</v>
      </c>
      <c r="M127" s="13" t="e">
        <f t="shared" ref="M127:M164" ca="1" si="148">$C127*Z127</f>
        <v>#DIV/0!</v>
      </c>
      <c r="N127" s="13" t="e">
        <f t="shared" ca="1" si="132"/>
        <v>#DIV/0!</v>
      </c>
      <c r="O127" s="13" t="e">
        <f t="shared" ca="1" si="133"/>
        <v>#DIV/0!</v>
      </c>
      <c r="P127" s="13" t="e">
        <f t="shared" ca="1" si="134"/>
        <v>#DIV/0!</v>
      </c>
      <c r="Q127" s="13">
        <f t="shared" si="140"/>
        <v>16343574054.832146</v>
      </c>
      <c r="R127" s="13">
        <f t="shared" si="140"/>
        <v>224730586534.42172</v>
      </c>
      <c r="S127" s="13">
        <f t="shared" si="140"/>
        <v>1084419852795.0311</v>
      </c>
      <c r="T127" s="13">
        <f t="shared" si="140"/>
        <v>3104271469486.4395</v>
      </c>
      <c r="U127" s="13">
        <f t="shared" si="140"/>
        <v>6602845832972.002</v>
      </c>
      <c r="V127" s="13">
        <f t="shared" si="140"/>
        <v>11677282576257.473</v>
      </c>
      <c r="W127" s="13">
        <f t="shared" si="140"/>
        <v>18273535352932.555</v>
      </c>
      <c r="X127" s="13">
        <f t="shared" si="140"/>
        <v>26260582121702.723</v>
      </c>
      <c r="Y127" s="54">
        <f t="shared" si="140"/>
        <v>30266529644352.301</v>
      </c>
      <c r="Z127" s="13">
        <f t="shared" si="140"/>
        <v>35480161293256.336</v>
      </c>
      <c r="AA127" s="13">
        <f t="shared" si="140"/>
        <v>45773987363485.359</v>
      </c>
      <c r="AB127" s="13">
        <f t="shared" si="121"/>
        <v>56996410871766.992</v>
      </c>
      <c r="AC127" s="13">
        <f t="shared" si="98"/>
        <v>0</v>
      </c>
      <c r="AD127" s="13">
        <f t="shared" si="105"/>
        <v>0</v>
      </c>
      <c r="AE127" s="13">
        <f t="shared" si="105"/>
        <v>0</v>
      </c>
      <c r="AF127" s="13">
        <f t="shared" si="105"/>
        <v>0</v>
      </c>
      <c r="AG127" s="13">
        <f t="shared" si="105"/>
        <v>0</v>
      </c>
      <c r="AH127" s="13">
        <f t="shared" si="105"/>
        <v>0</v>
      </c>
      <c r="AI127" s="13">
        <f t="shared" si="105"/>
        <v>0</v>
      </c>
      <c r="AJ127" s="13">
        <f t="shared" si="105"/>
        <v>0</v>
      </c>
      <c r="AK127" s="13">
        <f t="shared" ref="AK127:AK163" si="149">$B127*X127</f>
        <v>0</v>
      </c>
      <c r="AL127" s="13">
        <f t="shared" si="138"/>
        <v>0</v>
      </c>
      <c r="AM127" s="13">
        <f t="shared" si="139"/>
        <v>0</v>
      </c>
      <c r="AN127" s="13">
        <f t="shared" si="135"/>
        <v>0</v>
      </c>
      <c r="AO127" s="13">
        <f t="shared" si="136"/>
        <v>0</v>
      </c>
      <c r="AP127" s="13">
        <f t="shared" si="137"/>
        <v>0</v>
      </c>
      <c r="AQ127" s="13">
        <f t="shared" si="99"/>
        <v>0</v>
      </c>
      <c r="AR127" s="13">
        <f t="shared" si="87"/>
        <v>0</v>
      </c>
      <c r="AS127" s="13">
        <f t="shared" si="88"/>
        <v>0</v>
      </c>
      <c r="AT127" s="13">
        <f t="shared" si="89"/>
        <v>0</v>
      </c>
      <c r="AU127" s="13">
        <f t="shared" si="90"/>
        <v>0</v>
      </c>
      <c r="AV127" s="13">
        <f t="shared" si="91"/>
        <v>0</v>
      </c>
      <c r="AW127" s="13">
        <f t="shared" si="92"/>
        <v>0</v>
      </c>
      <c r="AX127" s="13">
        <f t="shared" si="93"/>
        <v>0</v>
      </c>
      <c r="AY127" s="13">
        <f t="shared" si="94"/>
        <v>0</v>
      </c>
      <c r="AZ127" s="13">
        <f t="shared" si="95"/>
        <v>0</v>
      </c>
      <c r="BA127" s="13">
        <f t="shared" si="122"/>
        <v>0</v>
      </c>
      <c r="BB127" s="13">
        <f t="shared" si="123"/>
        <v>0</v>
      </c>
    </row>
    <row r="128" spans="1:54">
      <c r="A128">
        <f>data0!A126</f>
        <v>920</v>
      </c>
      <c r="B128">
        <v>0</v>
      </c>
      <c r="C128" t="e">
        <f ca="1">(Calculations!C127-C$2)/C$1</f>
        <v>#DIV/0!</v>
      </c>
      <c r="D128" s="13" t="e">
        <f t="shared" ca="1" si="141"/>
        <v>#DIV/0!</v>
      </c>
      <c r="E128" s="13" t="e">
        <f t="shared" ca="1" si="142"/>
        <v>#DIV/0!</v>
      </c>
      <c r="F128" s="13" t="e">
        <f t="shared" ca="1" si="143"/>
        <v>#DIV/0!</v>
      </c>
      <c r="G128" s="13" t="e">
        <f t="shared" ca="1" si="144"/>
        <v>#DIV/0!</v>
      </c>
      <c r="H128" s="13" t="e">
        <f t="shared" ca="1" si="145"/>
        <v>#DIV/0!</v>
      </c>
      <c r="I128" s="13" t="e">
        <f t="shared" ca="1" si="146"/>
        <v>#DIV/0!</v>
      </c>
      <c r="J128" s="13" t="e">
        <f t="shared" ca="1" si="147"/>
        <v>#DIV/0!</v>
      </c>
      <c r="K128" s="13" t="e">
        <f t="shared" ca="1" si="83"/>
        <v>#DIV/0!</v>
      </c>
      <c r="L128" s="13" t="e">
        <f t="shared" ca="1" si="84"/>
        <v>#DIV/0!</v>
      </c>
      <c r="M128" s="13" t="e">
        <f t="shared" ca="1" si="148"/>
        <v>#DIV/0!</v>
      </c>
      <c r="N128" s="13" t="e">
        <f t="shared" ca="1" si="132"/>
        <v>#DIV/0!</v>
      </c>
      <c r="O128" s="13" t="e">
        <f t="shared" ca="1" si="133"/>
        <v>#DIV/0!</v>
      </c>
      <c r="P128" s="13" t="e">
        <f t="shared" ca="1" si="134"/>
        <v>#DIV/0!</v>
      </c>
      <c r="Q128" s="13">
        <f t="shared" si="140"/>
        <v>16836689083.845234</v>
      </c>
      <c r="R128" s="13">
        <f t="shared" si="140"/>
        <v>228240536487.65112</v>
      </c>
      <c r="S128" s="13">
        <f t="shared" si="140"/>
        <v>1092037196961.0366</v>
      </c>
      <c r="T128" s="13">
        <f t="shared" si="140"/>
        <v>3108594756235.0786</v>
      </c>
      <c r="U128" s="13">
        <f t="shared" si="140"/>
        <v>6586018900261.9336</v>
      </c>
      <c r="V128" s="13">
        <f t="shared" si="140"/>
        <v>11613800304053.055</v>
      </c>
      <c r="W128" s="13">
        <f t="shared" si="140"/>
        <v>18134154980006.965</v>
      </c>
      <c r="X128" s="13">
        <f t="shared" si="140"/>
        <v>26015404503692.344</v>
      </c>
      <c r="Y128" s="54">
        <f t="shared" si="140"/>
        <v>29964276252358.387</v>
      </c>
      <c r="Z128" s="13">
        <f t="shared" si="140"/>
        <v>35100530788706.371</v>
      </c>
      <c r="AA128" s="13">
        <f t="shared" si="140"/>
        <v>45233459107199.055</v>
      </c>
      <c r="AB128" s="13">
        <f t="shared" si="121"/>
        <v>56271117994012.602</v>
      </c>
      <c r="AC128" s="13">
        <f t="shared" si="98"/>
        <v>0</v>
      </c>
      <c r="AD128" s="13">
        <f t="shared" ref="AD128:AJ164" si="150">$B128*Q128</f>
        <v>0</v>
      </c>
      <c r="AE128" s="13">
        <f t="shared" si="150"/>
        <v>0</v>
      </c>
      <c r="AF128" s="13">
        <f t="shared" si="150"/>
        <v>0</v>
      </c>
      <c r="AG128" s="13">
        <f t="shared" si="150"/>
        <v>0</v>
      </c>
      <c r="AH128" s="13">
        <f t="shared" si="150"/>
        <v>0</v>
      </c>
      <c r="AI128" s="13">
        <f t="shared" si="150"/>
        <v>0</v>
      </c>
      <c r="AJ128" s="13">
        <f t="shared" si="150"/>
        <v>0</v>
      </c>
      <c r="AK128" s="13">
        <f t="shared" si="149"/>
        <v>0</v>
      </c>
      <c r="AL128" s="13">
        <f t="shared" si="138"/>
        <v>0</v>
      </c>
      <c r="AM128" s="13">
        <f t="shared" si="139"/>
        <v>0</v>
      </c>
      <c r="AN128" s="13">
        <f t="shared" si="135"/>
        <v>0</v>
      </c>
      <c r="AO128" s="13">
        <f t="shared" si="136"/>
        <v>0</v>
      </c>
      <c r="AP128" s="13">
        <f t="shared" si="137"/>
        <v>0</v>
      </c>
      <c r="AQ128" s="13">
        <f t="shared" si="99"/>
        <v>0</v>
      </c>
      <c r="AR128" s="13">
        <f t="shared" si="87"/>
        <v>0</v>
      </c>
      <c r="AS128" s="13">
        <f t="shared" si="88"/>
        <v>0</v>
      </c>
      <c r="AT128" s="13">
        <f t="shared" si="89"/>
        <v>0</v>
      </c>
      <c r="AU128" s="13">
        <f t="shared" si="90"/>
        <v>0</v>
      </c>
      <c r="AV128" s="13">
        <f t="shared" si="91"/>
        <v>0</v>
      </c>
      <c r="AW128" s="13">
        <f t="shared" si="92"/>
        <v>0</v>
      </c>
      <c r="AX128" s="13">
        <f t="shared" si="93"/>
        <v>0</v>
      </c>
      <c r="AY128" s="13">
        <f t="shared" si="94"/>
        <v>0</v>
      </c>
      <c r="AZ128" s="13">
        <f t="shared" si="95"/>
        <v>0</v>
      </c>
      <c r="BA128" s="13">
        <f t="shared" si="122"/>
        <v>0</v>
      </c>
      <c r="BB128" s="13">
        <f t="shared" si="123"/>
        <v>0</v>
      </c>
    </row>
    <row r="129" spans="1:54">
      <c r="A129">
        <f>data0!A127</f>
        <v>925</v>
      </c>
      <c r="B129">
        <v>0</v>
      </c>
      <c r="C129" t="e">
        <f ca="1">(Calculations!C128-C$2)/C$1</f>
        <v>#DIV/0!</v>
      </c>
      <c r="D129" s="13" t="e">
        <f t="shared" ca="1" si="141"/>
        <v>#DIV/0!</v>
      </c>
      <c r="E129" s="13" t="e">
        <f t="shared" ca="1" si="142"/>
        <v>#DIV/0!</v>
      </c>
      <c r="F129" s="13" t="e">
        <f t="shared" ca="1" si="143"/>
        <v>#DIV/0!</v>
      </c>
      <c r="G129" s="13" t="e">
        <f t="shared" ca="1" si="144"/>
        <v>#DIV/0!</v>
      </c>
      <c r="H129" s="13" t="e">
        <f t="shared" ca="1" si="145"/>
        <v>#DIV/0!</v>
      </c>
      <c r="I129" s="13" t="e">
        <f t="shared" ca="1" si="146"/>
        <v>#DIV/0!</v>
      </c>
      <c r="J129" s="13" t="e">
        <f t="shared" ca="1" si="147"/>
        <v>#DIV/0!</v>
      </c>
      <c r="K129" s="13" t="e">
        <f t="shared" ca="1" si="83"/>
        <v>#DIV/0!</v>
      </c>
      <c r="L129" s="13" t="e">
        <f t="shared" ca="1" si="84"/>
        <v>#DIV/0!</v>
      </c>
      <c r="M129" s="13" t="e">
        <f t="shared" ca="1" si="148"/>
        <v>#DIV/0!</v>
      </c>
      <c r="N129" s="13" t="e">
        <f t="shared" ca="1" si="132"/>
        <v>#DIV/0!</v>
      </c>
      <c r="O129" s="13" t="e">
        <f t="shared" ca="1" si="133"/>
        <v>#DIV/0!</v>
      </c>
      <c r="P129" s="13" t="e">
        <f t="shared" ca="1" si="134"/>
        <v>#DIV/0!</v>
      </c>
      <c r="Q129" s="13">
        <f t="shared" si="140"/>
        <v>17336564273.13892</v>
      </c>
      <c r="R129" s="13">
        <f t="shared" si="140"/>
        <v>231732598810.15991</v>
      </c>
      <c r="S129" s="13">
        <f t="shared" si="140"/>
        <v>1099465759873.0726</v>
      </c>
      <c r="T129" s="13">
        <f t="shared" si="140"/>
        <v>3112433700993.25</v>
      </c>
      <c r="U129" s="13">
        <f t="shared" si="140"/>
        <v>6568496390825.2754</v>
      </c>
      <c r="V129" s="13">
        <f t="shared" si="140"/>
        <v>11549755522895.291</v>
      </c>
      <c r="W129" s="13">
        <f t="shared" si="140"/>
        <v>17994894463600.246</v>
      </c>
      <c r="X129" s="13">
        <f t="shared" si="140"/>
        <v>25771698804236.609</v>
      </c>
      <c r="Y129" s="54">
        <f t="shared" si="140"/>
        <v>29664336451096.281</v>
      </c>
      <c r="Z129" s="13">
        <f t="shared" si="140"/>
        <v>34724441470055.234</v>
      </c>
      <c r="AA129" s="13">
        <f t="shared" si="140"/>
        <v>44699255735118.883</v>
      </c>
      <c r="AB129" s="13">
        <f t="shared" si="121"/>
        <v>55555615304920.32</v>
      </c>
      <c r="AC129" s="13">
        <f t="shared" si="98"/>
        <v>0</v>
      </c>
      <c r="AD129" s="13">
        <f t="shared" si="150"/>
        <v>0</v>
      </c>
      <c r="AE129" s="13">
        <f t="shared" si="150"/>
        <v>0</v>
      </c>
      <c r="AF129" s="13">
        <f t="shared" si="150"/>
        <v>0</v>
      </c>
      <c r="AG129" s="13">
        <f t="shared" si="150"/>
        <v>0</v>
      </c>
      <c r="AH129" s="13">
        <f t="shared" si="150"/>
        <v>0</v>
      </c>
      <c r="AI129" s="13">
        <f t="shared" si="150"/>
        <v>0</v>
      </c>
      <c r="AJ129" s="13">
        <f t="shared" si="150"/>
        <v>0</v>
      </c>
      <c r="AK129" s="13">
        <f t="shared" si="149"/>
        <v>0</v>
      </c>
      <c r="AL129" s="13">
        <f t="shared" si="138"/>
        <v>0</v>
      </c>
      <c r="AM129" s="13">
        <f t="shared" si="139"/>
        <v>0</v>
      </c>
      <c r="AN129" s="13">
        <f t="shared" si="135"/>
        <v>0</v>
      </c>
      <c r="AO129" s="13">
        <f t="shared" si="136"/>
        <v>0</v>
      </c>
      <c r="AP129" s="13">
        <f t="shared" si="137"/>
        <v>0</v>
      </c>
      <c r="AQ129" s="13">
        <f t="shared" si="99"/>
        <v>0</v>
      </c>
      <c r="AR129" s="13">
        <f t="shared" si="87"/>
        <v>0</v>
      </c>
      <c r="AS129" s="13">
        <f t="shared" si="88"/>
        <v>0</v>
      </c>
      <c r="AT129" s="13">
        <f t="shared" si="89"/>
        <v>0</v>
      </c>
      <c r="AU129" s="13">
        <f t="shared" si="90"/>
        <v>0</v>
      </c>
      <c r="AV129" s="13">
        <f t="shared" si="91"/>
        <v>0</v>
      </c>
      <c r="AW129" s="13">
        <f t="shared" si="92"/>
        <v>0</v>
      </c>
      <c r="AX129" s="13">
        <f t="shared" si="93"/>
        <v>0</v>
      </c>
      <c r="AY129" s="13">
        <f t="shared" si="94"/>
        <v>0</v>
      </c>
      <c r="AZ129" s="13">
        <f t="shared" si="95"/>
        <v>0</v>
      </c>
      <c r="BA129" s="13">
        <f t="shared" si="122"/>
        <v>0</v>
      </c>
      <c r="BB129" s="13">
        <f t="shared" si="123"/>
        <v>0</v>
      </c>
    </row>
    <row r="130" spans="1:54">
      <c r="A130">
        <f>data0!A128</f>
        <v>930</v>
      </c>
      <c r="B130">
        <v>0</v>
      </c>
      <c r="C130" t="e">
        <f ca="1">(Calculations!C129-C$2)/C$1</f>
        <v>#DIV/0!</v>
      </c>
      <c r="D130" s="13" t="e">
        <f t="shared" ca="1" si="141"/>
        <v>#DIV/0!</v>
      </c>
      <c r="E130" s="13" t="e">
        <f t="shared" ca="1" si="142"/>
        <v>#DIV/0!</v>
      </c>
      <c r="F130" s="13" t="e">
        <f t="shared" ca="1" si="143"/>
        <v>#DIV/0!</v>
      </c>
      <c r="G130" s="13" t="e">
        <f t="shared" ca="1" si="144"/>
        <v>#DIV/0!</v>
      </c>
      <c r="H130" s="13" t="e">
        <f t="shared" ca="1" si="145"/>
        <v>#DIV/0!</v>
      </c>
      <c r="I130" s="13" t="e">
        <f t="shared" ca="1" si="146"/>
        <v>#DIV/0!</v>
      </c>
      <c r="J130" s="13" t="e">
        <f t="shared" ca="1" si="147"/>
        <v>#DIV/0!</v>
      </c>
      <c r="K130" s="13" t="e">
        <f t="shared" ca="1" si="83"/>
        <v>#DIV/0!</v>
      </c>
      <c r="L130" s="13" t="e">
        <f t="shared" ca="1" si="84"/>
        <v>#DIV/0!</v>
      </c>
      <c r="M130" s="13" t="e">
        <f t="shared" ca="1" si="148"/>
        <v>#DIV/0!</v>
      </c>
      <c r="N130" s="13" t="e">
        <f t="shared" ca="1" si="132"/>
        <v>#DIV/0!</v>
      </c>
      <c r="O130" s="13" t="e">
        <f t="shared" ca="1" si="133"/>
        <v>#DIV/0!</v>
      </c>
      <c r="P130" s="13" t="e">
        <f t="shared" ca="1" si="134"/>
        <v>#DIV/0!</v>
      </c>
      <c r="Q130" s="13">
        <f t="shared" si="140"/>
        <v>17843074348.606907</v>
      </c>
      <c r="R130" s="13">
        <f t="shared" si="140"/>
        <v>235205672729.96216</v>
      </c>
      <c r="S130" s="13">
        <f t="shared" si="140"/>
        <v>1106705823553.7654</v>
      </c>
      <c r="T130" s="13">
        <f t="shared" si="140"/>
        <v>3115797040628.834</v>
      </c>
      <c r="U130" s="13">
        <f t="shared" si="140"/>
        <v>6550301520340.2422</v>
      </c>
      <c r="V130" s="13">
        <f t="shared" si="140"/>
        <v>11485185615949.406</v>
      </c>
      <c r="W130" s="13">
        <f t="shared" si="140"/>
        <v>17855797400609.203</v>
      </c>
      <c r="X130" s="13">
        <f t="shared" si="140"/>
        <v>25529500606782.066</v>
      </c>
      <c r="Y130" s="54">
        <f t="shared" si="140"/>
        <v>29366736410395.395</v>
      </c>
      <c r="Z130" s="13">
        <f t="shared" si="140"/>
        <v>34351902599840.516</v>
      </c>
      <c r="AA130" s="13">
        <f t="shared" si="140"/>
        <v>44171339805894.109</v>
      </c>
      <c r="AB130" s="13">
        <f t="shared" si="121"/>
        <v>54849797692426.852</v>
      </c>
      <c r="AC130" s="13">
        <f t="shared" si="98"/>
        <v>0</v>
      </c>
      <c r="AD130" s="13">
        <f t="shared" si="150"/>
        <v>0</v>
      </c>
      <c r="AE130" s="13">
        <f t="shared" si="150"/>
        <v>0</v>
      </c>
      <c r="AF130" s="13">
        <f t="shared" si="150"/>
        <v>0</v>
      </c>
      <c r="AG130" s="13">
        <f t="shared" si="150"/>
        <v>0</v>
      </c>
      <c r="AH130" s="13">
        <f t="shared" si="150"/>
        <v>0</v>
      </c>
      <c r="AI130" s="13">
        <f t="shared" si="150"/>
        <v>0</v>
      </c>
      <c r="AJ130" s="13">
        <f t="shared" si="150"/>
        <v>0</v>
      </c>
      <c r="AK130" s="13">
        <f t="shared" si="149"/>
        <v>0</v>
      </c>
      <c r="AL130" s="13">
        <f t="shared" si="138"/>
        <v>0</v>
      </c>
      <c r="AM130" s="13">
        <f t="shared" si="139"/>
        <v>0</v>
      </c>
      <c r="AN130" s="13">
        <f t="shared" si="135"/>
        <v>0</v>
      </c>
      <c r="AO130" s="13">
        <f t="shared" si="136"/>
        <v>0</v>
      </c>
      <c r="AP130" s="13">
        <f t="shared" si="137"/>
        <v>0</v>
      </c>
      <c r="AQ130" s="13">
        <f t="shared" si="99"/>
        <v>0</v>
      </c>
      <c r="AR130" s="13">
        <f t="shared" si="87"/>
        <v>0</v>
      </c>
      <c r="AS130" s="13">
        <f t="shared" si="88"/>
        <v>0</v>
      </c>
      <c r="AT130" s="13">
        <f t="shared" si="89"/>
        <v>0</v>
      </c>
      <c r="AU130" s="13">
        <f t="shared" si="90"/>
        <v>0</v>
      </c>
      <c r="AV130" s="13">
        <f t="shared" si="91"/>
        <v>0</v>
      </c>
      <c r="AW130" s="13">
        <f t="shared" si="92"/>
        <v>0</v>
      </c>
      <c r="AX130" s="13">
        <f t="shared" si="93"/>
        <v>0</v>
      </c>
      <c r="AY130" s="13">
        <f t="shared" si="94"/>
        <v>0</v>
      </c>
      <c r="AZ130" s="13">
        <f t="shared" si="95"/>
        <v>0</v>
      </c>
      <c r="BA130" s="13">
        <f t="shared" si="122"/>
        <v>0</v>
      </c>
      <c r="BB130" s="13">
        <f t="shared" si="123"/>
        <v>0</v>
      </c>
    </row>
    <row r="131" spans="1:54">
      <c r="A131">
        <f>data0!A129</f>
        <v>935</v>
      </c>
      <c r="B131">
        <v>0</v>
      </c>
      <c r="C131" t="e">
        <f ca="1">(Calculations!C130-C$2)/C$1</f>
        <v>#DIV/0!</v>
      </c>
      <c r="D131" s="13" t="e">
        <f t="shared" ca="1" si="141"/>
        <v>#DIV/0!</v>
      </c>
      <c r="E131" s="13" t="e">
        <f t="shared" ca="1" si="142"/>
        <v>#DIV/0!</v>
      </c>
      <c r="F131" s="13" t="e">
        <f t="shared" ca="1" si="143"/>
        <v>#DIV/0!</v>
      </c>
      <c r="G131" s="13" t="e">
        <f t="shared" ca="1" si="144"/>
        <v>#DIV/0!</v>
      </c>
      <c r="H131" s="13" t="e">
        <f t="shared" ca="1" si="145"/>
        <v>#DIV/0!</v>
      </c>
      <c r="I131" s="13" t="e">
        <f t="shared" ca="1" si="146"/>
        <v>#DIV/0!</v>
      </c>
      <c r="J131" s="13" t="e">
        <f t="shared" ca="1" si="147"/>
        <v>#DIV/0!</v>
      </c>
      <c r="K131" s="13" t="e">
        <f t="shared" ca="1" si="83"/>
        <v>#DIV/0!</v>
      </c>
      <c r="L131" s="13" t="e">
        <f t="shared" ca="1" si="84"/>
        <v>#DIV/0!</v>
      </c>
      <c r="M131" s="13" t="e">
        <f t="shared" ca="1" si="148"/>
        <v>#DIV/0!</v>
      </c>
      <c r="N131" s="13" t="e">
        <f t="shared" ca="1" si="132"/>
        <v>#DIV/0!</v>
      </c>
      <c r="O131" s="13" t="e">
        <f t="shared" ca="1" si="133"/>
        <v>#DIV/0!</v>
      </c>
      <c r="P131" s="13" t="e">
        <f t="shared" ca="1" si="134"/>
        <v>#DIV/0!</v>
      </c>
      <c r="Q131" s="13">
        <f t="shared" si="140"/>
        <v>18356090409.263367</v>
      </c>
      <c r="R131" s="13">
        <f t="shared" si="140"/>
        <v>238658688309.30933</v>
      </c>
      <c r="S131" s="13">
        <f t="shared" si="140"/>
        <v>1113757777446.489</v>
      </c>
      <c r="T131" s="13">
        <f t="shared" si="140"/>
        <v>3118693525812.458</v>
      </c>
      <c r="U131" s="13">
        <f t="shared" si="140"/>
        <v>6531457089046.0176</v>
      </c>
      <c r="V131" s="13">
        <f t="shared" si="140"/>
        <v>11420126850387.092</v>
      </c>
      <c r="W131" s="13">
        <f t="shared" si="140"/>
        <v>17716905524699.719</v>
      </c>
      <c r="X131" s="13">
        <f t="shared" si="140"/>
        <v>25288843097375.687</v>
      </c>
      <c r="Y131" s="54">
        <f t="shared" si="140"/>
        <v>29071499792361.457</v>
      </c>
      <c r="Z131" s="13">
        <f t="shared" si="140"/>
        <v>33982920940319.684</v>
      </c>
      <c r="AA131" s="13">
        <f t="shared" si="140"/>
        <v>43649671857840.992</v>
      </c>
      <c r="AB131" s="13">
        <f t="shared" si="121"/>
        <v>54153559175026.125</v>
      </c>
      <c r="AC131" s="13">
        <f t="shared" si="98"/>
        <v>0</v>
      </c>
      <c r="AD131" s="13">
        <f t="shared" si="150"/>
        <v>0</v>
      </c>
      <c r="AE131" s="13">
        <f t="shared" si="150"/>
        <v>0</v>
      </c>
      <c r="AF131" s="13">
        <f t="shared" si="150"/>
        <v>0</v>
      </c>
      <c r="AG131" s="13">
        <f t="shared" si="150"/>
        <v>0</v>
      </c>
      <c r="AH131" s="13">
        <f t="shared" si="150"/>
        <v>0</v>
      </c>
      <c r="AI131" s="13">
        <f t="shared" si="150"/>
        <v>0</v>
      </c>
      <c r="AJ131" s="13">
        <f t="shared" si="150"/>
        <v>0</v>
      </c>
      <c r="AK131" s="13">
        <f t="shared" si="149"/>
        <v>0</v>
      </c>
      <c r="AL131" s="13">
        <f t="shared" si="138"/>
        <v>0</v>
      </c>
      <c r="AM131" s="13">
        <f t="shared" si="139"/>
        <v>0</v>
      </c>
      <c r="AN131" s="13">
        <f t="shared" si="135"/>
        <v>0</v>
      </c>
      <c r="AO131" s="13">
        <f t="shared" si="136"/>
        <v>0</v>
      </c>
      <c r="AP131" s="13">
        <f t="shared" si="137"/>
        <v>0</v>
      </c>
      <c r="AQ131" s="13">
        <f t="shared" si="99"/>
        <v>0</v>
      </c>
      <c r="AR131" s="13">
        <f t="shared" si="87"/>
        <v>0</v>
      </c>
      <c r="AS131" s="13">
        <f t="shared" si="88"/>
        <v>0</v>
      </c>
      <c r="AT131" s="13">
        <f t="shared" si="89"/>
        <v>0</v>
      </c>
      <c r="AU131" s="13">
        <f t="shared" si="90"/>
        <v>0</v>
      </c>
      <c r="AV131" s="13">
        <f t="shared" si="91"/>
        <v>0</v>
      </c>
      <c r="AW131" s="13">
        <f t="shared" si="92"/>
        <v>0</v>
      </c>
      <c r="AX131" s="13">
        <f t="shared" si="93"/>
        <v>0</v>
      </c>
      <c r="AY131" s="13">
        <f t="shared" si="94"/>
        <v>0</v>
      </c>
      <c r="AZ131" s="13">
        <f t="shared" si="95"/>
        <v>0</v>
      </c>
      <c r="BA131" s="13">
        <f t="shared" si="122"/>
        <v>0</v>
      </c>
      <c r="BB131" s="13">
        <f t="shared" si="123"/>
        <v>0</v>
      </c>
    </row>
    <row r="132" spans="1:54">
      <c r="A132">
        <f>data0!A130</f>
        <v>940</v>
      </c>
      <c r="B132">
        <v>0</v>
      </c>
      <c r="C132" t="e">
        <f ca="1">(Calculations!C131-C$2)/C$1</f>
        <v>#DIV/0!</v>
      </c>
      <c r="D132" s="13" t="e">
        <f t="shared" ca="1" si="141"/>
        <v>#DIV/0!</v>
      </c>
      <c r="E132" s="13" t="e">
        <f t="shared" ca="1" si="142"/>
        <v>#DIV/0!</v>
      </c>
      <c r="F132" s="13" t="e">
        <f t="shared" ca="1" si="143"/>
        <v>#DIV/0!</v>
      </c>
      <c r="G132" s="13" t="e">
        <f t="shared" ca="1" si="144"/>
        <v>#DIV/0!</v>
      </c>
      <c r="H132" s="13" t="e">
        <f t="shared" ca="1" si="145"/>
        <v>#DIV/0!</v>
      </c>
      <c r="I132" s="13" t="e">
        <f t="shared" ca="1" si="146"/>
        <v>#DIV/0!</v>
      </c>
      <c r="J132" s="13" t="e">
        <f t="shared" ca="1" si="147"/>
        <v>#DIV/0!</v>
      </c>
      <c r="K132" s="13" t="e">
        <f t="shared" ref="K132:K164" ca="1" si="151">$C132*X132</f>
        <v>#DIV/0!</v>
      </c>
      <c r="L132" s="13" t="e">
        <f t="shared" ref="L132:L164" ca="1" si="152">$C132*Y132</f>
        <v>#DIV/0!</v>
      </c>
      <c r="M132" s="13" t="e">
        <f t="shared" ca="1" si="148"/>
        <v>#DIV/0!</v>
      </c>
      <c r="N132" s="13" t="e">
        <f t="shared" ca="1" si="132"/>
        <v>#DIV/0!</v>
      </c>
      <c r="O132" s="13" t="e">
        <f t="shared" ca="1" si="133"/>
        <v>#DIV/0!</v>
      </c>
      <c r="P132" s="13" t="e">
        <f t="shared" ca="1" si="134"/>
        <v>#DIV/0!</v>
      </c>
      <c r="Q132" s="13">
        <f t="shared" ref="Q132:AA147" si="153">(3.7418E-16/POWER($A132*0.000000001,5))/(EXP(0.0143877/($A132*Q$3/1000000000))-1)</f>
        <v>18875480098.290676</v>
      </c>
      <c r="R132" s="13">
        <f t="shared" si="153"/>
        <v>242090606567.00174</v>
      </c>
      <c r="S132" s="13">
        <f t="shared" si="153"/>
        <v>1120622114155.46</v>
      </c>
      <c r="T132" s="13">
        <f t="shared" si="153"/>
        <v>3121131912383.4824</v>
      </c>
      <c r="U132" s="13">
        <f t="shared" si="153"/>
        <v>6511985479830.1348</v>
      </c>
      <c r="V132" s="13">
        <f t="shared" si="153"/>
        <v>11354614398566.889</v>
      </c>
      <c r="W132" s="13">
        <f t="shared" si="153"/>
        <v>17578258763189.221</v>
      </c>
      <c r="X132" s="13">
        <f t="shared" si="153"/>
        <v>25049757160823.863</v>
      </c>
      <c r="Y132" s="54">
        <f t="shared" si="153"/>
        <v>28778647863666.293</v>
      </c>
      <c r="Z132" s="13">
        <f t="shared" si="153"/>
        <v>33617500882454.965</v>
      </c>
      <c r="AA132" s="13">
        <f t="shared" si="153"/>
        <v>43134210555760.68</v>
      </c>
      <c r="AB132" s="13">
        <f t="shared" ref="AB132:AB164" si="154">(3.7418E-16/POWER($A132*0.000000001,5))/(EXP(0.0143877/($A132*AB$3/1000000000))-1)</f>
        <v>53466793045218.711</v>
      </c>
      <c r="AC132" s="13">
        <f t="shared" si="98"/>
        <v>0</v>
      </c>
      <c r="AD132" s="13">
        <f t="shared" si="150"/>
        <v>0</v>
      </c>
      <c r="AE132" s="13">
        <f t="shared" si="150"/>
        <v>0</v>
      </c>
      <c r="AF132" s="13">
        <f t="shared" si="150"/>
        <v>0</v>
      </c>
      <c r="AG132" s="13">
        <f t="shared" si="150"/>
        <v>0</v>
      </c>
      <c r="AH132" s="13">
        <f t="shared" si="150"/>
        <v>0</v>
      </c>
      <c r="AI132" s="13">
        <f t="shared" si="150"/>
        <v>0</v>
      </c>
      <c r="AJ132" s="13">
        <f t="shared" si="150"/>
        <v>0</v>
      </c>
      <c r="AK132" s="13">
        <f t="shared" si="149"/>
        <v>0</v>
      </c>
      <c r="AL132" s="13">
        <f t="shared" si="138"/>
        <v>0</v>
      </c>
      <c r="AM132" s="13">
        <f t="shared" si="139"/>
        <v>0</v>
      </c>
      <c r="AN132" s="13">
        <f t="shared" si="135"/>
        <v>0</v>
      </c>
      <c r="AO132" s="13">
        <f t="shared" si="136"/>
        <v>0</v>
      </c>
      <c r="AP132" s="13">
        <f t="shared" si="137"/>
        <v>0</v>
      </c>
      <c r="AQ132" s="13">
        <f t="shared" si="99"/>
        <v>0</v>
      </c>
      <c r="AR132" s="13">
        <f t="shared" ref="AR132:AR164" si="155">AE132/AE$2</f>
        <v>0</v>
      </c>
      <c r="AS132" s="13">
        <f t="shared" ref="AS132:AS164" si="156">AF132/AF$2</f>
        <v>0</v>
      </c>
      <c r="AT132" s="13">
        <f t="shared" ref="AT132:AT164" si="157">AG132/AG$2</f>
        <v>0</v>
      </c>
      <c r="AU132" s="13">
        <f t="shared" ref="AU132:AU164" si="158">AH132/AH$2</f>
        <v>0</v>
      </c>
      <c r="AV132" s="13">
        <f t="shared" ref="AV132:AV164" si="159">AI132/AI$2</f>
        <v>0</v>
      </c>
      <c r="AW132" s="13">
        <f t="shared" ref="AW132:AW164" si="160">AJ132/AJ$2</f>
        <v>0</v>
      </c>
      <c r="AX132" s="13">
        <f t="shared" ref="AX132:AX164" si="161">AL132/AL$2</f>
        <v>0</v>
      </c>
      <c r="AY132" s="13">
        <f t="shared" ref="AY132:AY164" si="162">AM132/AM$2</f>
        <v>0</v>
      </c>
      <c r="AZ132" s="13">
        <f t="shared" ref="AZ132:AZ164" si="163">AN132/AN$2</f>
        <v>0</v>
      </c>
      <c r="BA132" s="13">
        <f t="shared" ref="BA132:BA164" si="164">AO132/AO$2</f>
        <v>0</v>
      </c>
      <c r="BB132" s="13">
        <f t="shared" ref="BB132:BB164" si="165">AP132/AP$2</f>
        <v>0</v>
      </c>
    </row>
    <row r="133" spans="1:54">
      <c r="A133">
        <f>data0!A131</f>
        <v>945</v>
      </c>
      <c r="B133">
        <v>0</v>
      </c>
      <c r="C133" t="e">
        <f ca="1">(Calculations!C132-C$2)/C$1</f>
        <v>#DIV/0!</v>
      </c>
      <c r="D133" s="13" t="e">
        <f t="shared" ca="1" si="141"/>
        <v>#DIV/0!</v>
      </c>
      <c r="E133" s="13" t="e">
        <f t="shared" ca="1" si="142"/>
        <v>#DIV/0!</v>
      </c>
      <c r="F133" s="13" t="e">
        <f t="shared" ca="1" si="143"/>
        <v>#DIV/0!</v>
      </c>
      <c r="G133" s="13" t="e">
        <f t="shared" ca="1" si="144"/>
        <v>#DIV/0!</v>
      </c>
      <c r="H133" s="13" t="e">
        <f t="shared" ca="1" si="145"/>
        <v>#DIV/0!</v>
      </c>
      <c r="I133" s="13" t="e">
        <f t="shared" ca="1" si="146"/>
        <v>#DIV/0!</v>
      </c>
      <c r="J133" s="13" t="e">
        <f t="shared" ca="1" si="147"/>
        <v>#DIV/0!</v>
      </c>
      <c r="K133" s="13" t="e">
        <f t="shared" ca="1" si="151"/>
        <v>#DIV/0!</v>
      </c>
      <c r="L133" s="13" t="e">
        <f t="shared" ca="1" si="152"/>
        <v>#DIV/0!</v>
      </c>
      <c r="M133" s="13" t="e">
        <f t="shared" ca="1" si="148"/>
        <v>#DIV/0!</v>
      </c>
      <c r="N133" s="13" t="e">
        <f t="shared" ca="1" si="132"/>
        <v>#DIV/0!</v>
      </c>
      <c r="O133" s="13" t="e">
        <f t="shared" ca="1" si="133"/>
        <v>#DIV/0!</v>
      </c>
      <c r="P133" s="13" t="e">
        <f t="shared" ca="1" si="134"/>
        <v>#DIV/0!</v>
      </c>
      <c r="Q133" s="13">
        <f t="shared" si="153"/>
        <v>19401107774.280849</v>
      </c>
      <c r="R133" s="13">
        <f t="shared" si="153"/>
        <v>245500419556.28787</v>
      </c>
      <c r="S133" s="13">
        <f t="shared" si="153"/>
        <v>1127299425251.7253</v>
      </c>
      <c r="T133" s="13">
        <f t="shared" si="153"/>
        <v>3123120953158.8354</v>
      </c>
      <c r="U133" s="13">
        <f t="shared" si="153"/>
        <v>6491908656958.6348</v>
      </c>
      <c r="V133" s="13">
        <f t="shared" si="153"/>
        <v>11288682359369.246</v>
      </c>
      <c r="W133" s="13">
        <f t="shared" si="153"/>
        <v>17439895292757.758</v>
      </c>
      <c r="X133" s="13">
        <f t="shared" si="153"/>
        <v>24812271473732.156</v>
      </c>
      <c r="Y133" s="54">
        <f t="shared" si="153"/>
        <v>28488199603744.645</v>
      </c>
      <c r="Z133" s="13">
        <f t="shared" si="153"/>
        <v>33255644569614.082</v>
      </c>
      <c r="AA133" s="13">
        <f t="shared" si="153"/>
        <v>42624912830523.914</v>
      </c>
      <c r="AB133" s="13">
        <f t="shared" si="154"/>
        <v>52789392004366.375</v>
      </c>
      <c r="AC133" s="13">
        <f t="shared" ref="AC133:AC164" si="166">B133*Y133</f>
        <v>0</v>
      </c>
      <c r="AD133" s="13">
        <f t="shared" si="150"/>
        <v>0</v>
      </c>
      <c r="AE133" s="13">
        <f t="shared" si="150"/>
        <v>0</v>
      </c>
      <c r="AF133" s="13">
        <f t="shared" si="150"/>
        <v>0</v>
      </c>
      <c r="AG133" s="13">
        <f t="shared" si="150"/>
        <v>0</v>
      </c>
      <c r="AH133" s="13">
        <f t="shared" si="150"/>
        <v>0</v>
      </c>
      <c r="AI133" s="13">
        <f t="shared" si="150"/>
        <v>0</v>
      </c>
      <c r="AJ133" s="13">
        <f t="shared" si="150"/>
        <v>0</v>
      </c>
      <c r="AK133" s="13">
        <f t="shared" si="149"/>
        <v>0</v>
      </c>
      <c r="AL133" s="13">
        <f t="shared" si="138"/>
        <v>0</v>
      </c>
      <c r="AM133" s="13">
        <f t="shared" si="139"/>
        <v>0</v>
      </c>
      <c r="AN133" s="13">
        <f t="shared" si="135"/>
        <v>0</v>
      </c>
      <c r="AO133" s="13">
        <f t="shared" si="136"/>
        <v>0</v>
      </c>
      <c r="AP133" s="13">
        <f t="shared" si="137"/>
        <v>0</v>
      </c>
      <c r="AQ133" s="13">
        <f t="shared" ref="AQ133:AQ164" si="167">AD133/AD$2</f>
        <v>0</v>
      </c>
      <c r="AR133" s="13">
        <f t="shared" si="155"/>
        <v>0</v>
      </c>
      <c r="AS133" s="13">
        <f t="shared" si="156"/>
        <v>0</v>
      </c>
      <c r="AT133" s="13">
        <f t="shared" si="157"/>
        <v>0</v>
      </c>
      <c r="AU133" s="13">
        <f t="shared" si="158"/>
        <v>0</v>
      </c>
      <c r="AV133" s="13">
        <f t="shared" si="159"/>
        <v>0</v>
      </c>
      <c r="AW133" s="13">
        <f t="shared" si="160"/>
        <v>0</v>
      </c>
      <c r="AX133" s="13">
        <f t="shared" si="161"/>
        <v>0</v>
      </c>
      <c r="AY133" s="13">
        <f t="shared" si="162"/>
        <v>0</v>
      </c>
      <c r="AZ133" s="13">
        <f t="shared" si="163"/>
        <v>0</v>
      </c>
      <c r="BA133" s="13">
        <f t="shared" si="164"/>
        <v>0</v>
      </c>
      <c r="BB133" s="13">
        <f t="shared" si="165"/>
        <v>0</v>
      </c>
    </row>
    <row r="134" spans="1:54">
      <c r="A134">
        <f>data0!A132</f>
        <v>950</v>
      </c>
      <c r="B134">
        <v>0</v>
      </c>
      <c r="C134" t="e">
        <f ca="1">(Calculations!C133-C$2)/C$1</f>
        <v>#DIV/0!</v>
      </c>
      <c r="D134" s="13" t="e">
        <f t="shared" ca="1" si="141"/>
        <v>#DIV/0!</v>
      </c>
      <c r="E134" s="13" t="e">
        <f t="shared" ca="1" si="142"/>
        <v>#DIV/0!</v>
      </c>
      <c r="F134" s="13" t="e">
        <f t="shared" ca="1" si="143"/>
        <v>#DIV/0!</v>
      </c>
      <c r="G134" s="13" t="e">
        <f t="shared" ca="1" si="144"/>
        <v>#DIV/0!</v>
      </c>
      <c r="H134" s="13" t="e">
        <f t="shared" ca="1" si="145"/>
        <v>#DIV/0!</v>
      </c>
      <c r="I134" s="13" t="e">
        <f t="shared" ca="1" si="146"/>
        <v>#DIV/0!</v>
      </c>
      <c r="J134" s="13" t="e">
        <f t="shared" ca="1" si="147"/>
        <v>#DIV/0!</v>
      </c>
      <c r="K134" s="13" t="e">
        <f t="shared" ca="1" si="151"/>
        <v>#DIV/0!</v>
      </c>
      <c r="L134" s="13" t="e">
        <f t="shared" ca="1" si="152"/>
        <v>#DIV/0!</v>
      </c>
      <c r="M134" s="13" t="e">
        <f t="shared" ca="1" si="148"/>
        <v>#DIV/0!</v>
      </c>
      <c r="N134" s="13" t="e">
        <f t="shared" ca="1" si="132"/>
        <v>#DIV/0!</v>
      </c>
      <c r="O134" s="13" t="e">
        <f t="shared" ca="1" si="133"/>
        <v>#DIV/0!</v>
      </c>
      <c r="P134" s="13" t="e">
        <f t="shared" ca="1" si="134"/>
        <v>#DIV/0!</v>
      </c>
      <c r="Q134" s="13">
        <f t="shared" si="153"/>
        <v>19932834682.372066</v>
      </c>
      <c r="R134" s="13">
        <f t="shared" si="153"/>
        <v>248887150400.37854</v>
      </c>
      <c r="S134" s="13">
        <f t="shared" si="153"/>
        <v>1133790397148.3635</v>
      </c>
      <c r="T134" s="13">
        <f t="shared" si="153"/>
        <v>3124669390170.9629</v>
      </c>
      <c r="U134" s="13">
        <f t="shared" si="153"/>
        <v>6471248165408.8496</v>
      </c>
      <c r="V134" s="13">
        <f t="shared" si="153"/>
        <v>11222363779639.336</v>
      </c>
      <c r="W134" s="13">
        <f t="shared" si="153"/>
        <v>17301851593976.521</v>
      </c>
      <c r="X134" s="13">
        <f t="shared" si="153"/>
        <v>24576412594495.699</v>
      </c>
      <c r="Y134" s="54">
        <f t="shared" si="153"/>
        <v>28200171809015.793</v>
      </c>
      <c r="Z134" s="13">
        <f t="shared" si="153"/>
        <v>32897352016170.309</v>
      </c>
      <c r="AA134" s="13">
        <f t="shared" si="153"/>
        <v>42121734011732.906</v>
      </c>
      <c r="AB134" s="13">
        <f t="shared" si="154"/>
        <v>52121248289382.414</v>
      </c>
      <c r="AC134" s="13">
        <f t="shared" si="166"/>
        <v>0</v>
      </c>
      <c r="AD134" s="13">
        <f t="shared" si="150"/>
        <v>0</v>
      </c>
      <c r="AE134" s="13">
        <f t="shared" si="150"/>
        <v>0</v>
      </c>
      <c r="AF134" s="13">
        <f t="shared" si="150"/>
        <v>0</v>
      </c>
      <c r="AG134" s="13">
        <f t="shared" si="150"/>
        <v>0</v>
      </c>
      <c r="AH134" s="13">
        <f t="shared" si="150"/>
        <v>0</v>
      </c>
      <c r="AI134" s="13">
        <f t="shared" si="150"/>
        <v>0</v>
      </c>
      <c r="AJ134" s="13">
        <f t="shared" si="150"/>
        <v>0</v>
      </c>
      <c r="AK134" s="13">
        <f t="shared" si="149"/>
        <v>0</v>
      </c>
      <c r="AL134" s="13">
        <f t="shared" si="138"/>
        <v>0</v>
      </c>
      <c r="AM134" s="13">
        <f t="shared" si="139"/>
        <v>0</v>
      </c>
      <c r="AN134" s="13">
        <f t="shared" si="135"/>
        <v>0</v>
      </c>
      <c r="AO134" s="13">
        <f t="shared" si="136"/>
        <v>0</v>
      </c>
      <c r="AP134" s="13">
        <f t="shared" si="137"/>
        <v>0</v>
      </c>
      <c r="AQ134" s="13">
        <f t="shared" si="167"/>
        <v>0</v>
      </c>
      <c r="AR134" s="13">
        <f t="shared" si="155"/>
        <v>0</v>
      </c>
      <c r="AS134" s="13">
        <f t="shared" si="156"/>
        <v>0</v>
      </c>
      <c r="AT134" s="13">
        <f t="shared" si="157"/>
        <v>0</v>
      </c>
      <c r="AU134" s="13">
        <f t="shared" si="158"/>
        <v>0</v>
      </c>
      <c r="AV134" s="13">
        <f t="shared" si="159"/>
        <v>0</v>
      </c>
      <c r="AW134" s="13">
        <f t="shared" si="160"/>
        <v>0</v>
      </c>
      <c r="AX134" s="13">
        <f t="shared" si="161"/>
        <v>0</v>
      </c>
      <c r="AY134" s="13">
        <f t="shared" si="162"/>
        <v>0</v>
      </c>
      <c r="AZ134" s="13">
        <f t="shared" si="163"/>
        <v>0</v>
      </c>
      <c r="BA134" s="13">
        <f t="shared" si="164"/>
        <v>0</v>
      </c>
      <c r="BB134" s="13">
        <f t="shared" si="165"/>
        <v>0</v>
      </c>
    </row>
    <row r="135" spans="1:54">
      <c r="A135">
        <f>data0!A133</f>
        <v>955</v>
      </c>
      <c r="B135">
        <v>0</v>
      </c>
      <c r="C135" t="e">
        <f ca="1">(Calculations!C134-C$2)/C$1</f>
        <v>#DIV/0!</v>
      </c>
      <c r="D135" s="13" t="e">
        <f t="shared" ca="1" si="141"/>
        <v>#DIV/0!</v>
      </c>
      <c r="E135" s="13" t="e">
        <f t="shared" ca="1" si="142"/>
        <v>#DIV/0!</v>
      </c>
      <c r="F135" s="13" t="e">
        <f t="shared" ca="1" si="143"/>
        <v>#DIV/0!</v>
      </c>
      <c r="G135" s="13" t="e">
        <f t="shared" ca="1" si="144"/>
        <v>#DIV/0!</v>
      </c>
      <c r="H135" s="13" t="e">
        <f t="shared" ca="1" si="145"/>
        <v>#DIV/0!</v>
      </c>
      <c r="I135" s="13" t="e">
        <f t="shared" ca="1" si="146"/>
        <v>#DIV/0!</v>
      </c>
      <c r="J135" s="13" t="e">
        <f t="shared" ca="1" si="147"/>
        <v>#DIV/0!</v>
      </c>
      <c r="K135" s="13" t="e">
        <f t="shared" ca="1" si="151"/>
        <v>#DIV/0!</v>
      </c>
      <c r="L135" s="13" t="e">
        <f t="shared" ca="1" si="152"/>
        <v>#DIV/0!</v>
      </c>
      <c r="M135" s="13" t="e">
        <f t="shared" ca="1" si="148"/>
        <v>#DIV/0!</v>
      </c>
      <c r="N135" s="13" t="e">
        <f t="shared" ca="1" si="132"/>
        <v>#DIV/0!</v>
      </c>
      <c r="O135" s="13" t="e">
        <f t="shared" ca="1" si="133"/>
        <v>#DIV/0!</v>
      </c>
      <c r="P135" s="13" t="e">
        <f t="shared" ca="1" si="134"/>
        <v>#DIV/0!</v>
      </c>
      <c r="Q135" s="13">
        <f t="shared" si="153"/>
        <v>20470519124.997337</v>
      </c>
      <c r="R135" s="13">
        <f t="shared" si="153"/>
        <v>252249853287.5722</v>
      </c>
      <c r="S135" s="13">
        <f t="shared" si="153"/>
        <v>1140095807047.9424</v>
      </c>
      <c r="T135" s="13">
        <f t="shared" si="153"/>
        <v>3125785947321.4399</v>
      </c>
      <c r="U135" s="13">
        <f t="shared" si="153"/>
        <v>6450025130766.2812</v>
      </c>
      <c r="V135" s="13">
        <f t="shared" si="153"/>
        <v>11155690675694.348</v>
      </c>
      <c r="W135" s="13">
        <f t="shared" si="153"/>
        <v>17164162504646.473</v>
      </c>
      <c r="X135" s="13">
        <f t="shared" si="153"/>
        <v>24342205050311.895</v>
      </c>
      <c r="Y135" s="54">
        <f t="shared" si="153"/>
        <v>27914579193248.316</v>
      </c>
      <c r="Z135" s="13">
        <f t="shared" si="153"/>
        <v>32542621221182.949</v>
      </c>
      <c r="AA135" s="13">
        <f t="shared" si="153"/>
        <v>41624627953760.93</v>
      </c>
      <c r="AB135" s="13">
        <f t="shared" si="154"/>
        <v>51462253791669.031</v>
      </c>
      <c r="AC135" s="13">
        <f t="shared" si="166"/>
        <v>0</v>
      </c>
      <c r="AD135" s="13">
        <f t="shared" si="150"/>
        <v>0</v>
      </c>
      <c r="AE135" s="13">
        <f t="shared" si="150"/>
        <v>0</v>
      </c>
      <c r="AF135" s="13">
        <f t="shared" si="150"/>
        <v>0</v>
      </c>
      <c r="AG135" s="13">
        <f t="shared" si="150"/>
        <v>0</v>
      </c>
      <c r="AH135" s="13">
        <f t="shared" si="150"/>
        <v>0</v>
      </c>
      <c r="AI135" s="13">
        <f t="shared" si="150"/>
        <v>0</v>
      </c>
      <c r="AJ135" s="13">
        <f t="shared" si="150"/>
        <v>0</v>
      </c>
      <c r="AK135" s="13">
        <f t="shared" si="149"/>
        <v>0</v>
      </c>
      <c r="AL135" s="13">
        <f t="shared" si="138"/>
        <v>0</v>
      </c>
      <c r="AM135" s="13">
        <f t="shared" si="139"/>
        <v>0</v>
      </c>
      <c r="AN135" s="13">
        <f t="shared" si="135"/>
        <v>0</v>
      </c>
      <c r="AO135" s="13">
        <f t="shared" si="136"/>
        <v>0</v>
      </c>
      <c r="AP135" s="13">
        <f t="shared" si="137"/>
        <v>0</v>
      </c>
      <c r="AQ135" s="13">
        <f t="shared" si="167"/>
        <v>0</v>
      </c>
      <c r="AR135" s="13">
        <f t="shared" si="155"/>
        <v>0</v>
      </c>
      <c r="AS135" s="13">
        <f t="shared" si="156"/>
        <v>0</v>
      </c>
      <c r="AT135" s="13">
        <f t="shared" si="157"/>
        <v>0</v>
      </c>
      <c r="AU135" s="13">
        <f t="shared" si="158"/>
        <v>0</v>
      </c>
      <c r="AV135" s="13">
        <f t="shared" si="159"/>
        <v>0</v>
      </c>
      <c r="AW135" s="13">
        <f t="shared" si="160"/>
        <v>0</v>
      </c>
      <c r="AX135" s="13">
        <f t="shared" si="161"/>
        <v>0</v>
      </c>
      <c r="AY135" s="13">
        <f t="shared" si="162"/>
        <v>0</v>
      </c>
      <c r="AZ135" s="13">
        <f t="shared" si="163"/>
        <v>0</v>
      </c>
      <c r="BA135" s="13">
        <f t="shared" si="164"/>
        <v>0</v>
      </c>
      <c r="BB135" s="13">
        <f t="shared" si="165"/>
        <v>0</v>
      </c>
    </row>
    <row r="136" spans="1:54">
      <c r="A136">
        <f>data0!A134</f>
        <v>960</v>
      </c>
      <c r="B136">
        <v>0</v>
      </c>
      <c r="C136" t="e">
        <f ca="1">(Calculations!C135-C$2)/C$1</f>
        <v>#DIV/0!</v>
      </c>
      <c r="D136" s="13" t="e">
        <f t="shared" ca="1" si="141"/>
        <v>#DIV/0!</v>
      </c>
      <c r="E136" s="13" t="e">
        <f t="shared" ca="1" si="142"/>
        <v>#DIV/0!</v>
      </c>
      <c r="F136" s="13" t="e">
        <f t="shared" ca="1" si="143"/>
        <v>#DIV/0!</v>
      </c>
      <c r="G136" s="13" t="e">
        <f t="shared" ca="1" si="144"/>
        <v>#DIV/0!</v>
      </c>
      <c r="H136" s="13" t="e">
        <f t="shared" ca="1" si="145"/>
        <v>#DIV/0!</v>
      </c>
      <c r="I136" s="13" t="e">
        <f t="shared" ca="1" si="146"/>
        <v>#DIV/0!</v>
      </c>
      <c r="J136" s="13" t="e">
        <f t="shared" ca="1" si="147"/>
        <v>#DIV/0!</v>
      </c>
      <c r="K136" s="13" t="e">
        <f t="shared" ca="1" si="151"/>
        <v>#DIV/0!</v>
      </c>
      <c r="L136" s="13" t="e">
        <f t="shared" ca="1" si="152"/>
        <v>#DIV/0!</v>
      </c>
      <c r="M136" s="13" t="e">
        <f t="shared" ca="1" si="148"/>
        <v>#DIV/0!</v>
      </c>
      <c r="N136" s="13" t="e">
        <f t="shared" ca="1" si="132"/>
        <v>#DIV/0!</v>
      </c>
      <c r="O136" s="13" t="e">
        <f t="shared" ca="1" si="133"/>
        <v>#DIV/0!</v>
      </c>
      <c r="P136" s="13" t="e">
        <f t="shared" ca="1" si="134"/>
        <v>#DIV/0!</v>
      </c>
      <c r="Q136" s="13">
        <f t="shared" si="153"/>
        <v>21014016631.975662</v>
      </c>
      <c r="R136" s="13">
        <f t="shared" si="153"/>
        <v>255587613427.95651</v>
      </c>
      <c r="S136" s="13">
        <f t="shared" si="153"/>
        <v>1146216518964.8357</v>
      </c>
      <c r="T136" s="13">
        <f t="shared" si="153"/>
        <v>3126479323436.7861</v>
      </c>
      <c r="U136" s="13">
        <f t="shared" si="153"/>
        <v>6428260259648.7471</v>
      </c>
      <c r="V136" s="13">
        <f t="shared" si="153"/>
        <v>11088694054855.055</v>
      </c>
      <c r="W136" s="13">
        <f t="shared" si="153"/>
        <v>17026861271942.592</v>
      </c>
      <c r="X136" s="13">
        <f t="shared" si="153"/>
        <v>24109671421286.539</v>
      </c>
      <c r="Y136" s="54">
        <f t="shared" si="153"/>
        <v>27631434484183.285</v>
      </c>
      <c r="Z136" s="13">
        <f t="shared" si="153"/>
        <v>32191448277332.543</v>
      </c>
      <c r="AA136" s="13">
        <f t="shared" si="153"/>
        <v>41133547155457.633</v>
      </c>
      <c r="AB136" s="13">
        <f t="shared" si="154"/>
        <v>50812300168693.492</v>
      </c>
      <c r="AC136" s="13">
        <f t="shared" si="166"/>
        <v>0</v>
      </c>
      <c r="AD136" s="13">
        <f t="shared" si="150"/>
        <v>0</v>
      </c>
      <c r="AE136" s="13">
        <f t="shared" si="150"/>
        <v>0</v>
      </c>
      <c r="AF136" s="13">
        <f t="shared" si="150"/>
        <v>0</v>
      </c>
      <c r="AG136" s="13">
        <f t="shared" si="150"/>
        <v>0</v>
      </c>
      <c r="AH136" s="13">
        <f t="shared" si="150"/>
        <v>0</v>
      </c>
      <c r="AI136" s="13">
        <f t="shared" si="150"/>
        <v>0</v>
      </c>
      <c r="AJ136" s="13">
        <f t="shared" si="150"/>
        <v>0</v>
      </c>
      <c r="AK136" s="13">
        <f t="shared" si="149"/>
        <v>0</v>
      </c>
      <c r="AL136" s="13">
        <f t="shared" si="138"/>
        <v>0</v>
      </c>
      <c r="AM136" s="13">
        <f t="shared" si="139"/>
        <v>0</v>
      </c>
      <c r="AN136" s="13">
        <f t="shared" si="135"/>
        <v>0</v>
      </c>
      <c r="AO136" s="13">
        <f t="shared" si="136"/>
        <v>0</v>
      </c>
      <c r="AP136" s="13">
        <f t="shared" si="137"/>
        <v>0</v>
      </c>
      <c r="AQ136" s="13">
        <f t="shared" si="167"/>
        <v>0</v>
      </c>
      <c r="AR136" s="13">
        <f t="shared" si="155"/>
        <v>0</v>
      </c>
      <c r="AS136" s="13">
        <f t="shared" si="156"/>
        <v>0</v>
      </c>
      <c r="AT136" s="13">
        <f t="shared" si="157"/>
        <v>0</v>
      </c>
      <c r="AU136" s="13">
        <f t="shared" si="158"/>
        <v>0</v>
      </c>
      <c r="AV136" s="13">
        <f t="shared" si="159"/>
        <v>0</v>
      </c>
      <c r="AW136" s="13">
        <f t="shared" si="160"/>
        <v>0</v>
      </c>
      <c r="AX136" s="13">
        <f t="shared" si="161"/>
        <v>0</v>
      </c>
      <c r="AY136" s="13">
        <f t="shared" si="162"/>
        <v>0</v>
      </c>
      <c r="AZ136" s="13">
        <f t="shared" si="163"/>
        <v>0</v>
      </c>
      <c r="BA136" s="13">
        <f t="shared" si="164"/>
        <v>0</v>
      </c>
      <c r="BB136" s="13">
        <f t="shared" si="165"/>
        <v>0</v>
      </c>
    </row>
    <row r="137" spans="1:54">
      <c r="A137">
        <f>data0!A135</f>
        <v>965</v>
      </c>
      <c r="B137">
        <v>0</v>
      </c>
      <c r="C137" t="e">
        <f ca="1">(Calculations!C136-C$2)/C$1</f>
        <v>#DIV/0!</v>
      </c>
      <c r="D137" s="13" t="e">
        <f t="shared" ca="1" si="141"/>
        <v>#DIV/0!</v>
      </c>
      <c r="E137" s="13" t="e">
        <f t="shared" ca="1" si="142"/>
        <v>#DIV/0!</v>
      </c>
      <c r="F137" s="13" t="e">
        <f t="shared" ca="1" si="143"/>
        <v>#DIV/0!</v>
      </c>
      <c r="G137" s="13" t="e">
        <f t="shared" ca="1" si="144"/>
        <v>#DIV/0!</v>
      </c>
      <c r="H137" s="13" t="e">
        <f t="shared" ca="1" si="145"/>
        <v>#DIV/0!</v>
      </c>
      <c r="I137" s="13" t="e">
        <f t="shared" ca="1" si="146"/>
        <v>#DIV/0!</v>
      </c>
      <c r="J137" s="13" t="e">
        <f t="shared" ca="1" si="147"/>
        <v>#DIV/0!</v>
      </c>
      <c r="K137" s="13" t="e">
        <f t="shared" ca="1" si="151"/>
        <v>#DIV/0!</v>
      </c>
      <c r="L137" s="13" t="e">
        <f t="shared" ca="1" si="152"/>
        <v>#DIV/0!</v>
      </c>
      <c r="M137" s="13" t="e">
        <f t="shared" ca="1" si="148"/>
        <v>#DIV/0!</v>
      </c>
      <c r="N137" s="13" t="e">
        <f t="shared" ref="N137:N164" ca="1" si="168">$C137*AA137</f>
        <v>#DIV/0!</v>
      </c>
      <c r="O137" s="13" t="e">
        <f t="shared" ref="O137:O164" ca="1" si="169">$C137*AB137</f>
        <v>#DIV/0!</v>
      </c>
      <c r="P137" s="13" t="e">
        <f t="shared" ref="P137:P164" ca="1" si="170">$C137*AC137</f>
        <v>#DIV/0!</v>
      </c>
      <c r="Q137" s="13">
        <f t="shared" si="153"/>
        <v>21563180129.689507</v>
      </c>
      <c r="R137" s="13">
        <f t="shared" si="153"/>
        <v>258899546973.61813</v>
      </c>
      <c r="S137" s="13">
        <f t="shared" si="153"/>
        <v>1152153479824.7522</v>
      </c>
      <c r="T137" s="13">
        <f t="shared" si="153"/>
        <v>3126758185713.1611</v>
      </c>
      <c r="U137" s="13">
        <f t="shared" si="153"/>
        <v>6405973840622.7354</v>
      </c>
      <c r="V137" s="13">
        <f t="shared" si="153"/>
        <v>11021403936964.697</v>
      </c>
      <c r="W137" s="13">
        <f t="shared" si="153"/>
        <v>16889979603362.436</v>
      </c>
      <c r="X137" s="13">
        <f t="shared" si="153"/>
        <v>23878832421705.84</v>
      </c>
      <c r="Y137" s="54">
        <f t="shared" si="153"/>
        <v>27350748516530.488</v>
      </c>
      <c r="Z137" s="13">
        <f t="shared" si="153"/>
        <v>31843827475282.527</v>
      </c>
      <c r="AA137" s="13">
        <f t="shared" si="153"/>
        <v>40648442873797.633</v>
      </c>
      <c r="AB137" s="13">
        <f t="shared" si="154"/>
        <v>50171278948577.891</v>
      </c>
      <c r="AC137" s="13">
        <f t="shared" si="166"/>
        <v>0</v>
      </c>
      <c r="AD137" s="13">
        <f t="shared" si="150"/>
        <v>0</v>
      </c>
      <c r="AE137" s="13">
        <f t="shared" si="150"/>
        <v>0</v>
      </c>
      <c r="AF137" s="13">
        <f t="shared" si="150"/>
        <v>0</v>
      </c>
      <c r="AG137" s="13">
        <f t="shared" si="150"/>
        <v>0</v>
      </c>
      <c r="AH137" s="13">
        <f t="shared" si="150"/>
        <v>0</v>
      </c>
      <c r="AI137" s="13">
        <f t="shared" si="150"/>
        <v>0</v>
      </c>
      <c r="AJ137" s="13">
        <f t="shared" si="150"/>
        <v>0</v>
      </c>
      <c r="AK137" s="13">
        <f t="shared" si="149"/>
        <v>0</v>
      </c>
      <c r="AL137" s="13">
        <f t="shared" si="138"/>
        <v>0</v>
      </c>
      <c r="AM137" s="13">
        <f t="shared" si="139"/>
        <v>0</v>
      </c>
      <c r="AN137" s="13">
        <f t="shared" si="135"/>
        <v>0</v>
      </c>
      <c r="AO137" s="13">
        <f t="shared" si="136"/>
        <v>0</v>
      </c>
      <c r="AP137" s="13">
        <f t="shared" si="137"/>
        <v>0</v>
      </c>
      <c r="AQ137" s="13">
        <f t="shared" si="167"/>
        <v>0</v>
      </c>
      <c r="AR137" s="13">
        <f t="shared" si="155"/>
        <v>0</v>
      </c>
      <c r="AS137" s="13">
        <f t="shared" si="156"/>
        <v>0</v>
      </c>
      <c r="AT137" s="13">
        <f t="shared" si="157"/>
        <v>0</v>
      </c>
      <c r="AU137" s="13">
        <f t="shared" si="158"/>
        <v>0</v>
      </c>
      <c r="AV137" s="13">
        <f t="shared" si="159"/>
        <v>0</v>
      </c>
      <c r="AW137" s="13">
        <f t="shared" si="160"/>
        <v>0</v>
      </c>
      <c r="AX137" s="13">
        <f t="shared" si="161"/>
        <v>0</v>
      </c>
      <c r="AY137" s="13">
        <f t="shared" si="162"/>
        <v>0</v>
      </c>
      <c r="AZ137" s="13">
        <f t="shared" si="163"/>
        <v>0</v>
      </c>
      <c r="BA137" s="13">
        <f t="shared" si="164"/>
        <v>0</v>
      </c>
      <c r="BB137" s="13">
        <f t="shared" si="165"/>
        <v>0</v>
      </c>
    </row>
    <row r="138" spans="1:54">
      <c r="A138">
        <f>data0!A136</f>
        <v>970</v>
      </c>
      <c r="B138">
        <v>0</v>
      </c>
      <c r="C138" t="e">
        <f ca="1">(Calculations!C137-C$2)/C$1</f>
        <v>#DIV/0!</v>
      </c>
      <c r="D138" s="13" t="e">
        <f t="shared" ca="1" si="141"/>
        <v>#DIV/0!</v>
      </c>
      <c r="E138" s="13" t="e">
        <f t="shared" ca="1" si="142"/>
        <v>#DIV/0!</v>
      </c>
      <c r="F138" s="13" t="e">
        <f t="shared" ca="1" si="143"/>
        <v>#DIV/0!</v>
      </c>
      <c r="G138" s="13" t="e">
        <f t="shared" ca="1" si="144"/>
        <v>#DIV/0!</v>
      </c>
      <c r="H138" s="13" t="e">
        <f t="shared" ca="1" si="145"/>
        <v>#DIV/0!</v>
      </c>
      <c r="I138" s="13" t="e">
        <f t="shared" ca="1" si="146"/>
        <v>#DIV/0!</v>
      </c>
      <c r="J138" s="13" t="e">
        <f t="shared" ca="1" si="147"/>
        <v>#DIV/0!</v>
      </c>
      <c r="K138" s="13" t="e">
        <f t="shared" ca="1" si="151"/>
        <v>#DIV/0!</v>
      </c>
      <c r="L138" s="13" t="e">
        <f t="shared" ca="1" si="152"/>
        <v>#DIV/0!</v>
      </c>
      <c r="M138" s="13" t="e">
        <f t="shared" ca="1" si="148"/>
        <v>#DIV/0!</v>
      </c>
      <c r="N138" s="13" t="e">
        <f t="shared" ca="1" si="168"/>
        <v>#DIV/0!</v>
      </c>
      <c r="O138" s="13" t="e">
        <f t="shared" ca="1" si="169"/>
        <v>#DIV/0!</v>
      </c>
      <c r="P138" s="13" t="e">
        <f t="shared" ca="1" si="170"/>
        <v>#DIV/0!</v>
      </c>
      <c r="Q138" s="13">
        <f t="shared" si="153"/>
        <v>22117860109.106224</v>
      </c>
      <c r="R138" s="13">
        <f t="shared" si="153"/>
        <v>262184800904.25504</v>
      </c>
      <c r="S138" s="13">
        <f t="shared" si="153"/>
        <v>1157907715643.4224</v>
      </c>
      <c r="T138" s="13">
        <f t="shared" si="153"/>
        <v>3126631163536.7183</v>
      </c>
      <c r="U138" s="13">
        <f t="shared" si="153"/>
        <v>6383185745578.3008</v>
      </c>
      <c r="V138" s="13">
        <f t="shared" si="153"/>
        <v>10953849375860.949</v>
      </c>
      <c r="W138" s="13">
        <f t="shared" si="153"/>
        <v>16753547716479.832</v>
      </c>
      <c r="X138" s="13">
        <f t="shared" si="153"/>
        <v>23649706978545.359</v>
      </c>
      <c r="Y138" s="54">
        <f t="shared" si="153"/>
        <v>27072530321449.473</v>
      </c>
      <c r="Z138" s="13">
        <f t="shared" si="153"/>
        <v>31499751403632.02</v>
      </c>
      <c r="AA138" s="13">
        <f t="shared" si="153"/>
        <v>40169265231738.344</v>
      </c>
      <c r="AB138" s="13">
        <f t="shared" si="154"/>
        <v>49539081628057.789</v>
      </c>
      <c r="AC138" s="13">
        <f t="shared" si="166"/>
        <v>0</v>
      </c>
      <c r="AD138" s="13">
        <f t="shared" si="150"/>
        <v>0</v>
      </c>
      <c r="AE138" s="13">
        <f t="shared" si="150"/>
        <v>0</v>
      </c>
      <c r="AF138" s="13">
        <f t="shared" si="150"/>
        <v>0</v>
      </c>
      <c r="AG138" s="13">
        <f t="shared" si="150"/>
        <v>0</v>
      </c>
      <c r="AH138" s="13">
        <f t="shared" si="150"/>
        <v>0</v>
      </c>
      <c r="AI138" s="13">
        <f t="shared" si="150"/>
        <v>0</v>
      </c>
      <c r="AJ138" s="13">
        <f t="shared" si="150"/>
        <v>0</v>
      </c>
      <c r="AK138" s="13">
        <f t="shared" si="149"/>
        <v>0</v>
      </c>
      <c r="AL138" s="13">
        <f t="shared" si="138"/>
        <v>0</v>
      </c>
      <c r="AM138" s="13">
        <f t="shared" si="139"/>
        <v>0</v>
      </c>
      <c r="AN138" s="13">
        <f t="shared" ref="AN138:AN164" si="171">$B138*AA138</f>
        <v>0</v>
      </c>
      <c r="AO138" s="13">
        <f t="shared" ref="AO138:AO164" si="172">$B138*AB138</f>
        <v>0</v>
      </c>
      <c r="AP138" s="13">
        <f t="shared" ref="AP138:AP164" si="173">$B138*AC138</f>
        <v>0</v>
      </c>
      <c r="AQ138" s="13">
        <f t="shared" si="167"/>
        <v>0</v>
      </c>
      <c r="AR138" s="13">
        <f t="shared" si="155"/>
        <v>0</v>
      </c>
      <c r="AS138" s="13">
        <f t="shared" si="156"/>
        <v>0</v>
      </c>
      <c r="AT138" s="13">
        <f t="shared" si="157"/>
        <v>0</v>
      </c>
      <c r="AU138" s="13">
        <f t="shared" si="158"/>
        <v>0</v>
      </c>
      <c r="AV138" s="13">
        <f t="shared" si="159"/>
        <v>0</v>
      </c>
      <c r="AW138" s="13">
        <f t="shared" si="160"/>
        <v>0</v>
      </c>
      <c r="AX138" s="13">
        <f t="shared" si="161"/>
        <v>0</v>
      </c>
      <c r="AY138" s="13">
        <f t="shared" si="162"/>
        <v>0</v>
      </c>
      <c r="AZ138" s="13">
        <f t="shared" si="163"/>
        <v>0</v>
      </c>
      <c r="BA138" s="13">
        <f t="shared" si="164"/>
        <v>0</v>
      </c>
      <c r="BB138" s="13">
        <f t="shared" si="165"/>
        <v>0</v>
      </c>
    </row>
    <row r="139" spans="1:54">
      <c r="A139">
        <f>data0!A137</f>
        <v>975</v>
      </c>
      <c r="B139">
        <v>0</v>
      </c>
      <c r="C139" t="e">
        <f ca="1">(Calculations!C138-C$2)/C$1</f>
        <v>#DIV/0!</v>
      </c>
      <c r="D139" s="13" t="e">
        <f t="shared" ca="1" si="141"/>
        <v>#DIV/0!</v>
      </c>
      <c r="E139" s="13" t="e">
        <f t="shared" ca="1" si="142"/>
        <v>#DIV/0!</v>
      </c>
      <c r="F139" s="13" t="e">
        <f t="shared" ca="1" si="143"/>
        <v>#DIV/0!</v>
      </c>
      <c r="G139" s="13" t="e">
        <f t="shared" ca="1" si="144"/>
        <v>#DIV/0!</v>
      </c>
      <c r="H139" s="13" t="e">
        <f t="shared" ca="1" si="145"/>
        <v>#DIV/0!</v>
      </c>
      <c r="I139" s="13" t="e">
        <f t="shared" ca="1" si="146"/>
        <v>#DIV/0!</v>
      </c>
      <c r="J139" s="13" t="e">
        <f t="shared" ca="1" si="147"/>
        <v>#DIV/0!</v>
      </c>
      <c r="K139" s="13" t="e">
        <f t="shared" ca="1" si="151"/>
        <v>#DIV/0!</v>
      </c>
      <c r="L139" s="13" t="e">
        <f t="shared" ca="1" si="152"/>
        <v>#DIV/0!</v>
      </c>
      <c r="M139" s="13" t="e">
        <f t="shared" ca="1" si="148"/>
        <v>#DIV/0!</v>
      </c>
      <c r="N139" s="13" t="e">
        <f t="shared" ca="1" si="168"/>
        <v>#DIV/0!</v>
      </c>
      <c r="O139" s="13" t="e">
        <f t="shared" ca="1" si="169"/>
        <v>#DIV/0!</v>
      </c>
      <c r="P139" s="13" t="e">
        <f t="shared" ca="1" si="170"/>
        <v>#DIV/0!</v>
      </c>
      <c r="Q139" s="13">
        <f t="shared" si="153"/>
        <v>22677904792.41444</v>
      </c>
      <c r="R139" s="13">
        <f t="shared" si="153"/>
        <v>265442552880.04605</v>
      </c>
      <c r="S139" s="13">
        <f t="shared" si="153"/>
        <v>1163480327786.2095</v>
      </c>
      <c r="T139" s="13">
        <f t="shared" si="153"/>
        <v>3126106842666.6157</v>
      </c>
      <c r="U139" s="13">
        <f t="shared" si="153"/>
        <v>6359915431530.6289</v>
      </c>
      <c r="V139" s="13">
        <f t="shared" si="153"/>
        <v>10886058480769.654</v>
      </c>
      <c r="W139" s="13">
        <f t="shared" si="153"/>
        <v>16617594387507.553</v>
      </c>
      <c r="X139" s="13">
        <f t="shared" si="153"/>
        <v>23422312307288.543</v>
      </c>
      <c r="Y139" s="54">
        <f t="shared" si="153"/>
        <v>26796787212626.316</v>
      </c>
      <c r="Z139" s="13">
        <f t="shared" si="153"/>
        <v>31159211044622.266</v>
      </c>
      <c r="AA139" s="13">
        <f t="shared" si="153"/>
        <v>39695963320543.516</v>
      </c>
      <c r="AB139" s="13">
        <f t="shared" si="154"/>
        <v>48915599764151.039</v>
      </c>
      <c r="AC139" s="13">
        <f t="shared" si="166"/>
        <v>0</v>
      </c>
      <c r="AD139" s="13">
        <f t="shared" si="150"/>
        <v>0</v>
      </c>
      <c r="AE139" s="13">
        <f t="shared" si="150"/>
        <v>0</v>
      </c>
      <c r="AF139" s="13">
        <f t="shared" si="150"/>
        <v>0</v>
      </c>
      <c r="AG139" s="13">
        <f t="shared" si="150"/>
        <v>0</v>
      </c>
      <c r="AH139" s="13">
        <f t="shared" si="150"/>
        <v>0</v>
      </c>
      <c r="AI139" s="13">
        <f t="shared" si="150"/>
        <v>0</v>
      </c>
      <c r="AJ139" s="13">
        <f t="shared" si="150"/>
        <v>0</v>
      </c>
      <c r="AK139" s="13">
        <f t="shared" si="149"/>
        <v>0</v>
      </c>
      <c r="AL139" s="13">
        <f t="shared" si="138"/>
        <v>0</v>
      </c>
      <c r="AM139" s="13">
        <f t="shared" si="139"/>
        <v>0</v>
      </c>
      <c r="AN139" s="13">
        <f t="shared" si="171"/>
        <v>0</v>
      </c>
      <c r="AO139" s="13">
        <f t="shared" si="172"/>
        <v>0</v>
      </c>
      <c r="AP139" s="13">
        <f t="shared" si="173"/>
        <v>0</v>
      </c>
      <c r="AQ139" s="13">
        <f t="shared" si="167"/>
        <v>0</v>
      </c>
      <c r="AR139" s="13">
        <f t="shared" si="155"/>
        <v>0</v>
      </c>
      <c r="AS139" s="13">
        <f t="shared" si="156"/>
        <v>0</v>
      </c>
      <c r="AT139" s="13">
        <f t="shared" si="157"/>
        <v>0</v>
      </c>
      <c r="AU139" s="13">
        <f t="shared" si="158"/>
        <v>0</v>
      </c>
      <c r="AV139" s="13">
        <f t="shared" si="159"/>
        <v>0</v>
      </c>
      <c r="AW139" s="13">
        <f t="shared" si="160"/>
        <v>0</v>
      </c>
      <c r="AX139" s="13">
        <f t="shared" si="161"/>
        <v>0</v>
      </c>
      <c r="AY139" s="13">
        <f t="shared" si="162"/>
        <v>0</v>
      </c>
      <c r="AZ139" s="13">
        <f t="shared" si="163"/>
        <v>0</v>
      </c>
      <c r="BA139" s="13">
        <f t="shared" si="164"/>
        <v>0</v>
      </c>
      <c r="BB139" s="13">
        <f t="shared" si="165"/>
        <v>0</v>
      </c>
    </row>
    <row r="140" spans="1:54">
      <c r="A140">
        <f>data0!A138</f>
        <v>980</v>
      </c>
      <c r="B140">
        <v>0</v>
      </c>
      <c r="C140" t="e">
        <f ca="1">(Calculations!C139-C$2)/C$1</f>
        <v>#DIV/0!</v>
      </c>
      <c r="D140" s="13" t="e">
        <f t="shared" ca="1" si="141"/>
        <v>#DIV/0!</v>
      </c>
      <c r="E140" s="13" t="e">
        <f t="shared" ca="1" si="142"/>
        <v>#DIV/0!</v>
      </c>
      <c r="F140" s="13" t="e">
        <f t="shared" ca="1" si="143"/>
        <v>#DIV/0!</v>
      </c>
      <c r="G140" s="13" t="e">
        <f t="shared" ca="1" si="144"/>
        <v>#DIV/0!</v>
      </c>
      <c r="H140" s="13" t="e">
        <f t="shared" ca="1" si="145"/>
        <v>#DIV/0!</v>
      </c>
      <c r="I140" s="13" t="e">
        <f t="shared" ca="1" si="146"/>
        <v>#DIV/0!</v>
      </c>
      <c r="J140" s="13" t="e">
        <f t="shared" ca="1" si="147"/>
        <v>#DIV/0!</v>
      </c>
      <c r="K140" s="13" t="e">
        <f t="shared" ca="1" si="151"/>
        <v>#DIV/0!</v>
      </c>
      <c r="L140" s="13" t="e">
        <f t="shared" ca="1" si="152"/>
        <v>#DIV/0!</v>
      </c>
      <c r="M140" s="13" t="e">
        <f t="shared" ca="1" si="148"/>
        <v>#DIV/0!</v>
      </c>
      <c r="N140" s="13" t="e">
        <f t="shared" ca="1" si="168"/>
        <v>#DIV/0!</v>
      </c>
      <c r="O140" s="13" t="e">
        <f t="shared" ca="1" si="169"/>
        <v>#DIV/0!</v>
      </c>
      <c r="P140" s="13" t="e">
        <f t="shared" ca="1" si="170"/>
        <v>#DIV/0!</v>
      </c>
      <c r="Q140" s="13">
        <f t="shared" si="153"/>
        <v>23243160298.059753</v>
      </c>
      <c r="R140" s="13">
        <f t="shared" si="153"/>
        <v>268672011063.59695</v>
      </c>
      <c r="S140" s="13">
        <f t="shared" si="153"/>
        <v>1168872489310.019</v>
      </c>
      <c r="T140" s="13">
        <f t="shared" si="153"/>
        <v>3125193759767.8154</v>
      </c>
      <c r="U140" s="13">
        <f t="shared" si="153"/>
        <v>6336181942817.7891</v>
      </c>
      <c r="V140" s="13">
        <f t="shared" si="153"/>
        <v>10818058437591.615</v>
      </c>
      <c r="W140" s="13">
        <f t="shared" si="153"/>
        <v>16482146998674.412</v>
      </c>
      <c r="X140" s="13">
        <f t="shared" si="153"/>
        <v>23196663985125.598</v>
      </c>
      <c r="Y140" s="54">
        <f t="shared" si="153"/>
        <v>26523524869054.133</v>
      </c>
      <c r="Z140" s="13">
        <f t="shared" si="153"/>
        <v>30822195865752.871</v>
      </c>
      <c r="AA140" s="13">
        <f t="shared" si="153"/>
        <v>39228485296818.25</v>
      </c>
      <c r="AB140" s="13">
        <f t="shared" si="154"/>
        <v>48300725059860.125</v>
      </c>
      <c r="AC140" s="13">
        <f t="shared" si="166"/>
        <v>0</v>
      </c>
      <c r="AD140" s="13">
        <f t="shared" si="150"/>
        <v>0</v>
      </c>
      <c r="AE140" s="13">
        <f t="shared" si="150"/>
        <v>0</v>
      </c>
      <c r="AF140" s="13">
        <f t="shared" si="150"/>
        <v>0</v>
      </c>
      <c r="AG140" s="13">
        <f t="shared" si="150"/>
        <v>0</v>
      </c>
      <c r="AH140" s="13">
        <f t="shared" si="150"/>
        <v>0</v>
      </c>
      <c r="AI140" s="13">
        <f t="shared" si="150"/>
        <v>0</v>
      </c>
      <c r="AJ140" s="13">
        <f t="shared" si="150"/>
        <v>0</v>
      </c>
      <c r="AK140" s="13">
        <f t="shared" si="149"/>
        <v>0</v>
      </c>
      <c r="AL140" s="13">
        <f t="shared" si="138"/>
        <v>0</v>
      </c>
      <c r="AM140" s="13">
        <f t="shared" si="139"/>
        <v>0</v>
      </c>
      <c r="AN140" s="13">
        <f t="shared" si="171"/>
        <v>0</v>
      </c>
      <c r="AO140" s="13">
        <f t="shared" si="172"/>
        <v>0</v>
      </c>
      <c r="AP140" s="13">
        <f t="shared" si="173"/>
        <v>0</v>
      </c>
      <c r="AQ140" s="13">
        <f t="shared" si="167"/>
        <v>0</v>
      </c>
      <c r="AR140" s="13">
        <f t="shared" si="155"/>
        <v>0</v>
      </c>
      <c r="AS140" s="13">
        <f t="shared" si="156"/>
        <v>0</v>
      </c>
      <c r="AT140" s="13">
        <f t="shared" si="157"/>
        <v>0</v>
      </c>
      <c r="AU140" s="13">
        <f t="shared" si="158"/>
        <v>0</v>
      </c>
      <c r="AV140" s="13">
        <f t="shared" si="159"/>
        <v>0</v>
      </c>
      <c r="AW140" s="13">
        <f t="shared" si="160"/>
        <v>0</v>
      </c>
      <c r="AX140" s="13">
        <f t="shared" si="161"/>
        <v>0</v>
      </c>
      <c r="AY140" s="13">
        <f t="shared" si="162"/>
        <v>0</v>
      </c>
      <c r="AZ140" s="13">
        <f t="shared" si="163"/>
        <v>0</v>
      </c>
      <c r="BA140" s="13">
        <f t="shared" si="164"/>
        <v>0</v>
      </c>
      <c r="BB140" s="13">
        <f t="shared" si="165"/>
        <v>0</v>
      </c>
    </row>
    <row r="141" spans="1:54">
      <c r="A141">
        <f>data0!A139</f>
        <v>985</v>
      </c>
      <c r="B141">
        <v>0</v>
      </c>
      <c r="C141" t="e">
        <f ca="1">(Calculations!C140-C$2)/C$1</f>
        <v>#DIV/0!</v>
      </c>
      <c r="D141" s="13" t="e">
        <f t="shared" ca="1" si="141"/>
        <v>#DIV/0!</v>
      </c>
      <c r="E141" s="13" t="e">
        <f t="shared" ca="1" si="142"/>
        <v>#DIV/0!</v>
      </c>
      <c r="F141" s="13" t="e">
        <f t="shared" ca="1" si="143"/>
        <v>#DIV/0!</v>
      </c>
      <c r="G141" s="13" t="e">
        <f t="shared" ca="1" si="144"/>
        <v>#DIV/0!</v>
      </c>
      <c r="H141" s="13" t="e">
        <f t="shared" ca="1" si="145"/>
        <v>#DIV/0!</v>
      </c>
      <c r="I141" s="13" t="e">
        <f t="shared" ca="1" si="146"/>
        <v>#DIV/0!</v>
      </c>
      <c r="J141" s="13" t="e">
        <f t="shared" ca="1" si="147"/>
        <v>#DIV/0!</v>
      </c>
      <c r="K141" s="13" t="e">
        <f t="shared" ca="1" si="151"/>
        <v>#DIV/0!</v>
      </c>
      <c r="L141" s="13" t="e">
        <f t="shared" ca="1" si="152"/>
        <v>#DIV/0!</v>
      </c>
      <c r="M141" s="13" t="e">
        <f t="shared" ca="1" si="148"/>
        <v>#DIV/0!</v>
      </c>
      <c r="N141" s="13" t="e">
        <f t="shared" ca="1" si="168"/>
        <v>#DIV/0!</v>
      </c>
      <c r="O141" s="13" t="e">
        <f t="shared" ca="1" si="169"/>
        <v>#DIV/0!</v>
      </c>
      <c r="P141" s="13" t="e">
        <f t="shared" ca="1" si="170"/>
        <v>#DIV/0!</v>
      </c>
      <c r="Q141" s="13">
        <f t="shared" si="153"/>
        <v>23813470803.97757</v>
      </c>
      <c r="R141" s="13">
        <f t="shared" si="153"/>
        <v>271872413912.72751</v>
      </c>
      <c r="S141" s="13">
        <f t="shared" si="153"/>
        <v>1174085441388.7148</v>
      </c>
      <c r="T141" s="13">
        <f t="shared" si="153"/>
        <v>3123900397281.0513</v>
      </c>
      <c r="U141" s="13">
        <f t="shared" si="153"/>
        <v>6312003913665.6289</v>
      </c>
      <c r="V141" s="13">
        <f t="shared" si="153"/>
        <v>10749875530055.898</v>
      </c>
      <c r="W141" s="13">
        <f t="shared" si="153"/>
        <v>16347231584424.576</v>
      </c>
      <c r="X141" s="13">
        <f t="shared" si="153"/>
        <v>22972776021603.988</v>
      </c>
      <c r="Y141" s="54">
        <f t="shared" si="153"/>
        <v>26252747414623.461</v>
      </c>
      <c r="Z141" s="13">
        <f t="shared" si="153"/>
        <v>30488693907459.91</v>
      </c>
      <c r="AA141" s="13">
        <f t="shared" si="153"/>
        <v>38766778474491.695</v>
      </c>
      <c r="AB141" s="13">
        <f t="shared" si="154"/>
        <v>47694349444217.234</v>
      </c>
      <c r="AC141" s="13">
        <f t="shared" si="166"/>
        <v>0</v>
      </c>
      <c r="AD141" s="13">
        <f t="shared" si="150"/>
        <v>0</v>
      </c>
      <c r="AE141" s="13">
        <f t="shared" si="150"/>
        <v>0</v>
      </c>
      <c r="AF141" s="13">
        <f t="shared" si="150"/>
        <v>0</v>
      </c>
      <c r="AG141" s="13">
        <f t="shared" si="150"/>
        <v>0</v>
      </c>
      <c r="AH141" s="13">
        <f t="shared" si="150"/>
        <v>0</v>
      </c>
      <c r="AI141" s="13">
        <f t="shared" si="150"/>
        <v>0</v>
      </c>
      <c r="AJ141" s="13">
        <f t="shared" si="150"/>
        <v>0</v>
      </c>
      <c r="AK141" s="13">
        <f t="shared" si="149"/>
        <v>0</v>
      </c>
      <c r="AL141" s="13">
        <f t="shared" si="138"/>
        <v>0</v>
      </c>
      <c r="AM141" s="13">
        <f t="shared" si="139"/>
        <v>0</v>
      </c>
      <c r="AN141" s="13">
        <f t="shared" si="171"/>
        <v>0</v>
      </c>
      <c r="AO141" s="13">
        <f t="shared" si="172"/>
        <v>0</v>
      </c>
      <c r="AP141" s="13">
        <f t="shared" si="173"/>
        <v>0</v>
      </c>
      <c r="AQ141" s="13">
        <f t="shared" si="167"/>
        <v>0</v>
      </c>
      <c r="AR141" s="13">
        <f t="shared" si="155"/>
        <v>0</v>
      </c>
      <c r="AS141" s="13">
        <f t="shared" si="156"/>
        <v>0</v>
      </c>
      <c r="AT141" s="13">
        <f t="shared" si="157"/>
        <v>0</v>
      </c>
      <c r="AU141" s="13">
        <f t="shared" si="158"/>
        <v>0</v>
      </c>
      <c r="AV141" s="13">
        <f t="shared" si="159"/>
        <v>0</v>
      </c>
      <c r="AW141" s="13">
        <f t="shared" si="160"/>
        <v>0</v>
      </c>
      <c r="AX141" s="13">
        <f t="shared" si="161"/>
        <v>0</v>
      </c>
      <c r="AY141" s="13">
        <f t="shared" si="162"/>
        <v>0</v>
      </c>
      <c r="AZ141" s="13">
        <f t="shared" si="163"/>
        <v>0</v>
      </c>
      <c r="BA141" s="13">
        <f t="shared" si="164"/>
        <v>0</v>
      </c>
      <c r="BB141" s="13">
        <f t="shared" si="165"/>
        <v>0</v>
      </c>
    </row>
    <row r="142" spans="1:54">
      <c r="A142">
        <f>data0!A140</f>
        <v>990</v>
      </c>
      <c r="B142">
        <v>0</v>
      </c>
      <c r="C142" t="e">
        <f ca="1">(Calculations!C141-C$2)/C$1</f>
        <v>#DIV/0!</v>
      </c>
      <c r="D142" s="13" t="e">
        <f t="shared" ca="1" si="141"/>
        <v>#DIV/0!</v>
      </c>
      <c r="E142" s="13" t="e">
        <f t="shared" ca="1" si="142"/>
        <v>#DIV/0!</v>
      </c>
      <c r="F142" s="13" t="e">
        <f t="shared" ca="1" si="143"/>
        <v>#DIV/0!</v>
      </c>
      <c r="G142" s="13" t="e">
        <f t="shared" ca="1" si="144"/>
        <v>#DIV/0!</v>
      </c>
      <c r="H142" s="13" t="e">
        <f t="shared" ca="1" si="145"/>
        <v>#DIV/0!</v>
      </c>
      <c r="I142" s="13" t="e">
        <f t="shared" ca="1" si="146"/>
        <v>#DIV/0!</v>
      </c>
      <c r="J142" s="13" t="e">
        <f t="shared" ca="1" si="147"/>
        <v>#DIV/0!</v>
      </c>
      <c r="K142" s="13" t="e">
        <f t="shared" ca="1" si="151"/>
        <v>#DIV/0!</v>
      </c>
      <c r="L142" s="13" t="e">
        <f t="shared" ca="1" si="152"/>
        <v>#DIV/0!</v>
      </c>
      <c r="M142" s="13" t="e">
        <f t="shared" ca="1" si="148"/>
        <v>#DIV/0!</v>
      </c>
      <c r="N142" s="13" t="e">
        <f t="shared" ca="1" si="168"/>
        <v>#DIV/0!</v>
      </c>
      <c r="O142" s="13" t="e">
        <f t="shared" ca="1" si="169"/>
        <v>#DIV/0!</v>
      </c>
      <c r="P142" s="13" t="e">
        <f t="shared" ca="1" si="170"/>
        <v>#DIV/0!</v>
      </c>
      <c r="Q142" s="13">
        <f t="shared" si="153"/>
        <v>24388678708.832436</v>
      </c>
      <c r="R142" s="13">
        <f t="shared" si="153"/>
        <v>275043029945.82898</v>
      </c>
      <c r="S142" s="13">
        <f t="shared" si="153"/>
        <v>1179120489822.9353</v>
      </c>
      <c r="T142" s="13">
        <f t="shared" si="153"/>
        <v>3122235178617.4502</v>
      </c>
      <c r="U142" s="13">
        <f t="shared" si="153"/>
        <v>6287399571092.1602</v>
      </c>
      <c r="V142" s="13">
        <f t="shared" si="153"/>
        <v>10681535160715.623</v>
      </c>
      <c r="W142" s="13">
        <f t="shared" si="153"/>
        <v>16212872876448.176</v>
      </c>
      <c r="X142" s="13">
        <f t="shared" si="153"/>
        <v>22750660926800.613</v>
      </c>
      <c r="Y142" s="54">
        <f t="shared" si="153"/>
        <v>25984457494626.324</v>
      </c>
      <c r="Z142" s="13">
        <f t="shared" si="153"/>
        <v>30158691867003.301</v>
      </c>
      <c r="AA142" s="13">
        <f t="shared" si="153"/>
        <v>38310789411973.305</v>
      </c>
      <c r="AB142" s="13">
        <f t="shared" si="154"/>
        <v>47096365146965.312</v>
      </c>
      <c r="AC142" s="13">
        <f t="shared" si="166"/>
        <v>0</v>
      </c>
      <c r="AD142" s="13">
        <f t="shared" si="150"/>
        <v>0</v>
      </c>
      <c r="AE142" s="13">
        <f t="shared" si="150"/>
        <v>0</v>
      </c>
      <c r="AF142" s="13">
        <f t="shared" si="150"/>
        <v>0</v>
      </c>
      <c r="AG142" s="13">
        <f t="shared" si="150"/>
        <v>0</v>
      </c>
      <c r="AH142" s="13">
        <f t="shared" si="150"/>
        <v>0</v>
      </c>
      <c r="AI142" s="13">
        <f t="shared" si="150"/>
        <v>0</v>
      </c>
      <c r="AJ142" s="13">
        <f t="shared" si="150"/>
        <v>0</v>
      </c>
      <c r="AK142" s="13">
        <f t="shared" si="149"/>
        <v>0</v>
      </c>
      <c r="AL142" s="13">
        <f t="shared" si="138"/>
        <v>0</v>
      </c>
      <c r="AM142" s="13">
        <f t="shared" si="139"/>
        <v>0</v>
      </c>
      <c r="AN142" s="13">
        <f t="shared" si="171"/>
        <v>0</v>
      </c>
      <c r="AO142" s="13">
        <f t="shared" si="172"/>
        <v>0</v>
      </c>
      <c r="AP142" s="13">
        <f t="shared" si="173"/>
        <v>0</v>
      </c>
      <c r="AQ142" s="13">
        <f t="shared" si="167"/>
        <v>0</v>
      </c>
      <c r="AR142" s="13">
        <f t="shared" si="155"/>
        <v>0</v>
      </c>
      <c r="AS142" s="13">
        <f t="shared" si="156"/>
        <v>0</v>
      </c>
      <c r="AT142" s="13">
        <f t="shared" si="157"/>
        <v>0</v>
      </c>
      <c r="AU142" s="13">
        <f t="shared" si="158"/>
        <v>0</v>
      </c>
      <c r="AV142" s="13">
        <f t="shared" si="159"/>
        <v>0</v>
      </c>
      <c r="AW142" s="13">
        <f t="shared" si="160"/>
        <v>0</v>
      </c>
      <c r="AX142" s="13">
        <f t="shared" si="161"/>
        <v>0</v>
      </c>
      <c r="AY142" s="13">
        <f t="shared" si="162"/>
        <v>0</v>
      </c>
      <c r="AZ142" s="13">
        <f t="shared" si="163"/>
        <v>0</v>
      </c>
      <c r="BA142" s="13">
        <f t="shared" si="164"/>
        <v>0</v>
      </c>
      <c r="BB142" s="13">
        <f t="shared" si="165"/>
        <v>0</v>
      </c>
    </row>
    <row r="143" spans="1:54">
      <c r="A143">
        <f>data0!A141</f>
        <v>995</v>
      </c>
      <c r="B143">
        <v>0</v>
      </c>
      <c r="C143" t="e">
        <f ca="1">(Calculations!C142-C$2)/C$1</f>
        <v>#DIV/0!</v>
      </c>
      <c r="D143" s="13" t="e">
        <f t="shared" ca="1" si="141"/>
        <v>#DIV/0!</v>
      </c>
      <c r="E143" s="13" t="e">
        <f t="shared" ca="1" si="142"/>
        <v>#DIV/0!</v>
      </c>
      <c r="F143" s="13" t="e">
        <f t="shared" ca="1" si="143"/>
        <v>#DIV/0!</v>
      </c>
      <c r="G143" s="13" t="e">
        <f t="shared" ca="1" si="144"/>
        <v>#DIV/0!</v>
      </c>
      <c r="H143" s="13" t="e">
        <f t="shared" ca="1" si="145"/>
        <v>#DIV/0!</v>
      </c>
      <c r="I143" s="13" t="e">
        <f t="shared" ca="1" si="146"/>
        <v>#DIV/0!</v>
      </c>
      <c r="J143" s="13" t="e">
        <f t="shared" ca="1" si="147"/>
        <v>#DIV/0!</v>
      </c>
      <c r="K143" s="13" t="e">
        <f t="shared" ca="1" si="151"/>
        <v>#DIV/0!</v>
      </c>
      <c r="L143" s="13" t="e">
        <f t="shared" ca="1" si="152"/>
        <v>#DIV/0!</v>
      </c>
      <c r="M143" s="13" t="e">
        <f t="shared" ca="1" si="148"/>
        <v>#DIV/0!</v>
      </c>
      <c r="N143" s="13" t="e">
        <f t="shared" ca="1" si="168"/>
        <v>#DIV/0!</v>
      </c>
      <c r="O143" s="13" t="e">
        <f t="shared" ca="1" si="169"/>
        <v>#DIV/0!</v>
      </c>
      <c r="P143" s="13" t="e">
        <f t="shared" ca="1" si="170"/>
        <v>#DIV/0!</v>
      </c>
      <c r="Q143" s="13">
        <f t="shared" si="153"/>
        <v>24968624791.088181</v>
      </c>
      <c r="R143" s="13">
        <f t="shared" si="153"/>
        <v>278183157481.47736</v>
      </c>
      <c r="S143" s="13">
        <f t="shared" si="153"/>
        <v>1183979001635.031</v>
      </c>
      <c r="T143" s="13">
        <f t="shared" si="153"/>
        <v>3120206463665.6978</v>
      </c>
      <c r="U143" s="13">
        <f t="shared" si="153"/>
        <v>6262386738125.2959</v>
      </c>
      <c r="V143" s="13">
        <f t="shared" si="153"/>
        <v>10613061871764.443</v>
      </c>
      <c r="W143" s="13">
        <f t="shared" si="153"/>
        <v>16079094347554.518</v>
      </c>
      <c r="X143" s="13">
        <f t="shared" si="153"/>
        <v>22530329777085.512</v>
      </c>
      <c r="Y143" s="54">
        <f t="shared" si="153"/>
        <v>25718656349275.695</v>
      </c>
      <c r="Z143" s="13">
        <f t="shared" si="153"/>
        <v>29832175178706.707</v>
      </c>
      <c r="AA143" s="13">
        <f t="shared" si="153"/>
        <v>37860463994701.195</v>
      </c>
      <c r="AB143" s="13">
        <f t="shared" si="154"/>
        <v>46506664768156.859</v>
      </c>
      <c r="AC143" s="13">
        <f t="shared" si="166"/>
        <v>0</v>
      </c>
      <c r="AD143" s="13">
        <f t="shared" si="150"/>
        <v>0</v>
      </c>
      <c r="AE143" s="13">
        <f t="shared" si="150"/>
        <v>0</v>
      </c>
      <c r="AF143" s="13">
        <f t="shared" si="150"/>
        <v>0</v>
      </c>
      <c r="AG143" s="13">
        <f t="shared" si="150"/>
        <v>0</v>
      </c>
      <c r="AH143" s="13">
        <f t="shared" si="150"/>
        <v>0</v>
      </c>
      <c r="AI143" s="13">
        <f t="shared" si="150"/>
        <v>0</v>
      </c>
      <c r="AJ143" s="13">
        <f t="shared" si="150"/>
        <v>0</v>
      </c>
      <c r="AK143" s="13">
        <f t="shared" si="149"/>
        <v>0</v>
      </c>
      <c r="AL143" s="13">
        <f t="shared" si="138"/>
        <v>0</v>
      </c>
      <c r="AM143" s="13">
        <f t="shared" ref="AM143:AM164" si="174">$B143*Z143</f>
        <v>0</v>
      </c>
      <c r="AN143" s="13">
        <f t="shared" si="171"/>
        <v>0</v>
      </c>
      <c r="AO143" s="13">
        <f t="shared" si="172"/>
        <v>0</v>
      </c>
      <c r="AP143" s="13">
        <f t="shared" si="173"/>
        <v>0</v>
      </c>
      <c r="AQ143" s="13">
        <f t="shared" si="167"/>
        <v>0</v>
      </c>
      <c r="AR143" s="13">
        <f t="shared" si="155"/>
        <v>0</v>
      </c>
      <c r="AS143" s="13">
        <f t="shared" si="156"/>
        <v>0</v>
      </c>
      <c r="AT143" s="13">
        <f t="shared" si="157"/>
        <v>0</v>
      </c>
      <c r="AU143" s="13">
        <f t="shared" si="158"/>
        <v>0</v>
      </c>
      <c r="AV143" s="13">
        <f t="shared" si="159"/>
        <v>0</v>
      </c>
      <c r="AW143" s="13">
        <f t="shared" si="160"/>
        <v>0</v>
      </c>
      <c r="AX143" s="13">
        <f t="shared" si="161"/>
        <v>0</v>
      </c>
      <c r="AY143" s="13">
        <f t="shared" si="162"/>
        <v>0</v>
      </c>
      <c r="AZ143" s="13">
        <f t="shared" si="163"/>
        <v>0</v>
      </c>
      <c r="BA143" s="13">
        <f t="shared" si="164"/>
        <v>0</v>
      </c>
      <c r="BB143" s="13">
        <f t="shared" si="165"/>
        <v>0</v>
      </c>
    </row>
    <row r="144" spans="1:54">
      <c r="A144">
        <f>data0!A142</f>
        <v>1000</v>
      </c>
      <c r="B144">
        <v>0</v>
      </c>
      <c r="C144" t="e">
        <f ca="1">(Calculations!C143-C$2)/C$1</f>
        <v>#DIV/0!</v>
      </c>
      <c r="D144" s="13" t="e">
        <f t="shared" ca="1" si="141"/>
        <v>#DIV/0!</v>
      </c>
      <c r="E144" s="13" t="e">
        <f t="shared" ca="1" si="142"/>
        <v>#DIV/0!</v>
      </c>
      <c r="F144" s="13" t="e">
        <f t="shared" ca="1" si="143"/>
        <v>#DIV/0!</v>
      </c>
      <c r="G144" s="13" t="e">
        <f t="shared" ca="1" si="144"/>
        <v>#DIV/0!</v>
      </c>
      <c r="H144" s="13" t="e">
        <f t="shared" ca="1" si="145"/>
        <v>#DIV/0!</v>
      </c>
      <c r="I144" s="13" t="e">
        <f t="shared" ca="1" si="146"/>
        <v>#DIV/0!</v>
      </c>
      <c r="J144" s="13" t="e">
        <f t="shared" ca="1" si="147"/>
        <v>#DIV/0!</v>
      </c>
      <c r="K144" s="13" t="e">
        <f t="shared" ca="1" si="151"/>
        <v>#DIV/0!</v>
      </c>
      <c r="L144" s="13" t="e">
        <f t="shared" ca="1" si="152"/>
        <v>#DIV/0!</v>
      </c>
      <c r="M144" s="13" t="e">
        <f t="shared" ca="1" si="148"/>
        <v>#DIV/0!</v>
      </c>
      <c r="N144" s="13" t="e">
        <f t="shared" ca="1" si="168"/>
        <v>#DIV/0!</v>
      </c>
      <c r="O144" s="13" t="e">
        <f t="shared" ca="1" si="169"/>
        <v>#DIV/0!</v>
      </c>
      <c r="P144" s="13" t="e">
        <f t="shared" ca="1" si="170"/>
        <v>#DIV/0!</v>
      </c>
      <c r="Q144" s="13">
        <f t="shared" si="153"/>
        <v>25553148365.743038</v>
      </c>
      <c r="R144" s="13">
        <f t="shared" si="153"/>
        <v>281292124353.93115</v>
      </c>
      <c r="S144" s="13">
        <f t="shared" si="153"/>
        <v>1188662401749.6182</v>
      </c>
      <c r="T144" s="13">
        <f t="shared" si="153"/>
        <v>3117822544599.7002</v>
      </c>
      <c r="U144" s="13">
        <f t="shared" si="153"/>
        <v>6236982837308.9785</v>
      </c>
      <c r="V144" s="13">
        <f t="shared" si="153"/>
        <v>10544479365653.654</v>
      </c>
      <c r="W144" s="13">
        <f t="shared" si="153"/>
        <v>15945918254400.064</v>
      </c>
      <c r="X144" s="13">
        <f t="shared" si="153"/>
        <v>22311792278545.926</v>
      </c>
      <c r="Y144" s="54">
        <f t="shared" si="153"/>
        <v>25455343884339.754</v>
      </c>
      <c r="Z144" s="13">
        <f t="shared" si="153"/>
        <v>29509128090688.434</v>
      </c>
      <c r="AA144" s="13">
        <f t="shared" si="153"/>
        <v>37415747513290.281</v>
      </c>
      <c r="AB144" s="13">
        <f t="shared" si="154"/>
        <v>45925141342935.781</v>
      </c>
      <c r="AC144" s="13">
        <f t="shared" si="166"/>
        <v>0</v>
      </c>
      <c r="AD144" s="13">
        <f t="shared" si="150"/>
        <v>0</v>
      </c>
      <c r="AE144" s="13">
        <f t="shared" si="150"/>
        <v>0</v>
      </c>
      <c r="AF144" s="13">
        <f t="shared" si="150"/>
        <v>0</v>
      </c>
      <c r="AG144" s="13">
        <f t="shared" si="150"/>
        <v>0</v>
      </c>
      <c r="AH144" s="13">
        <f t="shared" si="150"/>
        <v>0</v>
      </c>
      <c r="AI144" s="13">
        <f t="shared" si="150"/>
        <v>0</v>
      </c>
      <c r="AJ144" s="13">
        <f t="shared" si="150"/>
        <v>0</v>
      </c>
      <c r="AK144" s="13">
        <f t="shared" si="149"/>
        <v>0</v>
      </c>
      <c r="AL144" s="13">
        <f t="shared" si="138"/>
        <v>0</v>
      </c>
      <c r="AM144" s="13">
        <f t="shared" si="174"/>
        <v>0</v>
      </c>
      <c r="AN144" s="13">
        <f t="shared" si="171"/>
        <v>0</v>
      </c>
      <c r="AO144" s="13">
        <f t="shared" si="172"/>
        <v>0</v>
      </c>
      <c r="AP144" s="13">
        <f t="shared" si="173"/>
        <v>0</v>
      </c>
      <c r="AQ144" s="13">
        <f t="shared" si="167"/>
        <v>0</v>
      </c>
      <c r="AR144" s="13">
        <f t="shared" si="155"/>
        <v>0</v>
      </c>
      <c r="AS144" s="13">
        <f t="shared" si="156"/>
        <v>0</v>
      </c>
      <c r="AT144" s="13">
        <f t="shared" si="157"/>
        <v>0</v>
      </c>
      <c r="AU144" s="13">
        <f t="shared" si="158"/>
        <v>0</v>
      </c>
      <c r="AV144" s="13">
        <f t="shared" si="159"/>
        <v>0</v>
      </c>
      <c r="AW144" s="13">
        <f t="shared" si="160"/>
        <v>0</v>
      </c>
      <c r="AX144" s="13">
        <f t="shared" si="161"/>
        <v>0</v>
      </c>
      <c r="AY144" s="13">
        <f t="shared" si="162"/>
        <v>0</v>
      </c>
      <c r="AZ144" s="13">
        <f t="shared" si="163"/>
        <v>0</v>
      </c>
      <c r="BA144" s="13">
        <f t="shared" si="164"/>
        <v>0</v>
      </c>
      <c r="BB144" s="13">
        <f t="shared" si="165"/>
        <v>0</v>
      </c>
    </row>
    <row r="145" spans="1:54">
      <c r="A145">
        <f>data0!A143</f>
        <v>1005</v>
      </c>
      <c r="B145">
        <v>0</v>
      </c>
      <c r="C145" t="e">
        <f ca="1">(Calculations!C144-C$2)/C$1</f>
        <v>#DIV/0!</v>
      </c>
      <c r="D145" s="13" t="e">
        <f t="shared" ca="1" si="141"/>
        <v>#DIV/0!</v>
      </c>
      <c r="E145" s="13" t="e">
        <f t="shared" ca="1" si="142"/>
        <v>#DIV/0!</v>
      </c>
      <c r="F145" s="13" t="e">
        <f t="shared" ca="1" si="143"/>
        <v>#DIV/0!</v>
      </c>
      <c r="G145" s="13" t="e">
        <f t="shared" ca="1" si="144"/>
        <v>#DIV/0!</v>
      </c>
      <c r="H145" s="13" t="e">
        <f t="shared" ca="1" si="145"/>
        <v>#DIV/0!</v>
      </c>
      <c r="I145" s="13" t="e">
        <f t="shared" ca="1" si="146"/>
        <v>#DIV/0!</v>
      </c>
      <c r="J145" s="13" t="e">
        <f t="shared" ca="1" si="147"/>
        <v>#DIV/0!</v>
      </c>
      <c r="K145" s="13" t="e">
        <f t="shared" ca="1" si="151"/>
        <v>#DIV/0!</v>
      </c>
      <c r="L145" s="13" t="e">
        <f t="shared" ca="1" si="152"/>
        <v>#DIV/0!</v>
      </c>
      <c r="M145" s="13" t="e">
        <f t="shared" ca="1" si="148"/>
        <v>#DIV/0!</v>
      </c>
      <c r="N145" s="13" t="e">
        <f t="shared" ca="1" si="168"/>
        <v>#DIV/0!</v>
      </c>
      <c r="O145" s="13" t="e">
        <f t="shared" ca="1" si="169"/>
        <v>#DIV/0!</v>
      </c>
      <c r="P145" s="13" t="e">
        <f t="shared" ca="1" si="170"/>
        <v>#DIV/0!</v>
      </c>
      <c r="Q145" s="13">
        <f t="shared" si="153"/>
        <v>26142087438.57769</v>
      </c>
      <c r="R145" s="13">
        <f t="shared" si="153"/>
        <v>284369287606.10614</v>
      </c>
      <c r="S145" s="13">
        <f t="shared" si="153"/>
        <v>1193172169760.0078</v>
      </c>
      <c r="T145" s="13">
        <f t="shared" si="153"/>
        <v>3115091641975.0679</v>
      </c>
      <c r="U145" s="13">
        <f t="shared" si="153"/>
        <v>6211204894473.9561</v>
      </c>
      <c r="V145" s="13">
        <f t="shared" si="153"/>
        <v>10475810525492.051</v>
      </c>
      <c r="W145" s="13">
        <f t="shared" si="153"/>
        <v>15813365679084.977</v>
      </c>
      <c r="X145" s="13">
        <f t="shared" si="153"/>
        <v>22095056828138.281</v>
      </c>
      <c r="Y145" s="54">
        <f t="shared" si="153"/>
        <v>25194518738987.727</v>
      </c>
      <c r="Z145" s="13">
        <f t="shared" si="153"/>
        <v>29189533738217.355</v>
      </c>
      <c r="AA145" s="13">
        <f t="shared" si="153"/>
        <v>36976584737480.656</v>
      </c>
      <c r="AB145" s="13">
        <f t="shared" si="154"/>
        <v>45351688401757.977</v>
      </c>
      <c r="AC145" s="13">
        <f t="shared" si="166"/>
        <v>0</v>
      </c>
      <c r="AD145" s="13">
        <f t="shared" si="150"/>
        <v>0</v>
      </c>
      <c r="AE145" s="13">
        <f t="shared" si="150"/>
        <v>0</v>
      </c>
      <c r="AF145" s="13">
        <f t="shared" si="150"/>
        <v>0</v>
      </c>
      <c r="AG145" s="13">
        <f t="shared" si="150"/>
        <v>0</v>
      </c>
      <c r="AH145" s="13">
        <f t="shared" si="150"/>
        <v>0</v>
      </c>
      <c r="AI145" s="13">
        <f t="shared" si="150"/>
        <v>0</v>
      </c>
      <c r="AJ145" s="13">
        <f t="shared" si="150"/>
        <v>0</v>
      </c>
      <c r="AK145" s="13">
        <f t="shared" si="149"/>
        <v>0</v>
      </c>
      <c r="AL145" s="13">
        <f t="shared" si="138"/>
        <v>0</v>
      </c>
      <c r="AM145" s="13">
        <f t="shared" si="174"/>
        <v>0</v>
      </c>
      <c r="AN145" s="13">
        <f t="shared" si="171"/>
        <v>0</v>
      </c>
      <c r="AO145" s="13">
        <f t="shared" si="172"/>
        <v>0</v>
      </c>
      <c r="AP145" s="13">
        <f t="shared" si="173"/>
        <v>0</v>
      </c>
      <c r="AQ145" s="13">
        <f t="shared" si="167"/>
        <v>0</v>
      </c>
      <c r="AR145" s="13">
        <f t="shared" si="155"/>
        <v>0</v>
      </c>
      <c r="AS145" s="13">
        <f t="shared" si="156"/>
        <v>0</v>
      </c>
      <c r="AT145" s="13">
        <f t="shared" si="157"/>
        <v>0</v>
      </c>
      <c r="AU145" s="13">
        <f t="shared" si="158"/>
        <v>0</v>
      </c>
      <c r="AV145" s="13">
        <f t="shared" si="159"/>
        <v>0</v>
      </c>
      <c r="AW145" s="13">
        <f t="shared" si="160"/>
        <v>0</v>
      </c>
      <c r="AX145" s="13">
        <f t="shared" si="161"/>
        <v>0</v>
      </c>
      <c r="AY145" s="13">
        <f t="shared" si="162"/>
        <v>0</v>
      </c>
      <c r="AZ145" s="13">
        <f t="shared" si="163"/>
        <v>0</v>
      </c>
      <c r="BA145" s="13">
        <f t="shared" si="164"/>
        <v>0</v>
      </c>
      <c r="BB145" s="13">
        <f t="shared" si="165"/>
        <v>0</v>
      </c>
    </row>
    <row r="146" spans="1:54">
      <c r="A146">
        <f>data0!A144</f>
        <v>1010</v>
      </c>
      <c r="B146">
        <v>0</v>
      </c>
      <c r="C146" t="e">
        <f ca="1">(Calculations!C145-C$2)/C$1</f>
        <v>#DIV/0!</v>
      </c>
      <c r="D146" s="13" t="e">
        <f t="shared" ca="1" si="141"/>
        <v>#DIV/0!</v>
      </c>
      <c r="E146" s="13" t="e">
        <f t="shared" ca="1" si="142"/>
        <v>#DIV/0!</v>
      </c>
      <c r="F146" s="13" t="e">
        <f t="shared" ca="1" si="143"/>
        <v>#DIV/0!</v>
      </c>
      <c r="G146" s="13" t="e">
        <f t="shared" ca="1" si="144"/>
        <v>#DIV/0!</v>
      </c>
      <c r="H146" s="13" t="e">
        <f t="shared" ca="1" si="145"/>
        <v>#DIV/0!</v>
      </c>
      <c r="I146" s="13" t="e">
        <f t="shared" ca="1" si="146"/>
        <v>#DIV/0!</v>
      </c>
      <c r="J146" s="13" t="e">
        <f t="shared" ca="1" si="147"/>
        <v>#DIV/0!</v>
      </c>
      <c r="K146" s="13" t="e">
        <f t="shared" ca="1" si="151"/>
        <v>#DIV/0!</v>
      </c>
      <c r="L146" s="13" t="e">
        <f t="shared" ca="1" si="152"/>
        <v>#DIV/0!</v>
      </c>
      <c r="M146" s="13" t="e">
        <f t="shared" ca="1" si="148"/>
        <v>#DIV/0!</v>
      </c>
      <c r="N146" s="13" t="e">
        <f t="shared" ca="1" si="168"/>
        <v>#DIV/0!</v>
      </c>
      <c r="O146" s="13" t="e">
        <f t="shared" ca="1" si="169"/>
        <v>#DIV/0!</v>
      </c>
      <c r="P146" s="13" t="e">
        <f t="shared" ca="1" si="170"/>
        <v>#DIV/0!</v>
      </c>
      <c r="Q146" s="13">
        <f t="shared" si="153"/>
        <v>26735278857.775661</v>
      </c>
      <c r="R146" s="13">
        <f t="shared" si="153"/>
        <v>287414033161.55927</v>
      </c>
      <c r="S146" s="13">
        <f t="shared" si="153"/>
        <v>1197509836780.6414</v>
      </c>
      <c r="T146" s="13">
        <f t="shared" si="153"/>
        <v>3112021901102.9331</v>
      </c>
      <c r="U146" s="13">
        <f t="shared" si="153"/>
        <v>6185069542750.7822</v>
      </c>
      <c r="V146" s="13">
        <f t="shared" si="153"/>
        <v>10407077435212.141</v>
      </c>
      <c r="W146" s="13">
        <f t="shared" si="153"/>
        <v>15681456569632.676</v>
      </c>
      <c r="X146" s="13">
        <f t="shared" si="153"/>
        <v>21880130572635.012</v>
      </c>
      <c r="Y146" s="54">
        <f t="shared" si="153"/>
        <v>24936178350941.547</v>
      </c>
      <c r="Z146" s="13">
        <f t="shared" si="153"/>
        <v>28873374213823.352</v>
      </c>
      <c r="AA146" s="13">
        <f t="shared" si="153"/>
        <v>36542919986077.586</v>
      </c>
      <c r="AB146" s="13">
        <f t="shared" si="154"/>
        <v>44786200026290.617</v>
      </c>
      <c r="AC146" s="13">
        <f t="shared" si="166"/>
        <v>0</v>
      </c>
      <c r="AD146" s="13">
        <f t="shared" si="150"/>
        <v>0</v>
      </c>
      <c r="AE146" s="13">
        <f t="shared" si="150"/>
        <v>0</v>
      </c>
      <c r="AF146" s="13">
        <f t="shared" si="150"/>
        <v>0</v>
      </c>
      <c r="AG146" s="13">
        <f t="shared" si="150"/>
        <v>0</v>
      </c>
      <c r="AH146" s="13">
        <f t="shared" si="150"/>
        <v>0</v>
      </c>
      <c r="AI146" s="13">
        <f t="shared" si="150"/>
        <v>0</v>
      </c>
      <c r="AJ146" s="13">
        <f t="shared" si="150"/>
        <v>0</v>
      </c>
      <c r="AK146" s="13">
        <f t="shared" si="149"/>
        <v>0</v>
      </c>
      <c r="AL146" s="13">
        <f t="shared" si="138"/>
        <v>0</v>
      </c>
      <c r="AM146" s="13">
        <f t="shared" si="174"/>
        <v>0</v>
      </c>
      <c r="AN146" s="13">
        <f t="shared" si="171"/>
        <v>0</v>
      </c>
      <c r="AO146" s="13">
        <f t="shared" si="172"/>
        <v>0</v>
      </c>
      <c r="AP146" s="13">
        <f t="shared" si="173"/>
        <v>0</v>
      </c>
      <c r="AQ146" s="13">
        <f t="shared" si="167"/>
        <v>0</v>
      </c>
      <c r="AR146" s="13">
        <f t="shared" si="155"/>
        <v>0</v>
      </c>
      <c r="AS146" s="13">
        <f t="shared" si="156"/>
        <v>0</v>
      </c>
      <c r="AT146" s="13">
        <f t="shared" si="157"/>
        <v>0</v>
      </c>
      <c r="AU146" s="13">
        <f t="shared" si="158"/>
        <v>0</v>
      </c>
      <c r="AV146" s="13">
        <f t="shared" si="159"/>
        <v>0</v>
      </c>
      <c r="AW146" s="13">
        <f t="shared" si="160"/>
        <v>0</v>
      </c>
      <c r="AX146" s="13">
        <f t="shared" si="161"/>
        <v>0</v>
      </c>
      <c r="AY146" s="13">
        <f t="shared" si="162"/>
        <v>0</v>
      </c>
      <c r="AZ146" s="13">
        <f t="shared" si="163"/>
        <v>0</v>
      </c>
      <c r="BA146" s="13">
        <f t="shared" si="164"/>
        <v>0</v>
      </c>
      <c r="BB146" s="13">
        <f t="shared" si="165"/>
        <v>0</v>
      </c>
    </row>
    <row r="147" spans="1:54">
      <c r="A147">
        <f>data0!A145</f>
        <v>1015</v>
      </c>
      <c r="B147">
        <v>0</v>
      </c>
      <c r="C147" t="e">
        <f ca="1">(Calculations!C146-C$2)/C$1</f>
        <v>#DIV/0!</v>
      </c>
      <c r="D147" s="13" t="e">
        <f t="shared" ca="1" si="141"/>
        <v>#DIV/0!</v>
      </c>
      <c r="E147" s="13" t="e">
        <f t="shared" ca="1" si="142"/>
        <v>#DIV/0!</v>
      </c>
      <c r="F147" s="13" t="e">
        <f t="shared" ca="1" si="143"/>
        <v>#DIV/0!</v>
      </c>
      <c r="G147" s="13" t="e">
        <f t="shared" ca="1" si="144"/>
        <v>#DIV/0!</v>
      </c>
      <c r="H147" s="13" t="e">
        <f t="shared" ca="1" si="145"/>
        <v>#DIV/0!</v>
      </c>
      <c r="I147" s="13" t="e">
        <f t="shared" ca="1" si="146"/>
        <v>#DIV/0!</v>
      </c>
      <c r="J147" s="13" t="e">
        <f t="shared" ca="1" si="147"/>
        <v>#DIV/0!</v>
      </c>
      <c r="K147" s="13" t="e">
        <f t="shared" ca="1" si="151"/>
        <v>#DIV/0!</v>
      </c>
      <c r="L147" s="13" t="e">
        <f t="shared" ca="1" si="152"/>
        <v>#DIV/0!</v>
      </c>
      <c r="M147" s="13" t="e">
        <f t="shared" ca="1" si="148"/>
        <v>#DIV/0!</v>
      </c>
      <c r="N147" s="13" t="e">
        <f t="shared" ca="1" si="168"/>
        <v>#DIV/0!</v>
      </c>
      <c r="O147" s="13" t="e">
        <f t="shared" ca="1" si="169"/>
        <v>#DIV/0!</v>
      </c>
      <c r="P147" s="13" t="e">
        <f t="shared" ca="1" si="170"/>
        <v>#DIV/0!</v>
      </c>
      <c r="Q147" s="13">
        <f t="shared" si="153"/>
        <v>27332558462.785633</v>
      </c>
      <c r="R147" s="13">
        <f t="shared" si="153"/>
        <v>290425775476.98047</v>
      </c>
      <c r="S147" s="13">
        <f t="shared" si="153"/>
        <v>1201676982385.4629</v>
      </c>
      <c r="T147" s="13">
        <f t="shared" si="153"/>
        <v>3108621388689.8979</v>
      </c>
      <c r="U147" s="13">
        <f t="shared" si="153"/>
        <v>6158593026803.8467</v>
      </c>
      <c r="V147" s="13">
        <f t="shared" si="153"/>
        <v>10338301399488.338</v>
      </c>
      <c r="W147" s="13">
        <f t="shared" si="153"/>
        <v>15550209779368.52</v>
      </c>
      <c r="X147" s="13">
        <f t="shared" si="153"/>
        <v>21667019465432.219</v>
      </c>
      <c r="Y147" s="54">
        <f t="shared" si="153"/>
        <v>24680319019026.207</v>
      </c>
      <c r="Z147" s="13">
        <f t="shared" si="153"/>
        <v>28560630634288.641</v>
      </c>
      <c r="AA147" s="13">
        <f t="shared" si="153"/>
        <v>36114697193067.211</v>
      </c>
      <c r="AB147" s="13">
        <f t="shared" si="154"/>
        <v>44228570901222.562</v>
      </c>
      <c r="AC147" s="13">
        <f t="shared" si="166"/>
        <v>0</v>
      </c>
      <c r="AD147" s="13">
        <f t="shared" si="150"/>
        <v>0</v>
      </c>
      <c r="AE147" s="13">
        <f t="shared" si="150"/>
        <v>0</v>
      </c>
      <c r="AF147" s="13">
        <f t="shared" si="150"/>
        <v>0</v>
      </c>
      <c r="AG147" s="13">
        <f t="shared" si="150"/>
        <v>0</v>
      </c>
      <c r="AH147" s="13">
        <f t="shared" si="150"/>
        <v>0</v>
      </c>
      <c r="AI147" s="13">
        <f t="shared" si="150"/>
        <v>0</v>
      </c>
      <c r="AJ147" s="13">
        <f t="shared" si="150"/>
        <v>0</v>
      </c>
      <c r="AK147" s="13">
        <f t="shared" si="149"/>
        <v>0</v>
      </c>
      <c r="AL147" s="13">
        <f t="shared" si="138"/>
        <v>0</v>
      </c>
      <c r="AM147" s="13">
        <f t="shared" si="174"/>
        <v>0</v>
      </c>
      <c r="AN147" s="13">
        <f t="shared" si="171"/>
        <v>0</v>
      </c>
      <c r="AO147" s="13">
        <f t="shared" si="172"/>
        <v>0</v>
      </c>
      <c r="AP147" s="13">
        <f t="shared" si="173"/>
        <v>0</v>
      </c>
      <c r="AQ147" s="13">
        <f t="shared" si="167"/>
        <v>0</v>
      </c>
      <c r="AR147" s="13">
        <f t="shared" si="155"/>
        <v>0</v>
      </c>
      <c r="AS147" s="13">
        <f t="shared" si="156"/>
        <v>0</v>
      </c>
      <c r="AT147" s="13">
        <f t="shared" si="157"/>
        <v>0</v>
      </c>
      <c r="AU147" s="13">
        <f t="shared" si="158"/>
        <v>0</v>
      </c>
      <c r="AV147" s="13">
        <f t="shared" si="159"/>
        <v>0</v>
      </c>
      <c r="AW147" s="13">
        <f t="shared" si="160"/>
        <v>0</v>
      </c>
      <c r="AX147" s="13">
        <f t="shared" si="161"/>
        <v>0</v>
      </c>
      <c r="AY147" s="13">
        <f t="shared" si="162"/>
        <v>0</v>
      </c>
      <c r="AZ147" s="13">
        <f t="shared" si="163"/>
        <v>0</v>
      </c>
      <c r="BA147" s="13">
        <f t="shared" si="164"/>
        <v>0</v>
      </c>
      <c r="BB147" s="13">
        <f t="shared" si="165"/>
        <v>0</v>
      </c>
    </row>
    <row r="148" spans="1:54">
      <c r="A148">
        <f>data0!A146</f>
        <v>1020</v>
      </c>
      <c r="B148">
        <v>0</v>
      </c>
      <c r="C148" t="e">
        <f ca="1">(Calculations!C147-C$2)/C$1</f>
        <v>#DIV/0!</v>
      </c>
      <c r="D148" s="13" t="e">
        <f t="shared" ca="1" si="141"/>
        <v>#DIV/0!</v>
      </c>
      <c r="E148" s="13" t="e">
        <f t="shared" ca="1" si="142"/>
        <v>#DIV/0!</v>
      </c>
      <c r="F148" s="13" t="e">
        <f t="shared" ca="1" si="143"/>
        <v>#DIV/0!</v>
      </c>
      <c r="G148" s="13" t="e">
        <f t="shared" ca="1" si="144"/>
        <v>#DIV/0!</v>
      </c>
      <c r="H148" s="13" t="e">
        <f t="shared" ca="1" si="145"/>
        <v>#DIV/0!</v>
      </c>
      <c r="I148" s="13" t="e">
        <f t="shared" ca="1" si="146"/>
        <v>#DIV/0!</v>
      </c>
      <c r="J148" s="13" t="e">
        <f t="shared" ca="1" si="147"/>
        <v>#DIV/0!</v>
      </c>
      <c r="K148" s="13" t="e">
        <f t="shared" ca="1" si="151"/>
        <v>#DIV/0!</v>
      </c>
      <c r="L148" s="13" t="e">
        <f t="shared" ca="1" si="152"/>
        <v>#DIV/0!</v>
      </c>
      <c r="M148" s="13" t="e">
        <f t="shared" ca="1" si="148"/>
        <v>#DIV/0!</v>
      </c>
      <c r="N148" s="13" t="e">
        <f t="shared" ca="1" si="168"/>
        <v>#DIV/0!</v>
      </c>
      <c r="O148" s="13" t="e">
        <f t="shared" ca="1" si="169"/>
        <v>#DIV/0!</v>
      </c>
      <c r="P148" s="13" t="e">
        <f t="shared" ca="1" si="170"/>
        <v>#DIV/0!</v>
      </c>
      <c r="Q148" s="13">
        <f t="shared" ref="Q148:AA163" si="175">(3.7418E-16/POWER($A148*0.000000001,5))/(EXP(0.0143877/($A148*Q$3/1000000000))-1)</f>
        <v>27933761230.308895</v>
      </c>
      <c r="R148" s="13">
        <f t="shared" si="175"/>
        <v>293403957176.62793</v>
      </c>
      <c r="S148" s="13">
        <f t="shared" si="175"/>
        <v>1205675231632.0115</v>
      </c>
      <c r="T148" s="13">
        <f t="shared" si="175"/>
        <v>3104898089733.2368</v>
      </c>
      <c r="U148" s="13">
        <f t="shared" si="175"/>
        <v>6131791207266.1514</v>
      </c>
      <c r="V148" s="13">
        <f t="shared" si="175"/>
        <v>10269502963394.08</v>
      </c>
      <c r="W148" s="13">
        <f t="shared" si="175"/>
        <v>15419643105214.131</v>
      </c>
      <c r="X148" s="13">
        <f t="shared" si="175"/>
        <v>21455728321282.586</v>
      </c>
      <c r="Y148" s="54">
        <f t="shared" si="175"/>
        <v>24426935963208.027</v>
      </c>
      <c r="Z148" s="13">
        <f t="shared" si="175"/>
        <v>28251283204640.687</v>
      </c>
      <c r="AA148" s="13">
        <f t="shared" si="175"/>
        <v>35691859970084.141</v>
      </c>
      <c r="AB148" s="13">
        <f t="shared" si="154"/>
        <v>43678696362203.359</v>
      </c>
      <c r="AC148" s="13">
        <f t="shared" si="166"/>
        <v>0</v>
      </c>
      <c r="AD148" s="13">
        <f t="shared" si="150"/>
        <v>0</v>
      </c>
      <c r="AE148" s="13">
        <f t="shared" si="150"/>
        <v>0</v>
      </c>
      <c r="AF148" s="13">
        <f t="shared" si="150"/>
        <v>0</v>
      </c>
      <c r="AG148" s="13">
        <f t="shared" si="150"/>
        <v>0</v>
      </c>
      <c r="AH148" s="13">
        <f t="shared" si="150"/>
        <v>0</v>
      </c>
      <c r="AI148" s="13">
        <f t="shared" si="150"/>
        <v>0</v>
      </c>
      <c r="AJ148" s="13">
        <f t="shared" si="150"/>
        <v>0</v>
      </c>
      <c r="AK148" s="13">
        <f t="shared" si="149"/>
        <v>0</v>
      </c>
      <c r="AL148" s="13">
        <f t="shared" si="138"/>
        <v>0</v>
      </c>
      <c r="AM148" s="13">
        <f t="shared" si="174"/>
        <v>0</v>
      </c>
      <c r="AN148" s="13">
        <f t="shared" si="171"/>
        <v>0</v>
      </c>
      <c r="AO148" s="13">
        <f t="shared" si="172"/>
        <v>0</v>
      </c>
      <c r="AP148" s="13">
        <f t="shared" si="173"/>
        <v>0</v>
      </c>
      <c r="AQ148" s="13">
        <f t="shared" si="167"/>
        <v>0</v>
      </c>
      <c r="AR148" s="13">
        <f t="shared" si="155"/>
        <v>0</v>
      </c>
      <c r="AS148" s="13">
        <f t="shared" si="156"/>
        <v>0</v>
      </c>
      <c r="AT148" s="13">
        <f t="shared" si="157"/>
        <v>0</v>
      </c>
      <c r="AU148" s="13">
        <f t="shared" si="158"/>
        <v>0</v>
      </c>
      <c r="AV148" s="13">
        <f t="shared" si="159"/>
        <v>0</v>
      </c>
      <c r="AW148" s="13">
        <f t="shared" si="160"/>
        <v>0</v>
      </c>
      <c r="AX148" s="13">
        <f t="shared" si="161"/>
        <v>0</v>
      </c>
      <c r="AY148" s="13">
        <f t="shared" si="162"/>
        <v>0</v>
      </c>
      <c r="AZ148" s="13">
        <f t="shared" si="163"/>
        <v>0</v>
      </c>
      <c r="BA148" s="13">
        <f t="shared" si="164"/>
        <v>0</v>
      </c>
      <c r="BB148" s="13">
        <f t="shared" si="165"/>
        <v>0</v>
      </c>
    </row>
    <row r="149" spans="1:54">
      <c r="A149">
        <f>data0!A147</f>
        <v>1025</v>
      </c>
      <c r="B149">
        <v>0</v>
      </c>
      <c r="C149" t="e">
        <f ca="1">(Calculations!C148-C$2)/C$1</f>
        <v>#DIV/0!</v>
      </c>
      <c r="D149" s="13" t="e">
        <f t="shared" ca="1" si="141"/>
        <v>#DIV/0!</v>
      </c>
      <c r="E149" s="13" t="e">
        <f t="shared" ca="1" si="142"/>
        <v>#DIV/0!</v>
      </c>
      <c r="F149" s="13" t="e">
        <f t="shared" ca="1" si="143"/>
        <v>#DIV/0!</v>
      </c>
      <c r="G149" s="13" t="e">
        <f t="shared" ca="1" si="144"/>
        <v>#DIV/0!</v>
      </c>
      <c r="H149" s="13" t="e">
        <f t="shared" ca="1" si="145"/>
        <v>#DIV/0!</v>
      </c>
      <c r="I149" s="13" t="e">
        <f t="shared" ca="1" si="146"/>
        <v>#DIV/0!</v>
      </c>
      <c r="J149" s="13" t="e">
        <f t="shared" ca="1" si="147"/>
        <v>#DIV/0!</v>
      </c>
      <c r="K149" s="13" t="e">
        <f t="shared" ca="1" si="151"/>
        <v>#DIV/0!</v>
      </c>
      <c r="L149" s="13" t="e">
        <f t="shared" ca="1" si="152"/>
        <v>#DIV/0!</v>
      </c>
      <c r="M149" s="13" t="e">
        <f t="shared" ca="1" si="148"/>
        <v>#DIV/0!</v>
      </c>
      <c r="N149" s="13" t="e">
        <f t="shared" ca="1" si="168"/>
        <v>#DIV/0!</v>
      </c>
      <c r="O149" s="13" t="e">
        <f t="shared" ca="1" si="169"/>
        <v>#DIV/0!</v>
      </c>
      <c r="P149" s="13" t="e">
        <f t="shared" ca="1" si="170"/>
        <v>#DIV/0!</v>
      </c>
      <c r="Q149" s="13">
        <f t="shared" si="175"/>
        <v>28538721417.303356</v>
      </c>
      <c r="R149" s="13">
        <f t="shared" si="175"/>
        <v>296348048670.10132</v>
      </c>
      <c r="S149" s="13">
        <f t="shared" si="175"/>
        <v>1209506252170.8552</v>
      </c>
      <c r="T149" s="13">
        <f t="shared" si="175"/>
        <v>3100859904660.6396</v>
      </c>
      <c r="U149" s="13">
        <f t="shared" si="175"/>
        <v>6104679565355.8145</v>
      </c>
      <c r="V149" s="13">
        <f t="shared" si="175"/>
        <v>10200701931786.193</v>
      </c>
      <c r="W149" s="13">
        <f t="shared" si="175"/>
        <v>15289773324914.48</v>
      </c>
      <c r="X149" s="13">
        <f t="shared" si="175"/>
        <v>21246260869016.949</v>
      </c>
      <c r="Y149" s="54">
        <f t="shared" si="175"/>
        <v>24176023382208.148</v>
      </c>
      <c r="Z149" s="13">
        <f t="shared" si="175"/>
        <v>27945311279264.293</v>
      </c>
      <c r="AA149" s="13">
        <f t="shared" si="175"/>
        <v>35274351665399.187</v>
      </c>
      <c r="AB149" s="13">
        <f t="shared" si="154"/>
        <v>43136472440120.187</v>
      </c>
      <c r="AC149" s="13">
        <f t="shared" si="166"/>
        <v>0</v>
      </c>
      <c r="AD149" s="13">
        <f t="shared" si="150"/>
        <v>0</v>
      </c>
      <c r="AE149" s="13">
        <f t="shared" si="150"/>
        <v>0</v>
      </c>
      <c r="AF149" s="13">
        <f t="shared" si="150"/>
        <v>0</v>
      </c>
      <c r="AG149" s="13">
        <f t="shared" si="150"/>
        <v>0</v>
      </c>
      <c r="AH149" s="13">
        <f t="shared" si="150"/>
        <v>0</v>
      </c>
      <c r="AI149" s="13">
        <f t="shared" si="150"/>
        <v>0</v>
      </c>
      <c r="AJ149" s="13">
        <f t="shared" si="150"/>
        <v>0</v>
      </c>
      <c r="AK149" s="13">
        <f t="shared" si="149"/>
        <v>0</v>
      </c>
      <c r="AL149" s="13">
        <f t="shared" si="138"/>
        <v>0</v>
      </c>
      <c r="AM149" s="13">
        <f t="shared" si="174"/>
        <v>0</v>
      </c>
      <c r="AN149" s="13">
        <f t="shared" si="171"/>
        <v>0</v>
      </c>
      <c r="AO149" s="13">
        <f t="shared" si="172"/>
        <v>0</v>
      </c>
      <c r="AP149" s="13">
        <f t="shared" si="173"/>
        <v>0</v>
      </c>
      <c r="AQ149" s="13">
        <f t="shared" si="167"/>
        <v>0</v>
      </c>
      <c r="AR149" s="13">
        <f t="shared" si="155"/>
        <v>0</v>
      </c>
      <c r="AS149" s="13">
        <f t="shared" si="156"/>
        <v>0</v>
      </c>
      <c r="AT149" s="13">
        <f t="shared" si="157"/>
        <v>0</v>
      </c>
      <c r="AU149" s="13">
        <f t="shared" si="158"/>
        <v>0</v>
      </c>
      <c r="AV149" s="13">
        <f t="shared" si="159"/>
        <v>0</v>
      </c>
      <c r="AW149" s="13">
        <f t="shared" si="160"/>
        <v>0</v>
      </c>
      <c r="AX149" s="13">
        <f t="shared" si="161"/>
        <v>0</v>
      </c>
      <c r="AY149" s="13">
        <f t="shared" si="162"/>
        <v>0</v>
      </c>
      <c r="AZ149" s="13">
        <f t="shared" si="163"/>
        <v>0</v>
      </c>
      <c r="BA149" s="13">
        <f t="shared" si="164"/>
        <v>0</v>
      </c>
      <c r="BB149" s="13">
        <f t="shared" si="165"/>
        <v>0</v>
      </c>
    </row>
    <row r="150" spans="1:54">
      <c r="A150">
        <f>data0!A148</f>
        <v>1030</v>
      </c>
      <c r="B150">
        <v>0</v>
      </c>
      <c r="C150" t="e">
        <f ca="1">(Calculations!C149-C$2)/C$1</f>
        <v>#DIV/0!</v>
      </c>
      <c r="D150" s="13" t="e">
        <f t="shared" ca="1" si="141"/>
        <v>#DIV/0!</v>
      </c>
      <c r="E150" s="13" t="e">
        <f t="shared" ca="1" si="142"/>
        <v>#DIV/0!</v>
      </c>
      <c r="F150" s="13" t="e">
        <f t="shared" ca="1" si="143"/>
        <v>#DIV/0!</v>
      </c>
      <c r="G150" s="13" t="e">
        <f t="shared" ca="1" si="144"/>
        <v>#DIV/0!</v>
      </c>
      <c r="H150" s="13" t="e">
        <f t="shared" ca="1" si="145"/>
        <v>#DIV/0!</v>
      </c>
      <c r="I150" s="13" t="e">
        <f t="shared" ca="1" si="146"/>
        <v>#DIV/0!</v>
      </c>
      <c r="J150" s="13" t="e">
        <f t="shared" ca="1" si="147"/>
        <v>#DIV/0!</v>
      </c>
      <c r="K150" s="13" t="e">
        <f t="shared" ca="1" si="151"/>
        <v>#DIV/0!</v>
      </c>
      <c r="L150" s="13" t="e">
        <f t="shared" ca="1" si="152"/>
        <v>#DIV/0!</v>
      </c>
      <c r="M150" s="13" t="e">
        <f t="shared" ca="1" si="148"/>
        <v>#DIV/0!</v>
      </c>
      <c r="N150" s="13" t="e">
        <f t="shared" ca="1" si="168"/>
        <v>#DIV/0!</v>
      </c>
      <c r="O150" s="13" t="e">
        <f t="shared" ca="1" si="169"/>
        <v>#DIV/0!</v>
      </c>
      <c r="P150" s="13" t="e">
        <f t="shared" ca="1" si="170"/>
        <v>#DIV/0!</v>
      </c>
      <c r="Q150" s="13">
        <f t="shared" si="175"/>
        <v>29147272700.907368</v>
      </c>
      <c r="R150" s="13">
        <f t="shared" si="175"/>
        <v>299257547754.80164</v>
      </c>
      <c r="S150" s="13">
        <f t="shared" si="175"/>
        <v>1213171751439.887</v>
      </c>
      <c r="T150" s="13">
        <f t="shared" si="175"/>
        <v>3096514646704.1611</v>
      </c>
      <c r="U150" s="13">
        <f t="shared" si="175"/>
        <v>6077273207656.292</v>
      </c>
      <c r="V150" s="13">
        <f t="shared" si="175"/>
        <v>10131917388406.641</v>
      </c>
      <c r="W150" s="13">
        <f t="shared" si="175"/>
        <v>15160616233216.137</v>
      </c>
      <c r="X150" s="13">
        <f t="shared" si="175"/>
        <v>21038619802317.004</v>
      </c>
      <c r="Y150" s="54">
        <f t="shared" si="175"/>
        <v>23927574508776.809</v>
      </c>
      <c r="Z150" s="13">
        <f t="shared" si="175"/>
        <v>27642693420246.512</v>
      </c>
      <c r="AA150" s="13">
        <f t="shared" si="175"/>
        <v>34862115419589.516</v>
      </c>
      <c r="AB150" s="13">
        <f t="shared" si="154"/>
        <v>42601795901911.023</v>
      </c>
      <c r="AC150" s="13">
        <f t="shared" si="166"/>
        <v>0</v>
      </c>
      <c r="AD150" s="13">
        <f t="shared" si="150"/>
        <v>0</v>
      </c>
      <c r="AE150" s="13">
        <f t="shared" si="150"/>
        <v>0</v>
      </c>
      <c r="AF150" s="13">
        <f t="shared" si="150"/>
        <v>0</v>
      </c>
      <c r="AG150" s="13">
        <f t="shared" si="150"/>
        <v>0</v>
      </c>
      <c r="AH150" s="13">
        <f t="shared" si="150"/>
        <v>0</v>
      </c>
      <c r="AI150" s="13">
        <f t="shared" si="150"/>
        <v>0</v>
      </c>
      <c r="AJ150" s="13">
        <f t="shared" si="150"/>
        <v>0</v>
      </c>
      <c r="AK150" s="13">
        <f t="shared" si="149"/>
        <v>0</v>
      </c>
      <c r="AL150" s="13">
        <f t="shared" si="138"/>
        <v>0</v>
      </c>
      <c r="AM150" s="13">
        <f t="shared" si="174"/>
        <v>0</v>
      </c>
      <c r="AN150" s="13">
        <f t="shared" si="171"/>
        <v>0</v>
      </c>
      <c r="AO150" s="13">
        <f t="shared" si="172"/>
        <v>0</v>
      </c>
      <c r="AP150" s="13">
        <f t="shared" si="173"/>
        <v>0</v>
      </c>
      <c r="AQ150" s="13">
        <f t="shared" si="167"/>
        <v>0</v>
      </c>
      <c r="AR150" s="13">
        <f t="shared" si="155"/>
        <v>0</v>
      </c>
      <c r="AS150" s="13">
        <f t="shared" si="156"/>
        <v>0</v>
      </c>
      <c r="AT150" s="13">
        <f t="shared" si="157"/>
        <v>0</v>
      </c>
      <c r="AU150" s="13">
        <f t="shared" si="158"/>
        <v>0</v>
      </c>
      <c r="AV150" s="13">
        <f t="shared" si="159"/>
        <v>0</v>
      </c>
      <c r="AW150" s="13">
        <f t="shared" si="160"/>
        <v>0</v>
      </c>
      <c r="AX150" s="13">
        <f t="shared" si="161"/>
        <v>0</v>
      </c>
      <c r="AY150" s="13">
        <f t="shared" si="162"/>
        <v>0</v>
      </c>
      <c r="AZ150" s="13">
        <f t="shared" si="163"/>
        <v>0</v>
      </c>
      <c r="BA150" s="13">
        <f t="shared" si="164"/>
        <v>0</v>
      </c>
      <c r="BB150" s="13">
        <f t="shared" si="165"/>
        <v>0</v>
      </c>
    </row>
    <row r="151" spans="1:54">
      <c r="A151">
        <f>data0!A149</f>
        <v>1035</v>
      </c>
      <c r="B151">
        <v>0</v>
      </c>
      <c r="C151" t="e">
        <f ca="1">(Calculations!C150-C$2)/C$1</f>
        <v>#DIV/0!</v>
      </c>
      <c r="D151" s="13" t="e">
        <f t="shared" ca="1" si="141"/>
        <v>#DIV/0!</v>
      </c>
      <c r="E151" s="13" t="e">
        <f t="shared" ca="1" si="142"/>
        <v>#DIV/0!</v>
      </c>
      <c r="F151" s="13" t="e">
        <f t="shared" ca="1" si="143"/>
        <v>#DIV/0!</v>
      </c>
      <c r="G151" s="13" t="e">
        <f t="shared" ca="1" si="144"/>
        <v>#DIV/0!</v>
      </c>
      <c r="H151" s="13" t="e">
        <f t="shared" ca="1" si="145"/>
        <v>#DIV/0!</v>
      </c>
      <c r="I151" s="13" t="e">
        <f t="shared" ca="1" si="146"/>
        <v>#DIV/0!</v>
      </c>
      <c r="J151" s="13" t="e">
        <f t="shared" ca="1" si="147"/>
        <v>#DIV/0!</v>
      </c>
      <c r="K151" s="13" t="e">
        <f t="shared" ca="1" si="151"/>
        <v>#DIV/0!</v>
      </c>
      <c r="L151" s="13" t="e">
        <f t="shared" ca="1" si="152"/>
        <v>#DIV/0!</v>
      </c>
      <c r="M151" s="13" t="e">
        <f t="shared" ca="1" si="148"/>
        <v>#DIV/0!</v>
      </c>
      <c r="N151" s="13" t="e">
        <f t="shared" ca="1" si="168"/>
        <v>#DIV/0!</v>
      </c>
      <c r="O151" s="13" t="e">
        <f t="shared" ca="1" si="169"/>
        <v>#DIV/0!</v>
      </c>
      <c r="P151" s="13" t="e">
        <f t="shared" ca="1" si="170"/>
        <v>#DIV/0!</v>
      </c>
      <c r="Q151" s="13">
        <f t="shared" si="175"/>
        <v>29759248315.196331</v>
      </c>
      <c r="R151" s="13">
        <f t="shared" si="175"/>
        <v>302131979204.3631</v>
      </c>
      <c r="S151" s="13">
        <f t="shared" si="175"/>
        <v>1216673473942.8335</v>
      </c>
      <c r="T151" s="13">
        <f t="shared" si="175"/>
        <v>3091870039498.2422</v>
      </c>
      <c r="U151" s="13">
        <f t="shared" si="175"/>
        <v>6049586871043.1191</v>
      </c>
      <c r="V151" s="13">
        <f t="shared" si="175"/>
        <v>10063167714692.346</v>
      </c>
      <c r="W151" s="13">
        <f t="shared" si="175"/>
        <v>15032186677014.797</v>
      </c>
      <c r="X151" s="13">
        <f t="shared" si="175"/>
        <v>20832806828599.68</v>
      </c>
      <c r="Y151" s="54">
        <f t="shared" si="175"/>
        <v>23681581662710.121</v>
      </c>
      <c r="Z151" s="13">
        <f t="shared" si="175"/>
        <v>27343407453063.125</v>
      </c>
      <c r="AA151" s="13">
        <f t="shared" si="175"/>
        <v>34455094218045.043</v>
      </c>
      <c r="AB151" s="13">
        <f t="shared" si="154"/>
        <v>42074564288102.047</v>
      </c>
      <c r="AC151" s="13">
        <f t="shared" si="166"/>
        <v>0</v>
      </c>
      <c r="AD151" s="13">
        <f t="shared" si="150"/>
        <v>0</v>
      </c>
      <c r="AE151" s="13">
        <f t="shared" si="150"/>
        <v>0</v>
      </c>
      <c r="AF151" s="13">
        <f t="shared" si="150"/>
        <v>0</v>
      </c>
      <c r="AG151" s="13">
        <f t="shared" si="150"/>
        <v>0</v>
      </c>
      <c r="AH151" s="13">
        <f t="shared" si="150"/>
        <v>0</v>
      </c>
      <c r="AI151" s="13">
        <f t="shared" si="150"/>
        <v>0</v>
      </c>
      <c r="AJ151" s="13">
        <f t="shared" si="150"/>
        <v>0</v>
      </c>
      <c r="AK151" s="13">
        <f t="shared" si="149"/>
        <v>0</v>
      </c>
      <c r="AL151" s="13">
        <f t="shared" si="138"/>
        <v>0</v>
      </c>
      <c r="AM151" s="13">
        <f t="shared" si="174"/>
        <v>0</v>
      </c>
      <c r="AN151" s="13">
        <f t="shared" si="171"/>
        <v>0</v>
      </c>
      <c r="AO151" s="13">
        <f t="shared" si="172"/>
        <v>0</v>
      </c>
      <c r="AP151" s="13">
        <f t="shared" si="173"/>
        <v>0</v>
      </c>
      <c r="AQ151" s="13">
        <f t="shared" si="167"/>
        <v>0</v>
      </c>
      <c r="AR151" s="13">
        <f t="shared" si="155"/>
        <v>0</v>
      </c>
      <c r="AS151" s="13">
        <f t="shared" si="156"/>
        <v>0</v>
      </c>
      <c r="AT151" s="13">
        <f t="shared" si="157"/>
        <v>0</v>
      </c>
      <c r="AU151" s="13">
        <f t="shared" si="158"/>
        <v>0</v>
      </c>
      <c r="AV151" s="13">
        <f t="shared" si="159"/>
        <v>0</v>
      </c>
      <c r="AW151" s="13">
        <f t="shared" si="160"/>
        <v>0</v>
      </c>
      <c r="AX151" s="13">
        <f t="shared" si="161"/>
        <v>0</v>
      </c>
      <c r="AY151" s="13">
        <f t="shared" si="162"/>
        <v>0</v>
      </c>
      <c r="AZ151" s="13">
        <f t="shared" si="163"/>
        <v>0</v>
      </c>
      <c r="BA151" s="13">
        <f t="shared" si="164"/>
        <v>0</v>
      </c>
      <c r="BB151" s="13">
        <f t="shared" si="165"/>
        <v>0</v>
      </c>
    </row>
    <row r="152" spans="1:54">
      <c r="A152">
        <f>data0!A150</f>
        <v>1040</v>
      </c>
      <c r="B152">
        <v>0</v>
      </c>
      <c r="C152" t="e">
        <f ca="1">(Calculations!C151-C$2)/C$1</f>
        <v>#DIV/0!</v>
      </c>
      <c r="D152" s="13" t="e">
        <f t="shared" ca="1" si="141"/>
        <v>#DIV/0!</v>
      </c>
      <c r="E152" s="13" t="e">
        <f t="shared" ca="1" si="142"/>
        <v>#DIV/0!</v>
      </c>
      <c r="F152" s="13" t="e">
        <f t="shared" ca="1" si="143"/>
        <v>#DIV/0!</v>
      </c>
      <c r="G152" s="13" t="e">
        <f t="shared" ca="1" si="144"/>
        <v>#DIV/0!</v>
      </c>
      <c r="H152" s="13" t="e">
        <f t="shared" ca="1" si="145"/>
        <v>#DIV/0!</v>
      </c>
      <c r="I152" s="13" t="e">
        <f t="shared" ca="1" si="146"/>
        <v>#DIV/0!</v>
      </c>
      <c r="J152" s="13" t="e">
        <f t="shared" ca="1" si="147"/>
        <v>#DIV/0!</v>
      </c>
      <c r="K152" s="13" t="e">
        <f t="shared" ca="1" si="151"/>
        <v>#DIV/0!</v>
      </c>
      <c r="L152" s="13" t="e">
        <f t="shared" ca="1" si="152"/>
        <v>#DIV/0!</v>
      </c>
      <c r="M152" s="13" t="e">
        <f t="shared" ca="1" si="148"/>
        <v>#DIV/0!</v>
      </c>
      <c r="N152" s="13" t="e">
        <f t="shared" ca="1" si="168"/>
        <v>#DIV/0!</v>
      </c>
      <c r="O152" s="13" t="e">
        <f t="shared" ca="1" si="169"/>
        <v>#DIV/0!</v>
      </c>
      <c r="P152" s="13" t="e">
        <f t="shared" ca="1" si="170"/>
        <v>#DIV/0!</v>
      </c>
      <c r="Q152" s="13">
        <f t="shared" si="175"/>
        <v>30374481184.695305</v>
      </c>
      <c r="R152" s="13">
        <f t="shared" si="175"/>
        <v>304970894344.31653</v>
      </c>
      <c r="S152" s="13">
        <f t="shared" si="175"/>
        <v>1220013198611.2651</v>
      </c>
      <c r="T152" s="13">
        <f t="shared" si="175"/>
        <v>3086933714892.0605</v>
      </c>
      <c r="U152" s="13">
        <f t="shared" si="175"/>
        <v>6021634927741.3105</v>
      </c>
      <c r="V152" s="13">
        <f t="shared" si="175"/>
        <v>9994470608285.7754</v>
      </c>
      <c r="W152" s="13">
        <f t="shared" si="175"/>
        <v>14904498589491.621</v>
      </c>
      <c r="X152" s="13">
        <f t="shared" si="175"/>
        <v>20628822716073.25</v>
      </c>
      <c r="Y152" s="54">
        <f t="shared" si="175"/>
        <v>23438036301690.48</v>
      </c>
      <c r="Z152" s="13">
        <f t="shared" si="175"/>
        <v>27047430519713.312</v>
      </c>
      <c r="AA152" s="13">
        <f t="shared" si="175"/>
        <v>34053230940460.355</v>
      </c>
      <c r="AB152" s="13">
        <f t="shared" si="154"/>
        <v>41554675947249.781</v>
      </c>
      <c r="AC152" s="13">
        <f t="shared" si="166"/>
        <v>0</v>
      </c>
      <c r="AD152" s="13">
        <f t="shared" si="150"/>
        <v>0</v>
      </c>
      <c r="AE152" s="13">
        <f t="shared" si="150"/>
        <v>0</v>
      </c>
      <c r="AF152" s="13">
        <f t="shared" si="150"/>
        <v>0</v>
      </c>
      <c r="AG152" s="13">
        <f t="shared" si="150"/>
        <v>0</v>
      </c>
      <c r="AH152" s="13">
        <f t="shared" si="150"/>
        <v>0</v>
      </c>
      <c r="AI152" s="13">
        <f t="shared" si="150"/>
        <v>0</v>
      </c>
      <c r="AJ152" s="13">
        <f t="shared" si="150"/>
        <v>0</v>
      </c>
      <c r="AK152" s="13">
        <f t="shared" si="149"/>
        <v>0</v>
      </c>
      <c r="AL152" s="13">
        <f t="shared" si="138"/>
        <v>0</v>
      </c>
      <c r="AM152" s="13">
        <f t="shared" si="174"/>
        <v>0</v>
      </c>
      <c r="AN152" s="13">
        <f t="shared" si="171"/>
        <v>0</v>
      </c>
      <c r="AO152" s="13">
        <f t="shared" si="172"/>
        <v>0</v>
      </c>
      <c r="AP152" s="13">
        <f t="shared" si="173"/>
        <v>0</v>
      </c>
      <c r="AQ152" s="13">
        <f t="shared" si="167"/>
        <v>0</v>
      </c>
      <c r="AR152" s="13">
        <f t="shared" si="155"/>
        <v>0</v>
      </c>
      <c r="AS152" s="13">
        <f t="shared" si="156"/>
        <v>0</v>
      </c>
      <c r="AT152" s="13">
        <f t="shared" si="157"/>
        <v>0</v>
      </c>
      <c r="AU152" s="13">
        <f t="shared" si="158"/>
        <v>0</v>
      </c>
      <c r="AV152" s="13">
        <f t="shared" si="159"/>
        <v>0</v>
      </c>
      <c r="AW152" s="13">
        <f t="shared" si="160"/>
        <v>0</v>
      </c>
      <c r="AX152" s="13">
        <f t="shared" si="161"/>
        <v>0</v>
      </c>
      <c r="AY152" s="13">
        <f t="shared" si="162"/>
        <v>0</v>
      </c>
      <c r="AZ152" s="13">
        <f t="shared" si="163"/>
        <v>0</v>
      </c>
      <c r="BA152" s="13">
        <f t="shared" si="164"/>
        <v>0</v>
      </c>
      <c r="BB152" s="13">
        <f t="shared" si="165"/>
        <v>0</v>
      </c>
    </row>
    <row r="153" spans="1:54">
      <c r="A153">
        <f>data0!A151</f>
        <v>1045</v>
      </c>
      <c r="B153">
        <v>0</v>
      </c>
      <c r="C153" t="e">
        <f ca="1">(Calculations!C152-C$2)/C$1</f>
        <v>#DIV/0!</v>
      </c>
      <c r="D153" s="13" t="e">
        <f t="shared" ca="1" si="141"/>
        <v>#DIV/0!</v>
      </c>
      <c r="E153" s="13" t="e">
        <f t="shared" ca="1" si="142"/>
        <v>#DIV/0!</v>
      </c>
      <c r="F153" s="13" t="e">
        <f t="shared" ca="1" si="143"/>
        <v>#DIV/0!</v>
      </c>
      <c r="G153" s="13" t="e">
        <f t="shared" ca="1" si="144"/>
        <v>#DIV/0!</v>
      </c>
      <c r="H153" s="13" t="e">
        <f t="shared" ca="1" si="145"/>
        <v>#DIV/0!</v>
      </c>
      <c r="I153" s="13" t="e">
        <f t="shared" ca="1" si="146"/>
        <v>#DIV/0!</v>
      </c>
      <c r="J153" s="13" t="e">
        <f t="shared" ca="1" si="147"/>
        <v>#DIV/0!</v>
      </c>
      <c r="K153" s="13" t="e">
        <f t="shared" ca="1" si="151"/>
        <v>#DIV/0!</v>
      </c>
      <c r="L153" s="13" t="e">
        <f t="shared" ca="1" si="152"/>
        <v>#DIV/0!</v>
      </c>
      <c r="M153" s="13" t="e">
        <f t="shared" ca="1" si="148"/>
        <v>#DIV/0!</v>
      </c>
      <c r="N153" s="13" t="e">
        <f t="shared" ca="1" si="168"/>
        <v>#DIV/0!</v>
      </c>
      <c r="O153" s="13" t="e">
        <f t="shared" ca="1" si="169"/>
        <v>#DIV/0!</v>
      </c>
      <c r="P153" s="13" t="e">
        <f t="shared" ca="1" si="170"/>
        <v>#DIV/0!</v>
      </c>
      <c r="Q153" s="13">
        <f t="shared" si="175"/>
        <v>30992804054.578968</v>
      </c>
      <c r="R153" s="13">
        <f t="shared" si="175"/>
        <v>307773870616.17218</v>
      </c>
      <c r="S153" s="13">
        <f t="shared" si="175"/>
        <v>1223192736249.2527</v>
      </c>
      <c r="T153" s="13">
        <f t="shared" si="175"/>
        <v>3081713210966.6021</v>
      </c>
      <c r="U153" s="13">
        <f t="shared" si="175"/>
        <v>5993431390497.9814</v>
      </c>
      <c r="V153" s="13">
        <f t="shared" si="175"/>
        <v>9925843101239.3887</v>
      </c>
      <c r="W153" s="13">
        <f t="shared" si="175"/>
        <v>14777565023257.326</v>
      </c>
      <c r="X153" s="13">
        <f t="shared" si="175"/>
        <v>20426667339023.223</v>
      </c>
      <c r="Y153" s="54">
        <f t="shared" si="175"/>
        <v>23196929070028.016</v>
      </c>
      <c r="Z153" s="13">
        <f t="shared" si="175"/>
        <v>26754739129403.762</v>
      </c>
      <c r="AA153" s="13">
        <f t="shared" si="175"/>
        <v>33656468407453.012</v>
      </c>
      <c r="AB153" s="13">
        <f t="shared" si="154"/>
        <v>41042030067457.594</v>
      </c>
      <c r="AC153" s="13">
        <f t="shared" si="166"/>
        <v>0</v>
      </c>
      <c r="AD153" s="13">
        <f t="shared" si="150"/>
        <v>0</v>
      </c>
      <c r="AE153" s="13">
        <f t="shared" si="150"/>
        <v>0</v>
      </c>
      <c r="AF153" s="13">
        <f t="shared" si="150"/>
        <v>0</v>
      </c>
      <c r="AG153" s="13">
        <f t="shared" si="150"/>
        <v>0</v>
      </c>
      <c r="AH153" s="13">
        <f t="shared" si="150"/>
        <v>0</v>
      </c>
      <c r="AI153" s="13">
        <f t="shared" si="150"/>
        <v>0</v>
      </c>
      <c r="AJ153" s="13">
        <f t="shared" si="150"/>
        <v>0</v>
      </c>
      <c r="AK153" s="13">
        <f t="shared" si="149"/>
        <v>0</v>
      </c>
      <c r="AL153" s="13">
        <f t="shared" si="138"/>
        <v>0</v>
      </c>
      <c r="AM153" s="13">
        <f t="shared" si="174"/>
        <v>0</v>
      </c>
      <c r="AN153" s="13">
        <f t="shared" si="171"/>
        <v>0</v>
      </c>
      <c r="AO153" s="13">
        <f t="shared" si="172"/>
        <v>0</v>
      </c>
      <c r="AP153" s="13">
        <f t="shared" si="173"/>
        <v>0</v>
      </c>
      <c r="AQ153" s="13">
        <f t="shared" si="167"/>
        <v>0</v>
      </c>
      <c r="AR153" s="13">
        <f t="shared" si="155"/>
        <v>0</v>
      </c>
      <c r="AS153" s="13">
        <f t="shared" si="156"/>
        <v>0</v>
      </c>
      <c r="AT153" s="13">
        <f t="shared" si="157"/>
        <v>0</v>
      </c>
      <c r="AU153" s="13">
        <f t="shared" si="158"/>
        <v>0</v>
      </c>
      <c r="AV153" s="13">
        <f t="shared" si="159"/>
        <v>0</v>
      </c>
      <c r="AW153" s="13">
        <f t="shared" si="160"/>
        <v>0</v>
      </c>
      <c r="AX153" s="13">
        <f t="shared" si="161"/>
        <v>0</v>
      </c>
      <c r="AY153" s="13">
        <f t="shared" si="162"/>
        <v>0</v>
      </c>
      <c r="AZ153" s="13">
        <f t="shared" si="163"/>
        <v>0</v>
      </c>
      <c r="BA153" s="13">
        <f t="shared" si="164"/>
        <v>0</v>
      </c>
      <c r="BB153" s="13">
        <f t="shared" si="165"/>
        <v>0</v>
      </c>
    </row>
    <row r="154" spans="1:54">
      <c r="A154">
        <f>data0!A152</f>
        <v>1050</v>
      </c>
      <c r="B154">
        <v>0</v>
      </c>
      <c r="C154" t="e">
        <f ca="1">(Calculations!C153-C$2)/C$1</f>
        <v>#DIV/0!</v>
      </c>
      <c r="D154" s="13" t="e">
        <f t="shared" ca="1" si="141"/>
        <v>#DIV/0!</v>
      </c>
      <c r="E154" s="13" t="e">
        <f t="shared" ca="1" si="142"/>
        <v>#DIV/0!</v>
      </c>
      <c r="F154" s="13" t="e">
        <f t="shared" ca="1" si="143"/>
        <v>#DIV/0!</v>
      </c>
      <c r="G154" s="13" t="e">
        <f t="shared" ca="1" si="144"/>
        <v>#DIV/0!</v>
      </c>
      <c r="H154" s="13" t="e">
        <f t="shared" ca="1" si="145"/>
        <v>#DIV/0!</v>
      </c>
      <c r="I154" s="13" t="e">
        <f t="shared" ca="1" si="146"/>
        <v>#DIV/0!</v>
      </c>
      <c r="J154" s="13" t="e">
        <f t="shared" ca="1" si="147"/>
        <v>#DIV/0!</v>
      </c>
      <c r="K154" s="13" t="e">
        <f t="shared" ca="1" si="151"/>
        <v>#DIV/0!</v>
      </c>
      <c r="L154" s="13" t="e">
        <f t="shared" ca="1" si="152"/>
        <v>#DIV/0!</v>
      </c>
      <c r="M154" s="13" t="e">
        <f t="shared" ca="1" si="148"/>
        <v>#DIV/0!</v>
      </c>
      <c r="N154" s="13" t="e">
        <f t="shared" ca="1" si="168"/>
        <v>#DIV/0!</v>
      </c>
      <c r="O154" s="13" t="e">
        <f t="shared" ca="1" si="169"/>
        <v>#DIV/0!</v>
      </c>
      <c r="P154" s="13" t="e">
        <f t="shared" ca="1" si="170"/>
        <v>#DIV/0!</v>
      </c>
      <c r="Q154" s="13">
        <f t="shared" si="175"/>
        <v>31614049617.500629</v>
      </c>
      <c r="R154" s="13">
        <f t="shared" si="175"/>
        <v>310540511131.08441</v>
      </c>
      <c r="S154" s="13">
        <f t="shared" si="175"/>
        <v>1226213927059.7554</v>
      </c>
      <c r="T154" s="13">
        <f t="shared" si="175"/>
        <v>3076215970247.2637</v>
      </c>
      <c r="U154" s="13">
        <f t="shared" si="175"/>
        <v>5964989917856.0918</v>
      </c>
      <c r="V154" s="13">
        <f t="shared" si="175"/>
        <v>9857301577908.5898</v>
      </c>
      <c r="W154" s="13">
        <f t="shared" si="175"/>
        <v>14651398182524.1</v>
      </c>
      <c r="X154" s="13">
        <f t="shared" si="175"/>
        <v>20226339721385.293</v>
      </c>
      <c r="Y154" s="54">
        <f t="shared" si="175"/>
        <v>22958249845378.84</v>
      </c>
      <c r="Z154" s="13">
        <f t="shared" si="175"/>
        <v>26465309206881.148</v>
      </c>
      <c r="AA154" s="13">
        <f t="shared" si="175"/>
        <v>33264749424444.605</v>
      </c>
      <c r="AB154" s="13">
        <f t="shared" si="154"/>
        <v>40536526705129.648</v>
      </c>
      <c r="AC154" s="13">
        <f t="shared" si="166"/>
        <v>0</v>
      </c>
      <c r="AD154" s="13">
        <f t="shared" si="150"/>
        <v>0</v>
      </c>
      <c r="AE154" s="13">
        <f t="shared" si="150"/>
        <v>0</v>
      </c>
      <c r="AF154" s="13">
        <f t="shared" si="150"/>
        <v>0</v>
      </c>
      <c r="AG154" s="13">
        <f t="shared" si="150"/>
        <v>0</v>
      </c>
      <c r="AH154" s="13">
        <f t="shared" si="150"/>
        <v>0</v>
      </c>
      <c r="AI154" s="13">
        <f t="shared" si="150"/>
        <v>0</v>
      </c>
      <c r="AJ154" s="13">
        <f t="shared" si="150"/>
        <v>0</v>
      </c>
      <c r="AK154" s="13">
        <f t="shared" si="149"/>
        <v>0</v>
      </c>
      <c r="AL154" s="13">
        <f t="shared" si="138"/>
        <v>0</v>
      </c>
      <c r="AM154" s="13">
        <f t="shared" si="174"/>
        <v>0</v>
      </c>
      <c r="AN154" s="13">
        <f t="shared" si="171"/>
        <v>0</v>
      </c>
      <c r="AO154" s="13">
        <f t="shared" si="172"/>
        <v>0</v>
      </c>
      <c r="AP154" s="13">
        <f t="shared" si="173"/>
        <v>0</v>
      </c>
      <c r="AQ154" s="13">
        <f t="shared" si="167"/>
        <v>0</v>
      </c>
      <c r="AR154" s="13">
        <f t="shared" si="155"/>
        <v>0</v>
      </c>
      <c r="AS154" s="13">
        <f t="shared" si="156"/>
        <v>0</v>
      </c>
      <c r="AT154" s="13">
        <f t="shared" si="157"/>
        <v>0</v>
      </c>
      <c r="AU154" s="13">
        <f t="shared" si="158"/>
        <v>0</v>
      </c>
      <c r="AV154" s="13">
        <f t="shared" si="159"/>
        <v>0</v>
      </c>
      <c r="AW154" s="13">
        <f t="shared" si="160"/>
        <v>0</v>
      </c>
      <c r="AX154" s="13">
        <f t="shared" si="161"/>
        <v>0</v>
      </c>
      <c r="AY154" s="13">
        <f t="shared" si="162"/>
        <v>0</v>
      </c>
      <c r="AZ154" s="13">
        <f t="shared" si="163"/>
        <v>0</v>
      </c>
      <c r="BA154" s="13">
        <f t="shared" si="164"/>
        <v>0</v>
      </c>
      <c r="BB154" s="13">
        <f t="shared" si="165"/>
        <v>0</v>
      </c>
    </row>
    <row r="155" spans="1:54">
      <c r="A155">
        <f>data0!A153</f>
        <v>1055</v>
      </c>
      <c r="B155">
        <v>0</v>
      </c>
      <c r="C155" t="e">
        <f ca="1">(Calculations!C154-C$2)/C$1</f>
        <v>#DIV/0!</v>
      </c>
      <c r="D155" s="13" t="e">
        <f t="shared" ca="1" si="141"/>
        <v>#DIV/0!</v>
      </c>
      <c r="E155" s="13" t="e">
        <f t="shared" ca="1" si="142"/>
        <v>#DIV/0!</v>
      </c>
      <c r="F155" s="13" t="e">
        <f t="shared" ca="1" si="143"/>
        <v>#DIV/0!</v>
      </c>
      <c r="G155" s="13" t="e">
        <f t="shared" ca="1" si="144"/>
        <v>#DIV/0!</v>
      </c>
      <c r="H155" s="13" t="e">
        <f t="shared" ca="1" si="145"/>
        <v>#DIV/0!</v>
      </c>
      <c r="I155" s="13" t="e">
        <f t="shared" ca="1" si="146"/>
        <v>#DIV/0!</v>
      </c>
      <c r="J155" s="13" t="e">
        <f t="shared" ca="1" si="147"/>
        <v>#DIV/0!</v>
      </c>
      <c r="K155" s="13" t="e">
        <f t="shared" ca="1" si="151"/>
        <v>#DIV/0!</v>
      </c>
      <c r="L155" s="13" t="e">
        <f t="shared" ca="1" si="152"/>
        <v>#DIV/0!</v>
      </c>
      <c r="M155" s="13" t="e">
        <f t="shared" ca="1" si="148"/>
        <v>#DIV/0!</v>
      </c>
      <c r="N155" s="13" t="e">
        <f t="shared" ca="1" si="168"/>
        <v>#DIV/0!</v>
      </c>
      <c r="O155" s="13" t="e">
        <f t="shared" ca="1" si="169"/>
        <v>#DIV/0!</v>
      </c>
      <c r="P155" s="13" t="e">
        <f t="shared" ca="1" si="170"/>
        <v>#DIV/0!</v>
      </c>
      <c r="Q155" s="13">
        <f t="shared" si="175"/>
        <v>32238050636.999397</v>
      </c>
      <c r="R155" s="13">
        <f t="shared" si="175"/>
        <v>313270444214.19348</v>
      </c>
      <c r="S155" s="13">
        <f t="shared" si="175"/>
        <v>1229078638251.6865</v>
      </c>
      <c r="T155" s="13">
        <f t="shared" si="175"/>
        <v>3070449338102.9561</v>
      </c>
      <c r="U155" s="13">
        <f t="shared" si="175"/>
        <v>5936323819515.6641</v>
      </c>
      <c r="V155" s="13">
        <f t="shared" si="175"/>
        <v>9788861792528.3535</v>
      </c>
      <c r="W155" s="13">
        <f t="shared" si="175"/>
        <v>14526009454324.922</v>
      </c>
      <c r="X155" s="13">
        <f t="shared" si="175"/>
        <v>20027838078660.531</v>
      </c>
      <c r="Y155" s="54">
        <f t="shared" si="175"/>
        <v>22721987783513.359</v>
      </c>
      <c r="Z155" s="13">
        <f t="shared" si="175"/>
        <v>26179116138507.281</v>
      </c>
      <c r="AA155" s="13">
        <f t="shared" si="175"/>
        <v>32878016822933.762</v>
      </c>
      <c r="AB155" s="13">
        <f t="shared" si="154"/>
        <v>40038066811115.297</v>
      </c>
      <c r="AC155" s="13">
        <f t="shared" si="166"/>
        <v>0</v>
      </c>
      <c r="AD155" s="13">
        <f t="shared" si="150"/>
        <v>0</v>
      </c>
      <c r="AE155" s="13">
        <f t="shared" si="150"/>
        <v>0</v>
      </c>
      <c r="AF155" s="13">
        <f t="shared" si="150"/>
        <v>0</v>
      </c>
      <c r="AG155" s="13">
        <f t="shared" si="150"/>
        <v>0</v>
      </c>
      <c r="AH155" s="13">
        <f t="shared" si="150"/>
        <v>0</v>
      </c>
      <c r="AI155" s="13">
        <f t="shared" si="150"/>
        <v>0</v>
      </c>
      <c r="AJ155" s="13">
        <f t="shared" si="150"/>
        <v>0</v>
      </c>
      <c r="AK155" s="13">
        <f t="shared" si="149"/>
        <v>0</v>
      </c>
      <c r="AL155" s="13">
        <f t="shared" si="138"/>
        <v>0</v>
      </c>
      <c r="AM155" s="13">
        <f t="shared" si="174"/>
        <v>0</v>
      </c>
      <c r="AN155" s="13">
        <f t="shared" si="171"/>
        <v>0</v>
      </c>
      <c r="AO155" s="13">
        <f t="shared" si="172"/>
        <v>0</v>
      </c>
      <c r="AP155" s="13">
        <f t="shared" si="173"/>
        <v>0</v>
      </c>
      <c r="AQ155" s="13">
        <f t="shared" si="167"/>
        <v>0</v>
      </c>
      <c r="AR155" s="13">
        <f t="shared" si="155"/>
        <v>0</v>
      </c>
      <c r="AS155" s="13">
        <f t="shared" si="156"/>
        <v>0</v>
      </c>
      <c r="AT155" s="13">
        <f t="shared" si="157"/>
        <v>0</v>
      </c>
      <c r="AU155" s="13">
        <f t="shared" si="158"/>
        <v>0</v>
      </c>
      <c r="AV155" s="13">
        <f t="shared" si="159"/>
        <v>0</v>
      </c>
      <c r="AW155" s="13">
        <f t="shared" si="160"/>
        <v>0</v>
      </c>
      <c r="AX155" s="13">
        <f t="shared" si="161"/>
        <v>0</v>
      </c>
      <c r="AY155" s="13">
        <f t="shared" si="162"/>
        <v>0</v>
      </c>
      <c r="AZ155" s="13">
        <f t="shared" si="163"/>
        <v>0</v>
      </c>
      <c r="BA155" s="13">
        <f t="shared" si="164"/>
        <v>0</v>
      </c>
      <c r="BB155" s="13">
        <f t="shared" si="165"/>
        <v>0</v>
      </c>
    </row>
    <row r="156" spans="1:54">
      <c r="A156">
        <f>data0!A154</f>
        <v>1060</v>
      </c>
      <c r="B156">
        <v>0</v>
      </c>
      <c r="C156" t="e">
        <f ca="1">(Calculations!C155-C$2)/C$1</f>
        <v>#DIV/0!</v>
      </c>
      <c r="D156" s="13" t="e">
        <f t="shared" ca="1" si="141"/>
        <v>#DIV/0!</v>
      </c>
      <c r="E156" s="13" t="e">
        <f t="shared" ca="1" si="142"/>
        <v>#DIV/0!</v>
      </c>
      <c r="F156" s="13" t="e">
        <f t="shared" ca="1" si="143"/>
        <v>#DIV/0!</v>
      </c>
      <c r="G156" s="13" t="e">
        <f t="shared" ca="1" si="144"/>
        <v>#DIV/0!</v>
      </c>
      <c r="H156" s="13" t="e">
        <f t="shared" ca="1" si="145"/>
        <v>#DIV/0!</v>
      </c>
      <c r="I156" s="13" t="e">
        <f t="shared" ca="1" si="146"/>
        <v>#DIV/0!</v>
      </c>
      <c r="J156" s="13" t="e">
        <f t="shared" ca="1" si="147"/>
        <v>#DIV/0!</v>
      </c>
      <c r="K156" s="13" t="e">
        <f t="shared" ca="1" si="151"/>
        <v>#DIV/0!</v>
      </c>
      <c r="L156" s="13" t="e">
        <f t="shared" ca="1" si="152"/>
        <v>#DIV/0!</v>
      </c>
      <c r="M156" s="13" t="e">
        <f t="shared" ca="1" si="148"/>
        <v>#DIV/0!</v>
      </c>
      <c r="N156" s="13" t="e">
        <f t="shared" ca="1" si="168"/>
        <v>#DIV/0!</v>
      </c>
      <c r="O156" s="13" t="e">
        <f t="shared" ca="1" si="169"/>
        <v>#DIV/0!</v>
      </c>
      <c r="P156" s="13" t="e">
        <f t="shared" ca="1" si="170"/>
        <v>#DIV/0!</v>
      </c>
      <c r="Q156" s="13">
        <f t="shared" si="175"/>
        <v>32864640067.44426</v>
      </c>
      <c r="R156" s="13">
        <f t="shared" si="175"/>
        <v>315963322940.71039</v>
      </c>
      <c r="S156" s="13">
        <f t="shared" si="175"/>
        <v>1231788761726.6174</v>
      </c>
      <c r="T156" s="13">
        <f t="shared" si="175"/>
        <v>3064420561323.0884</v>
      </c>
      <c r="U156" s="13">
        <f t="shared" si="175"/>
        <v>5907446061769.8916</v>
      </c>
      <c r="V156" s="13">
        <f t="shared" si="175"/>
        <v>9720538886470.0059</v>
      </c>
      <c r="W156" s="13">
        <f t="shared" si="175"/>
        <v>14401409438800.832</v>
      </c>
      <c r="X156" s="13">
        <f t="shared" si="175"/>
        <v>19831159858227.754</v>
      </c>
      <c r="Y156" s="54">
        <f t="shared" si="175"/>
        <v>22488131361206.105</v>
      </c>
      <c r="Z156" s="13">
        <f t="shared" si="175"/>
        <v>25896134816168.941</v>
      </c>
      <c r="AA156" s="13">
        <f t="shared" si="175"/>
        <v>32496213499286.137</v>
      </c>
      <c r="AB156" s="13">
        <f t="shared" si="154"/>
        <v>39546552254391.766</v>
      </c>
      <c r="AC156" s="13">
        <f t="shared" si="166"/>
        <v>0</v>
      </c>
      <c r="AD156" s="13">
        <f t="shared" si="150"/>
        <v>0</v>
      </c>
      <c r="AE156" s="13">
        <f t="shared" si="150"/>
        <v>0</v>
      </c>
      <c r="AF156" s="13">
        <f t="shared" si="150"/>
        <v>0</v>
      </c>
      <c r="AG156" s="13">
        <f t="shared" si="150"/>
        <v>0</v>
      </c>
      <c r="AH156" s="13">
        <f t="shared" si="150"/>
        <v>0</v>
      </c>
      <c r="AI156" s="13">
        <f t="shared" si="150"/>
        <v>0</v>
      </c>
      <c r="AJ156" s="13">
        <f t="shared" si="150"/>
        <v>0</v>
      </c>
      <c r="AK156" s="13">
        <f t="shared" si="149"/>
        <v>0</v>
      </c>
      <c r="AL156" s="13">
        <f t="shared" si="138"/>
        <v>0</v>
      </c>
      <c r="AM156" s="13">
        <f t="shared" si="174"/>
        <v>0</v>
      </c>
      <c r="AN156" s="13">
        <f t="shared" si="171"/>
        <v>0</v>
      </c>
      <c r="AO156" s="13">
        <f t="shared" si="172"/>
        <v>0</v>
      </c>
      <c r="AP156" s="13">
        <f t="shared" si="173"/>
        <v>0</v>
      </c>
      <c r="AQ156" s="13">
        <f t="shared" si="167"/>
        <v>0</v>
      </c>
      <c r="AR156" s="13">
        <f t="shared" si="155"/>
        <v>0</v>
      </c>
      <c r="AS156" s="13">
        <f t="shared" si="156"/>
        <v>0</v>
      </c>
      <c r="AT156" s="13">
        <f t="shared" si="157"/>
        <v>0</v>
      </c>
      <c r="AU156" s="13">
        <f t="shared" si="158"/>
        <v>0</v>
      </c>
      <c r="AV156" s="13">
        <f t="shared" si="159"/>
        <v>0</v>
      </c>
      <c r="AW156" s="13">
        <f t="shared" si="160"/>
        <v>0</v>
      </c>
      <c r="AX156" s="13">
        <f t="shared" si="161"/>
        <v>0</v>
      </c>
      <c r="AY156" s="13">
        <f t="shared" si="162"/>
        <v>0</v>
      </c>
      <c r="AZ156" s="13">
        <f t="shared" si="163"/>
        <v>0</v>
      </c>
      <c r="BA156" s="13">
        <f t="shared" si="164"/>
        <v>0</v>
      </c>
      <c r="BB156" s="13">
        <f t="shared" si="165"/>
        <v>0</v>
      </c>
    </row>
    <row r="157" spans="1:54">
      <c r="A157">
        <f>data0!A155</f>
        <v>1065</v>
      </c>
      <c r="B157">
        <v>0</v>
      </c>
      <c r="C157" t="e">
        <f ca="1">(Calculations!C156-C$2)/C$1</f>
        <v>#DIV/0!</v>
      </c>
      <c r="D157" s="13" t="e">
        <f t="shared" ca="1" si="141"/>
        <v>#DIV/0!</v>
      </c>
      <c r="E157" s="13" t="e">
        <f t="shared" ca="1" si="142"/>
        <v>#DIV/0!</v>
      </c>
      <c r="F157" s="13" t="e">
        <f t="shared" ca="1" si="143"/>
        <v>#DIV/0!</v>
      </c>
      <c r="G157" s="13" t="e">
        <f t="shared" ca="1" si="144"/>
        <v>#DIV/0!</v>
      </c>
      <c r="H157" s="13" t="e">
        <f t="shared" ca="1" si="145"/>
        <v>#DIV/0!</v>
      </c>
      <c r="I157" s="13" t="e">
        <f t="shared" ca="1" si="146"/>
        <v>#DIV/0!</v>
      </c>
      <c r="J157" s="13" t="e">
        <f t="shared" ca="1" si="147"/>
        <v>#DIV/0!</v>
      </c>
      <c r="K157" s="13" t="e">
        <f t="shared" ca="1" si="151"/>
        <v>#DIV/0!</v>
      </c>
      <c r="L157" s="13" t="e">
        <f t="shared" ca="1" si="152"/>
        <v>#DIV/0!</v>
      </c>
      <c r="M157" s="13" t="e">
        <f t="shared" ca="1" si="148"/>
        <v>#DIV/0!</v>
      </c>
      <c r="N157" s="13" t="e">
        <f t="shared" ca="1" si="168"/>
        <v>#DIV/0!</v>
      </c>
      <c r="O157" s="13" t="e">
        <f t="shared" ca="1" si="169"/>
        <v>#DIV/0!</v>
      </c>
      <c r="P157" s="13" t="e">
        <f t="shared" ca="1" si="170"/>
        <v>#DIV/0!</v>
      </c>
      <c r="Q157" s="13">
        <f t="shared" si="175"/>
        <v>33493651170.480099</v>
      </c>
      <c r="R157" s="13">
        <f t="shared" si="175"/>
        <v>318618824664.75775</v>
      </c>
      <c r="S157" s="13">
        <f t="shared" si="175"/>
        <v>1234346211843.9087</v>
      </c>
      <c r="T157" s="13">
        <f t="shared" si="175"/>
        <v>3058136786863.9507</v>
      </c>
      <c r="U157" s="13">
        <f t="shared" si="175"/>
        <v>5878369273004.1934</v>
      </c>
      <c r="V157" s="13">
        <f t="shared" si="175"/>
        <v>9652347405175.168</v>
      </c>
      <c r="W157" s="13">
        <f t="shared" si="175"/>
        <v>14277607978575.994</v>
      </c>
      <c r="X157" s="13">
        <f t="shared" si="175"/>
        <v>19636301778105.57</v>
      </c>
      <c r="Y157" s="54">
        <f t="shared" si="175"/>
        <v>22256668417315.625</v>
      </c>
      <c r="Z157" s="13">
        <f t="shared" si="175"/>
        <v>25616339679110.426</v>
      </c>
      <c r="AA157" s="13">
        <f t="shared" si="175"/>
        <v>32119282451159.52</v>
      </c>
      <c r="AB157" s="13">
        <f t="shared" si="154"/>
        <v>39061885843423.445</v>
      </c>
      <c r="AC157" s="13">
        <f t="shared" si="166"/>
        <v>0</v>
      </c>
      <c r="AD157" s="13">
        <f t="shared" si="150"/>
        <v>0</v>
      </c>
      <c r="AE157" s="13">
        <f t="shared" si="150"/>
        <v>0</v>
      </c>
      <c r="AF157" s="13">
        <f t="shared" si="150"/>
        <v>0</v>
      </c>
      <c r="AG157" s="13">
        <f t="shared" si="150"/>
        <v>0</v>
      </c>
      <c r="AH157" s="13">
        <f t="shared" si="150"/>
        <v>0</v>
      </c>
      <c r="AI157" s="13">
        <f t="shared" si="150"/>
        <v>0</v>
      </c>
      <c r="AJ157" s="13">
        <f t="shared" si="150"/>
        <v>0</v>
      </c>
      <c r="AK157" s="13">
        <f t="shared" si="149"/>
        <v>0</v>
      </c>
      <c r="AL157" s="13">
        <f t="shared" si="138"/>
        <v>0</v>
      </c>
      <c r="AM157" s="13">
        <f t="shared" si="174"/>
        <v>0</v>
      </c>
      <c r="AN157" s="13">
        <f t="shared" si="171"/>
        <v>0</v>
      </c>
      <c r="AO157" s="13">
        <f t="shared" si="172"/>
        <v>0</v>
      </c>
      <c r="AP157" s="13">
        <f t="shared" si="173"/>
        <v>0</v>
      </c>
      <c r="AQ157" s="13">
        <f t="shared" si="167"/>
        <v>0</v>
      </c>
      <c r="AR157" s="13">
        <f t="shared" si="155"/>
        <v>0</v>
      </c>
      <c r="AS157" s="13">
        <f t="shared" si="156"/>
        <v>0</v>
      </c>
      <c r="AT157" s="13">
        <f t="shared" si="157"/>
        <v>0</v>
      </c>
      <c r="AU157" s="13">
        <f t="shared" si="158"/>
        <v>0</v>
      </c>
      <c r="AV157" s="13">
        <f t="shared" si="159"/>
        <v>0</v>
      </c>
      <c r="AW157" s="13">
        <f t="shared" si="160"/>
        <v>0</v>
      </c>
      <c r="AX157" s="13">
        <f t="shared" si="161"/>
        <v>0</v>
      </c>
      <c r="AY157" s="13">
        <f t="shared" si="162"/>
        <v>0</v>
      </c>
      <c r="AZ157" s="13">
        <f t="shared" si="163"/>
        <v>0</v>
      </c>
      <c r="BA157" s="13">
        <f t="shared" si="164"/>
        <v>0</v>
      </c>
      <c r="BB157" s="13">
        <f t="shared" si="165"/>
        <v>0</v>
      </c>
    </row>
    <row r="158" spans="1:54">
      <c r="A158">
        <f>data0!A156</f>
        <v>1070</v>
      </c>
      <c r="B158">
        <v>0</v>
      </c>
      <c r="C158" t="e">
        <f ca="1">(Calculations!C157-C$2)/C$1</f>
        <v>#DIV/0!</v>
      </c>
      <c r="D158" s="13" t="e">
        <f t="shared" ca="1" si="141"/>
        <v>#DIV/0!</v>
      </c>
      <c r="E158" s="13" t="e">
        <f t="shared" ca="1" si="142"/>
        <v>#DIV/0!</v>
      </c>
      <c r="F158" s="13" t="e">
        <f t="shared" ca="1" si="143"/>
        <v>#DIV/0!</v>
      </c>
      <c r="G158" s="13" t="e">
        <f t="shared" ca="1" si="144"/>
        <v>#DIV/0!</v>
      </c>
      <c r="H158" s="13" t="e">
        <f t="shared" ca="1" si="145"/>
        <v>#DIV/0!</v>
      </c>
      <c r="I158" s="13" t="e">
        <f t="shared" ca="1" si="146"/>
        <v>#DIV/0!</v>
      </c>
      <c r="J158" s="13" t="e">
        <f t="shared" ca="1" si="147"/>
        <v>#DIV/0!</v>
      </c>
      <c r="K158" s="13" t="e">
        <f t="shared" ca="1" si="151"/>
        <v>#DIV/0!</v>
      </c>
      <c r="L158" s="13" t="e">
        <f t="shared" ca="1" si="152"/>
        <v>#DIV/0!</v>
      </c>
      <c r="M158" s="13" t="e">
        <f t="shared" ca="1" si="148"/>
        <v>#DIV/0!</v>
      </c>
      <c r="N158" s="13" t="e">
        <f t="shared" ca="1" si="168"/>
        <v>#DIV/0!</v>
      </c>
      <c r="O158" s="13" t="e">
        <f t="shared" ca="1" si="169"/>
        <v>#DIV/0!</v>
      </c>
      <c r="P158" s="13" t="e">
        <f t="shared" ca="1" si="170"/>
        <v>#DIV/0!</v>
      </c>
      <c r="Q158" s="13">
        <f t="shared" si="175"/>
        <v>34124917627.949379</v>
      </c>
      <c r="R158" s="13">
        <f t="shared" si="175"/>
        <v>321236650541.9292</v>
      </c>
      <c r="S158" s="13">
        <f t="shared" si="175"/>
        <v>1236752923263.0701</v>
      </c>
      <c r="T158" s="13">
        <f t="shared" si="175"/>
        <v>3051605060756.3774</v>
      </c>
      <c r="U158" s="13">
        <f t="shared" si="175"/>
        <v>5849105749247.0176</v>
      </c>
      <c r="V158" s="13">
        <f t="shared" si="175"/>
        <v>9584301314764.6387</v>
      </c>
      <c r="W158" s="13">
        <f t="shared" si="175"/>
        <v>14154614187241.066</v>
      </c>
      <c r="X158" s="13">
        <f t="shared" si="175"/>
        <v>19443259864215.805</v>
      </c>
      <c r="Y158" s="54">
        <f t="shared" si="175"/>
        <v>22027586192121.348</v>
      </c>
      <c r="Z158" s="13">
        <f t="shared" si="175"/>
        <v>25339704753773.43</v>
      </c>
      <c r="AA158" s="13">
        <f t="shared" si="175"/>
        <v>31747166811678.012</v>
      </c>
      <c r="AB158" s="13">
        <f t="shared" si="154"/>
        <v>38583971345330.344</v>
      </c>
      <c r="AC158" s="13">
        <f t="shared" si="166"/>
        <v>0</v>
      </c>
      <c r="AD158" s="13">
        <f t="shared" si="150"/>
        <v>0</v>
      </c>
      <c r="AE158" s="13">
        <f t="shared" si="150"/>
        <v>0</v>
      </c>
      <c r="AF158" s="13">
        <f t="shared" si="150"/>
        <v>0</v>
      </c>
      <c r="AG158" s="13">
        <f t="shared" si="150"/>
        <v>0</v>
      </c>
      <c r="AH158" s="13">
        <f t="shared" si="150"/>
        <v>0</v>
      </c>
      <c r="AI158" s="13">
        <f t="shared" si="150"/>
        <v>0</v>
      </c>
      <c r="AJ158" s="13">
        <f t="shared" si="150"/>
        <v>0</v>
      </c>
      <c r="AK158" s="13">
        <f t="shared" si="149"/>
        <v>0</v>
      </c>
      <c r="AL158" s="13">
        <f t="shared" si="138"/>
        <v>0</v>
      </c>
      <c r="AM158" s="13">
        <f t="shared" si="174"/>
        <v>0</v>
      </c>
      <c r="AN158" s="13">
        <f t="shared" si="171"/>
        <v>0</v>
      </c>
      <c r="AO158" s="13">
        <f t="shared" si="172"/>
        <v>0</v>
      </c>
      <c r="AP158" s="13">
        <f t="shared" si="173"/>
        <v>0</v>
      </c>
      <c r="AQ158" s="13">
        <f t="shared" si="167"/>
        <v>0</v>
      </c>
      <c r="AR158" s="13">
        <f t="shared" si="155"/>
        <v>0</v>
      </c>
      <c r="AS158" s="13">
        <f t="shared" si="156"/>
        <v>0</v>
      </c>
      <c r="AT158" s="13">
        <f t="shared" si="157"/>
        <v>0</v>
      </c>
      <c r="AU158" s="13">
        <f t="shared" si="158"/>
        <v>0</v>
      </c>
      <c r="AV158" s="13">
        <f t="shared" si="159"/>
        <v>0</v>
      </c>
      <c r="AW158" s="13">
        <f t="shared" si="160"/>
        <v>0</v>
      </c>
      <c r="AX158" s="13">
        <f t="shared" si="161"/>
        <v>0</v>
      </c>
      <c r="AY158" s="13">
        <f t="shared" si="162"/>
        <v>0</v>
      </c>
      <c r="AZ158" s="13">
        <f t="shared" si="163"/>
        <v>0</v>
      </c>
      <c r="BA158" s="13">
        <f t="shared" si="164"/>
        <v>0</v>
      </c>
      <c r="BB158" s="13">
        <f t="shared" si="165"/>
        <v>0</v>
      </c>
    </row>
    <row r="159" spans="1:54">
      <c r="A159">
        <f>data0!A157</f>
        <v>1075</v>
      </c>
      <c r="B159">
        <v>0</v>
      </c>
      <c r="C159" t="e">
        <f ca="1">(Calculations!C158-C$2)/C$1</f>
        <v>#DIV/0!</v>
      </c>
      <c r="D159" s="13" t="e">
        <f t="shared" ca="1" si="141"/>
        <v>#DIV/0!</v>
      </c>
      <c r="E159" s="13" t="e">
        <f t="shared" ca="1" si="142"/>
        <v>#DIV/0!</v>
      </c>
      <c r="F159" s="13" t="e">
        <f t="shared" ca="1" si="143"/>
        <v>#DIV/0!</v>
      </c>
      <c r="G159" s="13" t="e">
        <f t="shared" ca="1" si="144"/>
        <v>#DIV/0!</v>
      </c>
      <c r="H159" s="13" t="e">
        <f t="shared" ca="1" si="145"/>
        <v>#DIV/0!</v>
      </c>
      <c r="I159" s="13" t="e">
        <f t="shared" ca="1" si="146"/>
        <v>#DIV/0!</v>
      </c>
      <c r="J159" s="13" t="e">
        <f t="shared" ca="1" si="147"/>
        <v>#DIV/0!</v>
      </c>
      <c r="K159" s="13" t="e">
        <f t="shared" ca="1" si="151"/>
        <v>#DIV/0!</v>
      </c>
      <c r="L159" s="13" t="e">
        <f t="shared" ca="1" si="152"/>
        <v>#DIV/0!</v>
      </c>
      <c r="M159" s="13" t="e">
        <f t="shared" ca="1" si="148"/>
        <v>#DIV/0!</v>
      </c>
      <c r="N159" s="13" t="e">
        <f t="shared" ca="1" si="168"/>
        <v>#DIV/0!</v>
      </c>
      <c r="O159" s="13" t="e">
        <f t="shared" ca="1" si="169"/>
        <v>#DIV/0!</v>
      </c>
      <c r="P159" s="13" t="e">
        <f t="shared" ca="1" si="170"/>
        <v>#DIV/0!</v>
      </c>
      <c r="Q159" s="13">
        <f t="shared" si="175"/>
        <v>34758273651.270683</v>
      </c>
      <c r="R159" s="13">
        <f t="shared" si="175"/>
        <v>323816525046.50446</v>
      </c>
      <c r="S159" s="13">
        <f t="shared" si="175"/>
        <v>1239010848862.0676</v>
      </c>
      <c r="T159" s="13">
        <f t="shared" si="175"/>
        <v>3044832327166.853</v>
      </c>
      <c r="U159" s="13">
        <f t="shared" si="175"/>
        <v>5819667459761.8906</v>
      </c>
      <c r="V159" s="13">
        <f t="shared" si="175"/>
        <v>9516414018321.0176</v>
      </c>
      <c r="W159" s="13">
        <f t="shared" si="175"/>
        <v>14032436476965.244</v>
      </c>
      <c r="X159" s="13">
        <f t="shared" si="175"/>
        <v>19252029486198.781</v>
      </c>
      <c r="Y159" s="54">
        <f t="shared" si="175"/>
        <v>21800871364982.414</v>
      </c>
      <c r="Z159" s="13">
        <f t="shared" si="175"/>
        <v>25066203691726.68</v>
      </c>
      <c r="AA159" s="13">
        <f t="shared" si="175"/>
        <v>31379809881464.09</v>
      </c>
      <c r="AB159" s="13">
        <f t="shared" si="154"/>
        <v>38112713502991.609</v>
      </c>
      <c r="AC159" s="13">
        <f t="shared" si="166"/>
        <v>0</v>
      </c>
      <c r="AD159" s="13">
        <f t="shared" si="150"/>
        <v>0</v>
      </c>
      <c r="AE159" s="13">
        <f t="shared" si="150"/>
        <v>0</v>
      </c>
      <c r="AF159" s="13">
        <f t="shared" si="150"/>
        <v>0</v>
      </c>
      <c r="AG159" s="13">
        <f t="shared" si="150"/>
        <v>0</v>
      </c>
      <c r="AH159" s="13">
        <f t="shared" si="150"/>
        <v>0</v>
      </c>
      <c r="AI159" s="13">
        <f t="shared" si="150"/>
        <v>0</v>
      </c>
      <c r="AJ159" s="13">
        <f t="shared" si="150"/>
        <v>0</v>
      </c>
      <c r="AK159" s="13">
        <f t="shared" si="149"/>
        <v>0</v>
      </c>
      <c r="AL159" s="13">
        <f t="shared" si="138"/>
        <v>0</v>
      </c>
      <c r="AM159" s="13">
        <f t="shared" si="174"/>
        <v>0</v>
      </c>
      <c r="AN159" s="13">
        <f t="shared" si="171"/>
        <v>0</v>
      </c>
      <c r="AO159" s="13">
        <f t="shared" si="172"/>
        <v>0</v>
      </c>
      <c r="AP159" s="13">
        <f t="shared" si="173"/>
        <v>0</v>
      </c>
      <c r="AQ159" s="13">
        <f t="shared" si="167"/>
        <v>0</v>
      </c>
      <c r="AR159" s="13">
        <f t="shared" si="155"/>
        <v>0</v>
      </c>
      <c r="AS159" s="13">
        <f t="shared" si="156"/>
        <v>0</v>
      </c>
      <c r="AT159" s="13">
        <f t="shared" si="157"/>
        <v>0</v>
      </c>
      <c r="AU159" s="13">
        <f t="shared" si="158"/>
        <v>0</v>
      </c>
      <c r="AV159" s="13">
        <f t="shared" si="159"/>
        <v>0</v>
      </c>
      <c r="AW159" s="13">
        <f t="shared" si="160"/>
        <v>0</v>
      </c>
      <c r="AX159" s="13">
        <f t="shared" si="161"/>
        <v>0</v>
      </c>
      <c r="AY159" s="13">
        <f t="shared" si="162"/>
        <v>0</v>
      </c>
      <c r="AZ159" s="13">
        <f t="shared" si="163"/>
        <v>0</v>
      </c>
      <c r="BA159" s="13">
        <f t="shared" si="164"/>
        <v>0</v>
      </c>
      <c r="BB159" s="13">
        <f t="shared" si="165"/>
        <v>0</v>
      </c>
    </row>
    <row r="160" spans="1:54">
      <c r="A160">
        <f>data0!A158</f>
        <v>1080</v>
      </c>
      <c r="B160">
        <v>0</v>
      </c>
      <c r="C160" t="e">
        <f ca="1">(Calculations!C159-C$2)/C$1</f>
        <v>#DIV/0!</v>
      </c>
      <c r="D160" s="13" t="e">
        <f t="shared" ca="1" si="141"/>
        <v>#DIV/0!</v>
      </c>
      <c r="E160" s="13" t="e">
        <f t="shared" ca="1" si="142"/>
        <v>#DIV/0!</v>
      </c>
      <c r="F160" s="13" t="e">
        <f t="shared" ca="1" si="143"/>
        <v>#DIV/0!</v>
      </c>
      <c r="G160" s="13" t="e">
        <f t="shared" ca="1" si="144"/>
        <v>#DIV/0!</v>
      </c>
      <c r="H160" s="13" t="e">
        <f t="shared" ca="1" si="145"/>
        <v>#DIV/0!</v>
      </c>
      <c r="I160" s="13" t="e">
        <f t="shared" ca="1" si="146"/>
        <v>#DIV/0!</v>
      </c>
      <c r="J160" s="13" t="e">
        <f t="shared" ca="1" si="147"/>
        <v>#DIV/0!</v>
      </c>
      <c r="K160" s="13" t="e">
        <f t="shared" ca="1" si="151"/>
        <v>#DIV/0!</v>
      </c>
      <c r="L160" s="13" t="e">
        <f t="shared" ca="1" si="152"/>
        <v>#DIV/0!</v>
      </c>
      <c r="M160" s="13" t="e">
        <f t="shared" ca="1" si="148"/>
        <v>#DIV/0!</v>
      </c>
      <c r="N160" s="13" t="e">
        <f t="shared" ca="1" si="168"/>
        <v>#DIV/0!</v>
      </c>
      <c r="O160" s="13" t="e">
        <f t="shared" ca="1" si="169"/>
        <v>#DIV/0!</v>
      </c>
      <c r="P160" s="13" t="e">
        <f t="shared" ca="1" si="170"/>
        <v>#DIV/0!</v>
      </c>
      <c r="Q160" s="13">
        <f t="shared" si="175"/>
        <v>35393554087.260071</v>
      </c>
      <c r="R160" s="13">
        <f t="shared" si="175"/>
        <v>326358195484.18774</v>
      </c>
      <c r="S160" s="13">
        <f t="shared" si="175"/>
        <v>1241121957730.2358</v>
      </c>
      <c r="T160" s="13">
        <f t="shared" si="175"/>
        <v>3037825427604.3584</v>
      </c>
      <c r="U160" s="13">
        <f t="shared" si="175"/>
        <v>5790066052670.8652</v>
      </c>
      <c r="V160" s="13">
        <f t="shared" si="175"/>
        <v>9448698371843.9766</v>
      </c>
      <c r="W160" s="13">
        <f t="shared" si="175"/>
        <v>13911082585256.896</v>
      </c>
      <c r="X160" s="13">
        <f t="shared" si="175"/>
        <v>19062605391828.934</v>
      </c>
      <c r="Y160" s="54">
        <f t="shared" si="175"/>
        <v>21576510090380.297</v>
      </c>
      <c r="Z160" s="13">
        <f t="shared" si="175"/>
        <v>24795809805763.367</v>
      </c>
      <c r="AA160" s="13">
        <f t="shared" si="175"/>
        <v>31017155158631.773</v>
      </c>
      <c r="AB160" s="13">
        <f t="shared" si="154"/>
        <v>37648018050202.758</v>
      </c>
      <c r="AC160" s="13">
        <f t="shared" si="166"/>
        <v>0</v>
      </c>
      <c r="AD160" s="13">
        <f t="shared" si="150"/>
        <v>0</v>
      </c>
      <c r="AE160" s="13">
        <f t="shared" si="150"/>
        <v>0</v>
      </c>
      <c r="AF160" s="13">
        <f t="shared" si="150"/>
        <v>0</v>
      </c>
      <c r="AG160" s="13">
        <f t="shared" si="150"/>
        <v>0</v>
      </c>
      <c r="AH160" s="13">
        <f t="shared" si="150"/>
        <v>0</v>
      </c>
      <c r="AI160" s="13">
        <f t="shared" si="150"/>
        <v>0</v>
      </c>
      <c r="AJ160" s="13">
        <f t="shared" si="150"/>
        <v>0</v>
      </c>
      <c r="AK160" s="13">
        <f t="shared" si="149"/>
        <v>0</v>
      </c>
      <c r="AL160" s="13">
        <f t="shared" si="138"/>
        <v>0</v>
      </c>
      <c r="AM160" s="13">
        <f t="shared" si="174"/>
        <v>0</v>
      </c>
      <c r="AN160" s="13">
        <f t="shared" si="171"/>
        <v>0</v>
      </c>
      <c r="AO160" s="13">
        <f t="shared" si="172"/>
        <v>0</v>
      </c>
      <c r="AP160" s="13">
        <f t="shared" si="173"/>
        <v>0</v>
      </c>
      <c r="AQ160" s="13">
        <f t="shared" si="167"/>
        <v>0</v>
      </c>
      <c r="AR160" s="13">
        <f t="shared" si="155"/>
        <v>0</v>
      </c>
      <c r="AS160" s="13">
        <f t="shared" si="156"/>
        <v>0</v>
      </c>
      <c r="AT160" s="13">
        <f t="shared" si="157"/>
        <v>0</v>
      </c>
      <c r="AU160" s="13">
        <f t="shared" si="158"/>
        <v>0</v>
      </c>
      <c r="AV160" s="13">
        <f t="shared" si="159"/>
        <v>0</v>
      </c>
      <c r="AW160" s="13">
        <f t="shared" si="160"/>
        <v>0</v>
      </c>
      <c r="AX160" s="13">
        <f t="shared" si="161"/>
        <v>0</v>
      </c>
      <c r="AY160" s="13">
        <f t="shared" si="162"/>
        <v>0</v>
      </c>
      <c r="AZ160" s="13">
        <f t="shared" si="163"/>
        <v>0</v>
      </c>
      <c r="BA160" s="13">
        <f t="shared" si="164"/>
        <v>0</v>
      </c>
      <c r="BB160" s="13">
        <f t="shared" si="165"/>
        <v>0</v>
      </c>
    </row>
    <row r="161" spans="1:54">
      <c r="A161">
        <f>data0!A159</f>
        <v>1085</v>
      </c>
      <c r="B161">
        <v>0</v>
      </c>
      <c r="C161" t="e">
        <f ca="1">(Calculations!C160-C$2)/C$1</f>
        <v>#DIV/0!</v>
      </c>
      <c r="D161" s="13" t="e">
        <f t="shared" ca="1" si="141"/>
        <v>#DIV/0!</v>
      </c>
      <c r="E161" s="13" t="e">
        <f t="shared" ca="1" si="142"/>
        <v>#DIV/0!</v>
      </c>
      <c r="F161" s="13" t="e">
        <f t="shared" ca="1" si="143"/>
        <v>#DIV/0!</v>
      </c>
      <c r="G161" s="13" t="e">
        <f t="shared" ca="1" si="144"/>
        <v>#DIV/0!</v>
      </c>
      <c r="H161" s="13" t="e">
        <f t="shared" ca="1" si="145"/>
        <v>#DIV/0!</v>
      </c>
      <c r="I161" s="13" t="e">
        <f t="shared" ca="1" si="146"/>
        <v>#DIV/0!</v>
      </c>
      <c r="J161" s="13" t="e">
        <f t="shared" ca="1" si="147"/>
        <v>#DIV/0!</v>
      </c>
      <c r="K161" s="13" t="e">
        <f t="shared" ca="1" si="151"/>
        <v>#DIV/0!</v>
      </c>
      <c r="L161" s="13" t="e">
        <f t="shared" ca="1" si="152"/>
        <v>#DIV/0!</v>
      </c>
      <c r="M161" s="13" t="e">
        <f t="shared" ca="1" si="148"/>
        <v>#DIV/0!</v>
      </c>
      <c r="N161" s="13" t="e">
        <f t="shared" ca="1" si="168"/>
        <v>#DIV/0!</v>
      </c>
      <c r="O161" s="13" t="e">
        <f t="shared" ca="1" si="169"/>
        <v>#DIV/0!</v>
      </c>
      <c r="P161" s="13" t="e">
        <f t="shared" ca="1" si="170"/>
        <v>#DIV/0!</v>
      </c>
      <c r="Q161" s="13">
        <f t="shared" si="175"/>
        <v>36030594520.390465</v>
      </c>
      <c r="R161" s="13">
        <f t="shared" si="175"/>
        <v>328861431501.22534</v>
      </c>
      <c r="S161" s="13">
        <f t="shared" si="175"/>
        <v>1243088233234.4578</v>
      </c>
      <c r="T161" s="13">
        <f t="shared" si="175"/>
        <v>3030591100265.7075</v>
      </c>
      <c r="U161" s="13">
        <f t="shared" si="175"/>
        <v>5760312860600.1816</v>
      </c>
      <c r="V161" s="13">
        <f t="shared" si="175"/>
        <v>9381166699878.3359</v>
      </c>
      <c r="W161" s="13">
        <f t="shared" si="175"/>
        <v>13790559600893.512</v>
      </c>
      <c r="X161" s="13">
        <f t="shared" si="175"/>
        <v>18874981740078.879</v>
      </c>
      <c r="Y161" s="54">
        <f t="shared" si="175"/>
        <v>21354488032406.762</v>
      </c>
      <c r="Z161" s="13">
        <f t="shared" si="175"/>
        <v>24528496104243.086</v>
      </c>
      <c r="AA161" s="13">
        <f t="shared" si="175"/>
        <v>30659146366841.02</v>
      </c>
      <c r="AB161" s="13">
        <f t="shared" si="154"/>
        <v>37189791725000.797</v>
      </c>
      <c r="AC161" s="13">
        <f t="shared" si="166"/>
        <v>0</v>
      </c>
      <c r="AD161" s="13">
        <f t="shared" si="150"/>
        <v>0</v>
      </c>
      <c r="AE161" s="13">
        <f t="shared" si="150"/>
        <v>0</v>
      </c>
      <c r="AF161" s="13">
        <f t="shared" si="150"/>
        <v>0</v>
      </c>
      <c r="AG161" s="13">
        <f t="shared" si="150"/>
        <v>0</v>
      </c>
      <c r="AH161" s="13">
        <f t="shared" si="150"/>
        <v>0</v>
      </c>
      <c r="AI161" s="13">
        <f t="shared" si="150"/>
        <v>0</v>
      </c>
      <c r="AJ161" s="13">
        <f t="shared" si="150"/>
        <v>0</v>
      </c>
      <c r="AK161" s="13">
        <f t="shared" si="149"/>
        <v>0</v>
      </c>
      <c r="AL161" s="13">
        <f t="shared" si="138"/>
        <v>0</v>
      </c>
      <c r="AM161" s="13">
        <f t="shared" si="174"/>
        <v>0</v>
      </c>
      <c r="AN161" s="13">
        <f t="shared" si="171"/>
        <v>0</v>
      </c>
      <c r="AO161" s="13">
        <f t="shared" si="172"/>
        <v>0</v>
      </c>
      <c r="AP161" s="13">
        <f t="shared" si="173"/>
        <v>0</v>
      </c>
      <c r="AQ161" s="13">
        <f t="shared" si="167"/>
        <v>0</v>
      </c>
      <c r="AR161" s="13">
        <f t="shared" si="155"/>
        <v>0</v>
      </c>
      <c r="AS161" s="13">
        <f t="shared" si="156"/>
        <v>0</v>
      </c>
      <c r="AT161" s="13">
        <f t="shared" si="157"/>
        <v>0</v>
      </c>
      <c r="AU161" s="13">
        <f t="shared" si="158"/>
        <v>0</v>
      </c>
      <c r="AV161" s="13">
        <f t="shared" si="159"/>
        <v>0</v>
      </c>
      <c r="AW161" s="13">
        <f t="shared" si="160"/>
        <v>0</v>
      </c>
      <c r="AX161" s="13">
        <f t="shared" si="161"/>
        <v>0</v>
      </c>
      <c r="AY161" s="13">
        <f t="shared" si="162"/>
        <v>0</v>
      </c>
      <c r="AZ161" s="13">
        <f t="shared" si="163"/>
        <v>0</v>
      </c>
      <c r="BA161" s="13">
        <f t="shared" si="164"/>
        <v>0</v>
      </c>
      <c r="BB161" s="13">
        <f t="shared" si="165"/>
        <v>0</v>
      </c>
    </row>
    <row r="162" spans="1:54">
      <c r="A162">
        <f>data0!A160</f>
        <v>1090</v>
      </c>
      <c r="B162">
        <v>0</v>
      </c>
      <c r="C162" t="e">
        <f ca="1">(Calculations!C161-C$2)/C$1</f>
        <v>#DIV/0!</v>
      </c>
      <c r="D162" s="13" t="e">
        <f t="shared" ca="1" si="141"/>
        <v>#DIV/0!</v>
      </c>
      <c r="E162" s="13" t="e">
        <f t="shared" ca="1" si="142"/>
        <v>#DIV/0!</v>
      </c>
      <c r="F162" s="13" t="e">
        <f t="shared" ca="1" si="143"/>
        <v>#DIV/0!</v>
      </c>
      <c r="G162" s="13" t="e">
        <f t="shared" ca="1" si="144"/>
        <v>#DIV/0!</v>
      </c>
      <c r="H162" s="13" t="e">
        <f t="shared" ca="1" si="145"/>
        <v>#DIV/0!</v>
      </c>
      <c r="I162" s="13" t="e">
        <f t="shared" ca="1" si="146"/>
        <v>#DIV/0!</v>
      </c>
      <c r="J162" s="13" t="e">
        <f t="shared" ca="1" si="147"/>
        <v>#DIV/0!</v>
      </c>
      <c r="K162" s="13" t="e">
        <f t="shared" ca="1" si="151"/>
        <v>#DIV/0!</v>
      </c>
      <c r="L162" s="13" t="e">
        <f t="shared" ca="1" si="152"/>
        <v>#DIV/0!</v>
      </c>
      <c r="M162" s="13" t="e">
        <f t="shared" ca="1" si="148"/>
        <v>#DIV/0!</v>
      </c>
      <c r="N162" s="13" t="e">
        <f t="shared" ca="1" si="168"/>
        <v>#DIV/0!</v>
      </c>
      <c r="O162" s="13" t="e">
        <f t="shared" ca="1" si="169"/>
        <v>#DIV/0!</v>
      </c>
      <c r="P162" s="13" t="e">
        <f t="shared" ca="1" si="170"/>
        <v>#DIV/0!</v>
      </c>
      <c r="Q162" s="13">
        <f t="shared" si="175"/>
        <v>36669231371.488243</v>
      </c>
      <c r="R162" s="13">
        <f t="shared" si="175"/>
        <v>331326024590.68915</v>
      </c>
      <c r="S162" s="13">
        <f t="shared" si="175"/>
        <v>1244911671157.1765</v>
      </c>
      <c r="T162" s="13">
        <f t="shared" si="175"/>
        <v>3023135979512.2173</v>
      </c>
      <c r="U162" s="13">
        <f t="shared" si="175"/>
        <v>5730418906339.5127</v>
      </c>
      <c r="V162" s="13">
        <f t="shared" si="175"/>
        <v>9313830810815.0273</v>
      </c>
      <c r="W162" s="13">
        <f t="shared" si="175"/>
        <v>13670873989040.607</v>
      </c>
      <c r="X162" s="13">
        <f t="shared" si="175"/>
        <v>18689152132877.766</v>
      </c>
      <c r="Y162" s="54">
        <f t="shared" si="175"/>
        <v>21134790397754.875</v>
      </c>
      <c r="Z162" s="13">
        <f t="shared" si="175"/>
        <v>24264235323750.559</v>
      </c>
      <c r="AA162" s="13">
        <f t="shared" si="175"/>
        <v>30305727481507.5</v>
      </c>
      <c r="AB162" s="13">
        <f t="shared" si="154"/>
        <v>36737942281264.211</v>
      </c>
      <c r="AC162" s="13">
        <f t="shared" si="166"/>
        <v>0</v>
      </c>
      <c r="AD162" s="13">
        <f t="shared" si="150"/>
        <v>0</v>
      </c>
      <c r="AE162" s="13">
        <f t="shared" si="150"/>
        <v>0</v>
      </c>
      <c r="AF162" s="13">
        <f t="shared" si="150"/>
        <v>0</v>
      </c>
      <c r="AG162" s="13">
        <f t="shared" si="150"/>
        <v>0</v>
      </c>
      <c r="AH162" s="13">
        <f t="shared" si="150"/>
        <v>0</v>
      </c>
      <c r="AI162" s="13">
        <f t="shared" si="150"/>
        <v>0</v>
      </c>
      <c r="AJ162" s="13">
        <f t="shared" si="150"/>
        <v>0</v>
      </c>
      <c r="AK162" s="13">
        <f t="shared" si="149"/>
        <v>0</v>
      </c>
      <c r="AL162" s="13">
        <f t="shared" si="138"/>
        <v>0</v>
      </c>
      <c r="AM162" s="13">
        <f t="shared" si="174"/>
        <v>0</v>
      </c>
      <c r="AN162" s="13">
        <f t="shared" si="171"/>
        <v>0</v>
      </c>
      <c r="AO162" s="13">
        <f t="shared" si="172"/>
        <v>0</v>
      </c>
      <c r="AP162" s="13">
        <f t="shared" si="173"/>
        <v>0</v>
      </c>
      <c r="AQ162" s="13">
        <f t="shared" si="167"/>
        <v>0</v>
      </c>
      <c r="AR162" s="13">
        <f t="shared" si="155"/>
        <v>0</v>
      </c>
      <c r="AS162" s="13">
        <f t="shared" si="156"/>
        <v>0</v>
      </c>
      <c r="AT162" s="13">
        <f t="shared" si="157"/>
        <v>0</v>
      </c>
      <c r="AU162" s="13">
        <f t="shared" si="158"/>
        <v>0</v>
      </c>
      <c r="AV162" s="13">
        <f t="shared" si="159"/>
        <v>0</v>
      </c>
      <c r="AW162" s="13">
        <f t="shared" si="160"/>
        <v>0</v>
      </c>
      <c r="AX162" s="13">
        <f t="shared" si="161"/>
        <v>0</v>
      </c>
      <c r="AY162" s="13">
        <f t="shared" si="162"/>
        <v>0</v>
      </c>
      <c r="AZ162" s="13">
        <f t="shared" si="163"/>
        <v>0</v>
      </c>
      <c r="BA162" s="13">
        <f t="shared" si="164"/>
        <v>0</v>
      </c>
      <c r="BB162" s="13">
        <f t="shared" si="165"/>
        <v>0</v>
      </c>
    </row>
    <row r="163" spans="1:54">
      <c r="A163">
        <f>data0!A161</f>
        <v>1095</v>
      </c>
      <c r="B163">
        <v>0</v>
      </c>
      <c r="C163" t="e">
        <f ca="1">(Calculations!C162-C$2)/C$1</f>
        <v>#DIV/0!</v>
      </c>
      <c r="D163" s="13" t="e">
        <f t="shared" ca="1" si="141"/>
        <v>#DIV/0!</v>
      </c>
      <c r="E163" s="13" t="e">
        <f t="shared" ca="1" si="142"/>
        <v>#DIV/0!</v>
      </c>
      <c r="F163" s="13" t="e">
        <f t="shared" ca="1" si="143"/>
        <v>#DIV/0!</v>
      </c>
      <c r="G163" s="13" t="e">
        <f t="shared" ca="1" si="144"/>
        <v>#DIV/0!</v>
      </c>
      <c r="H163" s="13" t="e">
        <f t="shared" ca="1" si="145"/>
        <v>#DIV/0!</v>
      </c>
      <c r="I163" s="13" t="e">
        <f t="shared" ca="1" si="146"/>
        <v>#DIV/0!</v>
      </c>
      <c r="J163" s="13" t="e">
        <f t="shared" ca="1" si="147"/>
        <v>#DIV/0!</v>
      </c>
      <c r="K163" s="13" t="e">
        <f t="shared" ca="1" si="151"/>
        <v>#DIV/0!</v>
      </c>
      <c r="L163" s="13" t="e">
        <f t="shared" ca="1" si="152"/>
        <v>#DIV/0!</v>
      </c>
      <c r="M163" s="13" t="e">
        <f t="shared" ca="1" si="148"/>
        <v>#DIV/0!</v>
      </c>
      <c r="N163" s="13" t="e">
        <f t="shared" ca="1" si="168"/>
        <v>#DIV/0!</v>
      </c>
      <c r="O163" s="13" t="e">
        <f t="shared" ca="1" si="169"/>
        <v>#DIV/0!</v>
      </c>
      <c r="P163" s="13" t="e">
        <f t="shared" ca="1" si="170"/>
        <v>#DIV/0!</v>
      </c>
      <c r="Q163" s="13">
        <f t="shared" si="175"/>
        <v>37309301992.873817</v>
      </c>
      <c r="R163" s="13">
        <f t="shared" si="175"/>
        <v>333751787596.69727</v>
      </c>
      <c r="S163" s="13">
        <f t="shared" si="175"/>
        <v>1246594277904.8311</v>
      </c>
      <c r="T163" s="13">
        <f t="shared" si="175"/>
        <v>3015466595470.9346</v>
      </c>
      <c r="U163" s="13">
        <f t="shared" si="175"/>
        <v>5700394908506.7979</v>
      </c>
      <c r="V163" s="13">
        <f t="shared" si="175"/>
        <v>9246702011866.1152</v>
      </c>
      <c r="W163" s="13">
        <f t="shared" si="175"/>
        <v>13552031615579.963</v>
      </c>
      <c r="X163" s="13">
        <f t="shared" si="175"/>
        <v>18505109645609.27</v>
      </c>
      <c r="Y163" s="54">
        <f t="shared" si="175"/>
        <v>20917401967270.457</v>
      </c>
      <c r="Z163" s="13">
        <f t="shared" si="175"/>
        <v>24002999960141.992</v>
      </c>
      <c r="AA163" s="13">
        <f t="shared" si="175"/>
        <v>29956842754259.168</v>
      </c>
      <c r="AB163" s="13">
        <f t="shared" si="154"/>
        <v>36292378498690.328</v>
      </c>
      <c r="AC163" s="13">
        <f t="shared" si="166"/>
        <v>0</v>
      </c>
      <c r="AD163" s="13">
        <f t="shared" si="150"/>
        <v>0</v>
      </c>
      <c r="AE163" s="13">
        <f t="shared" si="150"/>
        <v>0</v>
      </c>
      <c r="AF163" s="13">
        <f t="shared" si="150"/>
        <v>0</v>
      </c>
      <c r="AG163" s="13">
        <f t="shared" si="150"/>
        <v>0</v>
      </c>
      <c r="AH163" s="13">
        <f t="shared" si="150"/>
        <v>0</v>
      </c>
      <c r="AI163" s="13">
        <f t="shared" si="150"/>
        <v>0</v>
      </c>
      <c r="AJ163" s="13">
        <f t="shared" si="150"/>
        <v>0</v>
      </c>
      <c r="AK163" s="13">
        <f t="shared" si="149"/>
        <v>0</v>
      </c>
      <c r="AL163" s="13">
        <f t="shared" si="138"/>
        <v>0</v>
      </c>
      <c r="AM163" s="13">
        <f t="shared" si="174"/>
        <v>0</v>
      </c>
      <c r="AN163" s="13">
        <f t="shared" si="171"/>
        <v>0</v>
      </c>
      <c r="AO163" s="13">
        <f t="shared" si="172"/>
        <v>0</v>
      </c>
      <c r="AP163" s="13">
        <f t="shared" si="173"/>
        <v>0</v>
      </c>
      <c r="AQ163" s="13">
        <f t="shared" si="167"/>
        <v>0</v>
      </c>
      <c r="AR163" s="13">
        <f t="shared" si="155"/>
        <v>0</v>
      </c>
      <c r="AS163" s="13">
        <f t="shared" si="156"/>
        <v>0</v>
      </c>
      <c r="AT163" s="13">
        <f t="shared" si="157"/>
        <v>0</v>
      </c>
      <c r="AU163" s="13">
        <f t="shared" si="158"/>
        <v>0</v>
      </c>
      <c r="AV163" s="13">
        <f t="shared" si="159"/>
        <v>0</v>
      </c>
      <c r="AW163" s="13">
        <f t="shared" si="160"/>
        <v>0</v>
      </c>
      <c r="AX163" s="13">
        <f t="shared" si="161"/>
        <v>0</v>
      </c>
      <c r="AY163" s="13">
        <f t="shared" si="162"/>
        <v>0</v>
      </c>
      <c r="AZ163" s="13">
        <f t="shared" si="163"/>
        <v>0</v>
      </c>
      <c r="BA163" s="13">
        <f t="shared" si="164"/>
        <v>0</v>
      </c>
      <c r="BB163" s="13">
        <f t="shared" si="165"/>
        <v>0</v>
      </c>
    </row>
    <row r="164" spans="1:54">
      <c r="A164">
        <f>data0!A162</f>
        <v>1100</v>
      </c>
      <c r="B164">
        <v>0</v>
      </c>
      <c r="C164" t="e">
        <f ca="1">(Calculations!C163-C$2)/C$1</f>
        <v>#DIV/0!</v>
      </c>
      <c r="D164" s="13" t="e">
        <f t="shared" ca="1" si="141"/>
        <v>#DIV/0!</v>
      </c>
      <c r="E164" s="13" t="e">
        <f t="shared" ca="1" si="142"/>
        <v>#DIV/0!</v>
      </c>
      <c r="F164" s="13" t="e">
        <f t="shared" ca="1" si="143"/>
        <v>#DIV/0!</v>
      </c>
      <c r="G164" s="13" t="e">
        <f t="shared" ca="1" si="144"/>
        <v>#DIV/0!</v>
      </c>
      <c r="H164" s="13" t="e">
        <f t="shared" ca="1" si="145"/>
        <v>#DIV/0!</v>
      </c>
      <c r="I164" s="13" t="e">
        <f t="shared" ca="1" si="146"/>
        <v>#DIV/0!</v>
      </c>
      <c r="J164" s="13" t="e">
        <f t="shared" ca="1" si="147"/>
        <v>#DIV/0!</v>
      </c>
      <c r="K164" s="13" t="e">
        <f t="shared" ca="1" si="151"/>
        <v>#DIV/0!</v>
      </c>
      <c r="L164" s="13" t="e">
        <f t="shared" ca="1" si="152"/>
        <v>#DIV/0!</v>
      </c>
      <c r="M164" s="13" t="e">
        <f t="shared" ca="1" si="148"/>
        <v>#DIV/0!</v>
      </c>
      <c r="N164" s="13" t="e">
        <f t="shared" ca="1" si="168"/>
        <v>#DIV/0!</v>
      </c>
      <c r="O164" s="13" t="e">
        <f t="shared" ca="1" si="169"/>
        <v>#DIV/0!</v>
      </c>
      <c r="P164" s="13" t="e">
        <f t="shared" ca="1" si="170"/>
        <v>#DIV/0!</v>
      </c>
      <c r="Q164" s="13">
        <f t="shared" ref="Q164:AA164" si="176">(3.7418E-16/POWER($A164*0.000000001,5))/(EXP(0.0143877/($A164*Q$3/1000000000))-1)</f>
        <v>37950644759.955338</v>
      </c>
      <c r="R164" s="13">
        <f t="shared" si="176"/>
        <v>336138554217.28107</v>
      </c>
      <c r="S164" s="13">
        <f t="shared" si="176"/>
        <v>1248138068785.2239</v>
      </c>
      <c r="T164" s="13">
        <f t="shared" si="176"/>
        <v>3007589373753.7104</v>
      </c>
      <c r="U164" s="13">
        <f t="shared" si="176"/>
        <v>5670251287211.0605</v>
      </c>
      <c r="V164" s="13">
        <f t="shared" si="176"/>
        <v>9179791123714.9062</v>
      </c>
      <c r="W164" s="13">
        <f t="shared" si="176"/>
        <v>13434037770666.492</v>
      </c>
      <c r="X164" s="13">
        <f t="shared" si="176"/>
        <v>18322846856392.355</v>
      </c>
      <c r="Y164" s="54">
        <f t="shared" si="176"/>
        <v>20702307126117.984</v>
      </c>
      <c r="Z164" s="13">
        <f t="shared" si="176"/>
        <v>23744762298046.105</v>
      </c>
      <c r="AA164" s="13">
        <f t="shared" si="176"/>
        <v>29612436735725.094</v>
      </c>
      <c r="AB164" s="13">
        <f t="shared" si="154"/>
        <v>35853010191246.555</v>
      </c>
      <c r="AC164" s="13">
        <f t="shared" si="166"/>
        <v>0</v>
      </c>
      <c r="AD164" s="13">
        <f t="shared" si="150"/>
        <v>0</v>
      </c>
      <c r="AE164" s="13">
        <f t="shared" si="150"/>
        <v>0</v>
      </c>
      <c r="AF164" s="13">
        <f t="shared" si="150"/>
        <v>0</v>
      </c>
      <c r="AG164" s="13">
        <f t="shared" ref="AG164:AL164" si="177">$B164*T164</f>
        <v>0</v>
      </c>
      <c r="AH164" s="13">
        <f t="shared" si="177"/>
        <v>0</v>
      </c>
      <c r="AI164" s="13">
        <f t="shared" si="177"/>
        <v>0</v>
      </c>
      <c r="AJ164" s="13">
        <f t="shared" si="177"/>
        <v>0</v>
      </c>
      <c r="AK164" s="13">
        <f t="shared" si="177"/>
        <v>0</v>
      </c>
      <c r="AL164" s="13">
        <f t="shared" si="177"/>
        <v>0</v>
      </c>
      <c r="AM164" s="13">
        <f t="shared" si="174"/>
        <v>0</v>
      </c>
      <c r="AN164" s="13">
        <f t="shared" si="171"/>
        <v>0</v>
      </c>
      <c r="AO164" s="13">
        <f t="shared" si="172"/>
        <v>0</v>
      </c>
      <c r="AP164" s="13">
        <f t="shared" si="173"/>
        <v>0</v>
      </c>
      <c r="AQ164" s="13">
        <f t="shared" si="167"/>
        <v>0</v>
      </c>
      <c r="AR164" s="13">
        <f t="shared" si="155"/>
        <v>0</v>
      </c>
      <c r="AS164" s="13">
        <f t="shared" si="156"/>
        <v>0</v>
      </c>
      <c r="AT164" s="13">
        <f t="shared" si="157"/>
        <v>0</v>
      </c>
      <c r="AU164" s="13">
        <f t="shared" si="158"/>
        <v>0</v>
      </c>
      <c r="AV164" s="13">
        <f t="shared" si="159"/>
        <v>0</v>
      </c>
      <c r="AW164" s="13">
        <f t="shared" si="160"/>
        <v>0</v>
      </c>
      <c r="AX164" s="13">
        <f t="shared" si="161"/>
        <v>0</v>
      </c>
      <c r="AY164" s="13">
        <f t="shared" si="162"/>
        <v>0</v>
      </c>
      <c r="AZ164" s="13">
        <f t="shared" si="163"/>
        <v>0</v>
      </c>
      <c r="BA164" s="13">
        <f t="shared" si="164"/>
        <v>0</v>
      </c>
      <c r="BB164" s="13">
        <f t="shared" si="165"/>
        <v>0</v>
      </c>
    </row>
  </sheetData>
  <mergeCells count="3">
    <mergeCell ref="Q1:AC1"/>
    <mergeCell ref="AD1:AP1"/>
    <mergeCell ref="AQ1:BB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H802"/>
  <sheetViews>
    <sheetView topLeftCell="D1" workbookViewId="0">
      <pane ySplit="7200" topLeftCell="A795"/>
      <selection activeCell="I11" sqref="I11"/>
      <selection pane="bottomLeft" activeCell="E798" sqref="E798"/>
    </sheetView>
  </sheetViews>
  <sheetFormatPr defaultRowHeight="15"/>
  <cols>
    <col min="2" max="2" width="12" bestFit="1" customWidth="1"/>
  </cols>
  <sheetData>
    <row r="1" spans="1:8">
      <c r="A1" t="s">
        <v>7</v>
      </c>
      <c r="B1" t="s">
        <v>18</v>
      </c>
      <c r="C1" s="69" t="s">
        <v>19</v>
      </c>
      <c r="D1" s="69"/>
      <c r="E1" s="25">
        <f>Summary!M38</f>
        <v>0.1</v>
      </c>
      <c r="F1" s="25"/>
      <c r="G1">
        <v>5</v>
      </c>
    </row>
    <row r="2" spans="1:8">
      <c r="A2">
        <v>300</v>
      </c>
      <c r="B2">
        <f>B3</f>
        <v>3.6250379757802874E-6</v>
      </c>
      <c r="C2">
        <f>B2/B$257</f>
        <v>2.4328974639942547E-2</v>
      </c>
      <c r="D2">
        <f t="shared" ref="D2:D4" si="0">D3</f>
        <v>2.3939210536012442E-2</v>
      </c>
      <c r="E2" s="24">
        <f>MAX(D2,E$1)</f>
        <v>0.1</v>
      </c>
      <c r="F2" s="24">
        <f>A2</f>
        <v>300</v>
      </c>
      <c r="G2">
        <f t="shared" ref="G2:G33" ca="1" si="1">decimation(E$2:E$802,CELL("row",G2),G$1)</f>
        <v>0.1</v>
      </c>
      <c r="H2" s="24"/>
    </row>
    <row r="3" spans="1:8">
      <c r="A3">
        <v>301</v>
      </c>
      <c r="B3">
        <v>3.6250379757802874E-6</v>
      </c>
      <c r="C3">
        <f t="shared" ref="C3:C66" si="2">B3/B$257</f>
        <v>2.4328974639942547E-2</v>
      </c>
      <c r="D3">
        <f t="shared" si="0"/>
        <v>2.3939210536012442E-2</v>
      </c>
      <c r="E3" s="24">
        <f t="shared" ref="E3:E66" si="3">MAX(D3,E$1)</f>
        <v>0.1</v>
      </c>
      <c r="F3" s="24">
        <f>F2+G$1</f>
        <v>305</v>
      </c>
      <c r="G3">
        <f t="shared" ca="1" si="1"/>
        <v>0.1</v>
      </c>
    </row>
    <row r="4" spans="1:8">
      <c r="A4">
        <v>302</v>
      </c>
      <c r="B4">
        <v>3.5183115065819949E-6</v>
      </c>
      <c r="C4">
        <f t="shared" si="2"/>
        <v>2.3612693712712546E-2</v>
      </c>
      <c r="D4">
        <f t="shared" si="0"/>
        <v>2.3939210536012442E-2</v>
      </c>
      <c r="E4" s="24">
        <f t="shared" si="3"/>
        <v>0.1</v>
      </c>
      <c r="F4" s="24">
        <f t="shared" ref="F4:F67" si="4">F3+G$1</f>
        <v>310</v>
      </c>
      <c r="G4">
        <f ca="1">decimation(E$2:E$802,CELL("row",G4),G$1)</f>
        <v>0.1</v>
      </c>
    </row>
    <row r="5" spans="1:8">
      <c r="A5">
        <v>303</v>
      </c>
      <c r="B5">
        <v>3.5248050136260645E-6</v>
      </c>
      <c r="C5">
        <f t="shared" si="2"/>
        <v>2.3656274047389028E-2</v>
      </c>
      <c r="D5">
        <f>D6</f>
        <v>2.3939210536012442E-2</v>
      </c>
      <c r="E5" s="24">
        <f t="shared" si="3"/>
        <v>0.1</v>
      </c>
      <c r="F5" s="24">
        <f t="shared" si="4"/>
        <v>315</v>
      </c>
      <c r="G5">
        <f t="shared" ca="1" si="1"/>
        <v>0.1</v>
      </c>
    </row>
    <row r="6" spans="1:8">
      <c r="A6">
        <v>304</v>
      </c>
      <c r="B6">
        <v>3.5416214872157069E-6</v>
      </c>
      <c r="C6">
        <f t="shared" si="2"/>
        <v>2.3769135640075545E-2</v>
      </c>
      <c r="D6">
        <f>AVERAGE(C2:C6)</f>
        <v>2.3939210536012442E-2</v>
      </c>
      <c r="E6" s="24">
        <f t="shared" si="3"/>
        <v>0.1</v>
      </c>
      <c r="F6" s="24">
        <f t="shared" si="4"/>
        <v>320</v>
      </c>
      <c r="G6">
        <f t="shared" ca="1" si="1"/>
        <v>0.1</v>
      </c>
    </row>
    <row r="7" spans="1:8">
      <c r="A7">
        <v>305</v>
      </c>
      <c r="B7">
        <v>3.5705924458397927E-6</v>
      </c>
      <c r="C7">
        <f t="shared" si="2"/>
        <v>2.3963570490791418E-2</v>
      </c>
      <c r="D7">
        <f t="shared" ref="D7:D70" si="5">AVERAGE(C3:C7)</f>
        <v>2.3866129706182217E-2</v>
      </c>
      <c r="E7" s="24">
        <f t="shared" si="3"/>
        <v>0.1</v>
      </c>
      <c r="F7" s="24">
        <f t="shared" si="4"/>
        <v>325</v>
      </c>
      <c r="G7">
        <f t="shared" ca="1" si="1"/>
        <v>0.1</v>
      </c>
    </row>
    <row r="8" spans="1:8">
      <c r="A8">
        <v>306</v>
      </c>
      <c r="B8">
        <v>3.6043920426891417E-6</v>
      </c>
      <c r="C8">
        <f t="shared" si="2"/>
        <v>2.4190412123922474E-2</v>
      </c>
      <c r="D8">
        <f t="shared" si="5"/>
        <v>2.3838417202978201E-2</v>
      </c>
      <c r="E8" s="24">
        <f t="shared" si="3"/>
        <v>0.1</v>
      </c>
      <c r="F8" s="24">
        <f t="shared" si="4"/>
        <v>330</v>
      </c>
      <c r="G8">
        <f t="shared" ca="1" si="1"/>
        <v>0.1</v>
      </c>
    </row>
    <row r="9" spans="1:8">
      <c r="A9">
        <v>307</v>
      </c>
      <c r="B9">
        <v>3.6568394801861363E-6</v>
      </c>
      <c r="C9">
        <f t="shared" si="2"/>
        <v>2.4542406333450634E-2</v>
      </c>
      <c r="D9">
        <f t="shared" si="5"/>
        <v>2.402435972712582E-2</v>
      </c>
      <c r="E9" s="24">
        <f t="shared" si="3"/>
        <v>0.1</v>
      </c>
      <c r="F9" s="24">
        <f t="shared" si="4"/>
        <v>335</v>
      </c>
      <c r="G9">
        <f t="shared" ca="1" si="1"/>
        <v>0.1</v>
      </c>
    </row>
    <row r="10" spans="1:8">
      <c r="A10">
        <v>308</v>
      </c>
      <c r="B10">
        <v>3.7164465312571342E-6</v>
      </c>
      <c r="C10">
        <f t="shared" si="2"/>
        <v>2.4942451365683967E-2</v>
      </c>
      <c r="D10">
        <f t="shared" si="5"/>
        <v>2.4281595190784804E-2</v>
      </c>
      <c r="E10" s="24">
        <f t="shared" si="3"/>
        <v>0.1</v>
      </c>
      <c r="F10" s="24">
        <f t="shared" si="4"/>
        <v>340</v>
      </c>
      <c r="G10">
        <f t="shared" ca="1" si="1"/>
        <v>0.1</v>
      </c>
    </row>
    <row r="11" spans="1:8">
      <c r="A11">
        <v>309</v>
      </c>
      <c r="B11">
        <v>3.783545965234225E-6</v>
      </c>
      <c r="C11">
        <f t="shared" si="2"/>
        <v>2.5392780559057932E-2</v>
      </c>
      <c r="D11">
        <f t="shared" si="5"/>
        <v>2.4606324174581282E-2</v>
      </c>
      <c r="E11" s="24">
        <f t="shared" si="3"/>
        <v>0.1</v>
      </c>
      <c r="F11" s="24">
        <f t="shared" si="4"/>
        <v>345</v>
      </c>
      <c r="G11">
        <f t="shared" ca="1" si="1"/>
        <v>0.1</v>
      </c>
    </row>
    <row r="12" spans="1:8">
      <c r="A12">
        <v>310</v>
      </c>
      <c r="B12">
        <v>3.860135988134061E-6</v>
      </c>
      <c r="C12">
        <f t="shared" si="2"/>
        <v>2.5906804615427066E-2</v>
      </c>
      <c r="D12">
        <f t="shared" si="5"/>
        <v>2.4994970999508415E-2</v>
      </c>
      <c r="E12" s="24">
        <f t="shared" si="3"/>
        <v>0.1</v>
      </c>
      <c r="F12" s="24">
        <f t="shared" si="4"/>
        <v>350</v>
      </c>
      <c r="G12">
        <f t="shared" ca="1" si="1"/>
        <v>0.1</v>
      </c>
    </row>
    <row r="13" spans="1:8">
      <c r="A13">
        <v>311</v>
      </c>
      <c r="B13">
        <v>3.9557070374485193E-6</v>
      </c>
      <c r="C13">
        <f t="shared" si="2"/>
        <v>2.6548217381477789E-2</v>
      </c>
      <c r="D13">
        <f t="shared" si="5"/>
        <v>2.5466532051019473E-2</v>
      </c>
      <c r="E13" s="24">
        <f t="shared" si="3"/>
        <v>0.1</v>
      </c>
      <c r="F13" s="24">
        <f t="shared" si="4"/>
        <v>355</v>
      </c>
      <c r="G13">
        <f t="shared" ca="1" si="1"/>
        <v>0.1</v>
      </c>
    </row>
    <row r="14" spans="1:8">
      <c r="A14">
        <v>312</v>
      </c>
      <c r="B14">
        <v>4.0739219987244728E-6</v>
      </c>
      <c r="C14">
        <f t="shared" si="2"/>
        <v>2.7341601840940009E-2</v>
      </c>
      <c r="D14">
        <f t="shared" si="5"/>
        <v>2.6026371152517352E-2</v>
      </c>
      <c r="E14" s="24">
        <f t="shared" si="3"/>
        <v>0.1</v>
      </c>
      <c r="F14" s="24">
        <f t="shared" si="4"/>
        <v>360</v>
      </c>
      <c r="G14">
        <f t="shared" ca="1" si="1"/>
        <v>0.1</v>
      </c>
    </row>
    <row r="15" spans="1:8">
      <c r="A15">
        <v>313</v>
      </c>
      <c r="B15">
        <v>4.1781510321925453E-6</v>
      </c>
      <c r="C15">
        <f t="shared" si="2"/>
        <v>2.8041121550507916E-2</v>
      </c>
      <c r="D15">
        <f t="shared" si="5"/>
        <v>2.6646105189482138E-2</v>
      </c>
      <c r="E15" s="24">
        <f t="shared" si="3"/>
        <v>0.1</v>
      </c>
      <c r="F15" s="24">
        <f t="shared" si="4"/>
        <v>365</v>
      </c>
      <c r="G15">
        <f t="shared" ca="1" si="1"/>
        <v>0.11351435762109022</v>
      </c>
    </row>
    <row r="16" spans="1:8">
      <c r="A16">
        <v>314</v>
      </c>
      <c r="B16">
        <v>4.2875415867911219E-6</v>
      </c>
      <c r="C16">
        <f t="shared" si="2"/>
        <v>2.877528214315803E-2</v>
      </c>
      <c r="D16">
        <f t="shared" si="5"/>
        <v>2.732260550630216E-2</v>
      </c>
      <c r="E16" s="24">
        <f t="shared" si="3"/>
        <v>0.1</v>
      </c>
      <c r="F16" s="24">
        <f t="shared" si="4"/>
        <v>370</v>
      </c>
      <c r="G16">
        <f t="shared" ca="1" si="1"/>
        <v>0.12694155457282746</v>
      </c>
    </row>
    <row r="17" spans="1:7">
      <c r="A17">
        <v>315</v>
      </c>
      <c r="B17">
        <v>4.4035920709575291E-6</v>
      </c>
      <c r="C17">
        <f t="shared" si="2"/>
        <v>2.9554139993779538E-2</v>
      </c>
      <c r="D17">
        <f t="shared" si="5"/>
        <v>2.8052072581972655E-2</v>
      </c>
      <c r="E17" s="24">
        <f t="shared" si="3"/>
        <v>0.1</v>
      </c>
      <c r="F17" s="24">
        <f t="shared" si="4"/>
        <v>375</v>
      </c>
      <c r="G17">
        <f t="shared" ca="1" si="1"/>
        <v>0.14070175077147182</v>
      </c>
    </row>
    <row r="18" spans="1:7">
      <c r="A18">
        <v>316</v>
      </c>
      <c r="B18">
        <v>4.5113174917332793E-6</v>
      </c>
      <c r="C18">
        <f t="shared" si="2"/>
        <v>3.0277125255628066E-2</v>
      </c>
      <c r="D18">
        <f t="shared" si="5"/>
        <v>2.8797854156802711E-2</v>
      </c>
      <c r="E18" s="24">
        <f t="shared" si="3"/>
        <v>0.1</v>
      </c>
      <c r="F18" s="24">
        <f t="shared" si="4"/>
        <v>380</v>
      </c>
      <c r="G18">
        <f t="shared" ca="1" si="1"/>
        <v>0.1544641824428</v>
      </c>
    </row>
    <row r="19" spans="1:7">
      <c r="A19">
        <v>317</v>
      </c>
      <c r="B19">
        <v>4.6751534248414834E-6</v>
      </c>
      <c r="C19">
        <f t="shared" si="2"/>
        <v>3.137668898112058E-2</v>
      </c>
      <c r="D19">
        <f t="shared" si="5"/>
        <v>2.9604871584838828E-2</v>
      </c>
      <c r="E19" s="24">
        <f t="shared" si="3"/>
        <v>0.1</v>
      </c>
      <c r="F19" s="24">
        <f t="shared" si="4"/>
        <v>385</v>
      </c>
      <c r="G19">
        <f t="shared" ca="1" si="1"/>
        <v>0.17279472144205393</v>
      </c>
    </row>
    <row r="20" spans="1:7">
      <c r="A20">
        <v>318</v>
      </c>
      <c r="B20">
        <v>4.7848771273493184E-6</v>
      </c>
      <c r="C20">
        <f t="shared" si="2"/>
        <v>3.2113085452977988E-2</v>
      </c>
      <c r="D20">
        <f t="shared" si="5"/>
        <v>3.0419264365332842E-2</v>
      </c>
      <c r="E20" s="24">
        <f t="shared" si="3"/>
        <v>0.1</v>
      </c>
      <c r="F20" s="24">
        <f t="shared" si="4"/>
        <v>390</v>
      </c>
      <c r="G20">
        <f t="shared" ca="1" si="1"/>
        <v>0.18848809498392122</v>
      </c>
    </row>
    <row r="21" spans="1:7">
      <c r="A21">
        <v>319</v>
      </c>
      <c r="B21">
        <v>4.9175775111507384E-6</v>
      </c>
      <c r="C21">
        <f t="shared" si="2"/>
        <v>3.3003686956682363E-2</v>
      </c>
      <c r="D21">
        <f t="shared" si="5"/>
        <v>3.126494532803771E-2</v>
      </c>
      <c r="E21" s="24">
        <f t="shared" si="3"/>
        <v>0.1</v>
      </c>
      <c r="F21" s="24">
        <f t="shared" si="4"/>
        <v>395</v>
      </c>
      <c r="G21">
        <f t="shared" ca="1" si="1"/>
        <v>0.20638059475720311</v>
      </c>
    </row>
    <row r="22" spans="1:7">
      <c r="A22">
        <v>320</v>
      </c>
      <c r="B22">
        <v>5.0527754442555308E-6</v>
      </c>
      <c r="C22">
        <f t="shared" si="2"/>
        <v>3.3911050440280387E-2</v>
      </c>
      <c r="D22">
        <f t="shared" si="5"/>
        <v>3.2136327417337879E-2</v>
      </c>
      <c r="E22" s="24">
        <f t="shared" si="3"/>
        <v>0.1</v>
      </c>
      <c r="F22" s="24">
        <f t="shared" si="4"/>
        <v>400</v>
      </c>
      <c r="G22">
        <f t="shared" ca="1" si="1"/>
        <v>0.22605877051587875</v>
      </c>
    </row>
    <row r="23" spans="1:7">
      <c r="A23">
        <v>321</v>
      </c>
      <c r="B23">
        <v>5.228266556969174E-6</v>
      </c>
      <c r="C23">
        <f t="shared" si="2"/>
        <v>3.5088836399840305E-2</v>
      </c>
      <c r="D23">
        <f t="shared" si="5"/>
        <v>3.3098669646180322E-2</v>
      </c>
      <c r="E23" s="24">
        <f t="shared" si="3"/>
        <v>0.1</v>
      </c>
      <c r="F23" s="24">
        <f t="shared" si="4"/>
        <v>405</v>
      </c>
      <c r="G23">
        <f t="shared" ca="1" si="1"/>
        <v>0.24672924044288883</v>
      </c>
    </row>
    <row r="24" spans="1:7">
      <c r="A24">
        <v>322</v>
      </c>
      <c r="B24">
        <v>5.3576369759866792E-6</v>
      </c>
      <c r="C24">
        <f t="shared" si="2"/>
        <v>3.5957089274558991E-2</v>
      </c>
      <c r="D24">
        <f t="shared" si="5"/>
        <v>3.4014749704868008E-2</v>
      </c>
      <c r="E24" s="24">
        <f t="shared" si="3"/>
        <v>0.1</v>
      </c>
      <c r="F24" s="24">
        <f t="shared" si="4"/>
        <v>410</v>
      </c>
      <c r="G24">
        <f t="shared" ca="1" si="1"/>
        <v>0.27003686891638612</v>
      </c>
    </row>
    <row r="25" spans="1:7">
      <c r="A25">
        <v>323</v>
      </c>
      <c r="B25">
        <v>5.4943336203905352E-6</v>
      </c>
      <c r="C25">
        <f t="shared" si="2"/>
        <v>3.6874511165663676E-2</v>
      </c>
      <c r="D25">
        <f t="shared" si="5"/>
        <v>3.496703484740514E-2</v>
      </c>
      <c r="E25" s="24">
        <f t="shared" si="3"/>
        <v>0.1</v>
      </c>
      <c r="F25" s="24">
        <f t="shared" si="4"/>
        <v>415</v>
      </c>
      <c r="G25">
        <f t="shared" ca="1" si="1"/>
        <v>0.29285506424445229</v>
      </c>
    </row>
    <row r="26" spans="1:7">
      <c r="A26">
        <v>324</v>
      </c>
      <c r="B26">
        <v>5.6400209425646611E-6</v>
      </c>
      <c r="C26">
        <f t="shared" si="2"/>
        <v>3.7852272830566649E-2</v>
      </c>
      <c r="D26">
        <f t="shared" si="5"/>
        <v>3.5936752022182009E-2</v>
      </c>
      <c r="E26" s="24">
        <f t="shared" si="3"/>
        <v>0.1</v>
      </c>
      <c r="F26" s="24">
        <f t="shared" si="4"/>
        <v>420</v>
      </c>
      <c r="G26">
        <f t="shared" ca="1" si="1"/>
        <v>0.31877750954635048</v>
      </c>
    </row>
    <row r="27" spans="1:7">
      <c r="A27">
        <v>325</v>
      </c>
      <c r="B27">
        <v>5.8055220852111231E-6</v>
      </c>
      <c r="C27">
        <f t="shared" si="2"/>
        <v>3.8963012395015102E-2</v>
      </c>
      <c r="D27">
        <f t="shared" si="5"/>
        <v>3.6947144413128942E-2</v>
      </c>
      <c r="E27" s="24">
        <f t="shared" si="3"/>
        <v>0.1</v>
      </c>
      <c r="F27" s="24">
        <f t="shared" si="4"/>
        <v>425</v>
      </c>
      <c r="G27">
        <f t="shared" ca="1" si="1"/>
        <v>0.34400490943786727</v>
      </c>
    </row>
    <row r="28" spans="1:7">
      <c r="A28">
        <v>326</v>
      </c>
      <c r="B28">
        <v>5.9523749707750542E-6</v>
      </c>
      <c r="C28">
        <f t="shared" si="2"/>
        <v>3.9948596588217443E-2</v>
      </c>
      <c r="D28">
        <f t="shared" si="5"/>
        <v>3.7919096450804372E-2</v>
      </c>
      <c r="E28" s="24">
        <f t="shared" si="3"/>
        <v>0.1</v>
      </c>
      <c r="F28" s="24">
        <f t="shared" si="4"/>
        <v>430</v>
      </c>
      <c r="G28">
        <f t="shared" ca="1" si="1"/>
        <v>0.36870040748776595</v>
      </c>
    </row>
    <row r="29" spans="1:7">
      <c r="A29">
        <v>327</v>
      </c>
      <c r="B29">
        <v>6.1082189126864256E-6</v>
      </c>
      <c r="C29">
        <f t="shared" si="2"/>
        <v>4.0994523095989908E-2</v>
      </c>
      <c r="D29">
        <f t="shared" si="5"/>
        <v>3.8926583215090557E-2</v>
      </c>
      <c r="E29" s="24">
        <f t="shared" si="3"/>
        <v>0.1</v>
      </c>
      <c r="F29" s="24">
        <f t="shared" si="4"/>
        <v>435</v>
      </c>
      <c r="G29">
        <f t="shared" ca="1" si="1"/>
        <v>0.39221588166627991</v>
      </c>
    </row>
    <row r="30" spans="1:7">
      <c r="A30">
        <v>328</v>
      </c>
      <c r="B30">
        <v>6.2519084831365034E-6</v>
      </c>
      <c r="C30">
        <f t="shared" si="2"/>
        <v>4.1958877107964553E-2</v>
      </c>
      <c r="D30">
        <f t="shared" si="5"/>
        <v>3.9943456403550737E-2</v>
      </c>
      <c r="E30" s="24">
        <f t="shared" si="3"/>
        <v>0.1</v>
      </c>
      <c r="F30" s="24">
        <f t="shared" si="4"/>
        <v>440</v>
      </c>
      <c r="G30">
        <f t="shared" ca="1" si="1"/>
        <v>0.41574029692248216</v>
      </c>
    </row>
    <row r="31" spans="1:7">
      <c r="A31">
        <v>329</v>
      </c>
      <c r="B31">
        <v>6.4185750377419024E-6</v>
      </c>
      <c r="C31">
        <f t="shared" si="2"/>
        <v>4.3077438184403641E-2</v>
      </c>
      <c r="D31">
        <f t="shared" si="5"/>
        <v>4.0988489474318136E-2</v>
      </c>
      <c r="E31" s="24">
        <f t="shared" si="3"/>
        <v>0.1</v>
      </c>
      <c r="F31" s="24">
        <f t="shared" si="4"/>
        <v>445</v>
      </c>
      <c r="G31">
        <f t="shared" ca="1" si="1"/>
        <v>0.441548769298097</v>
      </c>
    </row>
    <row r="32" spans="1:7">
      <c r="A32">
        <v>330</v>
      </c>
      <c r="B32">
        <v>6.6208724426815026E-6</v>
      </c>
      <c r="C32">
        <f t="shared" si="2"/>
        <v>4.4435131115452817E-2</v>
      </c>
      <c r="D32">
        <f t="shared" si="5"/>
        <v>4.2082913218405668E-2</v>
      </c>
      <c r="E32" s="24">
        <f t="shared" si="3"/>
        <v>0.1</v>
      </c>
      <c r="F32" s="24">
        <f t="shared" si="4"/>
        <v>450</v>
      </c>
      <c r="G32">
        <f t="shared" ca="1" si="1"/>
        <v>0.46927924246656261</v>
      </c>
    </row>
    <row r="33" spans="1:7">
      <c r="A33">
        <v>331</v>
      </c>
      <c r="B33">
        <v>6.7627305325004286E-6</v>
      </c>
      <c r="C33">
        <f t="shared" si="2"/>
        <v>4.5387193381485343E-2</v>
      </c>
      <c r="D33">
        <f t="shared" si="5"/>
        <v>4.3170632577059255E-2</v>
      </c>
      <c r="E33" s="24">
        <f t="shared" si="3"/>
        <v>0.1</v>
      </c>
      <c r="F33" s="24">
        <f t="shared" si="4"/>
        <v>455</v>
      </c>
      <c r="G33">
        <f t="shared" ca="1" si="1"/>
        <v>0.49182254417003762</v>
      </c>
    </row>
    <row r="34" spans="1:7">
      <c r="A34">
        <v>332</v>
      </c>
      <c r="B34">
        <v>6.9720210149171178E-6</v>
      </c>
      <c r="C34">
        <f t="shared" si="2"/>
        <v>4.6791819449713209E-2</v>
      </c>
      <c r="D34">
        <f t="shared" si="5"/>
        <v>4.4330091847803912E-2</v>
      </c>
      <c r="E34" s="24">
        <f t="shared" si="3"/>
        <v>0.1</v>
      </c>
      <c r="F34" s="24">
        <f t="shared" si="4"/>
        <v>460</v>
      </c>
      <c r="G34">
        <f t="shared" ref="G34:G66" ca="1" si="6">decimation(E$2:E$802,CELL("row",G34),G$1)</f>
        <v>0.51606658243391501</v>
      </c>
    </row>
    <row r="35" spans="1:7">
      <c r="A35">
        <v>333</v>
      </c>
      <c r="B35">
        <v>7.1927998758383183E-6</v>
      </c>
      <c r="C35">
        <f t="shared" si="2"/>
        <v>4.827354828794176E-2</v>
      </c>
      <c r="D35">
        <f t="shared" si="5"/>
        <v>4.5593026083799351E-2</v>
      </c>
      <c r="E35" s="24">
        <f t="shared" si="3"/>
        <v>0.1</v>
      </c>
      <c r="F35" s="24">
        <f t="shared" si="4"/>
        <v>465</v>
      </c>
      <c r="G35">
        <f t="shared" ca="1" si="6"/>
        <v>0.55049054620675286</v>
      </c>
    </row>
    <row r="36" spans="1:7">
      <c r="A36">
        <v>334</v>
      </c>
      <c r="B36">
        <v>7.4070854568617497E-6</v>
      </c>
      <c r="C36">
        <f t="shared" si="2"/>
        <v>4.9711698315956912E-2</v>
      </c>
      <c r="D36">
        <f t="shared" si="5"/>
        <v>4.6919878110110017E-2</v>
      </c>
      <c r="E36" s="24">
        <f t="shared" si="3"/>
        <v>0.1</v>
      </c>
      <c r="F36" s="24">
        <f t="shared" si="4"/>
        <v>470</v>
      </c>
      <c r="G36">
        <f t="shared" ca="1" si="6"/>
        <v>0.57894735327270352</v>
      </c>
    </row>
    <row r="37" spans="1:7">
      <c r="A37">
        <v>335</v>
      </c>
      <c r="B37">
        <v>7.6751505748688952E-6</v>
      </c>
      <c r="C37">
        <f t="shared" si="2"/>
        <v>5.1510782767326069E-2</v>
      </c>
      <c r="D37">
        <f t="shared" si="5"/>
        <v>4.8335008440484661E-2</v>
      </c>
      <c r="E37" s="24">
        <f t="shared" si="3"/>
        <v>0.1</v>
      </c>
      <c r="F37" s="24">
        <f t="shared" si="4"/>
        <v>475</v>
      </c>
      <c r="G37">
        <f t="shared" ca="1" si="6"/>
        <v>0.59240137345750554</v>
      </c>
    </row>
    <row r="38" spans="1:7">
      <c r="A38">
        <v>336</v>
      </c>
      <c r="B38">
        <v>7.9302283002107287E-6</v>
      </c>
      <c r="C38">
        <f t="shared" si="2"/>
        <v>5.3222704008570425E-2</v>
      </c>
      <c r="D38">
        <f t="shared" si="5"/>
        <v>4.9902110565901679E-2</v>
      </c>
      <c r="E38" s="24">
        <f t="shared" si="3"/>
        <v>0.1</v>
      </c>
      <c r="F38" s="24">
        <f t="shared" si="4"/>
        <v>480</v>
      </c>
      <c r="G38">
        <f t="shared" ca="1" si="6"/>
        <v>0.61559949019352322</v>
      </c>
    </row>
    <row r="39" spans="1:7">
      <c r="A39">
        <v>337</v>
      </c>
      <c r="B39">
        <v>8.214776743898257E-6</v>
      </c>
      <c r="C39">
        <f t="shared" si="2"/>
        <v>5.5132414173418798E-2</v>
      </c>
      <c r="D39">
        <f t="shared" si="5"/>
        <v>5.1570229510642794E-2</v>
      </c>
      <c r="E39" s="24">
        <f t="shared" si="3"/>
        <v>0.1</v>
      </c>
      <c r="F39" s="24">
        <f t="shared" si="4"/>
        <v>485</v>
      </c>
      <c r="G39">
        <f t="shared" ca="1" si="6"/>
        <v>0.64051848103765485</v>
      </c>
    </row>
    <row r="40" spans="1:7">
      <c r="A40">
        <v>338</v>
      </c>
      <c r="B40">
        <v>8.3979269270457724E-6</v>
      </c>
      <c r="C40">
        <f t="shared" si="2"/>
        <v>5.6361602995954545E-2</v>
      </c>
      <c r="D40">
        <f t="shared" si="5"/>
        <v>5.3187840452245352E-2</v>
      </c>
      <c r="E40" s="24">
        <f t="shared" si="3"/>
        <v>0.1</v>
      </c>
      <c r="F40" s="24">
        <f t="shared" si="4"/>
        <v>490</v>
      </c>
      <c r="G40">
        <f t="shared" ca="1" si="6"/>
        <v>0.67082353903058878</v>
      </c>
    </row>
    <row r="41" spans="1:7">
      <c r="A41">
        <v>339</v>
      </c>
      <c r="B41">
        <v>8.6833080890755828E-6</v>
      </c>
      <c r="C41">
        <f t="shared" si="2"/>
        <v>5.8276901842512448E-2</v>
      </c>
      <c r="D41">
        <f t="shared" si="5"/>
        <v>5.490088115755646E-2</v>
      </c>
      <c r="E41" s="24">
        <f t="shared" si="3"/>
        <v>0.1</v>
      </c>
      <c r="F41" s="24">
        <f t="shared" si="4"/>
        <v>495</v>
      </c>
      <c r="G41">
        <f t="shared" ca="1" si="6"/>
        <v>0.69911720496691687</v>
      </c>
    </row>
    <row r="42" spans="1:7">
      <c r="A42">
        <v>340</v>
      </c>
      <c r="B42">
        <v>8.951040134888898E-6</v>
      </c>
      <c r="C42">
        <f t="shared" si="2"/>
        <v>6.0073750922828642E-2</v>
      </c>
      <c r="D42">
        <f t="shared" si="5"/>
        <v>5.661347478865697E-2</v>
      </c>
      <c r="E42" s="24">
        <f t="shared" si="3"/>
        <v>0.1</v>
      </c>
      <c r="F42" s="24">
        <f t="shared" si="4"/>
        <v>500</v>
      </c>
      <c r="G42">
        <f t="shared" ca="1" si="6"/>
        <v>0.72528772066034175</v>
      </c>
    </row>
    <row r="43" spans="1:7">
      <c r="A43">
        <v>341</v>
      </c>
      <c r="B43">
        <v>9.285205508149374E-6</v>
      </c>
      <c r="C43">
        <f t="shared" si="2"/>
        <v>6.2316458708490147E-2</v>
      </c>
      <c r="D43">
        <f t="shared" si="5"/>
        <v>5.8432225728640909E-2</v>
      </c>
      <c r="E43" s="24">
        <f t="shared" si="3"/>
        <v>0.1</v>
      </c>
      <c r="F43" s="24">
        <f t="shared" si="4"/>
        <v>505</v>
      </c>
      <c r="G43">
        <f t="shared" ca="1" si="6"/>
        <v>0.75324615431622</v>
      </c>
    </row>
    <row r="44" spans="1:7">
      <c r="A44">
        <v>342</v>
      </c>
      <c r="B44">
        <v>9.5446124905720346E-6</v>
      </c>
      <c r="C44">
        <f t="shared" si="2"/>
        <v>6.4057435200033375E-2</v>
      </c>
      <c r="D44">
        <f t="shared" si="5"/>
        <v>6.0217229933963834E-2</v>
      </c>
      <c r="E44" s="24">
        <f t="shared" si="3"/>
        <v>0.1</v>
      </c>
      <c r="F44" s="24">
        <f t="shared" si="4"/>
        <v>510</v>
      </c>
      <c r="G44">
        <f t="shared" ca="1" si="6"/>
        <v>0.78142807182281437</v>
      </c>
    </row>
    <row r="45" spans="1:7">
      <c r="A45">
        <v>343</v>
      </c>
      <c r="B45">
        <v>9.7956947124657753E-6</v>
      </c>
      <c r="C45">
        <f t="shared" si="2"/>
        <v>6.5742541135421093E-2</v>
      </c>
      <c r="D45">
        <f t="shared" si="5"/>
        <v>6.2093417561857142E-2</v>
      </c>
      <c r="E45" s="24">
        <f t="shared" si="3"/>
        <v>0.1</v>
      </c>
      <c r="F45" s="24">
        <f t="shared" si="4"/>
        <v>515</v>
      </c>
      <c r="G45">
        <f t="shared" ca="1" si="6"/>
        <v>0.80931946812872901</v>
      </c>
    </row>
    <row r="46" spans="1:7">
      <c r="A46">
        <v>344</v>
      </c>
      <c r="B46">
        <v>1.0098724536419468E-5</v>
      </c>
      <c r="C46">
        <f t="shared" si="2"/>
        <v>6.7776286699294461E-2</v>
      </c>
      <c r="D46">
        <f t="shared" si="5"/>
        <v>6.3993294533213549E-2</v>
      </c>
      <c r="E46" s="24">
        <f t="shared" si="3"/>
        <v>0.1</v>
      </c>
      <c r="F46" s="24">
        <f t="shared" si="4"/>
        <v>520</v>
      </c>
      <c r="G46">
        <f t="shared" ca="1" si="6"/>
        <v>0.83566877122794536</v>
      </c>
    </row>
    <row r="47" spans="1:7">
      <c r="A47">
        <v>345</v>
      </c>
      <c r="B47">
        <v>1.0398424547020114E-5</v>
      </c>
      <c r="C47">
        <f t="shared" si="2"/>
        <v>6.9787684650490858E-2</v>
      </c>
      <c r="D47">
        <f t="shared" si="5"/>
        <v>6.5936081278745978E-2</v>
      </c>
      <c r="E47" s="24">
        <f t="shared" si="3"/>
        <v>0.1</v>
      </c>
      <c r="F47" s="24">
        <f t="shared" si="4"/>
        <v>525</v>
      </c>
      <c r="G47">
        <f t="shared" ca="1" si="6"/>
        <v>0.86119116814379137</v>
      </c>
    </row>
    <row r="48" spans="1:7">
      <c r="A48">
        <v>346</v>
      </c>
      <c r="B48">
        <v>1.0696792571707192E-5</v>
      </c>
      <c r="C48">
        <f t="shared" si="2"/>
        <v>7.179014315009298E-2</v>
      </c>
      <c r="D48">
        <f t="shared" si="5"/>
        <v>6.7830818167066556E-2</v>
      </c>
      <c r="E48" s="24">
        <f t="shared" si="3"/>
        <v>0.1</v>
      </c>
      <c r="F48" s="24">
        <f t="shared" si="4"/>
        <v>530</v>
      </c>
      <c r="G48">
        <f t="shared" ca="1" si="6"/>
        <v>0.88463513077478595</v>
      </c>
    </row>
    <row r="49" spans="1:7">
      <c r="A49">
        <v>347</v>
      </c>
      <c r="B49">
        <v>1.109006550132108E-5</v>
      </c>
      <c r="C49">
        <f t="shared" si="2"/>
        <v>7.442954367363995E-2</v>
      </c>
      <c r="D49">
        <f t="shared" si="5"/>
        <v>6.9905239861787871E-2</v>
      </c>
      <c r="E49" s="24">
        <f t="shared" si="3"/>
        <v>0.1</v>
      </c>
      <c r="F49" s="24">
        <f t="shared" si="4"/>
        <v>535</v>
      </c>
      <c r="G49">
        <f t="shared" ca="1" si="6"/>
        <v>0.90720749077748608</v>
      </c>
    </row>
    <row r="50" spans="1:7">
      <c r="A50">
        <v>348</v>
      </c>
      <c r="B50">
        <v>1.0902420092861576E-5</v>
      </c>
      <c r="C50">
        <f t="shared" si="2"/>
        <v>7.317018572643659E-2</v>
      </c>
      <c r="D50">
        <f t="shared" si="5"/>
        <v>7.1390768779990968E-2</v>
      </c>
      <c r="E50" s="24">
        <f t="shared" si="3"/>
        <v>0.1</v>
      </c>
      <c r="F50" s="24">
        <f t="shared" si="4"/>
        <v>540</v>
      </c>
      <c r="G50">
        <f t="shared" ca="1" si="6"/>
        <v>0.93020446944610879</v>
      </c>
    </row>
    <row r="51" spans="1:7">
      <c r="A51">
        <v>349</v>
      </c>
      <c r="B51">
        <v>1.3010309909986973E-5</v>
      </c>
      <c r="C51">
        <f t="shared" si="2"/>
        <v>8.7317016255459748E-2</v>
      </c>
      <c r="D51">
        <f t="shared" si="5"/>
        <v>7.5298914691224017E-2</v>
      </c>
      <c r="E51" s="24">
        <f t="shared" si="3"/>
        <v>0.1</v>
      </c>
      <c r="F51" s="24">
        <f t="shared" si="4"/>
        <v>545</v>
      </c>
      <c r="G51">
        <f t="shared" ca="1" si="6"/>
        <v>0.95058663697765977</v>
      </c>
    </row>
    <row r="52" spans="1:7">
      <c r="A52">
        <v>350</v>
      </c>
      <c r="B52">
        <v>1.3053600057901351E-5</v>
      </c>
      <c r="C52">
        <f t="shared" si="2"/>
        <v>8.7607552497508789E-2</v>
      </c>
      <c r="D52">
        <f t="shared" si="5"/>
        <v>7.8862888260627609E-2</v>
      </c>
      <c r="E52" s="24">
        <f t="shared" si="3"/>
        <v>0.1</v>
      </c>
      <c r="F52" s="24">
        <f t="shared" si="4"/>
        <v>550</v>
      </c>
      <c r="G52">
        <f t="shared" ca="1" si="6"/>
        <v>0.97130403353747252</v>
      </c>
    </row>
    <row r="53" spans="1:7">
      <c r="A53">
        <v>351</v>
      </c>
      <c r="B53">
        <v>1.3141845033260326E-5</v>
      </c>
      <c r="C53">
        <f t="shared" si="2"/>
        <v>8.8199797263482232E-2</v>
      </c>
      <c r="D53">
        <f t="shared" si="5"/>
        <v>8.2144819083305468E-2</v>
      </c>
      <c r="E53" s="24">
        <f t="shared" si="3"/>
        <v>0.1</v>
      </c>
      <c r="F53" s="24">
        <f t="shared" si="4"/>
        <v>555</v>
      </c>
      <c r="G53">
        <f t="shared" ca="1" si="6"/>
        <v>0.99175324817555099</v>
      </c>
    </row>
    <row r="54" spans="1:7">
      <c r="A54">
        <v>352</v>
      </c>
      <c r="B54">
        <v>1.3271714871279984E-5</v>
      </c>
      <c r="C54">
        <f t="shared" si="2"/>
        <v>8.9071401924394403E-2</v>
      </c>
      <c r="D54">
        <f t="shared" si="5"/>
        <v>8.5073190733456344E-2</v>
      </c>
      <c r="E54" s="24">
        <f t="shared" si="3"/>
        <v>0.1</v>
      </c>
      <c r="F54" s="24">
        <f t="shared" si="4"/>
        <v>560</v>
      </c>
      <c r="G54">
        <f t="shared" ca="1" si="6"/>
        <v>1.0116437401780876</v>
      </c>
    </row>
    <row r="55" spans="1:7">
      <c r="A55">
        <v>353</v>
      </c>
      <c r="B55">
        <v>1.3418234987511823E-5</v>
      </c>
      <c r="C55">
        <f t="shared" si="2"/>
        <v>9.0054752779161265E-2</v>
      </c>
      <c r="D55">
        <f t="shared" si="5"/>
        <v>8.8450104144001271E-2</v>
      </c>
      <c r="E55" s="24">
        <f t="shared" si="3"/>
        <v>0.1</v>
      </c>
      <c r="F55" s="24">
        <f t="shared" si="4"/>
        <v>565</v>
      </c>
      <c r="G55">
        <f t="shared" ca="1" si="6"/>
        <v>1.0300145042703746</v>
      </c>
    </row>
    <row r="56" spans="1:7">
      <c r="A56">
        <v>354</v>
      </c>
      <c r="B56">
        <v>1.3601385019228473E-5</v>
      </c>
      <c r="C56">
        <f t="shared" si="2"/>
        <v>9.1283940585388301E-2</v>
      </c>
      <c r="D56">
        <f t="shared" si="5"/>
        <v>8.9243489009986993E-2</v>
      </c>
      <c r="E56" s="24">
        <f t="shared" si="3"/>
        <v>0.1</v>
      </c>
      <c r="F56" s="24">
        <f t="shared" si="4"/>
        <v>570</v>
      </c>
      <c r="G56">
        <f t="shared" ca="1" si="6"/>
        <v>1.0481170864409277</v>
      </c>
    </row>
    <row r="57" spans="1:7">
      <c r="A57">
        <v>355</v>
      </c>
      <c r="B57">
        <v>1.3822830100252759E-5</v>
      </c>
      <c r="C57">
        <f t="shared" si="2"/>
        <v>9.277014067387708E-2</v>
      </c>
      <c r="D57">
        <f t="shared" si="5"/>
        <v>9.0276006645260656E-2</v>
      </c>
      <c r="E57" s="24">
        <f t="shared" si="3"/>
        <v>0.1</v>
      </c>
      <c r="F57" s="24">
        <f t="shared" si="4"/>
        <v>575</v>
      </c>
      <c r="G57">
        <f t="shared" ca="1" si="6"/>
        <v>1.0624874024467608</v>
      </c>
    </row>
    <row r="58" spans="1:7">
      <c r="A58">
        <v>356</v>
      </c>
      <c r="B58">
        <v>1.413418498759711E-5</v>
      </c>
      <c r="C58">
        <f t="shared" si="2"/>
        <v>9.4859758826523435E-2</v>
      </c>
      <c r="D58">
        <f t="shared" si="5"/>
        <v>9.1607998957868891E-2</v>
      </c>
      <c r="E58" s="24">
        <f t="shared" si="3"/>
        <v>0.1</v>
      </c>
      <c r="F58" s="24">
        <f t="shared" si="4"/>
        <v>580</v>
      </c>
      <c r="G58">
        <f t="shared" ca="1" si="6"/>
        <v>1.0770812120598738</v>
      </c>
    </row>
    <row r="59" spans="1:7">
      <c r="A59">
        <v>357</v>
      </c>
      <c r="B59">
        <v>1.4467184948898646E-5</v>
      </c>
      <c r="C59">
        <f t="shared" si="2"/>
        <v>9.7094645100194277E-2</v>
      </c>
      <c r="D59">
        <f t="shared" si="5"/>
        <v>9.3212647593028858E-2</v>
      </c>
      <c r="E59" s="24">
        <f t="shared" si="3"/>
        <v>0.1</v>
      </c>
      <c r="F59" s="24">
        <f t="shared" si="4"/>
        <v>585</v>
      </c>
      <c r="G59">
        <f t="shared" ca="1" si="6"/>
        <v>1.0918985055237029</v>
      </c>
    </row>
    <row r="60" spans="1:7">
      <c r="A60">
        <v>358</v>
      </c>
      <c r="B60">
        <v>1.4856795220111963E-5</v>
      </c>
      <c r="C60">
        <f t="shared" si="2"/>
        <v>9.9709464164474459E-2</v>
      </c>
      <c r="D60">
        <f t="shared" si="5"/>
        <v>9.5143589870091499E-2</v>
      </c>
      <c r="E60" s="24">
        <f t="shared" si="3"/>
        <v>0.1</v>
      </c>
      <c r="F60" s="24">
        <f t="shared" si="4"/>
        <v>590</v>
      </c>
      <c r="G60">
        <f t="shared" ca="1" si="6"/>
        <v>1.1046150156671712</v>
      </c>
    </row>
    <row r="61" spans="1:7">
      <c r="A61">
        <v>359</v>
      </c>
      <c r="B61">
        <v>1.5151499980674996E-5</v>
      </c>
      <c r="C61">
        <f t="shared" si="2"/>
        <v>0.10168733713957483</v>
      </c>
      <c r="D61">
        <f t="shared" si="5"/>
        <v>9.722426918092883E-2</v>
      </c>
      <c r="E61" s="24">
        <f t="shared" si="3"/>
        <v>0.1</v>
      </c>
      <c r="F61" s="24">
        <f t="shared" si="4"/>
        <v>595</v>
      </c>
      <c r="G61">
        <f t="shared" ca="1" si="6"/>
        <v>1.114135636498141</v>
      </c>
    </row>
    <row r="62" spans="1:7">
      <c r="A62">
        <v>360</v>
      </c>
      <c r="B62">
        <v>1.554776972716354E-5</v>
      </c>
      <c r="C62">
        <f t="shared" si="2"/>
        <v>0.10434685041290022</v>
      </c>
      <c r="D62">
        <f t="shared" si="5"/>
        <v>9.9539611128733441E-2</v>
      </c>
      <c r="E62" s="24">
        <f t="shared" si="3"/>
        <v>0.1</v>
      </c>
      <c r="F62" s="24">
        <f t="shared" si="4"/>
        <v>600</v>
      </c>
      <c r="G62">
        <f t="shared" ca="1" si="6"/>
        <v>1.1250865793407592</v>
      </c>
    </row>
    <row r="63" spans="1:7">
      <c r="A63">
        <v>361</v>
      </c>
      <c r="B63">
        <v>1.6097219670882625E-5</v>
      </c>
      <c r="C63">
        <f t="shared" si="2"/>
        <v>0.1080344128152726</v>
      </c>
      <c r="D63">
        <f t="shared" si="5"/>
        <v>0.10217454192648327</v>
      </c>
      <c r="E63" s="24">
        <f t="shared" si="3"/>
        <v>0.10217454192648327</v>
      </c>
      <c r="F63" s="24">
        <f t="shared" si="4"/>
        <v>605</v>
      </c>
      <c r="G63">
        <f t="shared" ca="1" si="6"/>
        <v>1.1348083252303716</v>
      </c>
    </row>
    <row r="64" spans="1:7">
      <c r="A64">
        <v>362</v>
      </c>
      <c r="B64">
        <v>1.6525125445696174E-5</v>
      </c>
      <c r="C64">
        <f t="shared" si="2"/>
        <v>0.11090624721074067</v>
      </c>
      <c r="D64">
        <f t="shared" si="5"/>
        <v>0.10493686234859256</v>
      </c>
      <c r="E64" s="24">
        <f t="shared" si="3"/>
        <v>0.10493686234859256</v>
      </c>
      <c r="F64" s="24">
        <f t="shared" si="4"/>
        <v>610</v>
      </c>
      <c r="G64">
        <f t="shared" ca="1" si="6"/>
        <v>1.1412001233684972</v>
      </c>
    </row>
    <row r="65" spans="1:7">
      <c r="A65">
        <v>363</v>
      </c>
      <c r="B65">
        <v>1.6944705248533864E-5</v>
      </c>
      <c r="C65">
        <f t="shared" si="2"/>
        <v>0.11372220291958342</v>
      </c>
      <c r="D65">
        <f t="shared" si="5"/>
        <v>0.10773941009961434</v>
      </c>
      <c r="E65" s="24">
        <f t="shared" si="3"/>
        <v>0.10773941009961434</v>
      </c>
      <c r="F65" s="24">
        <f t="shared" si="4"/>
        <v>615</v>
      </c>
      <c r="G65">
        <f t="shared" ca="1" si="6"/>
        <v>1.1466085346745269</v>
      </c>
    </row>
    <row r="66" spans="1:7">
      <c r="A66">
        <v>364</v>
      </c>
      <c r="B66">
        <v>1.7319330072496087E-5</v>
      </c>
      <c r="C66">
        <f t="shared" si="2"/>
        <v>0.11623644908819301</v>
      </c>
      <c r="D66">
        <f t="shared" si="5"/>
        <v>0.11064923248933797</v>
      </c>
      <c r="E66" s="24">
        <f t="shared" si="3"/>
        <v>0.11064923248933797</v>
      </c>
      <c r="F66" s="24">
        <f t="shared" si="4"/>
        <v>620</v>
      </c>
      <c r="G66">
        <f t="shared" ca="1" si="6"/>
        <v>1.1509889098602613</v>
      </c>
    </row>
    <row r="67" spans="1:7">
      <c r="A67">
        <v>365</v>
      </c>
      <c r="B67">
        <v>1.7682300171145469E-5</v>
      </c>
      <c r="C67">
        <f t="shared" ref="C67:C130" si="7">B67/B$257</f>
        <v>0.11867247607166136</v>
      </c>
      <c r="D67">
        <f t="shared" si="5"/>
        <v>0.11351435762109022</v>
      </c>
      <c r="E67" s="24">
        <f t="shared" ref="E67:E130" si="8">MAX(D67,E$1)</f>
        <v>0.11351435762109022</v>
      </c>
      <c r="F67" s="24">
        <f t="shared" si="4"/>
        <v>625</v>
      </c>
      <c r="G67">
        <f t="shared" ref="G67:G130" ca="1" si="9">decimation(E$2:E$802,CELL("row",G67),G$1)</f>
        <v>1.1540283656807599</v>
      </c>
    </row>
    <row r="68" spans="1:7">
      <c r="A68">
        <v>366</v>
      </c>
      <c r="B68">
        <v>1.8026954706328984E-5</v>
      </c>
      <c r="C68">
        <f t="shared" si="7"/>
        <v>0.12098558051416476</v>
      </c>
      <c r="D68">
        <f t="shared" si="5"/>
        <v>0.11610459116086864</v>
      </c>
      <c r="E68" s="24">
        <f t="shared" si="8"/>
        <v>0.11610459116086864</v>
      </c>
      <c r="F68" s="24">
        <f t="shared" ref="F68:F131" si="10">F67+G$1</f>
        <v>630</v>
      </c>
      <c r="G68">
        <f t="shared" ca="1" si="9"/>
        <v>1.1549446761366369</v>
      </c>
    </row>
    <row r="69" spans="1:7">
      <c r="A69">
        <v>367</v>
      </c>
      <c r="B69">
        <v>1.8448199642989491E-5</v>
      </c>
      <c r="C69">
        <f t="shared" si="7"/>
        <v>0.12381271155380903</v>
      </c>
      <c r="D69">
        <f t="shared" si="5"/>
        <v>0.11868588402948232</v>
      </c>
      <c r="E69" s="24">
        <f t="shared" si="8"/>
        <v>0.11868588402948232</v>
      </c>
      <c r="F69" s="24">
        <f t="shared" si="10"/>
        <v>635</v>
      </c>
      <c r="G69">
        <f t="shared" ca="1" si="9"/>
        <v>1.1545200444619621</v>
      </c>
    </row>
    <row r="70" spans="1:7">
      <c r="A70">
        <v>368</v>
      </c>
      <c r="B70">
        <v>1.8844469995201504E-5</v>
      </c>
      <c r="C70">
        <f t="shared" si="7"/>
        <v>0.12647222889236931</v>
      </c>
      <c r="D70">
        <f t="shared" si="5"/>
        <v>0.12123588922403949</v>
      </c>
      <c r="E70" s="24">
        <f t="shared" si="8"/>
        <v>0.12123588922403949</v>
      </c>
      <c r="F70" s="24">
        <f t="shared" si="10"/>
        <v>640</v>
      </c>
      <c r="G70">
        <f t="shared" ca="1" si="9"/>
        <v>1.1517264150233131</v>
      </c>
    </row>
    <row r="71" spans="1:7">
      <c r="A71">
        <v>369</v>
      </c>
      <c r="B71">
        <v>1.938559517839167E-5</v>
      </c>
      <c r="C71">
        <f t="shared" si="7"/>
        <v>0.1301039207385862</v>
      </c>
      <c r="D71">
        <f t="shared" ref="D71:D134" si="11">AVERAGE(C67:C71)</f>
        <v>0.12400938355411813</v>
      </c>
      <c r="E71" s="24">
        <f t="shared" si="8"/>
        <v>0.12400938355411813</v>
      </c>
      <c r="F71" s="24">
        <f t="shared" si="10"/>
        <v>645</v>
      </c>
      <c r="G71">
        <f t="shared" ca="1" si="9"/>
        <v>1.146653242502109</v>
      </c>
    </row>
    <row r="72" spans="1:7">
      <c r="A72">
        <v>370</v>
      </c>
      <c r="B72">
        <v>1.9866780086886139E-5</v>
      </c>
      <c r="C72">
        <f t="shared" si="7"/>
        <v>0.13333333116520804</v>
      </c>
      <c r="D72">
        <f t="shared" si="11"/>
        <v>0.12694155457282746</v>
      </c>
      <c r="E72" s="24">
        <f t="shared" si="8"/>
        <v>0.12694155457282746</v>
      </c>
      <c r="F72" s="24">
        <f t="shared" si="10"/>
        <v>650</v>
      </c>
      <c r="G72">
        <f t="shared" ca="1" si="9"/>
        <v>1.1383841513987147</v>
      </c>
    </row>
    <row r="73" spans="1:7">
      <c r="A73">
        <v>371</v>
      </c>
      <c r="B73">
        <v>2.0286359586862092E-5</v>
      </c>
      <c r="C73">
        <f t="shared" si="7"/>
        <v>0.13614928484143332</v>
      </c>
      <c r="D73">
        <f t="shared" si="11"/>
        <v>0.12997429543828118</v>
      </c>
      <c r="E73" s="24">
        <f t="shared" si="8"/>
        <v>0.12997429543828118</v>
      </c>
      <c r="F73" s="24">
        <f t="shared" si="10"/>
        <v>655</v>
      </c>
      <c r="G73">
        <f t="shared" ca="1" si="9"/>
        <v>1.1247736993480062</v>
      </c>
    </row>
    <row r="74" spans="1:7">
      <c r="A74">
        <v>372</v>
      </c>
      <c r="B74">
        <v>2.0586060354617075E-5</v>
      </c>
      <c r="C74">
        <f t="shared" si="7"/>
        <v>0.13816068787417338</v>
      </c>
      <c r="D74">
        <f t="shared" si="11"/>
        <v>0.13284389070235406</v>
      </c>
      <c r="E74" s="24">
        <f t="shared" si="8"/>
        <v>0.13284389070235406</v>
      </c>
      <c r="F74" s="24">
        <f t="shared" si="10"/>
        <v>660</v>
      </c>
      <c r="G74">
        <f t="shared" ca="1" si="9"/>
        <v>1.1043468304932489</v>
      </c>
    </row>
    <row r="75" spans="1:7">
      <c r="A75">
        <v>373</v>
      </c>
      <c r="B75">
        <v>2.0874104882750546E-5</v>
      </c>
      <c r="C75">
        <f t="shared" si="7"/>
        <v>0.14009386155868489</v>
      </c>
      <c r="D75">
        <f t="shared" si="11"/>
        <v>0.13556821723561716</v>
      </c>
      <c r="E75" s="24">
        <f t="shared" si="8"/>
        <v>0.13556821723561716</v>
      </c>
      <c r="F75" s="24">
        <f t="shared" si="10"/>
        <v>665</v>
      </c>
      <c r="G75">
        <f t="shared" ca="1" si="9"/>
        <v>1.0884344310372815</v>
      </c>
    </row>
    <row r="76" spans="1:7">
      <c r="A76">
        <v>374</v>
      </c>
      <c r="B76">
        <v>2.129201985462714E-5</v>
      </c>
      <c r="C76">
        <f t="shared" si="7"/>
        <v>0.14289864396934349</v>
      </c>
      <c r="D76">
        <f t="shared" si="11"/>
        <v>0.1381271618817686</v>
      </c>
      <c r="E76" s="24">
        <f t="shared" si="8"/>
        <v>0.1381271618817686</v>
      </c>
      <c r="F76" s="24">
        <f t="shared" si="10"/>
        <v>670</v>
      </c>
      <c r="G76">
        <f t="shared" ca="1" si="9"/>
        <v>1.0929042121216166</v>
      </c>
    </row>
    <row r="77" spans="1:7">
      <c r="A77">
        <v>375</v>
      </c>
      <c r="B77">
        <v>2.1784859791296187E-5</v>
      </c>
      <c r="C77">
        <f t="shared" si="7"/>
        <v>0.14620627561372404</v>
      </c>
      <c r="D77">
        <f t="shared" si="11"/>
        <v>0.14070175077147182</v>
      </c>
      <c r="E77" s="24">
        <f t="shared" si="8"/>
        <v>0.14070175077147182</v>
      </c>
      <c r="F77" s="24">
        <f t="shared" si="10"/>
        <v>675</v>
      </c>
      <c r="G77">
        <f t="shared" ca="1" si="9"/>
        <v>1.1251312806639655</v>
      </c>
    </row>
    <row r="78" spans="1:7">
      <c r="A78">
        <v>376</v>
      </c>
      <c r="B78">
        <v>2.2106204875854019E-5</v>
      </c>
      <c r="C78">
        <f t="shared" si="7"/>
        <v>0.14836294168594497</v>
      </c>
      <c r="D78">
        <f t="shared" si="11"/>
        <v>0.14314448214037417</v>
      </c>
      <c r="E78" s="24">
        <f t="shared" si="8"/>
        <v>0.14314448214037417</v>
      </c>
      <c r="F78" s="24">
        <f t="shared" si="10"/>
        <v>680</v>
      </c>
      <c r="G78">
        <f t="shared" ca="1" si="9"/>
        <v>1.1811151788213097</v>
      </c>
    </row>
    <row r="79" spans="1:7">
      <c r="A79">
        <v>377</v>
      </c>
      <c r="B79">
        <v>2.251080029145669E-5</v>
      </c>
      <c r="C79">
        <f t="shared" si="7"/>
        <v>0.15107833161327822</v>
      </c>
      <c r="D79">
        <f t="shared" si="11"/>
        <v>0.14572801088819512</v>
      </c>
      <c r="E79" s="24">
        <f t="shared" si="8"/>
        <v>0.14572801088819512</v>
      </c>
      <c r="F79" s="24">
        <f t="shared" si="10"/>
        <v>685</v>
      </c>
      <c r="G79">
        <f t="shared" ca="1" si="9"/>
        <v>1.242574564660903</v>
      </c>
    </row>
    <row r="80" spans="1:7">
      <c r="A80">
        <v>378</v>
      </c>
      <c r="B80">
        <v>2.3026949678751406E-5</v>
      </c>
      <c r="C80">
        <f t="shared" si="7"/>
        <v>0.15454240162794119</v>
      </c>
      <c r="D80">
        <f t="shared" si="11"/>
        <v>0.14861771890204639</v>
      </c>
      <c r="E80" s="24">
        <f t="shared" si="8"/>
        <v>0.14861771890204639</v>
      </c>
      <c r="F80" s="24">
        <f t="shared" si="10"/>
        <v>690</v>
      </c>
      <c r="G80">
        <f t="shared" ca="1" si="9"/>
        <v>1.2913844744548035</v>
      </c>
    </row>
    <row r="81" spans="1:7">
      <c r="A81">
        <v>379</v>
      </c>
      <c r="B81">
        <v>2.3329980108428573E-5</v>
      </c>
      <c r="C81">
        <f t="shared" si="7"/>
        <v>0.15657615125704949</v>
      </c>
      <c r="D81">
        <f t="shared" si="11"/>
        <v>0.15135322035958759</v>
      </c>
      <c r="E81" s="24">
        <f t="shared" si="8"/>
        <v>0.15135322035958759</v>
      </c>
      <c r="F81" s="24">
        <f t="shared" si="10"/>
        <v>695</v>
      </c>
      <c r="G81">
        <f t="shared" ca="1" si="9"/>
        <v>1.3319923727737168</v>
      </c>
    </row>
    <row r="82" spans="1:7">
      <c r="A82">
        <v>380</v>
      </c>
      <c r="B82">
        <v>2.4102539812702165E-5</v>
      </c>
      <c r="C82">
        <f t="shared" si="7"/>
        <v>0.16176108602978606</v>
      </c>
      <c r="D82">
        <f t="shared" si="11"/>
        <v>0.1544641824428</v>
      </c>
      <c r="E82" s="24">
        <f t="shared" si="8"/>
        <v>0.1544641824428</v>
      </c>
      <c r="F82" s="24">
        <f t="shared" si="10"/>
        <v>700</v>
      </c>
      <c r="G82">
        <f t="shared" ca="1" si="9"/>
        <v>1.3644876264899879</v>
      </c>
    </row>
    <row r="83" spans="1:7">
      <c r="A83">
        <v>381</v>
      </c>
      <c r="B83">
        <v>2.4597044883194036E-5</v>
      </c>
      <c r="C83">
        <f t="shared" si="7"/>
        <v>0.1650798930049682</v>
      </c>
      <c r="D83">
        <f t="shared" si="11"/>
        <v>0.15780757270660462</v>
      </c>
      <c r="E83" s="24">
        <f t="shared" si="8"/>
        <v>0.15780757270660462</v>
      </c>
      <c r="F83" s="24">
        <f t="shared" si="10"/>
        <v>705</v>
      </c>
      <c r="G83">
        <f t="shared" ca="1" si="9"/>
        <v>1.3844451525903001</v>
      </c>
    </row>
    <row r="84" spans="1:7">
      <c r="A84">
        <v>382</v>
      </c>
      <c r="B84">
        <v>2.5196444904395318E-5</v>
      </c>
      <c r="C84">
        <f t="shared" si="7"/>
        <v>0.16910268890736094</v>
      </c>
      <c r="D84">
        <f t="shared" si="11"/>
        <v>0.16141244416542117</v>
      </c>
      <c r="E84" s="24">
        <f t="shared" si="8"/>
        <v>0.16141244416542117</v>
      </c>
      <c r="F84" s="24">
        <f t="shared" si="10"/>
        <v>710</v>
      </c>
      <c r="G84">
        <f t="shared" ca="1" si="9"/>
        <v>1.3927812777914705</v>
      </c>
    </row>
    <row r="85" spans="1:7">
      <c r="A85">
        <v>383</v>
      </c>
      <c r="B85">
        <v>2.5664310256615863E-5</v>
      </c>
      <c r="C85">
        <f t="shared" si="7"/>
        <v>0.17224270685065746</v>
      </c>
      <c r="D85">
        <f t="shared" si="11"/>
        <v>0.16495250520996443</v>
      </c>
      <c r="E85" s="24">
        <f t="shared" si="8"/>
        <v>0.16495250520996443</v>
      </c>
      <c r="F85" s="24">
        <f t="shared" si="10"/>
        <v>715</v>
      </c>
      <c r="G85">
        <f t="shared" ca="1" si="9"/>
        <v>1.3931612113951266</v>
      </c>
    </row>
    <row r="86" spans="1:7">
      <c r="A86">
        <v>384</v>
      </c>
      <c r="B86">
        <v>2.6390249848191161E-5</v>
      </c>
      <c r="C86">
        <f t="shared" si="7"/>
        <v>0.17711475675235927</v>
      </c>
      <c r="D86">
        <f t="shared" si="11"/>
        <v>0.1690602263090264</v>
      </c>
      <c r="E86" s="24">
        <f t="shared" si="8"/>
        <v>0.1690602263090264</v>
      </c>
      <c r="F86" s="24">
        <f t="shared" si="10"/>
        <v>720</v>
      </c>
      <c r="G86">
        <f t="shared" ca="1" si="9"/>
        <v>1.3872611310644585</v>
      </c>
    </row>
    <row r="87" spans="1:7">
      <c r="A87">
        <v>385</v>
      </c>
      <c r="B87">
        <v>2.6884754615821292E-5</v>
      </c>
      <c r="C87">
        <f t="shared" si="7"/>
        <v>0.18043356169492392</v>
      </c>
      <c r="D87">
        <f t="shared" si="11"/>
        <v>0.17279472144205393</v>
      </c>
      <c r="E87" s="24">
        <f t="shared" si="8"/>
        <v>0.17279472144205393</v>
      </c>
      <c r="F87" s="24">
        <f t="shared" si="10"/>
        <v>725</v>
      </c>
      <c r="G87">
        <f t="shared" ca="1" si="9"/>
        <v>1.3762654706376944</v>
      </c>
    </row>
    <row r="88" spans="1:7">
      <c r="A88">
        <v>386</v>
      </c>
      <c r="B88">
        <v>2.730599985534354E-5</v>
      </c>
      <c r="C88">
        <f t="shared" si="7"/>
        <v>0.18326069476718568</v>
      </c>
      <c r="D88">
        <f t="shared" si="11"/>
        <v>0.17643088179449745</v>
      </c>
      <c r="E88" s="24">
        <f t="shared" si="8"/>
        <v>0.17643088179449745</v>
      </c>
      <c r="F88" s="24">
        <f t="shared" si="10"/>
        <v>730</v>
      </c>
      <c r="G88">
        <f t="shared" ca="1" si="9"/>
        <v>1.3613140732042464</v>
      </c>
    </row>
    <row r="89" spans="1:7">
      <c r="A89">
        <v>387</v>
      </c>
      <c r="B89">
        <v>2.7630674904685288E-5</v>
      </c>
      <c r="C89">
        <f t="shared" si="7"/>
        <v>0.18543970946839228</v>
      </c>
      <c r="D89">
        <f t="shared" si="11"/>
        <v>0.17969828590670373</v>
      </c>
      <c r="E89" s="24">
        <f t="shared" si="8"/>
        <v>0.17969828590670373</v>
      </c>
      <c r="F89" s="24">
        <f t="shared" si="10"/>
        <v>735</v>
      </c>
      <c r="G89">
        <f t="shared" ca="1" si="9"/>
        <v>1.3449994138744288</v>
      </c>
    </row>
    <row r="90" spans="1:7">
      <c r="A90">
        <v>388</v>
      </c>
      <c r="B90">
        <v>2.7988649904727935E-5</v>
      </c>
      <c r="C90">
        <f t="shared" si="7"/>
        <v>0.18784221249207339</v>
      </c>
      <c r="D90">
        <f t="shared" si="11"/>
        <v>0.1828181870349869</v>
      </c>
      <c r="E90" s="24">
        <f t="shared" si="8"/>
        <v>0.1828181870349869</v>
      </c>
      <c r="F90" s="24">
        <f t="shared" si="10"/>
        <v>740</v>
      </c>
      <c r="G90">
        <f t="shared" ca="1" si="9"/>
        <v>1.3274108562683993</v>
      </c>
    </row>
    <row r="91" spans="1:7">
      <c r="A91">
        <v>389</v>
      </c>
      <c r="B91">
        <v>2.843819999634434E-5</v>
      </c>
      <c r="C91">
        <f t="shared" si="7"/>
        <v>0.19085930992702238</v>
      </c>
      <c r="D91">
        <f t="shared" si="11"/>
        <v>0.18556709766991952</v>
      </c>
      <c r="E91" s="24">
        <f t="shared" si="8"/>
        <v>0.18556709766991952</v>
      </c>
      <c r="F91" s="24">
        <f t="shared" si="10"/>
        <v>745</v>
      </c>
      <c r="G91">
        <f t="shared" ca="1" si="9"/>
        <v>1.3061570893607419</v>
      </c>
    </row>
    <row r="92" spans="1:7">
      <c r="A92">
        <v>390</v>
      </c>
      <c r="B92">
        <v>2.9060910073894777E-5</v>
      </c>
      <c r="C92">
        <f t="shared" si="7"/>
        <v>0.19503854826493253</v>
      </c>
      <c r="D92">
        <f t="shared" si="11"/>
        <v>0.18848809498392122</v>
      </c>
      <c r="E92" s="24">
        <f t="shared" si="8"/>
        <v>0.18848809498392122</v>
      </c>
      <c r="F92" s="24">
        <f t="shared" si="10"/>
        <v>750</v>
      </c>
      <c r="G92">
        <f t="shared" ca="1" si="9"/>
        <v>1.2827801705840869</v>
      </c>
    </row>
    <row r="93" spans="1:7">
      <c r="A93">
        <v>391</v>
      </c>
      <c r="B93">
        <v>2.9600370426123844E-5</v>
      </c>
      <c r="C93">
        <f t="shared" si="7"/>
        <v>0.19865906681296525</v>
      </c>
      <c r="D93">
        <f t="shared" si="11"/>
        <v>0.19156776939307715</v>
      </c>
      <c r="E93" s="24">
        <f t="shared" si="8"/>
        <v>0.19156776939307715</v>
      </c>
      <c r="F93" s="24">
        <f t="shared" si="10"/>
        <v>755</v>
      </c>
      <c r="G93">
        <f t="shared" ca="1" si="9"/>
        <v>1.258308168580609</v>
      </c>
    </row>
    <row r="94" spans="1:7">
      <c r="A94">
        <v>392</v>
      </c>
      <c r="B94">
        <v>3.0171464989507513E-5</v>
      </c>
      <c r="C94">
        <f t="shared" si="7"/>
        <v>0.20249189428743594</v>
      </c>
      <c r="D94">
        <f t="shared" si="11"/>
        <v>0.19497820635688592</v>
      </c>
      <c r="E94" s="24">
        <f t="shared" si="8"/>
        <v>0.19497820635688592</v>
      </c>
      <c r="F94" s="24">
        <f t="shared" si="10"/>
        <v>760</v>
      </c>
      <c r="G94">
        <f t="shared" ca="1" si="9"/>
        <v>1.2338361535683795</v>
      </c>
    </row>
    <row r="95" spans="1:7">
      <c r="A95">
        <v>393</v>
      </c>
      <c r="B95">
        <v>3.0710925038874848E-5</v>
      </c>
      <c r="C95">
        <f t="shared" si="7"/>
        <v>0.2061124108028512</v>
      </c>
      <c r="D95">
        <f t="shared" si="11"/>
        <v>0.19863224601904145</v>
      </c>
      <c r="E95" s="24">
        <f t="shared" si="8"/>
        <v>0.19863224601904145</v>
      </c>
      <c r="F95" s="24">
        <f t="shared" si="10"/>
        <v>765</v>
      </c>
      <c r="G95">
        <f t="shared" ca="1" si="9"/>
        <v>1.2078667759423496</v>
      </c>
    </row>
    <row r="96" spans="1:7">
      <c r="A96">
        <v>394</v>
      </c>
      <c r="B96">
        <v>3.1305329355745929E-5</v>
      </c>
      <c r="C96">
        <f t="shared" si="7"/>
        <v>0.21010167868022181</v>
      </c>
      <c r="D96">
        <f t="shared" si="11"/>
        <v>0.20248071976968135</v>
      </c>
      <c r="E96" s="24">
        <f t="shared" si="8"/>
        <v>0.20248071976968135</v>
      </c>
      <c r="F96" s="24">
        <f t="shared" si="10"/>
        <v>770</v>
      </c>
      <c r="G96">
        <f t="shared" ca="1" si="9"/>
        <v>1.1817856433822098</v>
      </c>
    </row>
    <row r="97" spans="1:7">
      <c r="A97">
        <v>395</v>
      </c>
      <c r="B97">
        <v>3.1966333574018788E-5</v>
      </c>
      <c r="C97">
        <f t="shared" si="7"/>
        <v>0.21453792320254131</v>
      </c>
      <c r="D97">
        <f t="shared" si="11"/>
        <v>0.20638059475720311</v>
      </c>
      <c r="E97" s="24">
        <f t="shared" si="8"/>
        <v>0.20638059475720311</v>
      </c>
      <c r="F97" s="24">
        <f t="shared" si="10"/>
        <v>775</v>
      </c>
      <c r="G97">
        <f t="shared" ca="1" si="9"/>
        <v>1.1556821812996882</v>
      </c>
    </row>
    <row r="98" spans="1:7">
      <c r="A98">
        <v>396</v>
      </c>
      <c r="B98">
        <v>3.262567447563924E-5</v>
      </c>
      <c r="C98">
        <f t="shared" si="7"/>
        <v>0.218963004589764</v>
      </c>
      <c r="D98">
        <f t="shared" si="11"/>
        <v>0.21044138231256282</v>
      </c>
      <c r="E98" s="24">
        <f t="shared" si="8"/>
        <v>0.21044138231256282</v>
      </c>
      <c r="F98" s="24">
        <f t="shared" si="10"/>
        <v>780</v>
      </c>
      <c r="G98">
        <f t="shared" ca="1" si="9"/>
        <v>1.1308302424403665</v>
      </c>
    </row>
    <row r="99" spans="1:7">
      <c r="A99">
        <v>397</v>
      </c>
      <c r="B99">
        <v>3.3110190863226306E-5</v>
      </c>
      <c r="C99">
        <f t="shared" si="7"/>
        <v>0.22221477380845889</v>
      </c>
      <c r="D99">
        <f t="shared" si="11"/>
        <v>0.21438595821676745</v>
      </c>
      <c r="E99" s="24">
        <f t="shared" si="8"/>
        <v>0.21438595821676745</v>
      </c>
      <c r="F99" s="24">
        <f t="shared" si="10"/>
        <v>785</v>
      </c>
      <c r="G99">
        <f t="shared" ca="1" si="9"/>
        <v>1.1050396408374701</v>
      </c>
    </row>
    <row r="100" spans="1:7">
      <c r="A100">
        <v>398</v>
      </c>
      <c r="B100">
        <v>3.3682949046124118E-5</v>
      </c>
      <c r="C100">
        <f t="shared" si="7"/>
        <v>0.22605876645064385</v>
      </c>
      <c r="D100">
        <f t="shared" si="11"/>
        <v>0.21837522934632597</v>
      </c>
      <c r="E100" s="24">
        <f t="shared" si="8"/>
        <v>0.21837522934632597</v>
      </c>
      <c r="F100" s="24">
        <f t="shared" si="10"/>
        <v>790</v>
      </c>
      <c r="G100">
        <f t="shared" ca="1" si="9"/>
        <v>1.0779751637236779</v>
      </c>
    </row>
    <row r="101" spans="1:7">
      <c r="A101">
        <v>399</v>
      </c>
      <c r="B101">
        <v>3.4195769680081863E-5</v>
      </c>
      <c r="C101">
        <f t="shared" si="7"/>
        <v>0.22950049596679095</v>
      </c>
      <c r="D101">
        <f t="shared" si="11"/>
        <v>0.22225499280363978</v>
      </c>
      <c r="E101" s="24">
        <f t="shared" si="8"/>
        <v>0.22225499280363978</v>
      </c>
      <c r="F101" s="24">
        <f t="shared" si="10"/>
        <v>795</v>
      </c>
      <c r="G101">
        <f t="shared" ca="1" si="9"/>
        <v>1.0508883473309398</v>
      </c>
    </row>
    <row r="102" spans="1:7">
      <c r="A102">
        <v>400</v>
      </c>
      <c r="B102">
        <v>3.4800164194166427E-5</v>
      </c>
      <c r="C102">
        <f t="shared" si="7"/>
        <v>0.23355681176373613</v>
      </c>
      <c r="D102">
        <f t="shared" si="11"/>
        <v>0.22605877051587875</v>
      </c>
      <c r="E102" s="24">
        <f t="shared" si="8"/>
        <v>0.22605877051587875</v>
      </c>
      <c r="F102" s="24">
        <f t="shared" si="10"/>
        <v>800</v>
      </c>
      <c r="G102">
        <f t="shared" ca="1" si="9"/>
        <v>1.0284053867224645</v>
      </c>
    </row>
    <row r="103" spans="1:7">
      <c r="A103">
        <v>401</v>
      </c>
      <c r="B103">
        <v>3.5361270074645294E-5</v>
      </c>
      <c r="C103">
        <f t="shared" si="7"/>
        <v>0.2373226014817196</v>
      </c>
      <c r="D103">
        <f t="shared" si="11"/>
        <v>0.22973068989426987</v>
      </c>
      <c r="E103" s="24">
        <f t="shared" si="8"/>
        <v>0.22973068989426987</v>
      </c>
      <c r="F103" s="24">
        <f t="shared" si="10"/>
        <v>805</v>
      </c>
      <c r="G103">
        <f t="shared" ca="1" si="9"/>
        <v>1.0034416994334088</v>
      </c>
    </row>
    <row r="104" spans="1:7">
      <c r="A104">
        <v>402</v>
      </c>
      <c r="B104">
        <v>3.6038925631146414E-5</v>
      </c>
      <c r="C104">
        <f t="shared" si="7"/>
        <v>0.24187059931205493</v>
      </c>
      <c r="D104">
        <f t="shared" si="11"/>
        <v>0.23366185499498909</v>
      </c>
      <c r="E104" s="24">
        <f t="shared" si="8"/>
        <v>0.23366185499498909</v>
      </c>
      <c r="F104" s="24">
        <f t="shared" si="10"/>
        <v>810</v>
      </c>
      <c r="G104">
        <f t="shared" ca="1" si="9"/>
        <v>0.98395349332222559</v>
      </c>
    </row>
    <row r="105" spans="1:7">
      <c r="A105">
        <v>403</v>
      </c>
      <c r="B105">
        <v>3.6967995194572726E-5</v>
      </c>
      <c r="C105">
        <f t="shared" si="7"/>
        <v>0.24810592981020671</v>
      </c>
      <c r="D105">
        <f t="shared" si="11"/>
        <v>0.23807128766690164</v>
      </c>
      <c r="E105" s="24">
        <f t="shared" si="8"/>
        <v>0.23807128766690164</v>
      </c>
      <c r="F105" s="24">
        <f t="shared" si="10"/>
        <v>815</v>
      </c>
      <c r="G105">
        <f t="shared" ca="1" si="9"/>
        <v>0.96712479641913285</v>
      </c>
    </row>
    <row r="106" spans="1:7">
      <c r="A106">
        <v>404</v>
      </c>
      <c r="B106">
        <v>3.7460835434103506E-5</v>
      </c>
      <c r="C106">
        <f t="shared" si="7"/>
        <v>0.25141356348720473</v>
      </c>
      <c r="D106">
        <f t="shared" si="11"/>
        <v>0.24245390117098445</v>
      </c>
      <c r="E106" s="24">
        <f t="shared" si="8"/>
        <v>0.24245390117098445</v>
      </c>
      <c r="F106" s="24">
        <f t="shared" si="10"/>
        <v>820</v>
      </c>
      <c r="G106">
        <f t="shared" ca="1" si="9"/>
        <v>0.94978207495151667</v>
      </c>
    </row>
    <row r="107" spans="1:7">
      <c r="A107">
        <v>405</v>
      </c>
      <c r="B107">
        <v>3.7985310187650613E-5</v>
      </c>
      <c r="C107">
        <f t="shared" si="7"/>
        <v>0.2549335081232581</v>
      </c>
      <c r="D107">
        <f t="shared" si="11"/>
        <v>0.24672924044288883</v>
      </c>
      <c r="E107" s="24">
        <f t="shared" si="8"/>
        <v>0.24672924044288883</v>
      </c>
      <c r="F107" s="24">
        <f t="shared" si="10"/>
        <v>825</v>
      </c>
      <c r="G107">
        <f t="shared" ca="1" si="9"/>
        <v>0.93518826208621575</v>
      </c>
    </row>
    <row r="108" spans="1:7">
      <c r="A108">
        <v>406</v>
      </c>
      <c r="B108">
        <v>3.8866094504555803E-5</v>
      </c>
      <c r="C108">
        <f t="shared" si="7"/>
        <v>0.26084477841957354</v>
      </c>
      <c r="D108">
        <f t="shared" si="11"/>
        <v>0.25143367583045961</v>
      </c>
      <c r="E108" s="24">
        <f t="shared" si="8"/>
        <v>0.25143367583045961</v>
      </c>
      <c r="F108" s="24">
        <f t="shared" si="10"/>
        <v>830</v>
      </c>
      <c r="G108">
        <f t="shared" ca="1" si="9"/>
        <v>0.92455022200166592</v>
      </c>
    </row>
    <row r="109" spans="1:7">
      <c r="A109">
        <v>407</v>
      </c>
      <c r="B109">
        <v>3.9588704434208923E-5</v>
      </c>
      <c r="C109">
        <f t="shared" si="7"/>
        <v>0.26569448172490717</v>
      </c>
      <c r="D109">
        <f t="shared" si="11"/>
        <v>0.25619845231303001</v>
      </c>
      <c r="E109" s="24">
        <f t="shared" si="8"/>
        <v>0.25619845231303001</v>
      </c>
      <c r="F109" s="24">
        <f t="shared" si="10"/>
        <v>835</v>
      </c>
      <c r="G109">
        <f t="shared" ca="1" si="9"/>
        <v>0.91724212316422715</v>
      </c>
    </row>
    <row r="110" spans="1:7">
      <c r="A110">
        <v>408</v>
      </c>
      <c r="B110">
        <v>4.0279679849845709E-5</v>
      </c>
      <c r="C110">
        <f t="shared" si="7"/>
        <v>0.27033187407118531</v>
      </c>
      <c r="D110">
        <f t="shared" si="11"/>
        <v>0.26064364116522576</v>
      </c>
      <c r="E110" s="24">
        <f t="shared" si="8"/>
        <v>0.26064364116522576</v>
      </c>
      <c r="F110" s="24">
        <f t="shared" si="10"/>
        <v>840</v>
      </c>
      <c r="G110">
        <f t="shared" ca="1" si="9"/>
        <v>0.91324171085184047</v>
      </c>
    </row>
    <row r="111" spans="1:7">
      <c r="A111">
        <v>409</v>
      </c>
      <c r="B111">
        <v>4.0920704885138548E-5</v>
      </c>
      <c r="C111">
        <f t="shared" si="7"/>
        <v>0.27463403088482552</v>
      </c>
      <c r="D111">
        <f t="shared" si="11"/>
        <v>0.26528773464474992</v>
      </c>
      <c r="E111" s="24">
        <f t="shared" si="8"/>
        <v>0.26528773464474992</v>
      </c>
      <c r="F111" s="24">
        <f t="shared" si="10"/>
        <v>845</v>
      </c>
      <c r="G111">
        <f t="shared" ca="1" si="9"/>
        <v>0.91257123978656463</v>
      </c>
    </row>
    <row r="112" spans="1:7">
      <c r="A112">
        <v>410</v>
      </c>
      <c r="B112">
        <v>4.1523435476847225E-5</v>
      </c>
      <c r="C112">
        <f t="shared" si="7"/>
        <v>0.27867917948143894</v>
      </c>
      <c r="D112">
        <f t="shared" si="11"/>
        <v>0.27003686891638612</v>
      </c>
      <c r="E112" s="24">
        <f t="shared" si="8"/>
        <v>0.27003686891638612</v>
      </c>
      <c r="F112" s="24">
        <f t="shared" si="10"/>
        <v>850</v>
      </c>
      <c r="G112">
        <f t="shared" ca="1" si="9"/>
        <v>0.91511900056492124</v>
      </c>
    </row>
    <row r="113" spans="1:7">
      <c r="A113">
        <v>411</v>
      </c>
      <c r="B113">
        <v>4.2224399878250549E-5</v>
      </c>
      <c r="C113">
        <f t="shared" si="7"/>
        <v>0.2833836116168218</v>
      </c>
      <c r="D113">
        <f t="shared" si="11"/>
        <v>0.27454463555583575</v>
      </c>
      <c r="E113" s="24">
        <f t="shared" si="8"/>
        <v>0.27454463555583575</v>
      </c>
      <c r="F113" s="24">
        <f t="shared" si="10"/>
        <v>855</v>
      </c>
      <c r="G113">
        <f t="shared" ca="1" si="9"/>
        <v>0.92077324475717626</v>
      </c>
    </row>
    <row r="114" spans="1:7">
      <c r="A114">
        <v>412</v>
      </c>
      <c r="B114">
        <v>4.2927030019200176E-5</v>
      </c>
      <c r="C114">
        <f t="shared" si="7"/>
        <v>0.28809922314824116</v>
      </c>
      <c r="D114">
        <f t="shared" si="11"/>
        <v>0.27902558384050258</v>
      </c>
      <c r="E114" s="24">
        <f t="shared" si="8"/>
        <v>0.27902558384050258</v>
      </c>
      <c r="F114" s="24">
        <f t="shared" si="10"/>
        <v>860</v>
      </c>
      <c r="G114">
        <f t="shared" ca="1" si="9"/>
        <v>0.9287071003279328</v>
      </c>
    </row>
    <row r="115" spans="1:7">
      <c r="A115">
        <v>413</v>
      </c>
      <c r="B115">
        <v>4.3636320695441096E-5</v>
      </c>
      <c r="C115">
        <f t="shared" si="7"/>
        <v>0.29285953600286685</v>
      </c>
      <c r="D115">
        <f t="shared" si="11"/>
        <v>0.28353111622683891</v>
      </c>
      <c r="E115" s="24">
        <f t="shared" si="8"/>
        <v>0.28353111622683891</v>
      </c>
      <c r="F115" s="24">
        <f t="shared" si="10"/>
        <v>865</v>
      </c>
      <c r="G115">
        <f t="shared" ca="1" si="9"/>
        <v>0.9438596390809636</v>
      </c>
    </row>
    <row r="116" spans="1:7">
      <c r="A116">
        <v>414</v>
      </c>
      <c r="B116">
        <v>4.4255700808207624E-5</v>
      </c>
      <c r="C116">
        <f t="shared" si="7"/>
        <v>0.29701642571179132</v>
      </c>
      <c r="D116">
        <f t="shared" si="11"/>
        <v>0.28800759519223201</v>
      </c>
      <c r="E116" s="24">
        <f t="shared" si="8"/>
        <v>0.28800759519223201</v>
      </c>
      <c r="F116" s="24">
        <f t="shared" si="10"/>
        <v>870</v>
      </c>
      <c r="G116">
        <f t="shared" ca="1" si="9"/>
        <v>0.95534693926267467</v>
      </c>
    </row>
    <row r="117" spans="1:7">
      <c r="A117">
        <v>415</v>
      </c>
      <c r="B117">
        <v>4.5134820597013461E-5</v>
      </c>
      <c r="C117">
        <f t="shared" si="7"/>
        <v>0.30291652474254016</v>
      </c>
      <c r="D117">
        <f t="shared" si="11"/>
        <v>0.29285506424445229</v>
      </c>
      <c r="E117" s="24">
        <f t="shared" si="8"/>
        <v>0.29285506424445229</v>
      </c>
      <c r="F117" s="24">
        <f t="shared" si="10"/>
        <v>875</v>
      </c>
      <c r="G117">
        <f t="shared" ca="1" si="9"/>
        <v>0.97116994257660527</v>
      </c>
    </row>
    <row r="118" spans="1:7">
      <c r="A118">
        <v>416</v>
      </c>
      <c r="B118">
        <v>4.6003949582882344E-5</v>
      </c>
      <c r="C118">
        <f t="shared" si="7"/>
        <v>0.30874957178847945</v>
      </c>
      <c r="D118">
        <f t="shared" si="11"/>
        <v>0.29792825627878383</v>
      </c>
      <c r="E118" s="24">
        <f t="shared" si="8"/>
        <v>0.29792825627878383</v>
      </c>
      <c r="F118" s="24">
        <f t="shared" si="10"/>
        <v>880</v>
      </c>
      <c r="G118">
        <f t="shared" ca="1" si="9"/>
        <v>0.98853500982754272</v>
      </c>
    </row>
    <row r="119" spans="1:7">
      <c r="A119">
        <v>417</v>
      </c>
      <c r="B119">
        <v>4.6621664561826033E-5</v>
      </c>
      <c r="C119">
        <f t="shared" si="7"/>
        <v>0.31289528616660228</v>
      </c>
      <c r="D119">
        <f t="shared" si="11"/>
        <v>0.30288746888245599</v>
      </c>
      <c r="E119" s="24">
        <f t="shared" si="8"/>
        <v>0.30288746888245599</v>
      </c>
      <c r="F119" s="24">
        <f t="shared" si="10"/>
        <v>885</v>
      </c>
      <c r="G119">
        <f t="shared" ca="1" si="9"/>
        <v>1.0075986005249908</v>
      </c>
    </row>
    <row r="120" spans="1:7">
      <c r="A120">
        <v>418</v>
      </c>
      <c r="B120">
        <v>4.7507444885923176E-5</v>
      </c>
      <c r="C120">
        <f t="shared" si="7"/>
        <v>0.31884008652055745</v>
      </c>
      <c r="D120">
        <f t="shared" si="11"/>
        <v>0.30808357898599414</v>
      </c>
      <c r="E120" s="24">
        <f t="shared" si="8"/>
        <v>0.30808357898599414</v>
      </c>
      <c r="F120" s="24">
        <f t="shared" si="10"/>
        <v>890</v>
      </c>
      <c r="G120">
        <f t="shared" ca="1" si="9"/>
        <v>1.0279807582999778</v>
      </c>
    </row>
    <row r="121" spans="1:7">
      <c r="A121">
        <v>419</v>
      </c>
      <c r="B121">
        <v>4.8241710146612604E-5</v>
      </c>
      <c r="C121">
        <f t="shared" si="7"/>
        <v>0.32376801307626718</v>
      </c>
      <c r="D121">
        <f t="shared" si="11"/>
        <v>0.31343389645888931</v>
      </c>
      <c r="E121" s="24">
        <f t="shared" si="8"/>
        <v>0.31343389645888931</v>
      </c>
      <c r="F121" s="24">
        <f t="shared" si="10"/>
        <v>895</v>
      </c>
      <c r="G121">
        <f t="shared" ca="1" si="9"/>
        <v>1.0480053510199456</v>
      </c>
    </row>
    <row r="122" spans="1:7">
      <c r="A122">
        <v>420</v>
      </c>
      <c r="B122">
        <v>4.911583513967344E-5</v>
      </c>
      <c r="C122">
        <f t="shared" si="7"/>
        <v>0.32963459017984614</v>
      </c>
      <c r="D122">
        <f t="shared" si="11"/>
        <v>0.31877750954635048</v>
      </c>
      <c r="E122" s="24">
        <f t="shared" si="8"/>
        <v>0.31877750954635048</v>
      </c>
      <c r="F122" s="24">
        <f t="shared" si="10"/>
        <v>900</v>
      </c>
      <c r="G122">
        <f t="shared" ca="1" si="9"/>
        <v>1.0681193138644463</v>
      </c>
    </row>
    <row r="123" spans="1:7">
      <c r="A123">
        <v>421</v>
      </c>
      <c r="B123">
        <v>4.9833450273581545E-5</v>
      </c>
      <c r="C123">
        <f t="shared" si="7"/>
        <v>0.33445077155800984</v>
      </c>
      <c r="D123">
        <f t="shared" si="11"/>
        <v>0.32391774950025659</v>
      </c>
      <c r="E123" s="24">
        <f t="shared" si="8"/>
        <v>0.32391774950025659</v>
      </c>
      <c r="F123" s="24">
        <f t="shared" si="10"/>
        <v>905</v>
      </c>
      <c r="G123">
        <f t="shared" ca="1" si="9"/>
        <v>1.0868923671002748</v>
      </c>
    </row>
    <row r="124" spans="1:7">
      <c r="A124">
        <v>422</v>
      </c>
      <c r="B124">
        <v>5.0614335041245792E-5</v>
      </c>
      <c r="C124">
        <f t="shared" si="7"/>
        <v>0.3396915789195194</v>
      </c>
      <c r="D124">
        <f t="shared" si="11"/>
        <v>0.32927700805083998</v>
      </c>
      <c r="E124" s="24">
        <f t="shared" si="8"/>
        <v>0.32927700805083998</v>
      </c>
      <c r="F124" s="24">
        <f t="shared" si="10"/>
        <v>910</v>
      </c>
      <c r="G124">
        <f t="shared" ca="1" si="9"/>
        <v>1.1064252842912281</v>
      </c>
    </row>
    <row r="125" spans="1:7">
      <c r="A125">
        <v>423</v>
      </c>
      <c r="B125">
        <v>5.11837641679449E-5</v>
      </c>
      <c r="C125">
        <f t="shared" si="7"/>
        <v>0.34351322903057102</v>
      </c>
      <c r="D125">
        <f t="shared" si="11"/>
        <v>0.33421163655284269</v>
      </c>
      <c r="E125" s="24">
        <f t="shared" si="8"/>
        <v>0.33421163655284269</v>
      </c>
      <c r="F125" s="24">
        <f t="shared" si="10"/>
        <v>915</v>
      </c>
      <c r="G125">
        <f t="shared" ca="1" si="9"/>
        <v>1.1225164597703294</v>
      </c>
    </row>
    <row r="126" spans="1:7">
      <c r="A126">
        <v>424</v>
      </c>
      <c r="B126">
        <v>5.1891390316086474E-5</v>
      </c>
      <c r="C126">
        <f t="shared" si="7"/>
        <v>0.34826237061963011</v>
      </c>
      <c r="D126">
        <f t="shared" si="11"/>
        <v>0.33911050806151533</v>
      </c>
      <c r="E126" s="24">
        <f t="shared" si="8"/>
        <v>0.33911050806151533</v>
      </c>
      <c r="F126" s="24">
        <f t="shared" si="10"/>
        <v>920</v>
      </c>
      <c r="G126">
        <f t="shared" ca="1" si="9"/>
        <v>1.1394121972755737</v>
      </c>
    </row>
    <row r="127" spans="1:7">
      <c r="A127">
        <v>425</v>
      </c>
      <c r="B127">
        <v>5.2762185041501653E-5</v>
      </c>
      <c r="C127">
        <f t="shared" si="7"/>
        <v>0.35410659706160591</v>
      </c>
      <c r="D127">
        <f t="shared" si="11"/>
        <v>0.34400490943786727</v>
      </c>
      <c r="E127" s="24">
        <f t="shared" si="8"/>
        <v>0.34400490943786727</v>
      </c>
      <c r="F127" s="24">
        <f t="shared" si="10"/>
        <v>925</v>
      </c>
      <c r="G127">
        <f t="shared" ca="1" si="9"/>
        <v>1.1549670154155822</v>
      </c>
    </row>
    <row r="128" spans="1:7">
      <c r="A128">
        <v>426</v>
      </c>
      <c r="B128">
        <v>5.358136485847354E-5</v>
      </c>
      <c r="C128">
        <f t="shared" si="7"/>
        <v>0.35960441670537718</v>
      </c>
      <c r="D128">
        <f t="shared" si="11"/>
        <v>0.3490356384673407</v>
      </c>
      <c r="E128" s="24">
        <f t="shared" si="8"/>
        <v>0.3490356384673407</v>
      </c>
      <c r="F128" s="24">
        <f t="shared" si="10"/>
        <v>930</v>
      </c>
      <c r="G128">
        <f t="shared" ca="1" si="9"/>
        <v>1.1702089438062737</v>
      </c>
    </row>
    <row r="129" spans="1:7">
      <c r="A129">
        <v>427</v>
      </c>
      <c r="B129">
        <v>5.4265680344542486E-5</v>
      </c>
      <c r="C129">
        <f t="shared" si="7"/>
        <v>0.36419711179368391</v>
      </c>
      <c r="D129">
        <f t="shared" si="11"/>
        <v>0.35393674504217365</v>
      </c>
      <c r="E129" s="24">
        <f t="shared" si="8"/>
        <v>0.35393674504217365</v>
      </c>
      <c r="F129" s="24">
        <f t="shared" si="10"/>
        <v>935</v>
      </c>
      <c r="G129">
        <f t="shared" ca="1" si="9"/>
        <v>1.1833724151467986</v>
      </c>
    </row>
    <row r="130" spans="1:7">
      <c r="A130">
        <v>428</v>
      </c>
      <c r="B130">
        <v>5.4921690978517288E-5</v>
      </c>
      <c r="C130">
        <f t="shared" si="7"/>
        <v>0.36859984251930344</v>
      </c>
      <c r="D130">
        <f t="shared" si="11"/>
        <v>0.35895406773992011</v>
      </c>
      <c r="E130" s="24">
        <f t="shared" si="8"/>
        <v>0.35895406773992011</v>
      </c>
      <c r="F130" s="24">
        <f t="shared" si="10"/>
        <v>940</v>
      </c>
      <c r="G130">
        <f t="shared" ca="1" si="9"/>
        <v>1.1929824418763686</v>
      </c>
    </row>
    <row r="131" spans="1:7">
      <c r="A131">
        <v>429</v>
      </c>
      <c r="B131">
        <v>5.5642635168624104E-5</v>
      </c>
      <c r="C131">
        <f t="shared" ref="C131:C194" si="12">B131/B$257</f>
        <v>0.37343836642860051</v>
      </c>
      <c r="D131">
        <f t="shared" si="11"/>
        <v>0.36398926690171418</v>
      </c>
      <c r="E131" s="24">
        <f t="shared" ref="E131:E194" si="13">MAX(D131,E$1)</f>
        <v>0.36398926690171418</v>
      </c>
      <c r="F131" s="24">
        <f t="shared" si="10"/>
        <v>945</v>
      </c>
      <c r="G131">
        <f t="shared" ref="G131:G161" ca="1" si="14">decimation(E$2:E$802,CELL("row",G131),G$1)</f>
        <v>1.2017655250224071</v>
      </c>
    </row>
    <row r="132" spans="1:7">
      <c r="A132">
        <v>430</v>
      </c>
      <c r="B132">
        <v>5.6272004872880642E-5</v>
      </c>
      <c r="C132">
        <f t="shared" si="12"/>
        <v>0.37766229999186463</v>
      </c>
      <c r="D132">
        <f t="shared" si="11"/>
        <v>0.36870040748776595</v>
      </c>
      <c r="E132" s="24">
        <f t="shared" si="13"/>
        <v>0.36870040748776595</v>
      </c>
      <c r="F132" s="24">
        <f t="shared" ref="F132:F162" si="15">F131+G$1</f>
        <v>950</v>
      </c>
      <c r="G132">
        <f t="shared" ca="1" si="14"/>
        <v>1.2110179639316421</v>
      </c>
    </row>
    <row r="133" spans="1:7">
      <c r="A133">
        <v>431</v>
      </c>
      <c r="B133">
        <v>5.6918024703918496E-5</v>
      </c>
      <c r="C133">
        <f t="shared" si="12"/>
        <v>0.38199797873267471</v>
      </c>
      <c r="D133">
        <f t="shared" si="11"/>
        <v>0.37317911989322539</v>
      </c>
      <c r="E133" s="24">
        <f t="shared" si="13"/>
        <v>0.37317911989322539</v>
      </c>
      <c r="F133" s="24">
        <f t="shared" si="15"/>
        <v>955</v>
      </c>
      <c r="G133">
        <f t="shared" ca="1" si="14"/>
        <v>1.2204491951249508</v>
      </c>
    </row>
    <row r="134" spans="1:7">
      <c r="A134">
        <v>432</v>
      </c>
      <c r="B134">
        <v>5.7615659443399636E-5</v>
      </c>
      <c r="C134">
        <f t="shared" si="12"/>
        <v>0.38668006427168933</v>
      </c>
      <c r="D134">
        <f t="shared" si="11"/>
        <v>0.37767571038882652</v>
      </c>
      <c r="E134" s="24">
        <f t="shared" si="13"/>
        <v>0.37767571038882652</v>
      </c>
      <c r="F134" s="24">
        <f t="shared" si="15"/>
        <v>960</v>
      </c>
      <c r="G134">
        <f t="shared" ca="1" si="14"/>
        <v>1.227757258188322</v>
      </c>
    </row>
    <row r="135" spans="1:7">
      <c r="A135">
        <v>433</v>
      </c>
      <c r="B135">
        <v>5.8334940316854038E-5</v>
      </c>
      <c r="C135">
        <f t="shared" si="12"/>
        <v>0.39150742504588953</v>
      </c>
      <c r="D135">
        <f t="shared" ref="D135:D198" si="16">AVERAGE(C131:C135)</f>
        <v>0.38225722689414371</v>
      </c>
      <c r="E135" s="24">
        <f t="shared" si="13"/>
        <v>0.38225722689414371</v>
      </c>
      <c r="F135" s="24">
        <f t="shared" si="15"/>
        <v>965</v>
      </c>
      <c r="G135">
        <f t="shared" ca="1" si="14"/>
        <v>1.23481951763516</v>
      </c>
    </row>
    <row r="136" spans="1:7">
      <c r="A136">
        <v>434</v>
      </c>
      <c r="B136">
        <v>5.9313960260624291E-5</v>
      </c>
      <c r="C136">
        <f t="shared" si="12"/>
        <v>0.39807799107667918</v>
      </c>
      <c r="D136">
        <f t="shared" si="16"/>
        <v>0.38718515182375945</v>
      </c>
      <c r="E136" s="24">
        <f t="shared" si="13"/>
        <v>0.38718515182375945</v>
      </c>
      <c r="F136" s="24">
        <f t="shared" si="15"/>
        <v>970</v>
      </c>
      <c r="G136">
        <f t="shared" ca="1" si="14"/>
        <v>1.2410995283172963</v>
      </c>
    </row>
    <row r="137" spans="1:7">
      <c r="A137">
        <v>435</v>
      </c>
      <c r="B137">
        <v>6.001992006349611E-5</v>
      </c>
      <c r="C137">
        <f t="shared" si="12"/>
        <v>0.40281594920446689</v>
      </c>
      <c r="D137">
        <f t="shared" si="16"/>
        <v>0.39221588166627991</v>
      </c>
      <c r="E137" s="24">
        <f t="shared" si="13"/>
        <v>0.39221588166627991</v>
      </c>
      <c r="F137" s="24">
        <f t="shared" si="15"/>
        <v>975</v>
      </c>
      <c r="G137">
        <f t="shared" ca="1" si="14"/>
        <v>1.2455916812024563</v>
      </c>
    </row>
    <row r="138" spans="1:7">
      <c r="A138">
        <v>436</v>
      </c>
      <c r="B138">
        <v>6.0674264352201135E-5</v>
      </c>
      <c r="C138">
        <f t="shared" si="12"/>
        <v>0.40720749646881499</v>
      </c>
      <c r="D138">
        <f t="shared" si="16"/>
        <v>0.39725778521350802</v>
      </c>
      <c r="E138" s="24">
        <f t="shared" si="13"/>
        <v>0.39725778521350802</v>
      </c>
      <c r="F138" s="24">
        <f t="shared" si="15"/>
        <v>980</v>
      </c>
      <c r="G138">
        <f t="shared" ca="1" si="14"/>
        <v>1.2485417408809178</v>
      </c>
    </row>
    <row r="139" spans="1:7">
      <c r="A139">
        <v>437</v>
      </c>
      <c r="B139">
        <v>6.1286982718229419E-5</v>
      </c>
      <c r="C139">
        <f t="shared" si="12"/>
        <v>0.41131967672406333</v>
      </c>
      <c r="D139">
        <f t="shared" si="16"/>
        <v>0.40218570770398276</v>
      </c>
      <c r="E139" s="24">
        <f t="shared" si="13"/>
        <v>0.40218570770398276</v>
      </c>
      <c r="F139" s="24">
        <f t="shared" si="15"/>
        <v>985</v>
      </c>
      <c r="G139">
        <f t="shared" ca="1" si="14"/>
        <v>1.2520057633323323</v>
      </c>
    </row>
    <row r="140" spans="1:7">
      <c r="A140">
        <v>438</v>
      </c>
      <c r="B140">
        <v>6.1901369852421329E-5</v>
      </c>
      <c r="C140">
        <f t="shared" si="12"/>
        <v>0.4154430567015226</v>
      </c>
      <c r="D140">
        <f t="shared" si="16"/>
        <v>0.40697283403510942</v>
      </c>
      <c r="E140" s="24">
        <f t="shared" si="13"/>
        <v>0.40697283403510942</v>
      </c>
      <c r="F140" s="24">
        <f t="shared" si="15"/>
        <v>990</v>
      </c>
      <c r="G140">
        <f t="shared" ca="1" si="14"/>
        <v>1.2554922063673903</v>
      </c>
    </row>
    <row r="141" spans="1:7">
      <c r="A141">
        <v>439</v>
      </c>
      <c r="B141">
        <v>6.259900580334942E-5</v>
      </c>
      <c r="C141">
        <f t="shared" si="12"/>
        <v>0.42012515037100712</v>
      </c>
      <c r="D141">
        <f t="shared" si="16"/>
        <v>0.41138226589397497</v>
      </c>
      <c r="E141" s="24">
        <f t="shared" si="13"/>
        <v>0.41138226589397497</v>
      </c>
      <c r="F141" s="24">
        <f t="shared" si="15"/>
        <v>995</v>
      </c>
      <c r="G141">
        <f t="shared" ca="1" si="14"/>
        <v>1.2580623356943836</v>
      </c>
    </row>
    <row r="142" spans="1:7">
      <c r="A142">
        <v>440</v>
      </c>
      <c r="B142">
        <v>6.326667176836053E-5</v>
      </c>
      <c r="C142">
        <f t="shared" si="12"/>
        <v>0.4246061043470028</v>
      </c>
      <c r="D142">
        <f t="shared" si="16"/>
        <v>0.41574029692248216</v>
      </c>
      <c r="E142" s="24">
        <f t="shared" si="13"/>
        <v>0.41574029692248216</v>
      </c>
      <c r="F142" s="24">
        <f t="shared" si="15"/>
        <v>1000</v>
      </c>
      <c r="G142">
        <f t="shared" ca="1" si="14"/>
        <v>1.26027488045323</v>
      </c>
    </row>
    <row r="143" spans="1:7">
      <c r="A143">
        <v>441</v>
      </c>
      <c r="B143">
        <v>6.403590059926501E-5</v>
      </c>
      <c r="C143">
        <f t="shared" si="12"/>
        <v>0.42976868439290133</v>
      </c>
      <c r="D143">
        <f t="shared" si="16"/>
        <v>0.42025253450729949</v>
      </c>
      <c r="E143" s="24">
        <f t="shared" si="13"/>
        <v>0.42025253450729949</v>
      </c>
      <c r="F143" s="24">
        <f t="shared" si="15"/>
        <v>1005</v>
      </c>
      <c r="G143">
        <f t="shared" ca="1" si="14"/>
        <v>1.2616828534293698</v>
      </c>
    </row>
    <row r="144" spans="1:7">
      <c r="A144">
        <v>442</v>
      </c>
      <c r="B144">
        <v>6.4905028979410413E-5</v>
      </c>
      <c r="C144">
        <f t="shared" si="12"/>
        <v>0.43560172737360564</v>
      </c>
      <c r="D144">
        <f t="shared" si="16"/>
        <v>0.42510894463720794</v>
      </c>
      <c r="E144" s="24">
        <f t="shared" si="13"/>
        <v>0.42510894463720794</v>
      </c>
      <c r="F144" s="24">
        <f t="shared" si="15"/>
        <v>1010</v>
      </c>
      <c r="G144">
        <f t="shared" ca="1" si="14"/>
        <v>1.2648116793744015</v>
      </c>
    </row>
    <row r="145" spans="1:7">
      <c r="A145">
        <v>443</v>
      </c>
      <c r="B145">
        <v>6.5887379190826323E-5</v>
      </c>
      <c r="C145">
        <f t="shared" si="12"/>
        <v>0.44219464406599851</v>
      </c>
      <c r="D145">
        <f t="shared" si="16"/>
        <v>0.43045926211010316</v>
      </c>
      <c r="E145" s="24">
        <f t="shared" si="13"/>
        <v>0.43045926211010316</v>
      </c>
      <c r="F145" s="24">
        <f t="shared" si="15"/>
        <v>1015</v>
      </c>
      <c r="G145">
        <f t="shared" ca="1" si="14"/>
        <v>1.2656385904360534</v>
      </c>
    </row>
    <row r="146" spans="1:7">
      <c r="A146">
        <v>444</v>
      </c>
      <c r="B146">
        <v>6.6606661275727677E-5</v>
      </c>
      <c r="C146">
        <f t="shared" si="12"/>
        <v>0.44702201297066863</v>
      </c>
      <c r="D146">
        <f t="shared" si="16"/>
        <v>0.43583863463003542</v>
      </c>
      <c r="E146" s="24">
        <f t="shared" si="13"/>
        <v>0.43583863463003542</v>
      </c>
      <c r="F146" s="24">
        <f t="shared" si="15"/>
        <v>1020</v>
      </c>
      <c r="G146">
        <f t="shared" ca="1" si="14"/>
        <v>1.2680075882000279</v>
      </c>
    </row>
    <row r="147" spans="1:7">
      <c r="A147">
        <v>445</v>
      </c>
      <c r="B147">
        <v>6.7520746451918957E-5</v>
      </c>
      <c r="C147">
        <f t="shared" si="12"/>
        <v>0.45315677768731083</v>
      </c>
      <c r="D147">
        <f t="shared" si="16"/>
        <v>0.441548769298097</v>
      </c>
      <c r="E147" s="24">
        <f t="shared" si="13"/>
        <v>0.441548769298097</v>
      </c>
      <c r="F147" s="24">
        <f t="shared" si="15"/>
        <v>1025</v>
      </c>
      <c r="G147">
        <f t="shared" ca="1" si="14"/>
        <v>1.2693485173218275</v>
      </c>
    </row>
    <row r="148" spans="1:7">
      <c r="A148">
        <v>446</v>
      </c>
      <c r="B148">
        <v>6.8488109853205958E-5</v>
      </c>
      <c r="C148">
        <f t="shared" si="12"/>
        <v>0.45964911233725453</v>
      </c>
      <c r="D148">
        <f t="shared" si="16"/>
        <v>0.44752485488696764</v>
      </c>
      <c r="E148" s="24">
        <f t="shared" si="13"/>
        <v>0.44752485488696764</v>
      </c>
      <c r="F148" s="24">
        <f t="shared" si="15"/>
        <v>1030</v>
      </c>
      <c r="G148">
        <f t="shared" ca="1" si="14"/>
        <v>1.2701977644102374</v>
      </c>
    </row>
    <row r="149" spans="1:7">
      <c r="A149">
        <v>447</v>
      </c>
      <c r="B149">
        <v>6.921072099430603E-5</v>
      </c>
      <c r="C149">
        <f t="shared" si="12"/>
        <v>0.46449882377305801</v>
      </c>
      <c r="D149">
        <f t="shared" si="16"/>
        <v>0.45330427416685809</v>
      </c>
      <c r="E149" s="24">
        <f t="shared" si="13"/>
        <v>0.45330427416685809</v>
      </c>
      <c r="F149" s="24">
        <f t="shared" si="15"/>
        <v>1035</v>
      </c>
      <c r="G149">
        <f t="shared" ca="1" si="14"/>
        <v>1.2724773497712352</v>
      </c>
    </row>
    <row r="150" spans="1:7">
      <c r="A150">
        <v>448</v>
      </c>
      <c r="B150">
        <v>6.9943319304002216E-5</v>
      </c>
      <c r="C150">
        <f t="shared" si="12"/>
        <v>0.46941556280226138</v>
      </c>
      <c r="D150">
        <f t="shared" si="16"/>
        <v>0.45874845791411067</v>
      </c>
      <c r="E150" s="24">
        <f t="shared" si="13"/>
        <v>0.45874845791411067</v>
      </c>
      <c r="F150" s="24">
        <f t="shared" si="15"/>
        <v>1040</v>
      </c>
      <c r="G150">
        <f t="shared" ca="1" si="14"/>
        <v>1.2740864543103936</v>
      </c>
    </row>
    <row r="151" spans="1:7">
      <c r="A151">
        <v>449</v>
      </c>
      <c r="B151">
        <v>7.0639291938277872E-5</v>
      </c>
      <c r="C151">
        <f t="shared" si="12"/>
        <v>0.47408649333664887</v>
      </c>
      <c r="D151">
        <f t="shared" si="16"/>
        <v>0.46416135398730668</v>
      </c>
      <c r="E151" s="24">
        <f t="shared" si="13"/>
        <v>0.46416135398730668</v>
      </c>
      <c r="F151" s="24">
        <f t="shared" si="15"/>
        <v>1045</v>
      </c>
      <c r="G151">
        <f t="shared" ca="1" si="14"/>
        <v>1.2770141584489703</v>
      </c>
    </row>
    <row r="152" spans="1:7">
      <c r="A152">
        <v>450</v>
      </c>
      <c r="B152">
        <v>7.1333595198666439E-5</v>
      </c>
      <c r="C152">
        <f t="shared" si="12"/>
        <v>0.47874622008359058</v>
      </c>
      <c r="D152">
        <f t="shared" si="16"/>
        <v>0.46927924246656261</v>
      </c>
      <c r="E152" s="24">
        <f t="shared" si="13"/>
        <v>0.46927924246656261</v>
      </c>
      <c r="F152" s="24">
        <f t="shared" si="15"/>
        <v>1050</v>
      </c>
      <c r="G152">
        <f t="shared" ca="1" si="14"/>
        <v>1.2758743641423773</v>
      </c>
    </row>
    <row r="153" spans="1:7">
      <c r="A153">
        <v>451</v>
      </c>
      <c r="B153">
        <v>7.1961301586270562E-5</v>
      </c>
      <c r="C153">
        <f t="shared" si="12"/>
        <v>0.48295899051175789</v>
      </c>
      <c r="D153">
        <f t="shared" si="16"/>
        <v>0.47394121810146334</v>
      </c>
      <c r="E153" s="24">
        <f t="shared" si="13"/>
        <v>0.47394121810146334</v>
      </c>
      <c r="F153" s="24">
        <f t="shared" si="15"/>
        <v>1055</v>
      </c>
      <c r="G153">
        <f t="shared" ca="1" si="14"/>
        <v>1.2879651110481523</v>
      </c>
    </row>
    <row r="154" spans="1:7">
      <c r="A154">
        <v>452</v>
      </c>
      <c r="B154">
        <v>7.2547380234027527E-5</v>
      </c>
      <c r="C154">
        <f t="shared" si="12"/>
        <v>0.48689238173512073</v>
      </c>
      <c r="D154">
        <f t="shared" si="16"/>
        <v>0.47841992969387592</v>
      </c>
      <c r="E154" s="24">
        <f t="shared" si="13"/>
        <v>0.47841992969387592</v>
      </c>
      <c r="F154" s="24">
        <f t="shared" si="15"/>
        <v>1060</v>
      </c>
      <c r="G154">
        <f t="shared" ca="1" si="14"/>
        <v>1.2884120754973964</v>
      </c>
    </row>
    <row r="155" spans="1:7">
      <c r="A155">
        <v>453</v>
      </c>
      <c r="B155">
        <v>7.3261663888843031E-5</v>
      </c>
      <c r="C155">
        <f t="shared" si="12"/>
        <v>0.49168620432121135</v>
      </c>
      <c r="D155">
        <f t="shared" si="16"/>
        <v>0.48287405799766586</v>
      </c>
      <c r="E155" s="24">
        <f t="shared" si="13"/>
        <v>0.48287405799766586</v>
      </c>
      <c r="F155" s="24">
        <f t="shared" si="15"/>
        <v>1065</v>
      </c>
      <c r="G155">
        <f t="shared" ca="1" si="14"/>
        <v>1.2809475626810847</v>
      </c>
    </row>
    <row r="156" spans="1:7">
      <c r="A156">
        <v>454</v>
      </c>
      <c r="B156">
        <v>7.3947646931628698E-5</v>
      </c>
      <c r="C156">
        <f t="shared" si="12"/>
        <v>0.49629009100125937</v>
      </c>
      <c r="D156">
        <f t="shared" si="16"/>
        <v>0.48731477753058805</v>
      </c>
      <c r="E156" s="24">
        <f t="shared" si="13"/>
        <v>0.48731477753058805</v>
      </c>
      <c r="F156" s="24">
        <f t="shared" si="15"/>
        <v>1070</v>
      </c>
      <c r="G156">
        <f t="shared" ca="1" si="14"/>
        <v>1.2603866061176483</v>
      </c>
    </row>
    <row r="157" spans="1:7">
      <c r="A157">
        <v>455</v>
      </c>
      <c r="B157">
        <v>7.4691900572361185E-5</v>
      </c>
      <c r="C157">
        <f t="shared" si="12"/>
        <v>0.50128505328083883</v>
      </c>
      <c r="D157">
        <f t="shared" si="16"/>
        <v>0.49182254417003762</v>
      </c>
      <c r="E157" s="24">
        <f t="shared" si="13"/>
        <v>0.49182254417003762</v>
      </c>
      <c r="F157" s="24">
        <f t="shared" si="15"/>
        <v>1075</v>
      </c>
      <c r="G157">
        <f t="shared" ca="1" si="14"/>
        <v>1.2465303049197749</v>
      </c>
    </row>
    <row r="158" spans="1:7">
      <c r="A158">
        <v>456</v>
      </c>
      <c r="B158">
        <v>7.5317938797525122E-5</v>
      </c>
      <c r="C158">
        <f t="shared" si="12"/>
        <v>0.50548662805202993</v>
      </c>
      <c r="D158">
        <f t="shared" si="16"/>
        <v>0.49632807167809201</v>
      </c>
      <c r="E158" s="24">
        <f t="shared" si="13"/>
        <v>0.49632807167809201</v>
      </c>
      <c r="F158" s="24">
        <f t="shared" si="15"/>
        <v>1080</v>
      </c>
      <c r="G158">
        <f t="shared" ca="1" si="14"/>
        <v>1.2329198528690661</v>
      </c>
    </row>
    <row r="159" spans="1:7">
      <c r="A159">
        <v>457</v>
      </c>
      <c r="B159">
        <v>7.6012243269360619E-5</v>
      </c>
      <c r="C159">
        <f t="shared" si="12"/>
        <v>0.51014636292944138</v>
      </c>
      <c r="D159">
        <f t="shared" si="16"/>
        <v>0.50097886791695623</v>
      </c>
      <c r="E159" s="24">
        <f t="shared" si="13"/>
        <v>0.50097886791695623</v>
      </c>
      <c r="F159" s="24">
        <f t="shared" si="15"/>
        <v>1085</v>
      </c>
      <c r="G159">
        <f t="shared" ca="1" si="14"/>
        <v>1.2286288673209929</v>
      </c>
    </row>
    <row r="160" spans="1:7">
      <c r="A160">
        <v>458</v>
      </c>
      <c r="B160">
        <v>7.7097824509110072E-5</v>
      </c>
      <c r="C160">
        <f t="shared" si="12"/>
        <v>0.5174321013487132</v>
      </c>
      <c r="D160">
        <f t="shared" si="16"/>
        <v>0.50612804732245653</v>
      </c>
      <c r="E160" s="24">
        <f t="shared" si="13"/>
        <v>0.50612804732245653</v>
      </c>
      <c r="F160" s="24">
        <f t="shared" si="15"/>
        <v>1090</v>
      </c>
      <c r="G160">
        <f t="shared" ca="1" si="14"/>
        <v>1.2238238604605836</v>
      </c>
    </row>
    <row r="161" spans="1:7">
      <c r="A161">
        <v>459</v>
      </c>
      <c r="B161">
        <v>7.7710544086585288E-5</v>
      </c>
      <c r="C161">
        <f t="shared" si="12"/>
        <v>0.52154428973443134</v>
      </c>
      <c r="D161">
        <f t="shared" si="16"/>
        <v>0.51117888706909098</v>
      </c>
      <c r="E161" s="24">
        <f t="shared" si="13"/>
        <v>0.51117888706909098</v>
      </c>
      <c r="F161" s="24">
        <f t="shared" si="15"/>
        <v>1095</v>
      </c>
      <c r="G161">
        <f t="shared" ca="1" si="14"/>
        <v>1.2162475992145381</v>
      </c>
    </row>
    <row r="162" spans="1:7">
      <c r="A162">
        <v>460</v>
      </c>
      <c r="B162">
        <v>7.8333254466997465E-5</v>
      </c>
      <c r="C162">
        <f t="shared" si="12"/>
        <v>0.52572353010495898</v>
      </c>
      <c r="D162">
        <f t="shared" si="16"/>
        <v>0.51606658243391501</v>
      </c>
      <c r="E162" s="24">
        <f t="shared" si="13"/>
        <v>0.51606658243391501</v>
      </c>
      <c r="F162" s="24">
        <f t="shared" si="15"/>
        <v>1100</v>
      </c>
      <c r="G162">
        <f ca="1">decimation(E$2:E$802,CELL("row",G162),G$1)</f>
        <v>1.1975192570584796</v>
      </c>
    </row>
    <row r="163" spans="1:7">
      <c r="A163">
        <v>461</v>
      </c>
      <c r="B163">
        <v>7.8987599361425977E-5</v>
      </c>
      <c r="C163">
        <f t="shared" si="12"/>
        <v>0.53011508143454211</v>
      </c>
      <c r="D163">
        <f t="shared" si="16"/>
        <v>0.5209922731104174</v>
      </c>
      <c r="E163" s="24">
        <f t="shared" si="13"/>
        <v>0.5209922731104174</v>
      </c>
      <c r="F163" s="24"/>
    </row>
    <row r="164" spans="1:7">
      <c r="A164">
        <v>462</v>
      </c>
      <c r="B164">
        <v>7.7457466763007694E-5</v>
      </c>
      <c r="C164">
        <f t="shared" si="12"/>
        <v>0.5198457939315182</v>
      </c>
      <c r="D164">
        <f t="shared" si="16"/>
        <v>0.5229321593108327</v>
      </c>
      <c r="E164" s="24">
        <f t="shared" si="13"/>
        <v>0.5229321593108327</v>
      </c>
      <c r="F164" s="24"/>
    </row>
    <row r="165" spans="1:7">
      <c r="A165">
        <v>463</v>
      </c>
      <c r="B165">
        <v>8.1078840263216982E-5</v>
      </c>
      <c r="C165">
        <f t="shared" si="12"/>
        <v>0.54415017491648898</v>
      </c>
      <c r="D165">
        <f t="shared" si="16"/>
        <v>0.52827577402438797</v>
      </c>
      <c r="E165" s="24">
        <f t="shared" si="13"/>
        <v>0.52827577402438797</v>
      </c>
      <c r="F165" s="24"/>
    </row>
    <row r="166" spans="1:7">
      <c r="A166">
        <v>464</v>
      </c>
      <c r="B166">
        <v>8.6463449348229919E-5</v>
      </c>
      <c r="C166">
        <f t="shared" si="12"/>
        <v>0.58028828402059729</v>
      </c>
      <c r="D166">
        <f t="shared" si="16"/>
        <v>0.54002457288162109</v>
      </c>
      <c r="E166" s="24">
        <f t="shared" si="13"/>
        <v>0.54002457288162109</v>
      </c>
      <c r="F166" s="24"/>
    </row>
    <row r="167" spans="1:7">
      <c r="A167">
        <v>465</v>
      </c>
      <c r="B167">
        <v>8.6130449235497506E-5</v>
      </c>
      <c r="C167">
        <f t="shared" si="12"/>
        <v>0.57805339673061773</v>
      </c>
      <c r="D167">
        <f t="shared" si="16"/>
        <v>0.55049054620675286</v>
      </c>
      <c r="E167" s="24">
        <f t="shared" si="13"/>
        <v>0.55049054620675286</v>
      </c>
      <c r="F167" s="24"/>
    </row>
    <row r="168" spans="1:7">
      <c r="A168">
        <v>466</v>
      </c>
      <c r="B168">
        <v>8.5930648925568675E-5</v>
      </c>
      <c r="C168">
        <f t="shared" si="12"/>
        <v>0.576712462730536</v>
      </c>
      <c r="D168">
        <f t="shared" si="16"/>
        <v>0.55981002246595168</v>
      </c>
      <c r="E168" s="24">
        <f t="shared" si="13"/>
        <v>0.55981002246595168</v>
      </c>
      <c r="F168" s="24"/>
    </row>
    <row r="169" spans="1:7">
      <c r="A169">
        <v>467</v>
      </c>
      <c r="B169">
        <v>8.6080498855153559E-5</v>
      </c>
      <c r="C169">
        <f t="shared" si="12"/>
        <v>0.57771816119797981</v>
      </c>
      <c r="D169">
        <f t="shared" si="16"/>
        <v>0.57138449591924401</v>
      </c>
      <c r="E169" s="24">
        <f t="shared" si="13"/>
        <v>0.57138449591924401</v>
      </c>
      <c r="F169" s="24"/>
    </row>
    <row r="170" spans="1:7">
      <c r="A170">
        <v>468</v>
      </c>
      <c r="B170">
        <v>8.6197049742622769E-5</v>
      </c>
      <c r="C170">
        <f t="shared" si="12"/>
        <v>0.57850037744080163</v>
      </c>
      <c r="D170">
        <f t="shared" si="16"/>
        <v>0.57825453642410651</v>
      </c>
      <c r="E170" s="24">
        <f t="shared" si="13"/>
        <v>0.57825453642410651</v>
      </c>
      <c r="F170" s="24"/>
    </row>
    <row r="171" spans="1:7">
      <c r="A171">
        <v>469</v>
      </c>
      <c r="B171">
        <v>8.6363548587542038E-5</v>
      </c>
      <c r="C171">
        <f t="shared" si="12"/>
        <v>0.57961781295532155</v>
      </c>
      <c r="D171">
        <f t="shared" si="16"/>
        <v>0.5781204422110513</v>
      </c>
      <c r="E171" s="24">
        <f t="shared" si="13"/>
        <v>0.5781204422110513</v>
      </c>
      <c r="F171" s="24"/>
    </row>
    <row r="172" spans="1:7">
      <c r="A172">
        <v>470</v>
      </c>
      <c r="B172">
        <v>8.6746501503512274E-5</v>
      </c>
      <c r="C172">
        <f t="shared" si="12"/>
        <v>0.58218795203887874</v>
      </c>
      <c r="D172">
        <f t="shared" si="16"/>
        <v>0.57894735327270352</v>
      </c>
      <c r="E172" s="24">
        <f t="shared" si="13"/>
        <v>0.57894735327270352</v>
      </c>
      <c r="F172" s="24"/>
    </row>
    <row r="173" spans="1:7">
      <c r="A173">
        <v>471</v>
      </c>
      <c r="B173">
        <v>8.70961493201321E-5</v>
      </c>
      <c r="C173">
        <f t="shared" si="12"/>
        <v>0.58453456824546457</v>
      </c>
      <c r="D173">
        <f t="shared" si="16"/>
        <v>0.58051177437568924</v>
      </c>
      <c r="E173" s="24">
        <f t="shared" si="13"/>
        <v>0.58051177437568924</v>
      </c>
      <c r="F173" s="24"/>
    </row>
    <row r="174" spans="1:7">
      <c r="A174">
        <v>472</v>
      </c>
      <c r="B174">
        <v>8.7595649489230712E-5</v>
      </c>
      <c r="C174">
        <f t="shared" si="12"/>
        <v>0.58788689918043402</v>
      </c>
      <c r="D174">
        <f t="shared" si="16"/>
        <v>0.58254552197218012</v>
      </c>
      <c r="E174" s="24">
        <f t="shared" si="13"/>
        <v>0.58254552197218012</v>
      </c>
      <c r="F174" s="24"/>
    </row>
    <row r="175" spans="1:7">
      <c r="A175">
        <v>473</v>
      </c>
      <c r="B175">
        <v>8.827829984147684E-5</v>
      </c>
      <c r="C175">
        <f t="shared" si="12"/>
        <v>0.59246841893793911</v>
      </c>
      <c r="D175">
        <f t="shared" si="16"/>
        <v>0.58533913027160756</v>
      </c>
      <c r="E175" s="24">
        <f t="shared" si="13"/>
        <v>0.58533913027160756</v>
      </c>
      <c r="F175" s="24"/>
    </row>
    <row r="176" spans="1:7">
      <c r="A176">
        <v>474</v>
      </c>
      <c r="B176">
        <v>8.8894349686597705E-5</v>
      </c>
      <c r="C176">
        <f t="shared" si="12"/>
        <v>0.59660295798526042</v>
      </c>
      <c r="D176">
        <f t="shared" si="16"/>
        <v>0.58873615927759526</v>
      </c>
      <c r="E176" s="24">
        <f t="shared" si="13"/>
        <v>0.58873615927759526</v>
      </c>
      <c r="F176" s="24"/>
    </row>
    <row r="177" spans="1:6">
      <c r="A177">
        <v>475</v>
      </c>
      <c r="B177">
        <v>8.9477101701049841E-5</v>
      </c>
      <c r="C177">
        <f t="shared" si="12"/>
        <v>0.60051402293842959</v>
      </c>
      <c r="D177">
        <f t="shared" si="16"/>
        <v>0.59240137345750554</v>
      </c>
      <c r="E177" s="24">
        <f t="shared" si="13"/>
        <v>0.59240137345750554</v>
      </c>
      <c r="F177" s="24"/>
    </row>
    <row r="178" spans="1:6">
      <c r="A178">
        <v>476</v>
      </c>
      <c r="B178">
        <v>9.0126449376839448E-5</v>
      </c>
      <c r="C178">
        <f t="shared" si="12"/>
        <v>0.60487203607990303</v>
      </c>
      <c r="D178">
        <f t="shared" si="16"/>
        <v>0.59646886702439317</v>
      </c>
      <c r="E178" s="24">
        <f t="shared" si="13"/>
        <v>0.59646886702439317</v>
      </c>
      <c r="F178" s="24"/>
    </row>
    <row r="179" spans="1:6">
      <c r="A179">
        <v>477</v>
      </c>
      <c r="B179">
        <v>9.0942298320442199E-5</v>
      </c>
      <c r="C179">
        <f t="shared" si="12"/>
        <v>0.61034750099683621</v>
      </c>
      <c r="D179">
        <f t="shared" si="16"/>
        <v>0.60096098738767378</v>
      </c>
      <c r="E179" s="24">
        <f t="shared" si="13"/>
        <v>0.60096098738767378</v>
      </c>
      <c r="F179" s="24"/>
    </row>
    <row r="180" spans="1:6">
      <c r="A180">
        <v>478</v>
      </c>
      <c r="B180">
        <v>9.1874699362961092E-5</v>
      </c>
      <c r="C180">
        <f t="shared" si="12"/>
        <v>0.61660519028706084</v>
      </c>
      <c r="D180">
        <f t="shared" si="16"/>
        <v>0.60578834165749795</v>
      </c>
      <c r="E180" s="24">
        <f t="shared" si="13"/>
        <v>0.60578834165749795</v>
      </c>
      <c r="F180" s="24"/>
    </row>
    <row r="181" spans="1:6">
      <c r="A181">
        <v>479</v>
      </c>
      <c r="B181">
        <v>9.2540700799872877E-5</v>
      </c>
      <c r="C181">
        <f t="shared" si="12"/>
        <v>0.62107497299749015</v>
      </c>
      <c r="D181">
        <f t="shared" si="16"/>
        <v>0.61068274465994399</v>
      </c>
      <c r="E181" s="24">
        <f t="shared" si="13"/>
        <v>0.61068274465994399</v>
      </c>
      <c r="F181" s="24"/>
    </row>
    <row r="182" spans="1:6">
      <c r="A182">
        <v>480</v>
      </c>
      <c r="B182">
        <v>9.314009809531855E-5</v>
      </c>
      <c r="C182">
        <f t="shared" si="12"/>
        <v>0.62509775060632577</v>
      </c>
      <c r="D182">
        <f t="shared" si="16"/>
        <v>0.61559949019352322</v>
      </c>
      <c r="E182" s="24">
        <f t="shared" si="13"/>
        <v>0.61559949019352322</v>
      </c>
      <c r="F182" s="24"/>
    </row>
    <row r="183" spans="1:6">
      <c r="A183">
        <v>481</v>
      </c>
      <c r="B183">
        <v>9.3922650419699504E-5</v>
      </c>
      <c r="C183">
        <f t="shared" si="12"/>
        <v>0.63034974955957657</v>
      </c>
      <c r="D183">
        <f t="shared" si="16"/>
        <v>0.62069503288945793</v>
      </c>
      <c r="E183" s="24">
        <f t="shared" si="13"/>
        <v>0.62069503288945793</v>
      </c>
      <c r="F183" s="24"/>
    </row>
    <row r="184" spans="1:6">
      <c r="A184">
        <v>482</v>
      </c>
      <c r="B184">
        <v>9.4488748673029476E-5</v>
      </c>
      <c r="C184">
        <f t="shared" si="12"/>
        <v>0.6341490449437901</v>
      </c>
      <c r="D184">
        <f t="shared" si="16"/>
        <v>0.62545534167884864</v>
      </c>
      <c r="E184" s="24">
        <f t="shared" si="13"/>
        <v>0.62545534167884864</v>
      </c>
      <c r="F184" s="24"/>
    </row>
    <row r="185" spans="1:6">
      <c r="A185">
        <v>483</v>
      </c>
      <c r="B185">
        <v>9.5487749011226701E-5</v>
      </c>
      <c r="C185">
        <f t="shared" si="12"/>
        <v>0.64085370681372889</v>
      </c>
      <c r="D185">
        <f t="shared" si="16"/>
        <v>0.63030504498418227</v>
      </c>
      <c r="E185" s="24">
        <f t="shared" si="13"/>
        <v>0.63030504498418227</v>
      </c>
      <c r="F185" s="24"/>
    </row>
    <row r="186" spans="1:6">
      <c r="A186">
        <v>484</v>
      </c>
      <c r="B186">
        <v>9.6170401786366719E-5</v>
      </c>
      <c r="C186">
        <f t="shared" si="12"/>
        <v>0.64543524283217379</v>
      </c>
      <c r="D186">
        <f t="shared" si="16"/>
        <v>0.63517709895111907</v>
      </c>
      <c r="E186" s="24">
        <f t="shared" si="13"/>
        <v>0.63517709895111907</v>
      </c>
      <c r="F186" s="24"/>
    </row>
    <row r="187" spans="1:6">
      <c r="A187">
        <v>485</v>
      </c>
      <c r="B187">
        <v>9.7119450532773038E-5</v>
      </c>
      <c r="C187">
        <f t="shared" si="12"/>
        <v>0.6518046610390047</v>
      </c>
      <c r="D187">
        <f t="shared" si="16"/>
        <v>0.64051848103765485</v>
      </c>
      <c r="E187" s="24">
        <f t="shared" si="13"/>
        <v>0.64051848103765485</v>
      </c>
      <c r="F187" s="24"/>
    </row>
    <row r="188" spans="1:6">
      <c r="A188">
        <v>486</v>
      </c>
      <c r="B188">
        <v>9.8135099786304648E-5</v>
      </c>
      <c r="C188">
        <f t="shared" si="12"/>
        <v>0.65862105995601972</v>
      </c>
      <c r="D188">
        <f t="shared" si="16"/>
        <v>0.6461727431169435</v>
      </c>
      <c r="E188" s="24">
        <f t="shared" si="13"/>
        <v>0.6461727431169435</v>
      </c>
      <c r="F188" s="24"/>
    </row>
    <row r="189" spans="1:6">
      <c r="A189">
        <v>487</v>
      </c>
      <c r="B189">
        <v>9.9034199363813978E-5</v>
      </c>
      <c r="C189">
        <f t="shared" si="12"/>
        <v>0.66465525076068277</v>
      </c>
      <c r="D189">
        <f t="shared" si="16"/>
        <v>0.65227398428032202</v>
      </c>
      <c r="E189" s="24">
        <f t="shared" si="13"/>
        <v>0.65227398428032202</v>
      </c>
      <c r="F189" s="24"/>
    </row>
    <row r="190" spans="1:6">
      <c r="A190">
        <v>488</v>
      </c>
      <c r="B190">
        <v>9.9899998687760677E-5</v>
      </c>
      <c r="C190">
        <f t="shared" si="12"/>
        <v>0.67046595121025376</v>
      </c>
      <c r="D190">
        <f t="shared" si="16"/>
        <v>0.65819643315962695</v>
      </c>
      <c r="E190" s="24">
        <f t="shared" si="13"/>
        <v>0.65819643315962695</v>
      </c>
      <c r="F190" s="24"/>
    </row>
    <row r="191" spans="1:6">
      <c r="A191">
        <v>489</v>
      </c>
      <c r="B191">
        <v>1.0081574960349827E-4</v>
      </c>
      <c r="C191">
        <f t="shared" si="12"/>
        <v>0.67661189532293264</v>
      </c>
      <c r="D191">
        <f t="shared" si="16"/>
        <v>0.66443176365777867</v>
      </c>
      <c r="E191" s="24">
        <f t="shared" si="13"/>
        <v>0.66443176365777867</v>
      </c>
      <c r="F191" s="24"/>
    </row>
    <row r="192" spans="1:6">
      <c r="A192">
        <v>490</v>
      </c>
      <c r="B192">
        <v>1.0188135044882074E-4</v>
      </c>
      <c r="C192">
        <f t="shared" si="12"/>
        <v>0.68376353790305522</v>
      </c>
      <c r="D192">
        <f t="shared" si="16"/>
        <v>0.67082353903058878</v>
      </c>
      <c r="E192" s="24">
        <f t="shared" si="13"/>
        <v>0.67082353903058878</v>
      </c>
      <c r="F192" s="24"/>
    </row>
    <row r="193" spans="1:6">
      <c r="A193">
        <v>491</v>
      </c>
      <c r="B193">
        <v>1.0274714977276743E-4</v>
      </c>
      <c r="C193">
        <f t="shared" si="12"/>
        <v>0.68957423835262621</v>
      </c>
      <c r="D193">
        <f t="shared" si="16"/>
        <v>0.6770141747099101</v>
      </c>
      <c r="E193" s="24">
        <f t="shared" si="13"/>
        <v>0.6770141747099101</v>
      </c>
      <c r="F193" s="24"/>
    </row>
    <row r="194" spans="1:6">
      <c r="A194">
        <v>492</v>
      </c>
      <c r="B194">
        <v>1.0344645146324182E-4</v>
      </c>
      <c r="C194">
        <f t="shared" si="12"/>
        <v>0.69426751141814713</v>
      </c>
      <c r="D194">
        <f t="shared" si="16"/>
        <v>0.68293662684140288</v>
      </c>
      <c r="E194" s="24">
        <f t="shared" si="13"/>
        <v>0.68293662684140288</v>
      </c>
      <c r="F194" s="24"/>
    </row>
    <row r="195" spans="1:6">
      <c r="A195">
        <v>493</v>
      </c>
      <c r="B195">
        <v>1.0399589958979049E-4</v>
      </c>
      <c r="C195">
        <f t="shared" ref="C195:C258" si="17">B195/B$257</f>
        <v>0.6979550616248148</v>
      </c>
      <c r="D195">
        <f t="shared" si="16"/>
        <v>0.68843444892431516</v>
      </c>
      <c r="E195" s="24">
        <f t="shared" ref="E195:E258" si="18">MAX(D195,E$1)</f>
        <v>0.68843444892431516</v>
      </c>
      <c r="F195" s="24"/>
    </row>
    <row r="196" spans="1:6">
      <c r="A196">
        <v>494</v>
      </c>
      <c r="B196">
        <v>1.0494495075909071E-4</v>
      </c>
      <c r="C196">
        <f t="shared" si="17"/>
        <v>0.70432449609258552</v>
      </c>
      <c r="D196">
        <f t="shared" si="16"/>
        <v>0.69397696907824569</v>
      </c>
      <c r="E196" s="24">
        <f t="shared" si="18"/>
        <v>0.69397696907824569</v>
      </c>
      <c r="F196" s="24"/>
    </row>
    <row r="197" spans="1:6">
      <c r="A197">
        <v>495</v>
      </c>
      <c r="B197">
        <v>1.0571084811090258E-4</v>
      </c>
      <c r="C197">
        <f t="shared" si="17"/>
        <v>0.70946471734641103</v>
      </c>
      <c r="D197">
        <f t="shared" si="16"/>
        <v>0.69911720496691687</v>
      </c>
      <c r="E197" s="24">
        <f t="shared" si="18"/>
        <v>0.69911720496691687</v>
      </c>
      <c r="F197" s="24"/>
    </row>
    <row r="198" spans="1:6">
      <c r="A198">
        <v>496</v>
      </c>
      <c r="B198">
        <v>1.0667654940698413E-4</v>
      </c>
      <c r="C198">
        <f t="shared" si="17"/>
        <v>0.71594589699172784</v>
      </c>
      <c r="D198">
        <f t="shared" si="16"/>
        <v>0.7043915366947372</v>
      </c>
      <c r="E198" s="24">
        <f t="shared" si="18"/>
        <v>0.7043915366947372</v>
      </c>
      <c r="F198" s="24"/>
    </row>
    <row r="199" spans="1:6">
      <c r="A199">
        <v>497</v>
      </c>
      <c r="B199">
        <v>1.0720934982964536E-4</v>
      </c>
      <c r="C199">
        <f t="shared" si="17"/>
        <v>0.71952171828178912</v>
      </c>
      <c r="D199">
        <f t="shared" ref="D199:D262" si="19">AVERAGE(C195:C199)</f>
        <v>0.70944237806746568</v>
      </c>
      <c r="E199" s="24">
        <f t="shared" si="18"/>
        <v>0.70944237806746568</v>
      </c>
      <c r="F199" s="24"/>
    </row>
    <row r="200" spans="1:6">
      <c r="A200">
        <v>498</v>
      </c>
      <c r="B200">
        <v>1.0795859947756981E-4</v>
      </c>
      <c r="C200">
        <f t="shared" si="17"/>
        <v>0.72455021061900826</v>
      </c>
      <c r="D200">
        <f t="shared" si="19"/>
        <v>0.71476140786630427</v>
      </c>
      <c r="E200" s="24">
        <f t="shared" si="18"/>
        <v>0.71476140786630427</v>
      </c>
      <c r="F200" s="24"/>
    </row>
    <row r="201" spans="1:6">
      <c r="A201">
        <v>499</v>
      </c>
      <c r="B201">
        <v>1.0882439880151652E-4</v>
      </c>
      <c r="C201">
        <f t="shared" si="17"/>
        <v>0.73036091106857937</v>
      </c>
      <c r="D201">
        <f t="shared" si="19"/>
        <v>0.71996869086150306</v>
      </c>
      <c r="E201" s="24">
        <f t="shared" si="18"/>
        <v>0.71996869086150306</v>
      </c>
      <c r="F201" s="24"/>
    </row>
    <row r="202" spans="1:6">
      <c r="A202">
        <v>500</v>
      </c>
      <c r="B202">
        <v>1.0967354799868188E-4</v>
      </c>
      <c r="C202">
        <f t="shared" si="17"/>
        <v>0.73605986634060427</v>
      </c>
      <c r="D202">
        <f t="shared" si="19"/>
        <v>0.72528772066034175</v>
      </c>
      <c r="E202" s="24">
        <f t="shared" si="18"/>
        <v>0.72528772066034175</v>
      </c>
      <c r="F202" s="24"/>
    </row>
    <row r="203" spans="1:6">
      <c r="A203">
        <v>501</v>
      </c>
      <c r="B203">
        <v>1.1057264757619122E-4</v>
      </c>
      <c r="C203">
        <f t="shared" si="17"/>
        <v>0.74209405714526744</v>
      </c>
      <c r="D203">
        <f t="shared" si="19"/>
        <v>0.73051735269104967</v>
      </c>
      <c r="E203" s="24">
        <f t="shared" si="18"/>
        <v>0.73051735269104967</v>
      </c>
      <c r="F203" s="24"/>
    </row>
    <row r="204" spans="1:6">
      <c r="A204">
        <v>502</v>
      </c>
      <c r="B204">
        <v>1.1137185002735351E-4</v>
      </c>
      <c r="C204">
        <f t="shared" si="17"/>
        <v>0.7474578012760642</v>
      </c>
      <c r="D204">
        <f t="shared" si="19"/>
        <v>0.73610456928990475</v>
      </c>
      <c r="E204" s="24">
        <f t="shared" si="18"/>
        <v>0.73610456928990475</v>
      </c>
      <c r="F204" s="24"/>
    </row>
    <row r="205" spans="1:6">
      <c r="A205">
        <v>503</v>
      </c>
      <c r="B205">
        <v>1.1230424985842548E-4</v>
      </c>
      <c r="C205">
        <f t="shared" si="17"/>
        <v>0.75371548243581921</v>
      </c>
      <c r="D205">
        <f t="shared" si="19"/>
        <v>0.74193762365326688</v>
      </c>
      <c r="E205" s="24">
        <f t="shared" si="18"/>
        <v>0.74193762365326688</v>
      </c>
      <c r="F205" s="24"/>
    </row>
    <row r="206" spans="1:6">
      <c r="A206">
        <v>504</v>
      </c>
      <c r="B206">
        <v>1.131201012249221E-4</v>
      </c>
      <c r="C206">
        <f t="shared" si="17"/>
        <v>0.75919096361369187</v>
      </c>
      <c r="D206">
        <f t="shared" si="19"/>
        <v>0.74770363416228924</v>
      </c>
      <c r="E206" s="24">
        <f t="shared" si="18"/>
        <v>0.74770363416228924</v>
      </c>
      <c r="F206" s="24"/>
    </row>
    <row r="207" spans="1:6">
      <c r="A207">
        <v>505</v>
      </c>
      <c r="B207">
        <v>1.1380274915427435E-4</v>
      </c>
      <c r="C207">
        <f t="shared" si="17"/>
        <v>0.76377246711025748</v>
      </c>
      <c r="D207">
        <f t="shared" si="19"/>
        <v>0.75324615431622</v>
      </c>
      <c r="E207" s="24">
        <f t="shared" si="18"/>
        <v>0.75324615431622</v>
      </c>
      <c r="F207" s="24"/>
    </row>
    <row r="208" spans="1:6">
      <c r="A208">
        <v>506</v>
      </c>
      <c r="B208">
        <v>1.1466855090111494E-4</v>
      </c>
      <c r="C208">
        <f t="shared" si="17"/>
        <v>0.76958318382076818</v>
      </c>
      <c r="D208">
        <f t="shared" si="19"/>
        <v>0.75874397965132023</v>
      </c>
      <c r="E208" s="24">
        <f t="shared" si="18"/>
        <v>0.75874397965132023</v>
      </c>
      <c r="F208" s="24"/>
    </row>
    <row r="209" spans="1:6">
      <c r="A209">
        <v>507</v>
      </c>
      <c r="B209">
        <v>1.1561759843607434E-4</v>
      </c>
      <c r="C209">
        <f t="shared" si="17"/>
        <v>0.77595259389712945</v>
      </c>
      <c r="D209">
        <f t="shared" si="19"/>
        <v>0.76444293817553333</v>
      </c>
      <c r="E209" s="24">
        <f t="shared" si="18"/>
        <v>0.76444293817553333</v>
      </c>
      <c r="F209" s="24"/>
    </row>
    <row r="210" spans="1:6">
      <c r="A210">
        <v>508</v>
      </c>
      <c r="B210">
        <v>1.1651669922503061E-4</v>
      </c>
      <c r="C210">
        <f t="shared" si="17"/>
        <v>0.78198679283226236</v>
      </c>
      <c r="D210">
        <f t="shared" si="19"/>
        <v>0.77009720025482187</v>
      </c>
      <c r="E210" s="24">
        <f t="shared" si="18"/>
        <v>0.77009720025482187</v>
      </c>
      <c r="F210" s="24"/>
    </row>
    <row r="211" spans="1:6">
      <c r="A211">
        <v>509</v>
      </c>
      <c r="B211">
        <v>1.17265950084402E-4</v>
      </c>
      <c r="C211">
        <f t="shared" si="17"/>
        <v>0.78701529329995135</v>
      </c>
      <c r="D211">
        <f t="shared" si="19"/>
        <v>0.77566206619207378</v>
      </c>
      <c r="E211" s="24">
        <f t="shared" si="18"/>
        <v>0.77566206619207378</v>
      </c>
      <c r="F211" s="24"/>
    </row>
    <row r="212" spans="1:6">
      <c r="A212">
        <v>510</v>
      </c>
      <c r="B212">
        <v>1.1809844794333913E-4</v>
      </c>
      <c r="C212">
        <f t="shared" si="17"/>
        <v>0.79260249526396065</v>
      </c>
      <c r="D212">
        <f t="shared" si="19"/>
        <v>0.78142807182281437</v>
      </c>
      <c r="E212" s="24">
        <f t="shared" si="18"/>
        <v>0.78142807182281437</v>
      </c>
      <c r="F212" s="24"/>
    </row>
    <row r="213" spans="1:6">
      <c r="A213">
        <v>511</v>
      </c>
      <c r="B213">
        <v>1.1883104988737615E-4</v>
      </c>
      <c r="C213">
        <f t="shared" si="17"/>
        <v>0.79751925868457352</v>
      </c>
      <c r="D213">
        <f t="shared" si="19"/>
        <v>0.78701528679557542</v>
      </c>
      <c r="E213" s="24">
        <f t="shared" si="18"/>
        <v>0.78701528679557542</v>
      </c>
      <c r="F213" s="24"/>
    </row>
    <row r="214" spans="1:6">
      <c r="A214">
        <v>512</v>
      </c>
      <c r="B214">
        <v>1.1969685042276979E-4</v>
      </c>
      <c r="C214">
        <f t="shared" si="17"/>
        <v>0.80332996726461448</v>
      </c>
      <c r="D214">
        <f t="shared" si="19"/>
        <v>0.79249076146907238</v>
      </c>
      <c r="E214" s="24">
        <f t="shared" si="18"/>
        <v>0.79249076146907238</v>
      </c>
      <c r="F214" s="24"/>
    </row>
    <row r="215" spans="1:6">
      <c r="A215">
        <v>513</v>
      </c>
      <c r="B215">
        <v>1.2057930108494475E-4</v>
      </c>
      <c r="C215">
        <f t="shared" si="17"/>
        <v>0.8092524210222013</v>
      </c>
      <c r="D215">
        <f t="shared" si="19"/>
        <v>0.79794388710706021</v>
      </c>
      <c r="E215" s="24">
        <f t="shared" si="18"/>
        <v>0.79794388710706021</v>
      </c>
      <c r="F215" s="24"/>
    </row>
    <row r="216" spans="1:6">
      <c r="A216">
        <v>514</v>
      </c>
      <c r="B216">
        <v>1.2159495154992328E-4</v>
      </c>
      <c r="C216">
        <f t="shared" si="17"/>
        <v>0.81606882806968606</v>
      </c>
      <c r="D216">
        <f t="shared" si="19"/>
        <v>0.80375459406100713</v>
      </c>
      <c r="E216" s="24">
        <f t="shared" si="18"/>
        <v>0.80375459406100713</v>
      </c>
      <c r="F216" s="24"/>
    </row>
    <row r="217" spans="1:6">
      <c r="A217">
        <v>515</v>
      </c>
      <c r="B217">
        <v>1.2224430286005372E-4</v>
      </c>
      <c r="C217">
        <f t="shared" si="17"/>
        <v>0.82042686560256917</v>
      </c>
      <c r="D217">
        <f t="shared" si="19"/>
        <v>0.80931946812872901</v>
      </c>
      <c r="E217" s="24">
        <f t="shared" si="18"/>
        <v>0.80931946812872901</v>
      </c>
      <c r="F217" s="24"/>
    </row>
    <row r="218" spans="1:6">
      <c r="A218">
        <v>516</v>
      </c>
      <c r="B218">
        <v>1.2317669905678489E-4</v>
      </c>
      <c r="C218">
        <f t="shared" si="17"/>
        <v>0.82668452237091472</v>
      </c>
      <c r="D218">
        <f t="shared" si="19"/>
        <v>0.81515252086599721</v>
      </c>
      <c r="E218" s="24">
        <f t="shared" si="18"/>
        <v>0.81515252086599721</v>
      </c>
      <c r="F218" s="24"/>
    </row>
    <row r="219" spans="1:6">
      <c r="A219">
        <v>517</v>
      </c>
      <c r="B219">
        <v>1.2375945107123698E-4</v>
      </c>
      <c r="C219">
        <f t="shared" si="17"/>
        <v>0.83059558732408367</v>
      </c>
      <c r="D219">
        <f t="shared" si="19"/>
        <v>0.82060564487789089</v>
      </c>
      <c r="E219" s="24">
        <f t="shared" si="18"/>
        <v>0.82060564487789089</v>
      </c>
      <c r="F219" s="24"/>
    </row>
    <row r="220" spans="1:6">
      <c r="A220">
        <v>518</v>
      </c>
      <c r="B220">
        <v>1.2459194893017412E-4</v>
      </c>
      <c r="C220">
        <f t="shared" si="17"/>
        <v>0.83618278928809298</v>
      </c>
      <c r="D220">
        <f t="shared" si="19"/>
        <v>0.82599171853106923</v>
      </c>
      <c r="E220" s="24">
        <f t="shared" si="18"/>
        <v>0.82599171853106923</v>
      </c>
      <c r="F220" s="24"/>
    </row>
    <row r="221" spans="1:6">
      <c r="A221">
        <v>519</v>
      </c>
      <c r="B221">
        <v>1.2512474814138839E-4</v>
      </c>
      <c r="C221">
        <f t="shared" si="17"/>
        <v>0.8397586024476843</v>
      </c>
      <c r="D221">
        <f t="shared" si="19"/>
        <v>0.83072967340666892</v>
      </c>
      <c r="E221" s="24">
        <f t="shared" si="18"/>
        <v>0.83072967340666892</v>
      </c>
      <c r="F221" s="24"/>
    </row>
    <row r="222" spans="1:6">
      <c r="A222">
        <v>520</v>
      </c>
      <c r="B222">
        <v>1.2592395180399763E-4</v>
      </c>
      <c r="C222">
        <f t="shared" si="17"/>
        <v>0.84512235470895103</v>
      </c>
      <c r="D222">
        <f t="shared" si="19"/>
        <v>0.83566877122794536</v>
      </c>
      <c r="E222" s="24">
        <f t="shared" si="18"/>
        <v>0.83566877122794536</v>
      </c>
      <c r="F222" s="24"/>
    </row>
    <row r="223" spans="1:6">
      <c r="A223">
        <v>521</v>
      </c>
      <c r="B223">
        <v>1.2670649564824998E-4</v>
      </c>
      <c r="C223">
        <f t="shared" si="17"/>
        <v>0.85037429674891285</v>
      </c>
      <c r="D223">
        <f t="shared" si="19"/>
        <v>0.84040672610354483</v>
      </c>
      <c r="E223" s="24">
        <f t="shared" si="18"/>
        <v>0.84040672610354483</v>
      </c>
      <c r="F223" s="24"/>
    </row>
    <row r="224" spans="1:6">
      <c r="A224">
        <v>522</v>
      </c>
      <c r="B224">
        <v>1.276389003251097E-4</v>
      </c>
      <c r="C224">
        <f t="shared" si="17"/>
        <v>0.85663201043054704</v>
      </c>
      <c r="D224">
        <f t="shared" si="19"/>
        <v>0.84561401072483766</v>
      </c>
      <c r="E224" s="24">
        <f t="shared" si="18"/>
        <v>0.84561401072483766</v>
      </c>
      <c r="F224" s="24"/>
    </row>
    <row r="225" spans="1:6">
      <c r="A225">
        <v>523</v>
      </c>
      <c r="B225">
        <v>1.2833820080413716E-4</v>
      </c>
      <c r="C225">
        <f t="shared" si="17"/>
        <v>0.86132527536559833</v>
      </c>
      <c r="D225">
        <f t="shared" si="19"/>
        <v>0.85064250794033869</v>
      </c>
      <c r="E225" s="24">
        <f t="shared" si="18"/>
        <v>0.85064250794033869</v>
      </c>
      <c r="F225" s="24"/>
    </row>
    <row r="226" spans="1:6">
      <c r="A226">
        <v>524</v>
      </c>
      <c r="B226">
        <v>1.291040969445021E-4</v>
      </c>
      <c r="C226">
        <f t="shared" si="17"/>
        <v>0.86646548848895399</v>
      </c>
      <c r="D226">
        <f t="shared" si="19"/>
        <v>0.85598388514859258</v>
      </c>
      <c r="E226" s="24">
        <f t="shared" si="18"/>
        <v>0.85598388514859258</v>
      </c>
      <c r="F226" s="24"/>
    </row>
    <row r="227" spans="1:6">
      <c r="A227">
        <v>525</v>
      </c>
      <c r="B227">
        <v>1.2980339984642342E-4</v>
      </c>
      <c r="C227">
        <f t="shared" si="17"/>
        <v>0.87115876968494477</v>
      </c>
      <c r="D227">
        <f t="shared" si="19"/>
        <v>0.86119116814379137</v>
      </c>
      <c r="E227" s="24">
        <f t="shared" si="18"/>
        <v>0.86119116814379137</v>
      </c>
      <c r="F227" s="24"/>
    </row>
    <row r="228" spans="1:6">
      <c r="A228">
        <v>526</v>
      </c>
      <c r="B228">
        <v>1.3051934802933829E-4</v>
      </c>
      <c r="C228">
        <f t="shared" si="17"/>
        <v>0.8759637635366021</v>
      </c>
      <c r="D228">
        <f t="shared" si="19"/>
        <v>0.86630906150132925</v>
      </c>
      <c r="E228" s="24">
        <f t="shared" si="18"/>
        <v>0.86630906150132925</v>
      </c>
      <c r="F228" s="24"/>
    </row>
    <row r="229" spans="1:6">
      <c r="A229">
        <v>527</v>
      </c>
      <c r="B229">
        <v>1.3113539787445915E-4</v>
      </c>
      <c r="C229">
        <f t="shared" si="17"/>
        <v>0.88009830258392341</v>
      </c>
      <c r="D229">
        <f t="shared" si="19"/>
        <v>0.8710023199320045</v>
      </c>
      <c r="E229" s="24">
        <f t="shared" si="18"/>
        <v>0.8710023199320045</v>
      </c>
      <c r="F229" s="24"/>
    </row>
    <row r="230" spans="1:6">
      <c r="A230">
        <v>528</v>
      </c>
      <c r="B230">
        <v>1.3180140294571173E-4</v>
      </c>
      <c r="C230">
        <f t="shared" si="17"/>
        <v>0.88456810968576194</v>
      </c>
      <c r="D230">
        <f t="shared" si="19"/>
        <v>0.8756508867960372</v>
      </c>
      <c r="E230" s="24">
        <f t="shared" si="18"/>
        <v>0.8756508867960372</v>
      </c>
      <c r="F230" s="24"/>
    </row>
    <row r="231" spans="1:6">
      <c r="A231">
        <v>529</v>
      </c>
      <c r="B231">
        <v>1.3248404845217008E-4</v>
      </c>
      <c r="C231">
        <f t="shared" si="17"/>
        <v>0.88914959692138762</v>
      </c>
      <c r="D231">
        <f t="shared" si="19"/>
        <v>0.88018770848252392</v>
      </c>
      <c r="E231" s="24">
        <f t="shared" si="18"/>
        <v>0.88018770848252392</v>
      </c>
      <c r="F231" s="24"/>
    </row>
    <row r="232" spans="1:6">
      <c r="A232">
        <v>530</v>
      </c>
      <c r="B232">
        <v>1.3311674842407225E-4</v>
      </c>
      <c r="C232">
        <f t="shared" si="17"/>
        <v>0.89339588114625479</v>
      </c>
      <c r="D232">
        <f t="shared" si="19"/>
        <v>0.88463513077478595</v>
      </c>
      <c r="E232" s="24">
        <f t="shared" si="18"/>
        <v>0.88463513077478595</v>
      </c>
      <c r="F232" s="24"/>
    </row>
    <row r="233" spans="1:6">
      <c r="A233">
        <v>531</v>
      </c>
      <c r="B233">
        <v>1.3374945324176225E-4</v>
      </c>
      <c r="C233">
        <f t="shared" si="17"/>
        <v>0.8976421978930017</v>
      </c>
      <c r="D233">
        <f t="shared" si="19"/>
        <v>0.88897081764606578</v>
      </c>
      <c r="E233" s="24">
        <f t="shared" si="18"/>
        <v>0.88897081764606578</v>
      </c>
      <c r="F233" s="24"/>
    </row>
    <row r="234" spans="1:6">
      <c r="A234">
        <v>532</v>
      </c>
      <c r="B234">
        <v>1.3463189542380861E-4</v>
      </c>
      <c r="C234">
        <f t="shared" si="17"/>
        <v>0.90356459473729966</v>
      </c>
      <c r="D234">
        <f t="shared" si="19"/>
        <v>0.89366407607674125</v>
      </c>
      <c r="E234" s="24">
        <f t="shared" si="18"/>
        <v>0.89366407607674125</v>
      </c>
      <c r="F234" s="24"/>
    </row>
    <row r="235" spans="1:6">
      <c r="A235">
        <v>533</v>
      </c>
      <c r="B235">
        <v>1.3506479872012279E-4</v>
      </c>
      <c r="C235">
        <f t="shared" si="17"/>
        <v>0.90646996935349478</v>
      </c>
      <c r="D235">
        <f t="shared" si="19"/>
        <v>0.89804444801028771</v>
      </c>
      <c r="E235" s="24">
        <f t="shared" si="18"/>
        <v>0.89804444801028771</v>
      </c>
      <c r="F235" s="24"/>
    </row>
    <row r="236" spans="1:6">
      <c r="A236">
        <v>534</v>
      </c>
      <c r="B236">
        <v>1.3591395276307594E-4</v>
      </c>
      <c r="C236">
        <f t="shared" si="17"/>
        <v>0.91216895714739921</v>
      </c>
      <c r="D236">
        <f t="shared" si="19"/>
        <v>0.90264832005549001</v>
      </c>
      <c r="E236" s="24">
        <f t="shared" si="18"/>
        <v>0.90264832005549001</v>
      </c>
      <c r="F236" s="24"/>
    </row>
    <row r="237" spans="1:6">
      <c r="A237">
        <v>535</v>
      </c>
      <c r="B237">
        <v>1.3651335005852161E-4</v>
      </c>
      <c r="C237">
        <f t="shared" si="17"/>
        <v>0.91619173475623494</v>
      </c>
      <c r="D237">
        <f t="shared" si="19"/>
        <v>0.90720749077748608</v>
      </c>
      <c r="E237" s="24">
        <f t="shared" si="18"/>
        <v>0.90720749077748608</v>
      </c>
      <c r="F237" s="24"/>
    </row>
    <row r="238" spans="1:6">
      <c r="A238">
        <v>536</v>
      </c>
      <c r="B238">
        <v>1.3714605003042381E-4</v>
      </c>
      <c r="C238">
        <f t="shared" si="17"/>
        <v>0.92043801898110222</v>
      </c>
      <c r="D238">
        <f t="shared" si="19"/>
        <v>0.91176665499510601</v>
      </c>
      <c r="E238" s="24">
        <f t="shared" si="18"/>
        <v>0.91176665499510601</v>
      </c>
      <c r="F238" s="24"/>
    </row>
    <row r="239" spans="1:6">
      <c r="A239">
        <v>537</v>
      </c>
      <c r="B239">
        <v>1.3799520165048309E-4</v>
      </c>
      <c r="C239">
        <f t="shared" si="17"/>
        <v>0.92613699051406706</v>
      </c>
      <c r="D239">
        <f t="shared" si="19"/>
        <v>0.91628113415045964</v>
      </c>
      <c r="E239" s="24">
        <f t="shared" si="18"/>
        <v>0.91628113415045964</v>
      </c>
      <c r="F239" s="24"/>
    </row>
    <row r="240" spans="1:6">
      <c r="A240">
        <v>538</v>
      </c>
      <c r="B240">
        <v>1.3854464614269091E-4</v>
      </c>
      <c r="C240">
        <f t="shared" si="17"/>
        <v>0.92982451632932506</v>
      </c>
      <c r="D240">
        <f t="shared" si="19"/>
        <v>0.92095204354562576</v>
      </c>
      <c r="E240" s="24">
        <f t="shared" si="18"/>
        <v>0.92095204354562576</v>
      </c>
      <c r="F240" s="24"/>
    </row>
    <row r="241" spans="1:6">
      <c r="A241">
        <v>539</v>
      </c>
      <c r="B241">
        <v>1.3927725172106873E-4</v>
      </c>
      <c r="C241">
        <f t="shared" si="17"/>
        <v>0.93474130414134726</v>
      </c>
      <c r="D241">
        <f t="shared" si="19"/>
        <v>0.9254665129444154</v>
      </c>
      <c r="E241" s="24">
        <f t="shared" si="18"/>
        <v>0.9254665129444154</v>
      </c>
      <c r="F241" s="24"/>
    </row>
    <row r="242" spans="1:6">
      <c r="A242">
        <v>540</v>
      </c>
      <c r="B242">
        <v>1.400431478614337E-4</v>
      </c>
      <c r="C242">
        <f t="shared" si="17"/>
        <v>0.93988151726470315</v>
      </c>
      <c r="D242">
        <f t="shared" si="19"/>
        <v>0.93020446944610879</v>
      </c>
      <c r="E242" s="24">
        <f t="shared" si="18"/>
        <v>0.93020446944610879</v>
      </c>
      <c r="F242" s="24"/>
    </row>
    <row r="243" spans="1:6">
      <c r="A243">
        <v>541</v>
      </c>
      <c r="B243">
        <v>1.4055929694586669E-4</v>
      </c>
      <c r="C243">
        <f t="shared" si="17"/>
        <v>0.94334558524674883</v>
      </c>
      <c r="D243">
        <f t="shared" si="19"/>
        <v>0.9347859826992384</v>
      </c>
      <c r="E243" s="24">
        <f t="shared" si="18"/>
        <v>0.9347859826992384</v>
      </c>
      <c r="F243" s="24"/>
    </row>
    <row r="244" spans="1:6">
      <c r="A244">
        <v>542</v>
      </c>
      <c r="B244">
        <v>1.4089229948149296E-4</v>
      </c>
      <c r="C244">
        <f t="shared" si="17"/>
        <v>0.94558048879766787</v>
      </c>
      <c r="D244">
        <f t="shared" si="19"/>
        <v>0.93867468235595841</v>
      </c>
      <c r="E244" s="24">
        <f t="shared" si="18"/>
        <v>0.93867468235595841</v>
      </c>
      <c r="F244" s="24"/>
    </row>
    <row r="245" spans="1:6">
      <c r="A245">
        <v>543</v>
      </c>
      <c r="B245">
        <v>1.4174145110155224E-4</v>
      </c>
      <c r="C245">
        <f t="shared" si="17"/>
        <v>0.95127946033063271</v>
      </c>
      <c r="D245">
        <f t="shared" si="19"/>
        <v>0.94296567115621988</v>
      </c>
      <c r="E245" s="24">
        <f t="shared" si="18"/>
        <v>0.94296567115621988</v>
      </c>
      <c r="F245" s="24"/>
    </row>
    <row r="246" spans="1:6">
      <c r="A246">
        <v>544</v>
      </c>
      <c r="B246">
        <v>1.4219100210175386E-4</v>
      </c>
      <c r="C246">
        <f t="shared" si="17"/>
        <v>0.9542965638634342</v>
      </c>
      <c r="D246">
        <f t="shared" si="19"/>
        <v>0.94687672310063731</v>
      </c>
      <c r="E246" s="24">
        <f t="shared" si="18"/>
        <v>0.94687672310063731</v>
      </c>
      <c r="F246" s="24"/>
    </row>
    <row r="247" spans="1:6">
      <c r="A247">
        <v>545</v>
      </c>
      <c r="B247">
        <v>1.4280704952398084E-4</v>
      </c>
      <c r="C247">
        <f t="shared" si="17"/>
        <v>0.95843108664981569</v>
      </c>
      <c r="D247">
        <f t="shared" si="19"/>
        <v>0.95058663697765977</v>
      </c>
      <c r="E247" s="24">
        <f t="shared" si="18"/>
        <v>0.95058663697765977</v>
      </c>
      <c r="F247" s="24"/>
    </row>
    <row r="248" spans="1:6">
      <c r="A248">
        <v>546</v>
      </c>
      <c r="B248">
        <v>1.4355630280624609E-4</v>
      </c>
      <c r="C248">
        <f t="shared" si="17"/>
        <v>0.96345960337844427</v>
      </c>
      <c r="D248">
        <f t="shared" si="19"/>
        <v>0.95460944060399888</v>
      </c>
      <c r="E248" s="24">
        <f t="shared" si="18"/>
        <v>0.95460944060399888</v>
      </c>
      <c r="F248" s="24"/>
    </row>
    <row r="249" spans="1:6">
      <c r="A249">
        <v>547</v>
      </c>
      <c r="B249">
        <v>1.4413904755201655E-4</v>
      </c>
      <c r="C249">
        <f t="shared" si="17"/>
        <v>0.96737061954879422</v>
      </c>
      <c r="D249">
        <f t="shared" si="19"/>
        <v>0.95896746675422428</v>
      </c>
      <c r="E249" s="24">
        <f t="shared" si="18"/>
        <v>0.95896746675422428</v>
      </c>
      <c r="F249" s="24"/>
    </row>
    <row r="250" spans="1:6">
      <c r="A250">
        <v>548</v>
      </c>
      <c r="B250">
        <v>1.4472179956646867E-4</v>
      </c>
      <c r="C250">
        <f t="shared" si="17"/>
        <v>0.97128168450196328</v>
      </c>
      <c r="D250">
        <f t="shared" si="19"/>
        <v>0.96296791158849027</v>
      </c>
      <c r="E250" s="24">
        <f t="shared" si="18"/>
        <v>0.96296791158849027</v>
      </c>
      <c r="F250" s="24"/>
    </row>
    <row r="251" spans="1:6">
      <c r="A251">
        <v>549</v>
      </c>
      <c r="B251">
        <v>1.452878990312456E-4</v>
      </c>
      <c r="C251">
        <f t="shared" si="17"/>
        <v>0.97508098801664667</v>
      </c>
      <c r="D251">
        <f t="shared" si="19"/>
        <v>0.96712479641913285</v>
      </c>
      <c r="E251" s="24">
        <f t="shared" si="18"/>
        <v>0.96712479641913285</v>
      </c>
      <c r="F251" s="24"/>
    </row>
    <row r="252" spans="1:6">
      <c r="A252">
        <v>550</v>
      </c>
      <c r="B252">
        <v>1.459205990031478E-4</v>
      </c>
      <c r="C252">
        <f t="shared" si="17"/>
        <v>0.97932727224151406</v>
      </c>
      <c r="D252">
        <f t="shared" si="19"/>
        <v>0.97130403353747252</v>
      </c>
      <c r="E252" s="24">
        <f t="shared" si="18"/>
        <v>0.97130403353747252</v>
      </c>
      <c r="F252" s="24"/>
    </row>
    <row r="253" spans="1:6">
      <c r="A253">
        <v>551</v>
      </c>
      <c r="B253">
        <v>1.4661989948217525E-4</v>
      </c>
      <c r="C253">
        <f t="shared" si="17"/>
        <v>0.98402053717656524</v>
      </c>
      <c r="D253">
        <f t="shared" si="19"/>
        <v>0.97541622029709674</v>
      </c>
      <c r="E253" s="24">
        <f t="shared" si="18"/>
        <v>0.97541622029709674</v>
      </c>
      <c r="F253" s="24"/>
    </row>
    <row r="254" spans="1:6">
      <c r="A254">
        <v>552</v>
      </c>
      <c r="B254">
        <v>1.4723595175018998E-4</v>
      </c>
      <c r="C254">
        <f t="shared" si="17"/>
        <v>0.98815509248482603</v>
      </c>
      <c r="D254">
        <f t="shared" si="19"/>
        <v>0.97957311488430299</v>
      </c>
      <c r="E254" s="24">
        <f t="shared" si="18"/>
        <v>0.97957311488430299</v>
      </c>
      <c r="F254" s="24"/>
    </row>
    <row r="255" spans="1:6">
      <c r="A255">
        <v>553</v>
      </c>
      <c r="B255">
        <v>1.4766884777782252E-4</v>
      </c>
      <c r="C255">
        <f t="shared" si="17"/>
        <v>0.99106041831820224</v>
      </c>
      <c r="D255">
        <f t="shared" si="19"/>
        <v>0.98352886164755071</v>
      </c>
      <c r="E255" s="24">
        <f t="shared" si="18"/>
        <v>0.98352886164755071</v>
      </c>
      <c r="F255" s="24"/>
    </row>
    <row r="256" spans="1:6">
      <c r="A256">
        <v>554</v>
      </c>
      <c r="B256">
        <v>1.4833484800328735E-4</v>
      </c>
      <c r="C256">
        <f t="shared" si="17"/>
        <v>0.99553019289816147</v>
      </c>
      <c r="D256">
        <f t="shared" si="19"/>
        <v>0.98761870262385387</v>
      </c>
      <c r="E256" s="24">
        <f t="shared" si="18"/>
        <v>0.98761870262385387</v>
      </c>
      <c r="F256" s="24"/>
    </row>
    <row r="257" spans="1:6">
      <c r="A257">
        <v>555</v>
      </c>
      <c r="B257">
        <v>1.4900085307453993E-4</v>
      </c>
      <c r="C257">
        <f t="shared" si="17"/>
        <v>1</v>
      </c>
      <c r="D257">
        <f t="shared" si="19"/>
        <v>0.99175324817555099</v>
      </c>
      <c r="E257" s="24">
        <f t="shared" si="18"/>
        <v>0.99175324817555099</v>
      </c>
      <c r="F257" s="24"/>
    </row>
    <row r="258" spans="1:6">
      <c r="A258">
        <v>556</v>
      </c>
      <c r="B258">
        <v>1.4961690291966079E-4</v>
      </c>
      <c r="C258">
        <f t="shared" si="17"/>
        <v>1.0041345390473213</v>
      </c>
      <c r="D258">
        <f t="shared" si="19"/>
        <v>0.99577604854970225</v>
      </c>
      <c r="E258" s="24">
        <f t="shared" si="18"/>
        <v>0.99577604854970225</v>
      </c>
      <c r="F258" s="24"/>
    </row>
    <row r="259" spans="1:6">
      <c r="A259">
        <v>557</v>
      </c>
      <c r="B259">
        <v>1.5021629779221255E-4</v>
      </c>
      <c r="C259">
        <f t="shared" ref="C259:C322" si="20">B259/B$257</f>
        <v>1.0081573003952171</v>
      </c>
      <c r="D259">
        <f t="shared" si="19"/>
        <v>0.99977649013178049</v>
      </c>
      <c r="E259" s="24">
        <f t="shared" ref="E259:E322" si="21">MAX(D259,E$1)</f>
        <v>0.99977649013178049</v>
      </c>
      <c r="F259" s="24"/>
    </row>
    <row r="260" spans="1:6">
      <c r="A260">
        <v>558</v>
      </c>
      <c r="B260">
        <v>1.5086565273668385E-4</v>
      </c>
      <c r="C260">
        <f t="shared" si="20"/>
        <v>1.0125153623195098</v>
      </c>
      <c r="D260">
        <f t="shared" si="19"/>
        <v>1.0040674789320421</v>
      </c>
      <c r="E260" s="24">
        <f t="shared" si="21"/>
        <v>1.0040674789320421</v>
      </c>
      <c r="F260" s="24"/>
    </row>
    <row r="261" spans="1:6">
      <c r="A261">
        <v>559</v>
      </c>
      <c r="B261">
        <v>1.5121530055330369E-4</v>
      </c>
      <c r="C261">
        <f t="shared" si="20"/>
        <v>1.0148619785260957</v>
      </c>
      <c r="D261">
        <f t="shared" si="19"/>
        <v>1.0079338360576287</v>
      </c>
      <c r="E261" s="24">
        <f t="shared" si="21"/>
        <v>1.0079338360576287</v>
      </c>
      <c r="F261" s="24"/>
    </row>
    <row r="262" spans="1:6">
      <c r="A262">
        <v>560</v>
      </c>
      <c r="B262">
        <v>1.517647474684054E-4</v>
      </c>
      <c r="C262">
        <f t="shared" si="20"/>
        <v>1.0185495206022934</v>
      </c>
      <c r="D262">
        <f t="shared" si="19"/>
        <v>1.0116437401780876</v>
      </c>
      <c r="E262" s="24">
        <f t="shared" si="21"/>
        <v>1.0116437401780876</v>
      </c>
      <c r="F262" s="24"/>
    </row>
    <row r="263" spans="1:6">
      <c r="A263">
        <v>561</v>
      </c>
      <c r="B263">
        <v>1.5228089897573226E-4</v>
      </c>
      <c r="C263">
        <f t="shared" si="20"/>
        <v>1.0220136048452786</v>
      </c>
      <c r="D263">
        <f t="shared" ref="D263:D326" si="22">AVERAGE(C259:C263)</f>
        <v>1.0152195533376791</v>
      </c>
      <c r="E263" s="24">
        <f t="shared" si="21"/>
        <v>1.0152195533376791</v>
      </c>
      <c r="F263" s="24"/>
    </row>
    <row r="264" spans="1:6">
      <c r="A264">
        <v>562</v>
      </c>
      <c r="B264">
        <v>1.5291360379342223E-4</v>
      </c>
      <c r="C264">
        <f t="shared" si="20"/>
        <v>1.0262599215920254</v>
      </c>
      <c r="D264">
        <f t="shared" si="22"/>
        <v>1.0188400775770405</v>
      </c>
      <c r="E264" s="24">
        <f t="shared" si="21"/>
        <v>1.0188400775770405</v>
      </c>
      <c r="F264" s="24"/>
    </row>
    <row r="265" spans="1:6">
      <c r="A265">
        <v>563</v>
      </c>
      <c r="B265">
        <v>1.5356294662342406E-4</v>
      </c>
      <c r="C265">
        <f t="shared" si="20"/>
        <v>1.0306179022116193</v>
      </c>
      <c r="D265">
        <f t="shared" si="22"/>
        <v>1.0224605855554627</v>
      </c>
      <c r="E265" s="24">
        <f t="shared" si="21"/>
        <v>1.0224605855554627</v>
      </c>
      <c r="F265" s="24"/>
    </row>
    <row r="266" spans="1:6">
      <c r="A266">
        <v>564</v>
      </c>
      <c r="B266">
        <v>1.5404579787718829E-4</v>
      </c>
      <c r="C266">
        <f t="shared" si="20"/>
        <v>1.0338584960995125</v>
      </c>
      <c r="D266">
        <f t="shared" si="22"/>
        <v>1.0262598890701458</v>
      </c>
      <c r="E266" s="24">
        <f t="shared" si="21"/>
        <v>1.0262598890701458</v>
      </c>
      <c r="F266" s="24"/>
    </row>
    <row r="267" spans="1:6">
      <c r="A267">
        <v>565</v>
      </c>
      <c r="B267">
        <v>1.5456195180740904E-4</v>
      </c>
      <c r="C267">
        <f t="shared" si="20"/>
        <v>1.0373225966034374</v>
      </c>
      <c r="D267">
        <f t="shared" si="22"/>
        <v>1.0300145042703746</v>
      </c>
      <c r="E267" s="24">
        <f t="shared" si="21"/>
        <v>1.0300145042703746</v>
      </c>
      <c r="F267" s="24"/>
    </row>
    <row r="268" spans="1:6">
      <c r="A268">
        <v>566</v>
      </c>
      <c r="B268">
        <v>1.5519465177931126E-4</v>
      </c>
      <c r="C268">
        <f t="shared" si="20"/>
        <v>1.041568880828305</v>
      </c>
      <c r="D268">
        <f t="shared" si="22"/>
        <v>1.0339255594669798</v>
      </c>
      <c r="E268" s="24">
        <f t="shared" si="21"/>
        <v>1.0339255594669798</v>
      </c>
      <c r="F268" s="24"/>
    </row>
    <row r="269" spans="1:6">
      <c r="A269">
        <v>567</v>
      </c>
      <c r="B269">
        <v>1.5567749818728774E-4</v>
      </c>
      <c r="C269">
        <f t="shared" si="20"/>
        <v>1.044809442194319</v>
      </c>
      <c r="D269">
        <f t="shared" si="22"/>
        <v>1.0376354635874387</v>
      </c>
      <c r="E269" s="24">
        <f t="shared" si="21"/>
        <v>1.0376354635874387</v>
      </c>
      <c r="F269" s="24"/>
    </row>
    <row r="270" spans="1:6">
      <c r="A270">
        <v>568</v>
      </c>
      <c r="B270">
        <v>1.5617699956783327E-4</v>
      </c>
      <c r="C270">
        <f t="shared" si="20"/>
        <v>1.0481617812597581</v>
      </c>
      <c r="D270">
        <f t="shared" si="22"/>
        <v>1.0411442393970662</v>
      </c>
      <c r="E270" s="24">
        <f t="shared" si="21"/>
        <v>1.0411442393970662</v>
      </c>
      <c r="F270" s="24"/>
    </row>
    <row r="271" spans="1:6">
      <c r="A271">
        <v>569</v>
      </c>
      <c r="B271">
        <v>1.5675974915939153E-4</v>
      </c>
      <c r="C271">
        <f t="shared" si="20"/>
        <v>1.0520728299519875</v>
      </c>
      <c r="D271">
        <f t="shared" si="22"/>
        <v>1.0447871061675613</v>
      </c>
      <c r="E271" s="24">
        <f t="shared" si="21"/>
        <v>1.0447871061675613</v>
      </c>
      <c r="F271" s="24"/>
    </row>
    <row r="272" spans="1:6">
      <c r="A272">
        <v>570</v>
      </c>
      <c r="B272">
        <v>1.5704280131467385E-4</v>
      </c>
      <c r="C272">
        <f t="shared" si="20"/>
        <v>1.0539724979702687</v>
      </c>
      <c r="D272">
        <f t="shared" si="22"/>
        <v>1.0481170864409277</v>
      </c>
      <c r="E272" s="24">
        <f t="shared" si="21"/>
        <v>1.0481170864409277</v>
      </c>
      <c r="F272" s="24"/>
    </row>
    <row r="273" spans="1:6">
      <c r="A273">
        <v>571</v>
      </c>
      <c r="B273">
        <v>1.5757559568010037E-4</v>
      </c>
      <c r="C273">
        <f t="shared" si="20"/>
        <v>1.0575482786079808</v>
      </c>
      <c r="D273">
        <f t="shared" si="22"/>
        <v>1.0513129659968627</v>
      </c>
      <c r="E273" s="24">
        <f t="shared" si="21"/>
        <v>1.0513129659968627</v>
      </c>
      <c r="F273" s="24"/>
    </row>
    <row r="274" spans="1:6">
      <c r="A274">
        <v>572</v>
      </c>
      <c r="B274">
        <v>1.5785864783538273E-4</v>
      </c>
      <c r="C274">
        <f t="shared" si="20"/>
        <v>1.0594479466262623</v>
      </c>
      <c r="D274">
        <f t="shared" si="22"/>
        <v>1.0542406668832514</v>
      </c>
      <c r="E274" s="24">
        <f t="shared" si="21"/>
        <v>1.0542406668832514</v>
      </c>
      <c r="F274" s="24"/>
    </row>
    <row r="275" spans="1:6">
      <c r="A275">
        <v>573</v>
      </c>
      <c r="B275">
        <v>1.5825825087813425E-4</v>
      </c>
      <c r="C275">
        <f t="shared" si="20"/>
        <v>1.0621298308873652</v>
      </c>
      <c r="D275">
        <f t="shared" si="22"/>
        <v>1.057034276808773</v>
      </c>
      <c r="E275" s="24">
        <f t="shared" si="21"/>
        <v>1.057034276808773</v>
      </c>
      <c r="F275" s="24"/>
    </row>
    <row r="276" spans="1:6">
      <c r="A276">
        <v>574</v>
      </c>
      <c r="B276">
        <v>1.5874110213189851E-4</v>
      </c>
      <c r="C276">
        <f t="shared" si="20"/>
        <v>1.0653704247752587</v>
      </c>
      <c r="D276">
        <f t="shared" si="22"/>
        <v>1.0596937957734269</v>
      </c>
      <c r="E276" s="24">
        <f t="shared" si="21"/>
        <v>1.0596937957734269</v>
      </c>
      <c r="F276" s="24"/>
    </row>
    <row r="277" spans="1:6">
      <c r="A277">
        <v>575</v>
      </c>
      <c r="B277">
        <v>1.5912405020208098E-4</v>
      </c>
      <c r="C277">
        <f t="shared" si="20"/>
        <v>1.0679405313369366</v>
      </c>
      <c r="D277">
        <f t="shared" si="22"/>
        <v>1.0624874024467608</v>
      </c>
      <c r="E277" s="24">
        <f t="shared" si="21"/>
        <v>1.0624874024467608</v>
      </c>
      <c r="F277" s="24"/>
    </row>
    <row r="278" spans="1:6">
      <c r="A278">
        <v>576</v>
      </c>
      <c r="B278">
        <v>1.5959024648327613E-4</v>
      </c>
      <c r="C278">
        <f t="shared" si="20"/>
        <v>1.0710693475254045</v>
      </c>
      <c r="D278">
        <f t="shared" si="22"/>
        <v>1.0651916162302455</v>
      </c>
      <c r="E278" s="24">
        <f t="shared" si="21"/>
        <v>1.0651916162302455</v>
      </c>
      <c r="F278" s="24"/>
    </row>
    <row r="279" spans="1:6">
      <c r="A279">
        <v>577</v>
      </c>
      <c r="B279">
        <v>1.6002314977959031E-4</v>
      </c>
      <c r="C279">
        <f t="shared" si="20"/>
        <v>1.0739747221415996</v>
      </c>
      <c r="D279">
        <f t="shared" si="22"/>
        <v>1.0680969713333128</v>
      </c>
      <c r="E279" s="24">
        <f t="shared" si="21"/>
        <v>1.0680969713333128</v>
      </c>
      <c r="F279" s="24"/>
    </row>
    <row r="280" spans="1:6">
      <c r="A280">
        <v>578</v>
      </c>
      <c r="B280">
        <v>1.6052265358302976E-4</v>
      </c>
      <c r="C280">
        <f t="shared" si="20"/>
        <v>1.0773270774679784</v>
      </c>
      <c r="D280">
        <f t="shared" si="22"/>
        <v>1.0711364206494356</v>
      </c>
      <c r="E280" s="24">
        <f t="shared" si="21"/>
        <v>1.0711364206494356</v>
      </c>
      <c r="F280" s="24"/>
    </row>
    <row r="281" spans="1:6">
      <c r="A281">
        <v>579</v>
      </c>
      <c r="B281">
        <v>1.6095554961066227E-4</v>
      </c>
      <c r="C281">
        <f t="shared" si="20"/>
        <v>1.0802324033013544</v>
      </c>
      <c r="D281">
        <f t="shared" si="22"/>
        <v>1.0741088163546546</v>
      </c>
      <c r="E281" s="24">
        <f t="shared" si="21"/>
        <v>1.0741088163546546</v>
      </c>
      <c r="F281" s="24"/>
    </row>
    <row r="282" spans="1:6">
      <c r="A282">
        <v>580</v>
      </c>
      <c r="B282">
        <v>1.6133849768084474E-4</v>
      </c>
      <c r="C282">
        <f t="shared" si="20"/>
        <v>1.0828025098630323</v>
      </c>
      <c r="D282">
        <f t="shared" si="22"/>
        <v>1.0770812120598738</v>
      </c>
      <c r="E282" s="24">
        <f t="shared" si="21"/>
        <v>1.0770812120598738</v>
      </c>
      <c r="F282" s="24"/>
    </row>
    <row r="283" spans="1:6">
      <c r="A283">
        <v>581</v>
      </c>
      <c r="B283">
        <v>1.6162154741323318E-4</v>
      </c>
      <c r="C283">
        <f t="shared" si="20"/>
        <v>1.0847021616203738</v>
      </c>
      <c r="D283">
        <f t="shared" si="22"/>
        <v>1.0798077748788679</v>
      </c>
      <c r="E283" s="24">
        <f t="shared" si="21"/>
        <v>1.0798077748788679</v>
      </c>
      <c r="F283" s="24"/>
    </row>
    <row r="284" spans="1:6">
      <c r="A284">
        <v>582</v>
      </c>
      <c r="B284">
        <v>1.6228755248448579E-4</v>
      </c>
      <c r="C284">
        <f t="shared" si="20"/>
        <v>1.0891719687222126</v>
      </c>
      <c r="D284">
        <f t="shared" si="22"/>
        <v>1.0828472241949902</v>
      </c>
      <c r="E284" s="24">
        <f t="shared" si="21"/>
        <v>1.0828472241949902</v>
      </c>
      <c r="F284" s="24"/>
    </row>
    <row r="285" spans="1:6">
      <c r="A285">
        <v>583</v>
      </c>
      <c r="B285">
        <v>1.6275374876568096E-4</v>
      </c>
      <c r="C285">
        <f t="shared" si="20"/>
        <v>1.0923007849106807</v>
      </c>
      <c r="D285">
        <f t="shared" si="22"/>
        <v>1.0858419656835305</v>
      </c>
      <c r="E285" s="24">
        <f t="shared" si="21"/>
        <v>1.0858419656835305</v>
      </c>
      <c r="F285" s="24"/>
    </row>
    <row r="286" spans="1:6">
      <c r="A286">
        <v>584</v>
      </c>
      <c r="B286">
        <v>1.632365975965513E-4</v>
      </c>
      <c r="C286">
        <f t="shared" si="20"/>
        <v>1.095541362537634</v>
      </c>
      <c r="D286">
        <f t="shared" si="22"/>
        <v>1.0889037575307867</v>
      </c>
      <c r="E286" s="24">
        <f t="shared" si="21"/>
        <v>1.0889037575307867</v>
      </c>
      <c r="F286" s="24"/>
    </row>
    <row r="287" spans="1:6">
      <c r="A287">
        <v>585</v>
      </c>
      <c r="B287">
        <v>1.6356959770928367E-4</v>
      </c>
      <c r="C287">
        <f t="shared" si="20"/>
        <v>1.0977762498276136</v>
      </c>
      <c r="D287">
        <f t="shared" si="22"/>
        <v>1.0918985055237029</v>
      </c>
      <c r="E287" s="24">
        <f t="shared" si="21"/>
        <v>1.0918985055237029</v>
      </c>
      <c r="F287" s="24"/>
    </row>
    <row r="288" spans="1:6">
      <c r="A288">
        <v>586</v>
      </c>
      <c r="B288">
        <v>1.6391925037169129E-4</v>
      </c>
      <c r="C288">
        <f t="shared" si="20"/>
        <v>1.1001228985560787</v>
      </c>
      <c r="D288">
        <f t="shared" si="22"/>
        <v>1.094982652910844</v>
      </c>
      <c r="E288" s="24">
        <f t="shared" si="21"/>
        <v>1.094982652910844</v>
      </c>
      <c r="F288" s="24"/>
    </row>
    <row r="289" spans="1:6">
      <c r="A289">
        <v>587</v>
      </c>
      <c r="B289">
        <v>1.6433550354122417E-4</v>
      </c>
      <c r="C289">
        <f t="shared" si="20"/>
        <v>1.1029165279947279</v>
      </c>
      <c r="D289">
        <f t="shared" si="22"/>
        <v>1.0977315647653469</v>
      </c>
      <c r="E289" s="24">
        <f t="shared" si="21"/>
        <v>1.0977315647653469</v>
      </c>
      <c r="F289" s="24"/>
    </row>
    <row r="290" spans="1:6">
      <c r="A290">
        <v>588</v>
      </c>
      <c r="B290">
        <v>1.6451865251292477E-4</v>
      </c>
      <c r="C290">
        <f t="shared" si="20"/>
        <v>1.1041457086867941</v>
      </c>
      <c r="D290">
        <f t="shared" si="22"/>
        <v>1.1001005495205696</v>
      </c>
      <c r="E290" s="24">
        <f t="shared" si="21"/>
        <v>1.1001005495205696</v>
      </c>
      <c r="F290" s="24"/>
    </row>
    <row r="291" spans="1:6">
      <c r="A291">
        <v>589</v>
      </c>
      <c r="B291">
        <v>1.6501814662478863E-4</v>
      </c>
      <c r="C291">
        <f t="shared" si="20"/>
        <v>1.107497998969414</v>
      </c>
      <c r="D291">
        <f t="shared" si="22"/>
        <v>1.1024918768069258</v>
      </c>
      <c r="E291" s="24">
        <f t="shared" si="21"/>
        <v>1.1024918768069258</v>
      </c>
      <c r="F291" s="24"/>
    </row>
    <row r="292" spans="1:6">
      <c r="A292">
        <v>590</v>
      </c>
      <c r="B292">
        <v>1.6515134521614527E-4</v>
      </c>
      <c r="C292">
        <f t="shared" si="20"/>
        <v>1.1083919441288421</v>
      </c>
      <c r="D292">
        <f t="shared" si="22"/>
        <v>1.1046150156671712</v>
      </c>
      <c r="E292" s="24">
        <f t="shared" si="21"/>
        <v>1.1046150156671712</v>
      </c>
      <c r="F292" s="24"/>
    </row>
    <row r="293" spans="1:6">
      <c r="A293">
        <v>591</v>
      </c>
      <c r="B293">
        <v>1.6540109711786499E-4</v>
      </c>
      <c r="C293">
        <f t="shared" si="20"/>
        <v>1.1100681217920316</v>
      </c>
      <c r="D293">
        <f t="shared" si="22"/>
        <v>1.1066040603143619</v>
      </c>
      <c r="E293" s="24">
        <f t="shared" si="21"/>
        <v>1.1066040603143619</v>
      </c>
      <c r="F293" s="24"/>
    </row>
    <row r="294" spans="1:6">
      <c r="A294">
        <v>592</v>
      </c>
      <c r="B294">
        <v>1.6580070016061657E-4</v>
      </c>
      <c r="C294">
        <f t="shared" si="20"/>
        <v>1.112750006053135</v>
      </c>
      <c r="D294">
        <f t="shared" si="22"/>
        <v>1.1085707559260434</v>
      </c>
      <c r="E294" s="24">
        <f t="shared" si="21"/>
        <v>1.1085707559260434</v>
      </c>
      <c r="F294" s="24"/>
    </row>
    <row r="295" spans="1:6">
      <c r="A295">
        <v>593</v>
      </c>
      <c r="B295">
        <v>1.6605044963944238E-4</v>
      </c>
      <c r="C295">
        <f t="shared" si="20"/>
        <v>1.1144261674553846</v>
      </c>
      <c r="D295">
        <f t="shared" si="22"/>
        <v>1.1106268476797614</v>
      </c>
      <c r="E295" s="24">
        <f t="shared" si="21"/>
        <v>1.1106268476797614</v>
      </c>
      <c r="F295" s="24"/>
    </row>
    <row r="296" spans="1:6">
      <c r="A296">
        <v>594</v>
      </c>
      <c r="B296">
        <v>1.6630020396405599E-4</v>
      </c>
      <c r="C296">
        <f t="shared" si="20"/>
        <v>1.1161023613795138</v>
      </c>
      <c r="D296">
        <f t="shared" si="22"/>
        <v>1.1123477201617813</v>
      </c>
      <c r="E296" s="24">
        <f t="shared" si="21"/>
        <v>1.1123477201617813</v>
      </c>
      <c r="F296" s="24"/>
    </row>
    <row r="297" spans="1:6">
      <c r="A297">
        <v>595</v>
      </c>
      <c r="B297">
        <v>1.6648335051286267E-4</v>
      </c>
      <c r="C297">
        <f t="shared" si="20"/>
        <v>1.11733152581064</v>
      </c>
      <c r="D297">
        <f t="shared" si="22"/>
        <v>1.114135636498141</v>
      </c>
      <c r="E297" s="24">
        <f t="shared" si="21"/>
        <v>1.114135636498141</v>
      </c>
      <c r="F297" s="24"/>
    </row>
    <row r="298" spans="1:6">
      <c r="A298">
        <v>596</v>
      </c>
      <c r="B298">
        <v>1.6701614730118308E-4</v>
      </c>
      <c r="C298">
        <f t="shared" si="20"/>
        <v>1.1209073227092916</v>
      </c>
      <c r="D298">
        <f t="shared" si="22"/>
        <v>1.1163034766815929</v>
      </c>
      <c r="E298" s="24">
        <f t="shared" si="21"/>
        <v>1.1163034766815929</v>
      </c>
      <c r="F298" s="24"/>
    </row>
    <row r="299" spans="1:6">
      <c r="A299">
        <v>597</v>
      </c>
      <c r="B299">
        <v>1.6741575034393463E-4</v>
      </c>
      <c r="C299">
        <f t="shared" si="20"/>
        <v>1.1235892069703948</v>
      </c>
      <c r="D299">
        <f t="shared" si="22"/>
        <v>1.1184713168650449</v>
      </c>
      <c r="E299" s="24">
        <f t="shared" si="21"/>
        <v>1.1184713168650449</v>
      </c>
      <c r="F299" s="24"/>
    </row>
    <row r="300" spans="1:6">
      <c r="A300">
        <v>598</v>
      </c>
      <c r="B300">
        <v>1.6759890173852912E-4</v>
      </c>
      <c r="C300">
        <f t="shared" si="20"/>
        <v>1.1248184039234006</v>
      </c>
      <c r="D300">
        <f t="shared" si="22"/>
        <v>1.1205497641586484</v>
      </c>
      <c r="E300" s="24">
        <f t="shared" si="21"/>
        <v>1.1205497641586484</v>
      </c>
      <c r="F300" s="24"/>
    </row>
    <row r="301" spans="1:6">
      <c r="A301">
        <v>599</v>
      </c>
      <c r="B301">
        <v>1.6788195147091753E-4</v>
      </c>
      <c r="C301">
        <f t="shared" si="20"/>
        <v>1.1267180556807419</v>
      </c>
      <c r="D301">
        <f t="shared" si="22"/>
        <v>1.1226729030188938</v>
      </c>
      <c r="E301" s="24">
        <f t="shared" si="21"/>
        <v>1.1226729030188938</v>
      </c>
      <c r="F301" s="24"/>
    </row>
    <row r="302" spans="1:6">
      <c r="A302">
        <v>600</v>
      </c>
      <c r="B302">
        <v>1.6828154966788133E-4</v>
      </c>
      <c r="C302">
        <f t="shared" si="20"/>
        <v>1.1293999074199659</v>
      </c>
      <c r="D302">
        <f t="shared" si="22"/>
        <v>1.1250865793407592</v>
      </c>
      <c r="E302" s="24">
        <f t="shared" si="21"/>
        <v>1.1250865793407592</v>
      </c>
      <c r="F302" s="24"/>
    </row>
    <row r="303" spans="1:6">
      <c r="A303">
        <v>601</v>
      </c>
      <c r="B303">
        <v>1.6858124952705113E-4</v>
      </c>
      <c r="C303">
        <f t="shared" si="20"/>
        <v>1.1314113043548537</v>
      </c>
      <c r="D303">
        <f t="shared" si="22"/>
        <v>1.1271873756698714</v>
      </c>
      <c r="E303" s="24">
        <f t="shared" si="21"/>
        <v>1.1271873756698714</v>
      </c>
      <c r="F303" s="24"/>
    </row>
    <row r="304" spans="1:6">
      <c r="A304">
        <v>602</v>
      </c>
      <c r="B304">
        <v>1.6891424721688966E-4</v>
      </c>
      <c r="C304">
        <f t="shared" si="20"/>
        <v>1.1336461753838938</v>
      </c>
      <c r="D304">
        <f t="shared" si="22"/>
        <v>1.1291987693525711</v>
      </c>
      <c r="E304" s="24">
        <f t="shared" si="21"/>
        <v>1.1291987693525711</v>
      </c>
      <c r="F304" s="24"/>
    </row>
    <row r="305" spans="1:6">
      <c r="A305">
        <v>603</v>
      </c>
      <c r="B305">
        <v>1.6913069886504673E-4</v>
      </c>
      <c r="C305">
        <f t="shared" si="20"/>
        <v>1.1350988626919911</v>
      </c>
      <c r="D305">
        <f t="shared" si="22"/>
        <v>1.1312548611062891</v>
      </c>
      <c r="E305" s="24">
        <f t="shared" si="21"/>
        <v>1.1312548611062891</v>
      </c>
      <c r="F305" s="24"/>
    </row>
    <row r="306" spans="1:6">
      <c r="A306">
        <v>604</v>
      </c>
      <c r="B306">
        <v>1.69297197709966E-4</v>
      </c>
      <c r="C306">
        <f t="shared" si="20"/>
        <v>1.1362162982065112</v>
      </c>
      <c r="D306">
        <f t="shared" si="22"/>
        <v>1.133154509611443</v>
      </c>
      <c r="E306" s="24">
        <f t="shared" si="21"/>
        <v>1.133154509611443</v>
      </c>
      <c r="F306" s="24"/>
    </row>
    <row r="307" spans="1:6">
      <c r="A307">
        <v>605</v>
      </c>
      <c r="B307">
        <v>1.6951364935812306E-4</v>
      </c>
      <c r="C307">
        <f t="shared" si="20"/>
        <v>1.1376689855146085</v>
      </c>
      <c r="D307">
        <f t="shared" si="22"/>
        <v>1.1348083252303716</v>
      </c>
      <c r="E307" s="24">
        <f t="shared" si="21"/>
        <v>1.1348083252303716</v>
      </c>
      <c r="F307" s="24"/>
    </row>
    <row r="308" spans="1:6">
      <c r="A308">
        <v>606</v>
      </c>
      <c r="B308">
        <v>1.6981335164018672E-4</v>
      </c>
      <c r="C308">
        <f t="shared" si="20"/>
        <v>1.1396803987104358</v>
      </c>
      <c r="D308">
        <f t="shared" si="22"/>
        <v>1.1364621441014879</v>
      </c>
      <c r="E308" s="24">
        <f t="shared" si="21"/>
        <v>1.1364621441014879</v>
      </c>
      <c r="F308" s="24"/>
    </row>
    <row r="309" spans="1:6">
      <c r="A309">
        <v>607</v>
      </c>
      <c r="B309">
        <v>1.6983000176696805E-4</v>
      </c>
      <c r="C309">
        <f t="shared" si="20"/>
        <v>1.1397921438879819</v>
      </c>
      <c r="D309">
        <f t="shared" si="22"/>
        <v>1.1376913378023055</v>
      </c>
      <c r="E309" s="24">
        <f t="shared" si="21"/>
        <v>1.1376913378023055</v>
      </c>
      <c r="F309" s="24"/>
    </row>
    <row r="310" spans="1:6">
      <c r="A310">
        <v>608</v>
      </c>
      <c r="B310">
        <v>1.7006310111901258E-4</v>
      </c>
      <c r="C310">
        <f t="shared" si="20"/>
        <v>1.1413565601126856</v>
      </c>
      <c r="D310">
        <f t="shared" si="22"/>
        <v>1.1389428772864445</v>
      </c>
      <c r="E310" s="24">
        <f t="shared" si="21"/>
        <v>1.1389428772864445</v>
      </c>
      <c r="F310" s="24"/>
    </row>
    <row r="311" spans="1:6">
      <c r="A311">
        <v>609</v>
      </c>
      <c r="B311">
        <v>1.7014635175291914E-4</v>
      </c>
      <c r="C311">
        <f t="shared" si="20"/>
        <v>1.1419152860004154</v>
      </c>
      <c r="D311">
        <f t="shared" si="22"/>
        <v>1.1400826748452253</v>
      </c>
      <c r="E311" s="24">
        <f t="shared" si="21"/>
        <v>1.1400826748452253</v>
      </c>
      <c r="F311" s="24"/>
    </row>
    <row r="312" spans="1:6">
      <c r="A312">
        <v>610</v>
      </c>
      <c r="B312">
        <v>1.7034615327429491E-4</v>
      </c>
      <c r="C312">
        <f t="shared" si="20"/>
        <v>1.1432562281309671</v>
      </c>
      <c r="D312">
        <f t="shared" si="22"/>
        <v>1.1412001233684972</v>
      </c>
      <c r="E312" s="24">
        <f t="shared" si="21"/>
        <v>1.1412001233684972</v>
      </c>
      <c r="F312" s="24"/>
    </row>
    <row r="313" spans="1:6">
      <c r="A313">
        <v>611</v>
      </c>
      <c r="B313">
        <v>1.7049600441532674E-4</v>
      </c>
      <c r="C313">
        <f t="shared" si="20"/>
        <v>1.1442619347288807</v>
      </c>
      <c r="D313">
        <f t="shared" si="22"/>
        <v>1.1421164305721863</v>
      </c>
      <c r="E313" s="24">
        <f t="shared" si="21"/>
        <v>1.1421164305721863</v>
      </c>
      <c r="F313" s="24"/>
    </row>
    <row r="314" spans="1:6">
      <c r="A314">
        <v>612</v>
      </c>
      <c r="B314">
        <v>1.7066250083735211E-4</v>
      </c>
      <c r="C314">
        <f t="shared" si="20"/>
        <v>1.1453793539824608</v>
      </c>
      <c r="D314">
        <f t="shared" si="22"/>
        <v>1.143233872591082</v>
      </c>
      <c r="E314" s="24">
        <f t="shared" si="21"/>
        <v>1.143233872591082</v>
      </c>
      <c r="F314" s="24"/>
    </row>
    <row r="315" spans="1:6">
      <c r="A315">
        <v>613</v>
      </c>
      <c r="B315">
        <v>1.7077904930192745E-4</v>
      </c>
      <c r="C315">
        <f t="shared" si="20"/>
        <v>1.146161553964343</v>
      </c>
      <c r="D315">
        <f t="shared" si="22"/>
        <v>1.1441948713614134</v>
      </c>
      <c r="E315" s="24">
        <f t="shared" si="21"/>
        <v>1.1441948713614134</v>
      </c>
      <c r="F315" s="24"/>
    </row>
    <row r="316" spans="1:6">
      <c r="A316">
        <v>614</v>
      </c>
      <c r="B316">
        <v>1.710454464846407E-4</v>
      </c>
      <c r="C316">
        <f t="shared" si="20"/>
        <v>1.147949444283199</v>
      </c>
      <c r="D316">
        <f t="shared" si="22"/>
        <v>1.1454017030179702</v>
      </c>
      <c r="E316" s="24">
        <f t="shared" si="21"/>
        <v>1.1454017030179702</v>
      </c>
      <c r="F316" s="24"/>
    </row>
    <row r="317" spans="1:6">
      <c r="A317">
        <v>615</v>
      </c>
      <c r="B317">
        <v>1.7124524800601646E-4</v>
      </c>
      <c r="C317">
        <f t="shared" si="20"/>
        <v>1.1492903864137505</v>
      </c>
      <c r="D317">
        <f t="shared" si="22"/>
        <v>1.1466085346745269</v>
      </c>
      <c r="E317" s="24">
        <f t="shared" si="21"/>
        <v>1.1466085346745269</v>
      </c>
      <c r="F317" s="24"/>
    </row>
    <row r="318" spans="1:6">
      <c r="A318">
        <v>616</v>
      </c>
      <c r="B318">
        <v>1.7131184851314175E-4</v>
      </c>
      <c r="C318">
        <f t="shared" si="20"/>
        <v>1.1497373671239346</v>
      </c>
      <c r="D318">
        <f t="shared" si="22"/>
        <v>1.1477036211535376</v>
      </c>
      <c r="E318" s="24">
        <f t="shared" si="21"/>
        <v>1.1477036211535376</v>
      </c>
      <c r="F318" s="24"/>
    </row>
    <row r="319" spans="1:6">
      <c r="A319">
        <v>617</v>
      </c>
      <c r="B319">
        <v>1.7131184851314175E-4</v>
      </c>
      <c r="C319">
        <f t="shared" si="20"/>
        <v>1.1497373671239346</v>
      </c>
      <c r="D319">
        <f t="shared" si="22"/>
        <v>1.1485752237818325</v>
      </c>
      <c r="E319" s="24">
        <f t="shared" si="21"/>
        <v>1.1485752237818325</v>
      </c>
      <c r="F319" s="24"/>
    </row>
    <row r="320" spans="1:6">
      <c r="A320">
        <v>618</v>
      </c>
      <c r="B320">
        <v>1.7156160041486147E-4</v>
      </c>
      <c r="C320">
        <f t="shared" si="20"/>
        <v>1.1514135447871241</v>
      </c>
      <c r="D320">
        <f t="shared" si="22"/>
        <v>1.1496256219463887</v>
      </c>
      <c r="E320" s="24">
        <f t="shared" si="21"/>
        <v>1.1496256219463887</v>
      </c>
      <c r="F320" s="24"/>
    </row>
    <row r="321" spans="1:6">
      <c r="A321">
        <v>619</v>
      </c>
      <c r="B321">
        <v>1.7166149875265545E-4</v>
      </c>
      <c r="C321">
        <f t="shared" si="20"/>
        <v>1.15208399959146</v>
      </c>
      <c r="D321">
        <f t="shared" si="22"/>
        <v>1.1504525330080408</v>
      </c>
      <c r="E321" s="24">
        <f t="shared" si="21"/>
        <v>1.1504525330080408</v>
      </c>
      <c r="F321" s="24"/>
    </row>
    <row r="322" spans="1:6">
      <c r="A322">
        <v>620</v>
      </c>
      <c r="B322">
        <v>1.7164485104876804E-4</v>
      </c>
      <c r="C322">
        <f t="shared" si="20"/>
        <v>1.1519722706748539</v>
      </c>
      <c r="D322">
        <f t="shared" si="22"/>
        <v>1.1509889098602613</v>
      </c>
      <c r="E322" s="24">
        <f t="shared" si="21"/>
        <v>1.1509889098602613</v>
      </c>
      <c r="F322" s="24"/>
    </row>
    <row r="323" spans="1:6">
      <c r="A323">
        <v>621</v>
      </c>
      <c r="B323">
        <v>1.7186130027403124E-4</v>
      </c>
      <c r="C323">
        <f t="shared" ref="C323:C386" si="23">B323/B$257</f>
        <v>1.1534249417220117</v>
      </c>
      <c r="D323">
        <f t="shared" si="22"/>
        <v>1.1517264247798766</v>
      </c>
      <c r="E323" s="24">
        <f t="shared" ref="E323:E386" si="24">MAX(D323,E$1)</f>
        <v>1.1517264247798766</v>
      </c>
      <c r="F323" s="24"/>
    </row>
    <row r="324" spans="1:6">
      <c r="A324">
        <v>622</v>
      </c>
      <c r="B324">
        <v>1.7189460052759384E-4</v>
      </c>
      <c r="C324">
        <f t="shared" si="23"/>
        <v>1.1536484320771034</v>
      </c>
      <c r="D324">
        <f t="shared" si="22"/>
        <v>1.1525086377705107</v>
      </c>
      <c r="E324" s="24">
        <f t="shared" si="24"/>
        <v>1.1525086377705107</v>
      </c>
      <c r="F324" s="24"/>
    </row>
    <row r="325" spans="1:6">
      <c r="A325">
        <v>623</v>
      </c>
      <c r="B325">
        <v>1.7201115141506309E-4</v>
      </c>
      <c r="C325">
        <f t="shared" si="23"/>
        <v>1.1544306483199256</v>
      </c>
      <c r="D325">
        <f t="shared" si="22"/>
        <v>1.1531120584770709</v>
      </c>
      <c r="E325" s="24">
        <f t="shared" si="24"/>
        <v>1.1531120584770709</v>
      </c>
      <c r="F325" s="24"/>
    </row>
    <row r="326" spans="1:6">
      <c r="A326">
        <v>624</v>
      </c>
      <c r="B326">
        <v>1.7192790078115648E-4</v>
      </c>
      <c r="C326">
        <f t="shared" si="23"/>
        <v>1.1538719224321954</v>
      </c>
      <c r="D326">
        <f t="shared" si="22"/>
        <v>1.1534696430452178</v>
      </c>
      <c r="E326" s="24">
        <f t="shared" si="24"/>
        <v>1.1534696430452178</v>
      </c>
      <c r="F326" s="24"/>
    </row>
    <row r="327" spans="1:6">
      <c r="A327">
        <v>625</v>
      </c>
      <c r="B327">
        <v>1.7206110179540703E-4</v>
      </c>
      <c r="C327">
        <f t="shared" si="23"/>
        <v>1.1547658838525634</v>
      </c>
      <c r="D327">
        <f t="shared" ref="D327:D390" si="25">AVERAGE(C323:C327)</f>
        <v>1.1540283656807599</v>
      </c>
      <c r="E327" s="24">
        <f t="shared" si="24"/>
        <v>1.1540283656807599</v>
      </c>
      <c r="F327" s="24"/>
    </row>
    <row r="328" spans="1:6">
      <c r="A328">
        <v>626</v>
      </c>
      <c r="B328">
        <v>1.7197785116150044E-4</v>
      </c>
      <c r="C328">
        <f t="shared" si="23"/>
        <v>1.1542071579648334</v>
      </c>
      <c r="D328">
        <f t="shared" si="25"/>
        <v>1.1541848089293243</v>
      </c>
      <c r="E328" s="24">
        <f t="shared" si="24"/>
        <v>1.1541848089293243</v>
      </c>
      <c r="F328" s="24"/>
    </row>
    <row r="329" spans="1:6">
      <c r="A329">
        <v>627</v>
      </c>
      <c r="B329">
        <v>1.721610025560949E-4</v>
      </c>
      <c r="C329">
        <f t="shared" si="23"/>
        <v>1.155436354917839</v>
      </c>
      <c r="D329">
        <f t="shared" si="25"/>
        <v>1.1545423934974715</v>
      </c>
      <c r="E329" s="24">
        <f t="shared" si="24"/>
        <v>1.1545423934974715</v>
      </c>
      <c r="F329" s="24"/>
    </row>
    <row r="330" spans="1:6">
      <c r="A330">
        <v>628</v>
      </c>
      <c r="B330">
        <v>1.7211105217575096E-4</v>
      </c>
      <c r="C330">
        <f t="shared" si="23"/>
        <v>1.1551011193852012</v>
      </c>
      <c r="D330">
        <f t="shared" si="25"/>
        <v>1.1546764877105267</v>
      </c>
      <c r="E330" s="24">
        <f t="shared" si="24"/>
        <v>1.1546764877105267</v>
      </c>
      <c r="F330" s="24"/>
    </row>
    <row r="331" spans="1:6">
      <c r="A331">
        <v>629</v>
      </c>
      <c r="B331">
        <v>1.7211105217575096E-4</v>
      </c>
      <c r="C331">
        <f t="shared" si="23"/>
        <v>1.1551011193852012</v>
      </c>
      <c r="D331">
        <f t="shared" si="25"/>
        <v>1.1549223271011277</v>
      </c>
      <c r="E331" s="24">
        <f t="shared" si="24"/>
        <v>1.1549223271011277</v>
      </c>
      <c r="F331" s="24"/>
    </row>
    <row r="332" spans="1:6">
      <c r="A332">
        <v>630</v>
      </c>
      <c r="B332">
        <v>1.7207775192218833E-4</v>
      </c>
      <c r="C332">
        <f t="shared" si="23"/>
        <v>1.1548776290301093</v>
      </c>
      <c r="D332">
        <f t="shared" si="25"/>
        <v>1.1549446761366369</v>
      </c>
      <c r="E332" s="24">
        <f t="shared" si="24"/>
        <v>1.1549446761366369</v>
      </c>
      <c r="F332" s="24"/>
    </row>
    <row r="333" spans="1:6">
      <c r="A333">
        <v>631</v>
      </c>
      <c r="B333">
        <v>1.7202780154184437E-4</v>
      </c>
      <c r="C333">
        <f t="shared" si="23"/>
        <v>1.1545423934974712</v>
      </c>
      <c r="D333">
        <f t="shared" si="25"/>
        <v>1.1550117232431645</v>
      </c>
      <c r="E333" s="24">
        <f t="shared" si="24"/>
        <v>1.1550117232431645</v>
      </c>
      <c r="F333" s="24"/>
    </row>
    <row r="334" spans="1:6">
      <c r="A334">
        <v>632</v>
      </c>
      <c r="B334">
        <v>1.7207775192218833E-4</v>
      </c>
      <c r="C334">
        <f t="shared" si="23"/>
        <v>1.1548776290301093</v>
      </c>
      <c r="D334">
        <f t="shared" si="25"/>
        <v>1.1548999780656186</v>
      </c>
      <c r="E334" s="24">
        <f t="shared" si="24"/>
        <v>1.1548999780656186</v>
      </c>
      <c r="F334" s="24"/>
    </row>
    <row r="335" spans="1:6">
      <c r="A335">
        <v>633</v>
      </c>
      <c r="B335">
        <v>1.720444516686257E-4</v>
      </c>
      <c r="C335">
        <f t="shared" si="23"/>
        <v>1.1546541386750173</v>
      </c>
      <c r="D335">
        <f t="shared" si="25"/>
        <v>1.1548105819235814</v>
      </c>
      <c r="E335" s="24">
        <f t="shared" si="24"/>
        <v>1.1548105819235814</v>
      </c>
      <c r="F335" s="24"/>
    </row>
    <row r="336" spans="1:6">
      <c r="A336">
        <v>634</v>
      </c>
      <c r="B336">
        <v>1.7207775192218833E-4</v>
      </c>
      <c r="C336">
        <f t="shared" si="23"/>
        <v>1.1548776290301093</v>
      </c>
      <c r="D336">
        <f t="shared" si="25"/>
        <v>1.1547658838525632</v>
      </c>
      <c r="E336" s="24">
        <f t="shared" si="24"/>
        <v>1.1547658838525632</v>
      </c>
      <c r="F336" s="24"/>
    </row>
    <row r="337" spans="1:6">
      <c r="A337">
        <v>635</v>
      </c>
      <c r="B337">
        <v>1.718946005275939E-4</v>
      </c>
      <c r="C337">
        <f t="shared" si="23"/>
        <v>1.1536484320771039</v>
      </c>
      <c r="D337">
        <f t="shared" si="25"/>
        <v>1.1545200444619621</v>
      </c>
      <c r="E337" s="24">
        <f t="shared" si="24"/>
        <v>1.1545200444619621</v>
      </c>
      <c r="F337" s="24"/>
    </row>
    <row r="338" spans="1:6">
      <c r="A338">
        <v>636</v>
      </c>
      <c r="B338">
        <v>1.7187795040081257E-4</v>
      </c>
      <c r="C338">
        <f t="shared" si="23"/>
        <v>1.1535366868995578</v>
      </c>
      <c r="D338">
        <f t="shared" si="25"/>
        <v>1.1543189031423795</v>
      </c>
      <c r="E338" s="24">
        <f t="shared" si="24"/>
        <v>1.1543189031423795</v>
      </c>
      <c r="F338" s="24"/>
    </row>
    <row r="339" spans="1:6">
      <c r="A339">
        <v>637</v>
      </c>
      <c r="B339">
        <v>1.7176139951334337E-4</v>
      </c>
      <c r="C339">
        <f t="shared" si="23"/>
        <v>1.1527544706567361</v>
      </c>
      <c r="D339">
        <f t="shared" si="25"/>
        <v>1.153894271467705</v>
      </c>
      <c r="E339" s="24">
        <f t="shared" si="24"/>
        <v>1.153894271467705</v>
      </c>
      <c r="F339" s="24"/>
    </row>
    <row r="340" spans="1:6">
      <c r="A340">
        <v>638</v>
      </c>
      <c r="B340">
        <v>1.7157824811874888E-4</v>
      </c>
      <c r="C340">
        <f t="shared" si="23"/>
        <v>1.1515252737037303</v>
      </c>
      <c r="D340">
        <f t="shared" si="25"/>
        <v>1.1532684984734476</v>
      </c>
      <c r="E340" s="24">
        <f t="shared" si="24"/>
        <v>1.1532684984734476</v>
      </c>
      <c r="F340" s="24"/>
    </row>
    <row r="341" spans="1:6">
      <c r="A341">
        <v>639</v>
      </c>
      <c r="B341">
        <v>1.7147834735806102E-4</v>
      </c>
      <c r="C341">
        <f t="shared" si="23"/>
        <v>1.1508548026384546</v>
      </c>
      <c r="D341">
        <f t="shared" si="25"/>
        <v>1.1524639331951163</v>
      </c>
      <c r="E341" s="24">
        <f t="shared" si="24"/>
        <v>1.1524639331951163</v>
      </c>
      <c r="F341" s="24"/>
    </row>
    <row r="342" spans="1:6">
      <c r="A342">
        <v>640</v>
      </c>
      <c r="B342">
        <v>1.7134514634381046E-4</v>
      </c>
      <c r="C342">
        <f t="shared" si="23"/>
        <v>1.1499608412180866</v>
      </c>
      <c r="D342">
        <f t="shared" si="25"/>
        <v>1.1517264150233131</v>
      </c>
      <c r="E342" s="24">
        <f t="shared" si="24"/>
        <v>1.1517264150233131</v>
      </c>
      <c r="F342" s="24"/>
    </row>
    <row r="343" spans="1:6">
      <c r="A343">
        <v>641</v>
      </c>
      <c r="B343">
        <v>1.7124524800601646E-4</v>
      </c>
      <c r="C343">
        <f t="shared" si="23"/>
        <v>1.1492903864137505</v>
      </c>
      <c r="D343">
        <f t="shared" si="25"/>
        <v>1.1508771549261516</v>
      </c>
      <c r="E343" s="24">
        <f t="shared" si="24"/>
        <v>1.1508771549261516</v>
      </c>
      <c r="F343" s="24"/>
    </row>
    <row r="344" spans="1:6">
      <c r="A344">
        <v>642</v>
      </c>
      <c r="B344">
        <v>1.7101214623107806E-4</v>
      </c>
      <c r="C344">
        <f t="shared" si="23"/>
        <v>1.1477259539281071</v>
      </c>
      <c r="D344">
        <f t="shared" si="25"/>
        <v>1.149871451580426</v>
      </c>
      <c r="E344" s="24">
        <f t="shared" si="24"/>
        <v>1.149871451580426</v>
      </c>
      <c r="F344" s="24"/>
    </row>
    <row r="345" spans="1:6">
      <c r="A345">
        <v>643</v>
      </c>
      <c r="B345">
        <v>1.7079570427449653E-4</v>
      </c>
      <c r="C345">
        <f t="shared" si="23"/>
        <v>1.1462733316637683</v>
      </c>
      <c r="D345">
        <f t="shared" si="25"/>
        <v>1.1488210631724334</v>
      </c>
      <c r="E345" s="24">
        <f t="shared" si="24"/>
        <v>1.1488210631724334</v>
      </c>
      <c r="F345" s="24"/>
    </row>
    <row r="346" spans="1:6">
      <c r="A346">
        <v>644</v>
      </c>
      <c r="B346">
        <v>1.7072910376737124E-4</v>
      </c>
      <c r="C346">
        <f t="shared" si="23"/>
        <v>1.1458263509535844</v>
      </c>
      <c r="D346">
        <f t="shared" si="25"/>
        <v>1.1478153728354592</v>
      </c>
      <c r="E346" s="24">
        <f t="shared" si="24"/>
        <v>1.1478153728354592</v>
      </c>
      <c r="F346" s="24"/>
    </row>
    <row r="347" spans="1:6">
      <c r="A347">
        <v>645</v>
      </c>
      <c r="B347">
        <v>1.7047935428854541E-4</v>
      </c>
      <c r="C347">
        <f t="shared" si="23"/>
        <v>1.1441501895513346</v>
      </c>
      <c r="D347">
        <f t="shared" si="25"/>
        <v>1.146653242502109</v>
      </c>
      <c r="E347" s="24">
        <f t="shared" si="24"/>
        <v>1.146653242502109</v>
      </c>
      <c r="F347" s="24"/>
    </row>
    <row r="348" spans="1:6">
      <c r="A348">
        <v>646</v>
      </c>
      <c r="B348">
        <v>1.7019630213326311E-4</v>
      </c>
      <c r="C348">
        <f t="shared" si="23"/>
        <v>1.1422505215330534</v>
      </c>
      <c r="D348">
        <f t="shared" si="25"/>
        <v>1.1452452695259694</v>
      </c>
      <c r="E348" s="24">
        <f t="shared" si="24"/>
        <v>1.1452452695259694</v>
      </c>
      <c r="F348" s="24"/>
    </row>
    <row r="349" spans="1:6">
      <c r="A349">
        <v>647</v>
      </c>
      <c r="B349">
        <v>1.6989659985119942E-4</v>
      </c>
      <c r="C349">
        <f t="shared" si="23"/>
        <v>1.1402391083372261</v>
      </c>
      <c r="D349">
        <f t="shared" si="25"/>
        <v>1.1437479004077935</v>
      </c>
      <c r="E349" s="24">
        <f t="shared" si="24"/>
        <v>1.1437479004077935</v>
      </c>
      <c r="F349" s="24"/>
    </row>
    <row r="350" spans="1:6">
      <c r="A350">
        <v>648</v>
      </c>
      <c r="B350">
        <v>1.6976339883694889E-4</v>
      </c>
      <c r="C350">
        <f t="shared" si="23"/>
        <v>1.1393451469168583</v>
      </c>
      <c r="D350">
        <f t="shared" si="25"/>
        <v>1.1423622634584114</v>
      </c>
      <c r="E350" s="24">
        <f t="shared" si="24"/>
        <v>1.1423622634584114</v>
      </c>
      <c r="F350" s="24"/>
    </row>
    <row r="351" spans="1:6">
      <c r="A351">
        <v>649</v>
      </c>
      <c r="B351">
        <v>1.6924724732962203E-4</v>
      </c>
      <c r="C351">
        <f t="shared" si="23"/>
        <v>1.1358810626738731</v>
      </c>
      <c r="D351">
        <f t="shared" si="25"/>
        <v>1.1403732058024691</v>
      </c>
      <c r="E351" s="24">
        <f t="shared" si="24"/>
        <v>1.1403732058024691</v>
      </c>
      <c r="F351" s="24"/>
    </row>
    <row r="352" spans="1:6">
      <c r="A352">
        <v>650</v>
      </c>
      <c r="B352">
        <v>1.6899750027369012E-4</v>
      </c>
      <c r="C352">
        <f t="shared" si="23"/>
        <v>1.1342049175325633</v>
      </c>
      <c r="D352">
        <f t="shared" si="25"/>
        <v>1.1383841513987147</v>
      </c>
      <c r="E352" s="24">
        <f t="shared" si="24"/>
        <v>1.1383841513987147</v>
      </c>
      <c r="F352" s="24"/>
    </row>
    <row r="353" spans="1:6">
      <c r="A353">
        <v>651</v>
      </c>
      <c r="B353">
        <v>1.6861455462640154E-4</v>
      </c>
      <c r="C353">
        <f t="shared" si="23"/>
        <v>1.1316348272318251</v>
      </c>
      <c r="D353">
        <f t="shared" si="25"/>
        <v>1.1362610125384693</v>
      </c>
      <c r="E353" s="24">
        <f t="shared" si="24"/>
        <v>1.1362610125384693</v>
      </c>
      <c r="F353" s="24"/>
    </row>
    <row r="354" spans="1:6">
      <c r="A354">
        <v>652</v>
      </c>
      <c r="B354">
        <v>1.6819830145686865E-4</v>
      </c>
      <c r="C354">
        <f t="shared" si="23"/>
        <v>1.1288411977931758</v>
      </c>
      <c r="D354">
        <f t="shared" si="25"/>
        <v>1.1339814304296592</v>
      </c>
      <c r="E354" s="24">
        <f t="shared" si="24"/>
        <v>1.1339814304296592</v>
      </c>
      <c r="F354" s="24"/>
    </row>
    <row r="355" spans="1:6">
      <c r="A355">
        <v>653</v>
      </c>
      <c r="B355">
        <v>1.6758224676595998E-4</v>
      </c>
      <c r="C355">
        <f t="shared" si="23"/>
        <v>1.1247066262239749</v>
      </c>
      <c r="D355">
        <f t="shared" si="25"/>
        <v>1.1310537262910825</v>
      </c>
      <c r="E355" s="24">
        <f t="shared" si="24"/>
        <v>1.1310537262910825</v>
      </c>
      <c r="F355" s="24"/>
    </row>
    <row r="356" spans="1:6">
      <c r="A356">
        <v>654</v>
      </c>
      <c r="B356">
        <v>1.67116048061871E-4</v>
      </c>
      <c r="C356">
        <f t="shared" si="23"/>
        <v>1.1215777937745677</v>
      </c>
      <c r="D356">
        <f t="shared" si="25"/>
        <v>1.1281930725112215</v>
      </c>
      <c r="E356" s="24">
        <f t="shared" si="24"/>
        <v>1.1281930725112215</v>
      </c>
      <c r="F356" s="24"/>
    </row>
    <row r="357" spans="1:6">
      <c r="A357">
        <v>655</v>
      </c>
      <c r="B357">
        <v>1.6645005268219393E-4</v>
      </c>
      <c r="C357">
        <f t="shared" si="23"/>
        <v>1.1171080517164877</v>
      </c>
      <c r="D357">
        <f t="shared" si="25"/>
        <v>1.1247736993480062</v>
      </c>
      <c r="E357" s="24">
        <f t="shared" si="24"/>
        <v>1.1247736993480062</v>
      </c>
      <c r="F357" s="24"/>
    </row>
    <row r="358" spans="1:6">
      <c r="A358">
        <v>656</v>
      </c>
      <c r="B358">
        <v>1.6590059849841055E-4</v>
      </c>
      <c r="C358">
        <f t="shared" si="23"/>
        <v>1.1134204608574709</v>
      </c>
      <c r="D358">
        <f t="shared" si="25"/>
        <v>1.1211308260731354</v>
      </c>
      <c r="E358" s="24">
        <f t="shared" si="24"/>
        <v>1.1211308260731354</v>
      </c>
      <c r="F358" s="24"/>
    </row>
    <row r="359" spans="1:6">
      <c r="A359">
        <v>657</v>
      </c>
      <c r="B359">
        <v>1.6520129801938309E-4</v>
      </c>
      <c r="C359">
        <f t="shared" si="23"/>
        <v>1.1087271959224196</v>
      </c>
      <c r="D359">
        <f t="shared" si="25"/>
        <v>1.1171080256989843</v>
      </c>
      <c r="E359" s="24">
        <f t="shared" si="24"/>
        <v>1.1171080256989843</v>
      </c>
      <c r="F359" s="24"/>
    </row>
    <row r="360" spans="1:6">
      <c r="A360">
        <v>658</v>
      </c>
      <c r="B360">
        <v>1.6450200238614344E-4</v>
      </c>
      <c r="C360">
        <f t="shared" si="23"/>
        <v>1.104033963509248</v>
      </c>
      <c r="D360">
        <f t="shared" si="25"/>
        <v>1.1129734931560387</v>
      </c>
      <c r="E360" s="24">
        <f t="shared" si="24"/>
        <v>1.1129734931560387</v>
      </c>
      <c r="F360" s="24"/>
    </row>
    <row r="361" spans="1:6">
      <c r="A361">
        <v>659</v>
      </c>
      <c r="B361">
        <v>1.6391924794879743E-4</v>
      </c>
      <c r="C361">
        <f t="shared" si="23"/>
        <v>1.1001228822951392</v>
      </c>
      <c r="D361">
        <f t="shared" si="25"/>
        <v>1.108682510860153</v>
      </c>
      <c r="E361" s="24">
        <f t="shared" si="24"/>
        <v>1.108682510860153</v>
      </c>
      <c r="F361" s="24"/>
    </row>
    <row r="362" spans="1:6">
      <c r="A362">
        <v>660</v>
      </c>
      <c r="B362">
        <v>1.6321995231555775E-4</v>
      </c>
      <c r="C362">
        <f t="shared" si="23"/>
        <v>1.0954296498819676</v>
      </c>
      <c r="D362">
        <f t="shared" si="25"/>
        <v>1.1043468304932489</v>
      </c>
      <c r="E362" s="24">
        <f t="shared" si="24"/>
        <v>1.1043468304932489</v>
      </c>
      <c r="F362" s="24"/>
    </row>
    <row r="363" spans="1:6">
      <c r="A363">
        <v>661</v>
      </c>
      <c r="B363">
        <v>1.6278704901924356E-4</v>
      </c>
      <c r="C363">
        <f t="shared" si="23"/>
        <v>1.0925242752657724</v>
      </c>
      <c r="D363">
        <f t="shared" si="25"/>
        <v>1.1001675933749091</v>
      </c>
      <c r="E363" s="24">
        <f t="shared" si="24"/>
        <v>1.1001675933749091</v>
      </c>
      <c r="F363" s="24"/>
    </row>
    <row r="364" spans="1:6">
      <c r="A364">
        <v>662</v>
      </c>
      <c r="B364">
        <v>1.6227089993481059E-4</v>
      </c>
      <c r="C364">
        <f t="shared" si="23"/>
        <v>1.089060207283727</v>
      </c>
      <c r="D364">
        <f t="shared" si="25"/>
        <v>1.0962341956471708</v>
      </c>
      <c r="E364" s="24">
        <f t="shared" si="24"/>
        <v>1.0962341956471708</v>
      </c>
      <c r="F364" s="24"/>
    </row>
    <row r="365" spans="1:6">
      <c r="A365">
        <v>663</v>
      </c>
      <c r="B365">
        <v>1.6212104879377877E-4</v>
      </c>
      <c r="C365">
        <f t="shared" si="23"/>
        <v>1.0880545006858133</v>
      </c>
      <c r="D365">
        <f t="shared" si="25"/>
        <v>1.093038303082484</v>
      </c>
      <c r="E365" s="24">
        <f t="shared" si="24"/>
        <v>1.093038303082484</v>
      </c>
      <c r="F365" s="24"/>
    </row>
    <row r="366" spans="1:6">
      <c r="A366">
        <v>664</v>
      </c>
      <c r="B366">
        <v>1.618379990613903E-4</v>
      </c>
      <c r="C366">
        <f t="shared" si="23"/>
        <v>1.0861548489284716</v>
      </c>
      <c r="D366">
        <f t="shared" si="25"/>
        <v>1.0902446964091503</v>
      </c>
      <c r="E366" s="24">
        <f t="shared" si="24"/>
        <v>1.0902446964091503</v>
      </c>
      <c r="F366" s="24"/>
    </row>
    <row r="367" spans="1:6">
      <c r="A367">
        <v>665</v>
      </c>
      <c r="B367">
        <v>1.6187129689205904E-4</v>
      </c>
      <c r="C367">
        <f t="shared" si="23"/>
        <v>1.0863783230226238</v>
      </c>
      <c r="D367">
        <f t="shared" si="25"/>
        <v>1.0884344310372815</v>
      </c>
      <c r="E367" s="24">
        <f t="shared" si="24"/>
        <v>1.0884344310372815</v>
      </c>
      <c r="F367" s="24"/>
    </row>
    <row r="368" spans="1:6">
      <c r="A368">
        <v>666</v>
      </c>
      <c r="B368">
        <v>1.620544482866535E-4</v>
      </c>
      <c r="C368">
        <f t="shared" si="23"/>
        <v>1.0876075199756294</v>
      </c>
      <c r="D368">
        <f t="shared" si="25"/>
        <v>1.0874510799792532</v>
      </c>
      <c r="E368" s="24">
        <f t="shared" si="24"/>
        <v>1.0874510799792532</v>
      </c>
      <c r="F368" s="24"/>
    </row>
    <row r="369" spans="1:6">
      <c r="A369">
        <v>667</v>
      </c>
      <c r="B369">
        <v>1.6238745082227976E-4</v>
      </c>
      <c r="C369">
        <f t="shared" si="23"/>
        <v>1.0898424235265485</v>
      </c>
      <c r="D369">
        <f t="shared" si="25"/>
        <v>1.0876075232278173</v>
      </c>
      <c r="E369" s="24">
        <f t="shared" si="24"/>
        <v>1.0876075232278173</v>
      </c>
      <c r="F369" s="24"/>
    </row>
    <row r="370" spans="1:6">
      <c r="A370">
        <v>668</v>
      </c>
      <c r="B370">
        <v>1.6262054775143041E-4</v>
      </c>
      <c r="C370">
        <f t="shared" si="23"/>
        <v>1.0914068234903127</v>
      </c>
      <c r="D370">
        <f t="shared" si="25"/>
        <v>1.0882779877887172</v>
      </c>
      <c r="E370" s="24">
        <f t="shared" si="24"/>
        <v>1.0882779877887172</v>
      </c>
      <c r="F370" s="24"/>
    </row>
    <row r="371" spans="1:6">
      <c r="A371">
        <v>669</v>
      </c>
      <c r="B371">
        <v>1.6310340142808855E-4</v>
      </c>
      <c r="C371">
        <f t="shared" si="23"/>
        <v>1.0946474336391459</v>
      </c>
      <c r="D371">
        <f t="shared" si="25"/>
        <v>1.0899765047308523</v>
      </c>
      <c r="E371" s="24">
        <f t="shared" si="24"/>
        <v>1.0899765047308523</v>
      </c>
      <c r="F371" s="24"/>
    </row>
    <row r="372" spans="1:6">
      <c r="A372">
        <v>670</v>
      </c>
      <c r="B372">
        <v>1.6405245138594182E-4</v>
      </c>
      <c r="C372">
        <f t="shared" si="23"/>
        <v>1.1010168599764465</v>
      </c>
      <c r="D372">
        <f t="shared" si="25"/>
        <v>1.0929042121216166</v>
      </c>
      <c r="E372" s="24">
        <f t="shared" si="24"/>
        <v>1.0929042121216166</v>
      </c>
      <c r="F372" s="24"/>
    </row>
    <row r="373" spans="1:6">
      <c r="A373">
        <v>671</v>
      </c>
      <c r="B373">
        <v>1.6481835237209456E-4</v>
      </c>
      <c r="C373">
        <f t="shared" si="23"/>
        <v>1.1061571056216819</v>
      </c>
      <c r="D373">
        <f t="shared" si="25"/>
        <v>1.0966141292508271</v>
      </c>
      <c r="E373" s="24">
        <f t="shared" si="24"/>
        <v>1.0966141292508271</v>
      </c>
      <c r="F373" s="24"/>
    </row>
    <row r="374" spans="1:6">
      <c r="A374">
        <v>672</v>
      </c>
      <c r="B374">
        <v>1.6610040001978634E-4</v>
      </c>
      <c r="C374">
        <f t="shared" si="23"/>
        <v>1.1147614029880226</v>
      </c>
      <c r="D374">
        <f t="shared" si="25"/>
        <v>1.1015979251431218</v>
      </c>
      <c r="E374" s="24">
        <f t="shared" si="24"/>
        <v>1.1015979251431218</v>
      </c>
      <c r="F374" s="24"/>
    </row>
    <row r="375" spans="1:6">
      <c r="A375">
        <v>673</v>
      </c>
      <c r="B375">
        <v>1.6751564868172861E-4</v>
      </c>
      <c r="C375">
        <f t="shared" si="23"/>
        <v>1.1242596617747307</v>
      </c>
      <c r="D375">
        <f t="shared" si="25"/>
        <v>1.1081684928000053</v>
      </c>
      <c r="E375" s="24">
        <f t="shared" si="24"/>
        <v>1.1081684928000053</v>
      </c>
      <c r="F375" s="24"/>
    </row>
    <row r="376" spans="1:6">
      <c r="A376">
        <v>674</v>
      </c>
      <c r="B376">
        <v>1.6901415040047139E-4</v>
      </c>
      <c r="C376">
        <f t="shared" si="23"/>
        <v>1.1343166627101089</v>
      </c>
      <c r="D376">
        <f t="shared" si="25"/>
        <v>1.1161023386141982</v>
      </c>
      <c r="E376" s="24">
        <f t="shared" si="24"/>
        <v>1.1161023386141982</v>
      </c>
      <c r="F376" s="24"/>
    </row>
    <row r="377" spans="1:6">
      <c r="A377">
        <v>675</v>
      </c>
      <c r="B377">
        <v>1.7077905172482137E-4</v>
      </c>
      <c r="C377">
        <f t="shared" si="23"/>
        <v>1.146161570225283</v>
      </c>
      <c r="D377">
        <f t="shared" si="25"/>
        <v>1.1251312806639655</v>
      </c>
      <c r="E377" s="24">
        <f t="shared" si="24"/>
        <v>1.1251312806639655</v>
      </c>
      <c r="F377" s="24"/>
    </row>
    <row r="378" spans="1:6">
      <c r="A378">
        <v>676</v>
      </c>
      <c r="B378">
        <v>1.7232749897812025E-4</v>
      </c>
      <c r="C378">
        <f t="shared" si="23"/>
        <v>1.1565537741714191</v>
      </c>
      <c r="D378">
        <f t="shared" si="25"/>
        <v>1.1352106143739129</v>
      </c>
      <c r="E378" s="24">
        <f t="shared" si="24"/>
        <v>1.1352106143739129</v>
      </c>
      <c r="F378" s="24"/>
    </row>
    <row r="379" spans="1:6">
      <c r="A379">
        <v>677</v>
      </c>
      <c r="B379">
        <v>1.7424224902060816E-4</v>
      </c>
      <c r="C379">
        <f t="shared" si="23"/>
        <v>1.1694043720235672</v>
      </c>
      <c r="D379">
        <f t="shared" si="25"/>
        <v>1.1461392081810218</v>
      </c>
      <c r="E379" s="24">
        <f t="shared" si="24"/>
        <v>1.1461392081810218</v>
      </c>
      <c r="F379" s="24"/>
    </row>
    <row r="380" spans="1:6">
      <c r="A380">
        <v>678</v>
      </c>
      <c r="B380">
        <v>1.7629020007734654E-4</v>
      </c>
      <c r="C380">
        <f t="shared" si="23"/>
        <v>1.1831489312960826</v>
      </c>
      <c r="D380">
        <f t="shared" si="25"/>
        <v>1.1579170620852921</v>
      </c>
      <c r="E380" s="24">
        <f t="shared" si="24"/>
        <v>1.1579170620852921</v>
      </c>
      <c r="F380" s="24"/>
    </row>
    <row r="381" spans="1:6">
      <c r="A381">
        <v>679</v>
      </c>
      <c r="B381">
        <v>1.7763884823216358E-4</v>
      </c>
      <c r="C381">
        <f t="shared" si="23"/>
        <v>1.1922002093726072</v>
      </c>
      <c r="D381">
        <f t="shared" si="25"/>
        <v>1.1694937714177918</v>
      </c>
      <c r="E381" s="24">
        <f t="shared" si="24"/>
        <v>1.1694937714177918</v>
      </c>
      <c r="F381" s="24"/>
    </row>
    <row r="382" spans="1:6">
      <c r="A382">
        <v>680</v>
      </c>
      <c r="B382">
        <v>1.7943704981007613E-4</v>
      </c>
      <c r="C382">
        <f t="shared" si="23"/>
        <v>1.204268607242873</v>
      </c>
      <c r="D382">
        <f t="shared" si="25"/>
        <v>1.1811151788213097</v>
      </c>
      <c r="E382" s="24">
        <f t="shared" si="24"/>
        <v>1.1811151788213097</v>
      </c>
      <c r="F382" s="24"/>
    </row>
    <row r="383" spans="1:6">
      <c r="A383">
        <v>681</v>
      </c>
      <c r="B383">
        <v>1.8175140289531557E-4</v>
      </c>
      <c r="C383">
        <f t="shared" si="23"/>
        <v>1.219801089356124</v>
      </c>
      <c r="D383">
        <f t="shared" si="25"/>
        <v>1.1937646418582506</v>
      </c>
      <c r="E383" s="24">
        <f t="shared" si="24"/>
        <v>1.1937646418582506</v>
      </c>
      <c r="F383" s="24"/>
    </row>
    <row r="384" spans="1:6">
      <c r="A384">
        <v>682</v>
      </c>
      <c r="B384">
        <v>1.8346635141642764E-4</v>
      </c>
      <c r="C384">
        <f t="shared" si="23"/>
        <v>1.2313107450777199</v>
      </c>
      <c r="D384">
        <f t="shared" si="25"/>
        <v>1.2061459164690813</v>
      </c>
      <c r="E384" s="24">
        <f t="shared" si="24"/>
        <v>1.2061459164690813</v>
      </c>
      <c r="F384" s="24"/>
    </row>
    <row r="385" spans="1:6">
      <c r="A385">
        <v>683</v>
      </c>
      <c r="B385">
        <v>1.8523124547209589E-4</v>
      </c>
      <c r="C385">
        <f t="shared" si="23"/>
        <v>1.2431556038100746</v>
      </c>
      <c r="D385">
        <f t="shared" si="25"/>
        <v>1.2181472509718798</v>
      </c>
      <c r="E385" s="24">
        <f t="shared" si="24"/>
        <v>1.2181472509718798</v>
      </c>
      <c r="F385" s="24"/>
    </row>
    <row r="386" spans="1:6">
      <c r="A386">
        <v>684</v>
      </c>
      <c r="B386">
        <v>1.8667979923338862E-4</v>
      </c>
      <c r="C386">
        <f t="shared" si="23"/>
        <v>1.2528773854737545</v>
      </c>
      <c r="D386">
        <f t="shared" si="25"/>
        <v>1.230282686192109</v>
      </c>
      <c r="E386" s="24">
        <f t="shared" si="24"/>
        <v>1.230282686192109</v>
      </c>
      <c r="F386" s="24"/>
    </row>
    <row r="387" spans="1:6">
      <c r="A387">
        <v>685</v>
      </c>
      <c r="B387">
        <v>1.8859455169877037E-4</v>
      </c>
      <c r="C387">
        <f t="shared" ref="C387:C450" si="26">B387/B$257</f>
        <v>1.265727999586842</v>
      </c>
      <c r="D387">
        <f t="shared" si="25"/>
        <v>1.242574564660903</v>
      </c>
      <c r="E387" s="24">
        <f t="shared" ref="E387:E450" si="27">MAX(D387,E$1)</f>
        <v>1.242574564660903</v>
      </c>
      <c r="F387" s="24"/>
    </row>
    <row r="388" spans="1:6">
      <c r="A388">
        <v>686</v>
      </c>
      <c r="B388">
        <v>1.896934503747616E-4</v>
      </c>
      <c r="C388">
        <f t="shared" si="26"/>
        <v>1.2731031162611168</v>
      </c>
      <c r="D388">
        <f t="shared" si="25"/>
        <v>1.2532349700419017</v>
      </c>
      <c r="E388" s="24">
        <f t="shared" si="27"/>
        <v>1.2532349700419017</v>
      </c>
      <c r="F388" s="24"/>
    </row>
    <row r="389" spans="1:6">
      <c r="A389">
        <v>687</v>
      </c>
      <c r="B389">
        <v>1.9122524750127921E-4</v>
      </c>
      <c r="C389">
        <f t="shared" si="26"/>
        <v>1.2833835750297073</v>
      </c>
      <c r="D389">
        <f t="shared" si="25"/>
        <v>1.263649536032299</v>
      </c>
      <c r="E389" s="24">
        <f t="shared" si="27"/>
        <v>1.263649536032299</v>
      </c>
      <c r="F389" s="24"/>
    </row>
    <row r="390" spans="1:6">
      <c r="A390">
        <v>688</v>
      </c>
      <c r="B390">
        <v>1.9259054820577147E-4</v>
      </c>
      <c r="C390">
        <f t="shared" si="26"/>
        <v>1.2925466145447178</v>
      </c>
      <c r="D390">
        <f t="shared" si="25"/>
        <v>1.2735277381792278</v>
      </c>
      <c r="E390" s="24">
        <f t="shared" si="27"/>
        <v>1.2735277381792278</v>
      </c>
      <c r="F390" s="24"/>
    </row>
    <row r="391" spans="1:6">
      <c r="A391">
        <v>689</v>
      </c>
      <c r="B391">
        <v>1.9368944688176272E-4</v>
      </c>
      <c r="C391">
        <f t="shared" si="26"/>
        <v>1.2999217312189928</v>
      </c>
      <c r="D391">
        <f t="shared" ref="D391:D454" si="28">AVERAGE(C387:C391)</f>
        <v>1.2829366073282753</v>
      </c>
      <c r="E391" s="24">
        <f t="shared" si="27"/>
        <v>1.2829366073282753</v>
      </c>
      <c r="F391" s="24"/>
    </row>
    <row r="392" spans="1:6">
      <c r="A392">
        <v>690</v>
      </c>
      <c r="B392">
        <v>1.9488824874133571E-4</v>
      </c>
      <c r="C392">
        <f t="shared" si="26"/>
        <v>1.3079673352194832</v>
      </c>
      <c r="D392">
        <f t="shared" si="28"/>
        <v>1.2913844744548035</v>
      </c>
      <c r="E392" s="24">
        <f t="shared" si="27"/>
        <v>1.2913844744548035</v>
      </c>
      <c r="F392" s="24"/>
    </row>
    <row r="393" spans="1:6">
      <c r="A393">
        <v>691</v>
      </c>
      <c r="B393">
        <v>1.9640340300975366E-4</v>
      </c>
      <c r="C393">
        <f t="shared" si="26"/>
        <v>1.3181360975933467</v>
      </c>
      <c r="D393">
        <f t="shared" si="28"/>
        <v>1.3003910707212496</v>
      </c>
      <c r="E393" s="24">
        <f t="shared" si="27"/>
        <v>1.3003910707212496</v>
      </c>
      <c r="F393" s="24"/>
    </row>
    <row r="394" spans="1:6">
      <c r="A394">
        <v>692</v>
      </c>
      <c r="B394">
        <v>1.9730249774147524E-4</v>
      </c>
      <c r="C394">
        <f t="shared" si="26"/>
        <v>1.3241702558761304</v>
      </c>
      <c r="D394">
        <f t="shared" si="28"/>
        <v>1.3085484068905342</v>
      </c>
      <c r="E394" s="24">
        <f t="shared" si="27"/>
        <v>1.3085484068905342</v>
      </c>
      <c r="F394" s="24"/>
    </row>
    <row r="395" spans="1:6">
      <c r="A395">
        <v>693</v>
      </c>
      <c r="B395">
        <v>1.9850130202394211E-4</v>
      </c>
      <c r="C395">
        <f t="shared" si="26"/>
        <v>1.3322158761375604</v>
      </c>
      <c r="D395">
        <f t="shared" si="28"/>
        <v>1.3164822592091028</v>
      </c>
      <c r="E395" s="24">
        <f t="shared" si="27"/>
        <v>1.3164822592091028</v>
      </c>
      <c r="F395" s="24"/>
    </row>
    <row r="396" spans="1:6">
      <c r="A396">
        <v>694</v>
      </c>
      <c r="B396">
        <v>1.996501462344895E-4</v>
      </c>
      <c r="C396">
        <f t="shared" si="26"/>
        <v>1.3399261958225936</v>
      </c>
      <c r="D396">
        <f t="shared" si="28"/>
        <v>1.3244831521298228</v>
      </c>
      <c r="E396" s="24">
        <f t="shared" si="27"/>
        <v>1.3244831521298228</v>
      </c>
      <c r="F396" s="24"/>
    </row>
    <row r="397" spans="1:6">
      <c r="A397">
        <v>695</v>
      </c>
      <c r="B397">
        <v>2.0048265015066134E-4</v>
      </c>
      <c r="C397">
        <f t="shared" si="26"/>
        <v>1.3455134384389522</v>
      </c>
      <c r="D397">
        <f t="shared" si="28"/>
        <v>1.3319923727737168</v>
      </c>
      <c r="E397" s="24">
        <f t="shared" si="27"/>
        <v>1.3319923727737168</v>
      </c>
      <c r="F397" s="24"/>
    </row>
    <row r="398" spans="1:6">
      <c r="A398">
        <v>696</v>
      </c>
      <c r="B398">
        <v>2.0174804767157187E-4</v>
      </c>
      <c r="C398">
        <f t="shared" si="26"/>
        <v>1.3540059906277473</v>
      </c>
      <c r="D398">
        <f t="shared" si="28"/>
        <v>1.3391663513805969</v>
      </c>
      <c r="E398" s="24">
        <f t="shared" si="27"/>
        <v>1.3391663513805969</v>
      </c>
      <c r="F398" s="24"/>
    </row>
    <row r="399" spans="1:6">
      <c r="A399">
        <v>697</v>
      </c>
      <c r="B399">
        <v>2.0238075248926182E-4</v>
      </c>
      <c r="C399">
        <f t="shared" si="26"/>
        <v>1.3582523073744939</v>
      </c>
      <c r="D399">
        <f t="shared" si="28"/>
        <v>1.3459827616802695</v>
      </c>
      <c r="E399" s="24">
        <f t="shared" si="27"/>
        <v>1.3459827616802695</v>
      </c>
      <c r="F399" s="24"/>
    </row>
    <row r="400" spans="1:6">
      <c r="A400">
        <v>698</v>
      </c>
      <c r="B400">
        <v>2.0331314505165211E-4</v>
      </c>
      <c r="C400">
        <f t="shared" si="26"/>
        <v>1.3645099397514298</v>
      </c>
      <c r="D400">
        <f t="shared" si="28"/>
        <v>1.3524415744030434</v>
      </c>
      <c r="E400" s="24">
        <f t="shared" si="27"/>
        <v>1.3524415744030434</v>
      </c>
      <c r="F400" s="24"/>
    </row>
    <row r="401" spans="1:6">
      <c r="A401">
        <v>699</v>
      </c>
      <c r="B401">
        <v>2.0421225189784311E-4</v>
      </c>
      <c r="C401">
        <f t="shared" si="26"/>
        <v>1.3705441793389119</v>
      </c>
      <c r="D401">
        <f t="shared" si="28"/>
        <v>1.3585651711063069</v>
      </c>
      <c r="E401" s="24">
        <f t="shared" si="27"/>
        <v>1.3585651711063069</v>
      </c>
      <c r="F401" s="24"/>
    </row>
    <row r="402" spans="1:6">
      <c r="A402">
        <v>700</v>
      </c>
      <c r="B402">
        <v>2.0489490467298307E-4</v>
      </c>
      <c r="C402">
        <f t="shared" si="26"/>
        <v>1.3751257153573564</v>
      </c>
      <c r="D402">
        <f t="shared" si="28"/>
        <v>1.3644876264899879</v>
      </c>
      <c r="E402" s="24">
        <f t="shared" si="27"/>
        <v>1.3644876264899879</v>
      </c>
      <c r="F402" s="24"/>
    </row>
    <row r="403" spans="1:6">
      <c r="A403">
        <v>701</v>
      </c>
      <c r="B403">
        <v>2.0549429712264102E-4</v>
      </c>
      <c r="C403">
        <f t="shared" si="26"/>
        <v>1.3791484604443129</v>
      </c>
      <c r="D403">
        <f t="shared" si="28"/>
        <v>1.3695161204533008</v>
      </c>
      <c r="E403" s="24">
        <f t="shared" si="27"/>
        <v>1.3695161204533008</v>
      </c>
      <c r="F403" s="24"/>
    </row>
    <row r="404" spans="1:6">
      <c r="A404">
        <v>702</v>
      </c>
      <c r="B404">
        <v>2.0584394978504861E-4</v>
      </c>
      <c r="C404">
        <f t="shared" si="26"/>
        <v>1.3814951091727781</v>
      </c>
      <c r="D404">
        <f t="shared" si="28"/>
        <v>1.3741646808129577</v>
      </c>
      <c r="E404" s="24">
        <f t="shared" si="27"/>
        <v>1.3741646808129577</v>
      </c>
      <c r="F404" s="24"/>
    </row>
    <row r="405" spans="1:6">
      <c r="A405">
        <v>703</v>
      </c>
      <c r="B405">
        <v>2.0627685065846891E-4</v>
      </c>
      <c r="C405">
        <f t="shared" si="26"/>
        <v>1.3844004675280335</v>
      </c>
      <c r="D405">
        <f t="shared" si="28"/>
        <v>1.3781427863682787</v>
      </c>
      <c r="E405" s="24">
        <f t="shared" si="27"/>
        <v>1.3781427863682787</v>
      </c>
      <c r="F405" s="24"/>
    </row>
    <row r="406" spans="1:6">
      <c r="A406">
        <v>704</v>
      </c>
      <c r="B406">
        <v>2.0677634961612057E-4</v>
      </c>
      <c r="C406">
        <f t="shared" si="26"/>
        <v>1.3877527903325331</v>
      </c>
      <c r="D406">
        <f t="shared" si="28"/>
        <v>1.3815845085670027</v>
      </c>
      <c r="E406" s="24">
        <f t="shared" si="27"/>
        <v>1.3815845085670027</v>
      </c>
      <c r="F406" s="24"/>
    </row>
    <row r="407" spans="1:6">
      <c r="A407">
        <v>705</v>
      </c>
      <c r="B407">
        <v>2.0702609667205252E-4</v>
      </c>
      <c r="C407">
        <f t="shared" si="26"/>
        <v>1.3894289354738432</v>
      </c>
      <c r="D407">
        <f t="shared" si="28"/>
        <v>1.3844451525903001</v>
      </c>
      <c r="E407" s="24">
        <f t="shared" si="27"/>
        <v>1.3844451525903001</v>
      </c>
      <c r="F407" s="24"/>
    </row>
    <row r="408" spans="1:6">
      <c r="A408">
        <v>706</v>
      </c>
      <c r="B408">
        <v>2.0732579653122231E-4</v>
      </c>
      <c r="C408">
        <f t="shared" si="26"/>
        <v>1.391440332408731</v>
      </c>
      <c r="D408">
        <f t="shared" si="28"/>
        <v>1.3869035269831838</v>
      </c>
      <c r="E408" s="24">
        <f t="shared" si="27"/>
        <v>1.3869035269831838</v>
      </c>
      <c r="F408" s="24"/>
    </row>
    <row r="409" spans="1:6">
      <c r="A409">
        <v>707</v>
      </c>
      <c r="B409">
        <v>2.0745899754547284E-4</v>
      </c>
      <c r="C409">
        <f t="shared" si="26"/>
        <v>1.3923342938290988</v>
      </c>
      <c r="D409">
        <f t="shared" si="28"/>
        <v>1.3890713639144479</v>
      </c>
      <c r="E409" s="24">
        <f t="shared" si="27"/>
        <v>1.3890713639144479</v>
      </c>
      <c r="F409" s="24"/>
    </row>
    <row r="410" spans="1:6">
      <c r="A410">
        <v>708</v>
      </c>
      <c r="B410">
        <v>2.0745899754547284E-4</v>
      </c>
      <c r="C410">
        <f t="shared" si="26"/>
        <v>1.3923342938290988</v>
      </c>
      <c r="D410">
        <f t="shared" si="28"/>
        <v>1.3906581291746609</v>
      </c>
      <c r="E410" s="24">
        <f t="shared" si="27"/>
        <v>1.3906581291746609</v>
      </c>
      <c r="F410" s="24"/>
    </row>
    <row r="411" spans="1:6">
      <c r="A411">
        <v>709</v>
      </c>
      <c r="B411">
        <v>2.0762550123617983E-4</v>
      </c>
      <c r="C411">
        <f t="shared" si="26"/>
        <v>1.3934517618654978</v>
      </c>
      <c r="D411">
        <f t="shared" si="28"/>
        <v>1.3917979234812539</v>
      </c>
      <c r="E411" s="24">
        <f t="shared" si="27"/>
        <v>1.3917979234812539</v>
      </c>
      <c r="F411" s="24"/>
    </row>
    <row r="412" spans="1:6">
      <c r="A412">
        <v>710</v>
      </c>
      <c r="B412">
        <v>2.0775869982753647E-4</v>
      </c>
      <c r="C412">
        <f t="shared" si="26"/>
        <v>1.3943457070249259</v>
      </c>
      <c r="D412">
        <f t="shared" si="28"/>
        <v>1.3927812777914705</v>
      </c>
      <c r="E412" s="24">
        <f t="shared" si="27"/>
        <v>1.3927812777914705</v>
      </c>
      <c r="F412" s="24"/>
    </row>
    <row r="413" spans="1:6">
      <c r="A413">
        <v>711</v>
      </c>
      <c r="B413">
        <v>2.0775869982753647E-4</v>
      </c>
      <c r="C413">
        <f t="shared" si="26"/>
        <v>1.3943457070249259</v>
      </c>
      <c r="D413">
        <f t="shared" si="28"/>
        <v>1.3933623527147094</v>
      </c>
      <c r="E413" s="24">
        <f t="shared" si="27"/>
        <v>1.3933623527147094</v>
      </c>
      <c r="F413" s="24"/>
    </row>
    <row r="414" spans="1:6">
      <c r="A414">
        <v>712</v>
      </c>
      <c r="B414">
        <v>2.0757554843294198E-4</v>
      </c>
      <c r="C414">
        <f t="shared" si="26"/>
        <v>1.3931165100719201</v>
      </c>
      <c r="D414">
        <f t="shared" si="28"/>
        <v>1.3935187959632738</v>
      </c>
      <c r="E414" s="24">
        <f t="shared" si="27"/>
        <v>1.3935187959632738</v>
      </c>
      <c r="F414" s="24"/>
    </row>
    <row r="415" spans="1:6">
      <c r="A415">
        <v>713</v>
      </c>
      <c r="B415">
        <v>2.076754491936299E-4</v>
      </c>
      <c r="C415">
        <f t="shared" si="26"/>
        <v>1.3937869811371961</v>
      </c>
      <c r="D415">
        <f t="shared" si="28"/>
        <v>1.3938093334248931</v>
      </c>
      <c r="E415" s="24">
        <f t="shared" si="27"/>
        <v>1.3938093334248931</v>
      </c>
      <c r="F415" s="24"/>
    </row>
    <row r="416" spans="1:6">
      <c r="A416">
        <v>714</v>
      </c>
      <c r="B416">
        <v>2.0757554843294204E-4</v>
      </c>
      <c r="C416">
        <f t="shared" si="26"/>
        <v>1.3931165100719205</v>
      </c>
      <c r="D416">
        <f t="shared" si="28"/>
        <v>1.3937422830661776</v>
      </c>
      <c r="E416" s="24">
        <f t="shared" si="27"/>
        <v>1.3937422830661776</v>
      </c>
      <c r="F416" s="24"/>
    </row>
    <row r="417" spans="1:6">
      <c r="A417">
        <v>715</v>
      </c>
      <c r="B417">
        <v>2.0732579895411615E-4</v>
      </c>
      <c r="C417">
        <f t="shared" si="26"/>
        <v>1.3914403486696703</v>
      </c>
      <c r="D417">
        <f t="shared" si="28"/>
        <v>1.3931612113951266</v>
      </c>
      <c r="E417" s="24">
        <f t="shared" si="27"/>
        <v>1.3931612113951266</v>
      </c>
      <c r="F417" s="24"/>
    </row>
    <row r="418" spans="1:6">
      <c r="A418">
        <v>716</v>
      </c>
      <c r="B418">
        <v>2.0719259793986565E-4</v>
      </c>
      <c r="C418">
        <f t="shared" si="26"/>
        <v>1.3905463872493027</v>
      </c>
      <c r="D418">
        <f t="shared" si="28"/>
        <v>1.3924013474400019</v>
      </c>
      <c r="E418" s="24">
        <f t="shared" si="27"/>
        <v>1.3924013474400019</v>
      </c>
      <c r="F418" s="24"/>
    </row>
    <row r="419" spans="1:6">
      <c r="A419">
        <v>717</v>
      </c>
      <c r="B419">
        <v>2.0685960509581492E-4</v>
      </c>
      <c r="C419">
        <f t="shared" si="26"/>
        <v>1.3883115487421422</v>
      </c>
      <c r="D419">
        <f t="shared" si="28"/>
        <v>1.3914403551740464</v>
      </c>
      <c r="E419" s="24">
        <f t="shared" si="27"/>
        <v>1.3914403551740464</v>
      </c>
      <c r="F419" s="24"/>
    </row>
    <row r="420" spans="1:6">
      <c r="A420">
        <v>718</v>
      </c>
      <c r="B420">
        <v>2.0682630484225229E-4</v>
      </c>
      <c r="C420">
        <f t="shared" si="26"/>
        <v>1.3880880583870503</v>
      </c>
      <c r="D420">
        <f t="shared" si="28"/>
        <v>1.3903005706240172</v>
      </c>
      <c r="E420" s="24">
        <f t="shared" si="27"/>
        <v>1.3903005706240172</v>
      </c>
      <c r="F420" s="24"/>
    </row>
    <row r="421" spans="1:6">
      <c r="A421">
        <v>719</v>
      </c>
      <c r="B421">
        <v>2.0654325268696996E-4</v>
      </c>
      <c r="C421">
        <f t="shared" si="26"/>
        <v>1.3861883903687691</v>
      </c>
      <c r="D421">
        <f t="shared" si="28"/>
        <v>1.388914946683387</v>
      </c>
      <c r="E421" s="24">
        <f t="shared" si="27"/>
        <v>1.388914946683387</v>
      </c>
      <c r="F421" s="24"/>
    </row>
    <row r="422" spans="1:6">
      <c r="A422">
        <v>720</v>
      </c>
      <c r="B422">
        <v>2.0609369926387445E-4</v>
      </c>
      <c r="C422">
        <f t="shared" si="26"/>
        <v>1.3831712705750279</v>
      </c>
      <c r="D422">
        <f t="shared" si="28"/>
        <v>1.3872611310644585</v>
      </c>
      <c r="E422" s="24">
        <f t="shared" si="27"/>
        <v>1.3872611310644585</v>
      </c>
      <c r="F422" s="24"/>
    </row>
    <row r="423" spans="1:6">
      <c r="A423">
        <v>721</v>
      </c>
      <c r="B423">
        <v>2.0576069672824816E-4</v>
      </c>
      <c r="C423">
        <f t="shared" si="26"/>
        <v>1.3809363670241086</v>
      </c>
      <c r="D423">
        <f t="shared" si="28"/>
        <v>1.3853391270194197</v>
      </c>
      <c r="E423" s="24">
        <f t="shared" si="27"/>
        <v>1.3853391270194197</v>
      </c>
      <c r="F423" s="24"/>
    </row>
    <row r="424" spans="1:6">
      <c r="A424">
        <v>722</v>
      </c>
      <c r="B424">
        <v>2.0547764457296577E-4</v>
      </c>
      <c r="C424">
        <f t="shared" si="26"/>
        <v>1.3790366990058269</v>
      </c>
      <c r="D424">
        <f t="shared" si="28"/>
        <v>1.3834841570721566</v>
      </c>
      <c r="E424" s="24">
        <f t="shared" si="27"/>
        <v>1.3834841570721566</v>
      </c>
      <c r="F424" s="24"/>
    </row>
    <row r="425" spans="1:6">
      <c r="A425">
        <v>723</v>
      </c>
      <c r="B425">
        <v>2.051779519824777E-4</v>
      </c>
      <c r="C425">
        <f t="shared" si="26"/>
        <v>1.3770253508537589</v>
      </c>
      <c r="D425">
        <f t="shared" si="28"/>
        <v>1.3812716155654985</v>
      </c>
      <c r="E425" s="24">
        <f t="shared" si="27"/>
        <v>1.3812716155654985</v>
      </c>
      <c r="F425" s="24"/>
    </row>
    <row r="426" spans="1:6">
      <c r="A426">
        <v>724</v>
      </c>
      <c r="B426">
        <v>2.0464515277126343E-4</v>
      </c>
      <c r="C426">
        <f t="shared" si="26"/>
        <v>1.3734495376941676</v>
      </c>
      <c r="D426">
        <f t="shared" si="28"/>
        <v>1.3787238450305779</v>
      </c>
      <c r="E426" s="24">
        <f t="shared" si="27"/>
        <v>1.3787238450305779</v>
      </c>
      <c r="F426" s="24"/>
    </row>
    <row r="427" spans="1:6">
      <c r="A427">
        <v>725</v>
      </c>
      <c r="B427">
        <v>2.042621998552931E-4</v>
      </c>
      <c r="C427">
        <f t="shared" si="26"/>
        <v>1.3708793986106096</v>
      </c>
      <c r="D427">
        <f t="shared" si="28"/>
        <v>1.3762654706376944</v>
      </c>
      <c r="E427" s="24">
        <f t="shared" si="27"/>
        <v>1.3762654706376944</v>
      </c>
      <c r="F427" s="24"/>
    </row>
    <row r="428" spans="1:6">
      <c r="A428">
        <v>726</v>
      </c>
      <c r="B428">
        <v>2.037293957982911E-4</v>
      </c>
      <c r="C428">
        <f t="shared" si="26"/>
        <v>1.3673035529291393</v>
      </c>
      <c r="D428">
        <f t="shared" si="28"/>
        <v>1.3735389078187006</v>
      </c>
      <c r="E428" s="24">
        <f t="shared" si="27"/>
        <v>1.3735389078187006</v>
      </c>
      <c r="F428" s="24"/>
    </row>
    <row r="429" spans="1:6">
      <c r="A429">
        <v>727</v>
      </c>
      <c r="B429">
        <v>2.0341304581233998E-4</v>
      </c>
      <c r="C429">
        <f t="shared" si="26"/>
        <v>1.3651804108167054</v>
      </c>
      <c r="D429">
        <f t="shared" si="28"/>
        <v>1.3707676501808763</v>
      </c>
      <c r="E429" s="24">
        <f t="shared" si="27"/>
        <v>1.3707676501808763</v>
      </c>
      <c r="F429" s="24"/>
    </row>
    <row r="430" spans="1:6">
      <c r="A430">
        <v>728</v>
      </c>
      <c r="B430">
        <v>2.0279700323590078E-4</v>
      </c>
      <c r="C430">
        <f t="shared" si="26"/>
        <v>1.3610459205522032</v>
      </c>
      <c r="D430">
        <f t="shared" si="28"/>
        <v>1.3675717641205651</v>
      </c>
      <c r="E430" s="24">
        <f t="shared" si="27"/>
        <v>1.3675717641205651</v>
      </c>
      <c r="F430" s="24"/>
    </row>
    <row r="431" spans="1:6">
      <c r="A431">
        <v>729</v>
      </c>
      <c r="B431">
        <v>2.0241405031993053E-4</v>
      </c>
      <c r="C431">
        <f t="shared" si="26"/>
        <v>1.3584757814686461</v>
      </c>
      <c r="D431">
        <f t="shared" si="28"/>
        <v>1.3645770128754606</v>
      </c>
      <c r="E431" s="24">
        <f t="shared" si="27"/>
        <v>1.3645770128754606</v>
      </c>
      <c r="F431" s="24"/>
    </row>
    <row r="432" spans="1:6">
      <c r="A432">
        <v>730</v>
      </c>
      <c r="B432">
        <v>2.0183129588258449E-4</v>
      </c>
      <c r="C432">
        <f t="shared" si="26"/>
        <v>1.3545647002545371</v>
      </c>
      <c r="D432">
        <f t="shared" si="28"/>
        <v>1.3613140732042464</v>
      </c>
      <c r="E432" s="24">
        <f t="shared" si="27"/>
        <v>1.3613140732042464</v>
      </c>
      <c r="F432" s="24"/>
    </row>
    <row r="433" spans="1:6">
      <c r="A433">
        <v>731</v>
      </c>
      <c r="B433">
        <v>2.0136510202428326E-4</v>
      </c>
      <c r="C433">
        <f t="shared" si="26"/>
        <v>1.3514359003270091</v>
      </c>
      <c r="D433">
        <f t="shared" si="28"/>
        <v>1.35814054268382</v>
      </c>
      <c r="E433" s="24">
        <f t="shared" si="27"/>
        <v>1.35814054268382</v>
      </c>
      <c r="F433" s="24"/>
    </row>
    <row r="434" spans="1:6">
      <c r="A434">
        <v>732</v>
      </c>
      <c r="B434">
        <v>2.0091555344697553E-4</v>
      </c>
      <c r="C434">
        <f t="shared" si="26"/>
        <v>1.3484188130551473</v>
      </c>
      <c r="D434">
        <f t="shared" si="28"/>
        <v>1.3547882231315085</v>
      </c>
      <c r="E434" s="24">
        <f t="shared" si="27"/>
        <v>1.3547882231315085</v>
      </c>
      <c r="F434" s="24"/>
    </row>
    <row r="435" spans="1:6">
      <c r="A435">
        <v>733</v>
      </c>
      <c r="B435">
        <v>2.0034944913641082E-4</v>
      </c>
      <c r="C435">
        <f t="shared" si="26"/>
        <v>1.3446194770185844</v>
      </c>
      <c r="D435">
        <f t="shared" si="28"/>
        <v>1.3515029344247849</v>
      </c>
      <c r="E435" s="24">
        <f t="shared" si="27"/>
        <v>1.3515029344247849</v>
      </c>
      <c r="F435" s="24"/>
    </row>
    <row r="436" spans="1:6">
      <c r="A436">
        <v>734</v>
      </c>
      <c r="B436">
        <v>1.9989989571331536E-4</v>
      </c>
      <c r="C436">
        <f t="shared" si="26"/>
        <v>1.3416023572248437</v>
      </c>
      <c r="D436">
        <f t="shared" si="28"/>
        <v>1.3481282495760243</v>
      </c>
      <c r="E436" s="24">
        <f t="shared" si="27"/>
        <v>1.3481282495760243</v>
      </c>
      <c r="F436" s="24"/>
    </row>
    <row r="437" spans="1:6">
      <c r="A437">
        <v>735</v>
      </c>
      <c r="B437">
        <v>1.9950029993924545E-4</v>
      </c>
      <c r="C437">
        <f t="shared" si="26"/>
        <v>1.3389205217465594</v>
      </c>
      <c r="D437">
        <f t="shared" si="28"/>
        <v>1.3449994138744288</v>
      </c>
      <c r="E437" s="24">
        <f t="shared" si="27"/>
        <v>1.3449994138744288</v>
      </c>
      <c r="F437" s="24"/>
    </row>
    <row r="438" spans="1:6">
      <c r="A438">
        <v>736</v>
      </c>
      <c r="B438">
        <v>1.9885095226345579E-4</v>
      </c>
      <c r="C438">
        <f t="shared" si="26"/>
        <v>1.3345625086050856</v>
      </c>
      <c r="D438">
        <f t="shared" si="28"/>
        <v>1.3416247355300441</v>
      </c>
      <c r="E438" s="24">
        <f t="shared" si="27"/>
        <v>1.3416247355300441</v>
      </c>
      <c r="F438" s="24"/>
    </row>
    <row r="439" spans="1:6">
      <c r="A439">
        <v>737</v>
      </c>
      <c r="B439">
        <v>1.9835144846001642E-4</v>
      </c>
      <c r="C439">
        <f t="shared" si="26"/>
        <v>1.3312101532787071</v>
      </c>
      <c r="D439">
        <f t="shared" si="28"/>
        <v>1.3381830035747562</v>
      </c>
      <c r="E439" s="24">
        <f t="shared" si="27"/>
        <v>1.3381830035747562</v>
      </c>
      <c r="F439" s="24"/>
    </row>
    <row r="440" spans="1:6">
      <c r="A440">
        <v>738</v>
      </c>
      <c r="B440">
        <v>1.9775204631878294E-4</v>
      </c>
      <c r="C440">
        <f t="shared" si="26"/>
        <v>1.3271873431479919</v>
      </c>
      <c r="D440">
        <f t="shared" si="28"/>
        <v>1.3346965768006378</v>
      </c>
      <c r="E440" s="24">
        <f t="shared" si="27"/>
        <v>1.3346965768006378</v>
      </c>
      <c r="F440" s="24"/>
    </row>
    <row r="441" spans="1:6">
      <c r="A441">
        <v>739</v>
      </c>
      <c r="B441">
        <v>1.9728585246048169E-4</v>
      </c>
      <c r="C441">
        <f t="shared" si="26"/>
        <v>1.3240585432204637</v>
      </c>
      <c r="D441">
        <f t="shared" si="28"/>
        <v>1.3311878139997613</v>
      </c>
      <c r="E441" s="24">
        <f t="shared" si="27"/>
        <v>1.3311878139997613</v>
      </c>
      <c r="F441" s="24"/>
    </row>
    <row r="442" spans="1:6">
      <c r="A442">
        <v>740</v>
      </c>
      <c r="B442">
        <v>1.9668645031924823E-4</v>
      </c>
      <c r="C442">
        <f t="shared" si="26"/>
        <v>1.3200357330897485</v>
      </c>
      <c r="D442">
        <f t="shared" si="28"/>
        <v>1.3274108562683993</v>
      </c>
      <c r="E442" s="24">
        <f t="shared" si="27"/>
        <v>1.3274108562683993</v>
      </c>
      <c r="F442" s="24"/>
    </row>
    <row r="443" spans="1:6">
      <c r="A443">
        <v>741</v>
      </c>
      <c r="B443">
        <v>1.9597050213633336E-4</v>
      </c>
      <c r="C443">
        <f t="shared" si="26"/>
        <v>1.3152307392380913</v>
      </c>
      <c r="D443">
        <f t="shared" si="28"/>
        <v>1.3235445023950003</v>
      </c>
      <c r="E443" s="24">
        <f t="shared" si="27"/>
        <v>1.3235445023950003</v>
      </c>
      <c r="F443" s="24"/>
    </row>
    <row r="444" spans="1:6">
      <c r="A444">
        <v>742</v>
      </c>
      <c r="B444">
        <v>1.9530450191086856E-4</v>
      </c>
      <c r="C444">
        <f t="shared" si="26"/>
        <v>1.3107609646581322</v>
      </c>
      <c r="D444">
        <f t="shared" si="28"/>
        <v>1.3194546646708856</v>
      </c>
      <c r="E444" s="24">
        <f t="shared" si="27"/>
        <v>1.3194546646708856</v>
      </c>
      <c r="F444" s="24"/>
    </row>
    <row r="445" spans="1:6">
      <c r="A445">
        <v>743</v>
      </c>
      <c r="B445">
        <v>1.9465514938929115E-4</v>
      </c>
      <c r="C445">
        <f t="shared" si="26"/>
        <v>1.306402918994779</v>
      </c>
      <c r="D445">
        <f t="shared" si="28"/>
        <v>1.3152977798402428</v>
      </c>
      <c r="E445" s="24">
        <f t="shared" si="27"/>
        <v>1.3152977798402428</v>
      </c>
      <c r="F445" s="24"/>
    </row>
    <row r="446" spans="1:6">
      <c r="A446">
        <v>744</v>
      </c>
      <c r="B446">
        <v>1.9393919878348239E-4</v>
      </c>
      <c r="C446">
        <f t="shared" si="26"/>
        <v>1.3015979088821819</v>
      </c>
      <c r="D446">
        <f t="shared" si="28"/>
        <v>1.3108056529725867</v>
      </c>
      <c r="E446" s="24">
        <f t="shared" si="27"/>
        <v>1.3108056529725867</v>
      </c>
      <c r="F446" s="24"/>
    </row>
    <row r="447" spans="1:6">
      <c r="A447">
        <v>745</v>
      </c>
      <c r="B447">
        <v>1.9322325060056758E-4</v>
      </c>
      <c r="C447">
        <f t="shared" si="26"/>
        <v>1.2967929150305249</v>
      </c>
      <c r="D447">
        <f t="shared" si="28"/>
        <v>1.3061570893607419</v>
      </c>
      <c r="E447" s="24">
        <f t="shared" si="27"/>
        <v>1.3061570893607419</v>
      </c>
      <c r="F447" s="24"/>
    </row>
    <row r="448" spans="1:6">
      <c r="A448">
        <v>746</v>
      </c>
      <c r="B448">
        <v>1.923740965576144E-4</v>
      </c>
      <c r="C448">
        <f t="shared" si="26"/>
        <v>1.2910939272366202</v>
      </c>
      <c r="D448">
        <f t="shared" si="28"/>
        <v>1.3013297269604478</v>
      </c>
      <c r="E448" s="24">
        <f t="shared" si="27"/>
        <v>1.3013297269604478</v>
      </c>
      <c r="F448" s="24"/>
    </row>
    <row r="449" spans="1:6">
      <c r="A449">
        <v>747</v>
      </c>
      <c r="B449">
        <v>1.9185795474186307E-4</v>
      </c>
      <c r="C449">
        <f t="shared" si="26"/>
        <v>1.2876299080373939</v>
      </c>
      <c r="D449">
        <f t="shared" si="28"/>
        <v>1.2967035156362998</v>
      </c>
      <c r="E449" s="24">
        <f t="shared" si="27"/>
        <v>1.2967035156362998</v>
      </c>
      <c r="F449" s="24"/>
    </row>
    <row r="450" spans="1:6">
      <c r="A450">
        <v>748</v>
      </c>
      <c r="B450">
        <v>1.9117530196672305E-4</v>
      </c>
      <c r="C450">
        <f t="shared" si="26"/>
        <v>1.2830483720189489</v>
      </c>
      <c r="D450">
        <f t="shared" si="28"/>
        <v>1.292032606241134</v>
      </c>
      <c r="E450" s="24">
        <f t="shared" si="27"/>
        <v>1.292032606241134</v>
      </c>
      <c r="F450" s="24"/>
    </row>
    <row r="451" spans="1:6">
      <c r="A451">
        <v>749</v>
      </c>
      <c r="B451">
        <v>1.9040939613478261E-4</v>
      </c>
      <c r="C451">
        <f t="shared" ref="C451:C514" si="29">B451/B$257</f>
        <v>1.2779080938518348</v>
      </c>
      <c r="D451">
        <f t="shared" si="28"/>
        <v>1.2872946432350645</v>
      </c>
      <c r="E451" s="24">
        <f t="shared" ref="E451:E514" si="30">MAX(D451,E$1)</f>
        <v>1.2872946432350645</v>
      </c>
      <c r="F451" s="24"/>
    </row>
    <row r="452" spans="1:6">
      <c r="A452">
        <v>750</v>
      </c>
      <c r="B452">
        <v>1.8985994921968084E-4</v>
      </c>
      <c r="C452">
        <f t="shared" si="29"/>
        <v>1.2742205517756366</v>
      </c>
      <c r="D452">
        <f t="shared" si="28"/>
        <v>1.2827801705840869</v>
      </c>
      <c r="E452" s="24">
        <f t="shared" si="30"/>
        <v>1.2827801705840869</v>
      </c>
      <c r="F452" s="24"/>
    </row>
    <row r="453" spans="1:6">
      <c r="A453">
        <v>751</v>
      </c>
      <c r="B453">
        <v>1.8891089926182758E-4</v>
      </c>
      <c r="C453">
        <f t="shared" si="29"/>
        <v>1.267851125438336</v>
      </c>
      <c r="D453">
        <f t="shared" si="28"/>
        <v>1.27813161022443</v>
      </c>
      <c r="E453" s="24">
        <f t="shared" si="30"/>
        <v>1.27813161022443</v>
      </c>
      <c r="F453" s="24"/>
    </row>
    <row r="454" spans="1:6">
      <c r="A454">
        <v>752</v>
      </c>
      <c r="B454">
        <v>1.8819495107891271E-4</v>
      </c>
      <c r="C454">
        <f t="shared" si="29"/>
        <v>1.2630461315866786</v>
      </c>
      <c r="D454">
        <f t="shared" si="28"/>
        <v>1.273214854934287</v>
      </c>
      <c r="E454" s="24">
        <f t="shared" si="30"/>
        <v>1.273214854934287</v>
      </c>
      <c r="F454" s="24"/>
    </row>
    <row r="455" spans="1:6">
      <c r="A455">
        <v>753</v>
      </c>
      <c r="B455">
        <v>1.8756225110701049E-4</v>
      </c>
      <c r="C455">
        <f t="shared" si="29"/>
        <v>1.2587998473618109</v>
      </c>
      <c r="D455">
        <f t="shared" ref="D455:D518" si="31">AVERAGE(C451:C455)</f>
        <v>1.2683651500028592</v>
      </c>
      <c r="E455" s="24">
        <f t="shared" si="30"/>
        <v>1.2683651500028592</v>
      </c>
      <c r="F455" s="24"/>
    </row>
    <row r="456" spans="1:6">
      <c r="A456">
        <v>754</v>
      </c>
      <c r="B456">
        <v>1.8684629807830787E-4</v>
      </c>
      <c r="C456">
        <f t="shared" si="29"/>
        <v>1.2539948209882743</v>
      </c>
      <c r="D456">
        <f t="shared" si="31"/>
        <v>1.2635824954301473</v>
      </c>
      <c r="E456" s="24">
        <f t="shared" si="30"/>
        <v>1.2635824954301473</v>
      </c>
      <c r="F456" s="24"/>
    </row>
    <row r="457" spans="1:6">
      <c r="A457">
        <v>755</v>
      </c>
      <c r="B457">
        <v>1.8593055321980499E-4</v>
      </c>
      <c r="C457">
        <f t="shared" si="29"/>
        <v>1.2478489175279448</v>
      </c>
      <c r="D457">
        <f t="shared" si="31"/>
        <v>1.258308168580609</v>
      </c>
      <c r="E457" s="24">
        <f t="shared" si="30"/>
        <v>1.258308168580609</v>
      </c>
      <c r="F457" s="24"/>
    </row>
    <row r="458" spans="1:6">
      <c r="A458">
        <v>756</v>
      </c>
      <c r="B458">
        <v>1.85347798782459E-4</v>
      </c>
      <c r="C458">
        <f t="shared" si="29"/>
        <v>1.2439378363138363</v>
      </c>
      <c r="D458">
        <f t="shared" si="31"/>
        <v>1.2535255107557088</v>
      </c>
      <c r="E458" s="24">
        <f t="shared" si="30"/>
        <v>1.2535255107557088</v>
      </c>
      <c r="F458" s="24"/>
    </row>
    <row r="459" spans="1:6">
      <c r="A459">
        <v>757</v>
      </c>
      <c r="B459">
        <v>1.8461519804986891E-4</v>
      </c>
      <c r="C459">
        <f t="shared" si="29"/>
        <v>1.239021081023693</v>
      </c>
      <c r="D459">
        <f t="shared" si="31"/>
        <v>1.2487205006431117</v>
      </c>
      <c r="E459" s="24">
        <f t="shared" si="30"/>
        <v>1.2487205006431117</v>
      </c>
      <c r="F459" s="24"/>
    </row>
    <row r="460" spans="1:6">
      <c r="A460">
        <v>758</v>
      </c>
      <c r="B460">
        <v>1.8381600165594136E-4</v>
      </c>
      <c r="C460">
        <f t="shared" si="29"/>
        <v>1.2336573775452455</v>
      </c>
      <c r="D460">
        <f t="shared" si="31"/>
        <v>1.2436920066797987</v>
      </c>
      <c r="E460" s="24">
        <f t="shared" si="30"/>
        <v>1.2436920066797987</v>
      </c>
      <c r="F460" s="24"/>
    </row>
    <row r="461" spans="1:6">
      <c r="A461">
        <v>759</v>
      </c>
      <c r="B461">
        <v>1.8311669875402005E-4</v>
      </c>
      <c r="C461">
        <f t="shared" si="29"/>
        <v>1.2289640963492547</v>
      </c>
      <c r="D461">
        <f t="shared" si="31"/>
        <v>1.2386858617519949</v>
      </c>
      <c r="E461" s="24">
        <f t="shared" si="30"/>
        <v>1.2386858617519949</v>
      </c>
      <c r="F461" s="24"/>
    </row>
    <row r="462" spans="1:6">
      <c r="A462">
        <v>760</v>
      </c>
      <c r="B462">
        <v>1.8231749993719861E-4</v>
      </c>
      <c r="C462">
        <f t="shared" si="29"/>
        <v>1.2236003766098678</v>
      </c>
      <c r="D462">
        <f t="shared" si="31"/>
        <v>1.2338361535683795</v>
      </c>
      <c r="E462" s="24">
        <f t="shared" si="30"/>
        <v>1.2338361535683795</v>
      </c>
      <c r="F462" s="24"/>
    </row>
    <row r="463" spans="1:6">
      <c r="A463">
        <v>761</v>
      </c>
      <c r="B463">
        <v>1.8158490162750241E-4</v>
      </c>
      <c r="C463">
        <f t="shared" si="29"/>
        <v>1.2186836375806642</v>
      </c>
      <c r="D463">
        <f t="shared" si="31"/>
        <v>1.2287853138217451</v>
      </c>
      <c r="E463" s="24">
        <f t="shared" si="30"/>
        <v>1.2287853138217451</v>
      </c>
      <c r="F463" s="24"/>
    </row>
    <row r="464" spans="1:6">
      <c r="A464">
        <v>762</v>
      </c>
      <c r="B464">
        <v>1.8105209999339422E-4</v>
      </c>
      <c r="C464">
        <f t="shared" si="29"/>
        <v>1.215107808160133</v>
      </c>
      <c r="D464">
        <f t="shared" si="31"/>
        <v>1.2240026592490332</v>
      </c>
      <c r="E464" s="24">
        <f t="shared" si="30"/>
        <v>1.2240026592490332</v>
      </c>
      <c r="F464" s="24"/>
    </row>
    <row r="465" spans="1:6">
      <c r="A465">
        <v>763</v>
      </c>
      <c r="B465">
        <v>1.7983665042993379E-4</v>
      </c>
      <c r="C465">
        <f t="shared" si="29"/>
        <v>1.2069504752430362</v>
      </c>
      <c r="D465">
        <f t="shared" si="31"/>
        <v>1.2186612787885911</v>
      </c>
      <c r="E465" s="24">
        <f t="shared" si="30"/>
        <v>1.2186612787885911</v>
      </c>
      <c r="F465" s="24"/>
    </row>
    <row r="466" spans="1:6">
      <c r="A466">
        <v>764</v>
      </c>
      <c r="B466">
        <v>1.7898749880987451E-4</v>
      </c>
      <c r="C466">
        <f t="shared" si="29"/>
        <v>1.2012515037100715</v>
      </c>
      <c r="D466">
        <f t="shared" si="31"/>
        <v>1.2131187602607547</v>
      </c>
      <c r="E466" s="24">
        <f t="shared" si="30"/>
        <v>1.2131187602607547</v>
      </c>
      <c r="F466" s="24"/>
    </row>
    <row r="467" spans="1:6">
      <c r="A467">
        <v>765</v>
      </c>
      <c r="B467">
        <v>1.7840474921831627E-4</v>
      </c>
      <c r="C467">
        <f t="shared" si="29"/>
        <v>1.1973404550178421</v>
      </c>
      <c r="D467">
        <f t="shared" si="31"/>
        <v>1.2078667759423496</v>
      </c>
      <c r="E467" s="24">
        <f t="shared" si="30"/>
        <v>1.2078667759423496</v>
      </c>
      <c r="F467" s="24"/>
    </row>
    <row r="468" spans="1:6">
      <c r="A468">
        <v>766</v>
      </c>
      <c r="B468">
        <v>1.7757224772503835E-4</v>
      </c>
      <c r="C468">
        <f t="shared" si="29"/>
        <v>1.1917532286624235</v>
      </c>
      <c r="D468">
        <f t="shared" si="31"/>
        <v>1.2024806941587012</v>
      </c>
      <c r="E468" s="24">
        <f t="shared" si="30"/>
        <v>1.2024806941587012</v>
      </c>
      <c r="F468" s="24"/>
    </row>
    <row r="469" spans="1:6">
      <c r="A469">
        <v>767</v>
      </c>
      <c r="B469">
        <v>1.7685629711922959E-4</v>
      </c>
      <c r="C469">
        <f t="shared" si="29"/>
        <v>1.1869482185498264</v>
      </c>
      <c r="D469">
        <f t="shared" si="31"/>
        <v>1.19684877623664</v>
      </c>
      <c r="E469" s="24">
        <f t="shared" si="30"/>
        <v>1.19684877623664</v>
      </c>
      <c r="F469" s="24"/>
    </row>
    <row r="470" spans="1:6">
      <c r="A470">
        <v>768</v>
      </c>
      <c r="B470">
        <v>1.7604045059852068E-4</v>
      </c>
      <c r="C470">
        <f t="shared" si="29"/>
        <v>1.1814727698938328</v>
      </c>
      <c r="D470">
        <f t="shared" si="31"/>
        <v>1.1917532351667992</v>
      </c>
      <c r="E470" s="24">
        <f t="shared" si="30"/>
        <v>1.1917532351667992</v>
      </c>
      <c r="F470" s="24"/>
    </row>
    <row r="471" spans="1:6">
      <c r="A471">
        <v>769</v>
      </c>
      <c r="B471">
        <v>1.7539110049983719E-4</v>
      </c>
      <c r="C471">
        <f t="shared" si="29"/>
        <v>1.1771147404914195</v>
      </c>
      <c r="D471">
        <f t="shared" si="31"/>
        <v>1.1869258825230689</v>
      </c>
      <c r="E471" s="24">
        <f t="shared" si="30"/>
        <v>1.1869258825230689</v>
      </c>
      <c r="F471" s="24"/>
    </row>
    <row r="472" spans="1:6">
      <c r="A472">
        <v>770</v>
      </c>
      <c r="B472">
        <v>1.7457524913334056E-4</v>
      </c>
      <c r="C472">
        <f t="shared" si="29"/>
        <v>1.1716392593135467</v>
      </c>
      <c r="D472">
        <f t="shared" si="31"/>
        <v>1.1817856433822098</v>
      </c>
      <c r="E472" s="24">
        <f t="shared" si="30"/>
        <v>1.1817856433822098</v>
      </c>
      <c r="F472" s="24"/>
    </row>
    <row r="473" spans="1:6">
      <c r="A473">
        <v>771</v>
      </c>
      <c r="B473">
        <v>1.7389260120398832E-4</v>
      </c>
      <c r="C473">
        <f t="shared" si="29"/>
        <v>1.1670577558169812</v>
      </c>
      <c r="D473">
        <f t="shared" si="31"/>
        <v>1.1768465488131212</v>
      </c>
      <c r="E473" s="24">
        <f t="shared" si="30"/>
        <v>1.1768465488131212</v>
      </c>
      <c r="F473" s="24"/>
    </row>
    <row r="474" spans="1:6">
      <c r="A474">
        <v>772</v>
      </c>
      <c r="B474">
        <v>1.7276039985154057E-4</v>
      </c>
      <c r="C474">
        <f t="shared" si="29"/>
        <v>1.1594591325266748</v>
      </c>
      <c r="D474">
        <f t="shared" si="31"/>
        <v>1.171348731608491</v>
      </c>
      <c r="E474" s="24">
        <f t="shared" si="30"/>
        <v>1.171348731608491</v>
      </c>
      <c r="F474" s="24"/>
    </row>
    <row r="475" spans="1:6">
      <c r="A475">
        <v>773</v>
      </c>
      <c r="B475">
        <v>1.7219430038676364E-4</v>
      </c>
      <c r="C475">
        <f t="shared" si="29"/>
        <v>1.1556598290119913</v>
      </c>
      <c r="D475">
        <f t="shared" si="31"/>
        <v>1.1661861434321228</v>
      </c>
      <c r="E475" s="24">
        <f t="shared" si="30"/>
        <v>1.1661861434321228</v>
      </c>
      <c r="F475" s="24"/>
    </row>
    <row r="476" spans="1:6">
      <c r="A476">
        <v>774</v>
      </c>
      <c r="B476">
        <v>1.7154495028808014E-4</v>
      </c>
      <c r="C476">
        <f t="shared" si="29"/>
        <v>1.151301799609578</v>
      </c>
      <c r="D476">
        <f t="shared" si="31"/>
        <v>1.1610235552557544</v>
      </c>
      <c r="E476" s="24">
        <f t="shared" si="30"/>
        <v>1.1610235552557544</v>
      </c>
      <c r="F476" s="24"/>
    </row>
    <row r="477" spans="1:6">
      <c r="A477">
        <v>775</v>
      </c>
      <c r="B477">
        <v>1.7059590275312071E-4</v>
      </c>
      <c r="C477">
        <f t="shared" si="29"/>
        <v>1.1449323895332166</v>
      </c>
      <c r="D477">
        <f t="shared" si="31"/>
        <v>1.1556821812996882</v>
      </c>
      <c r="E477" s="24">
        <f t="shared" si="30"/>
        <v>1.1556821812996882</v>
      </c>
      <c r="F477" s="24"/>
    </row>
    <row r="478" spans="1:6">
      <c r="A478">
        <v>776</v>
      </c>
      <c r="B478">
        <v>1.7011305149935651E-4</v>
      </c>
      <c r="C478">
        <f t="shared" si="29"/>
        <v>1.1416917956453234</v>
      </c>
      <c r="D478">
        <f t="shared" si="31"/>
        <v>1.150608989265357</v>
      </c>
      <c r="E478" s="24">
        <f t="shared" si="30"/>
        <v>1.150608989265357</v>
      </c>
      <c r="F478" s="24"/>
    </row>
    <row r="479" spans="1:6">
      <c r="A479">
        <v>777</v>
      </c>
      <c r="B479">
        <v>1.6916399911860933E-4</v>
      </c>
      <c r="C479">
        <f t="shared" si="29"/>
        <v>1.1353223530470828</v>
      </c>
      <c r="D479">
        <f t="shared" si="31"/>
        <v>1.1457816333694384</v>
      </c>
      <c r="E479" s="24">
        <f t="shared" si="30"/>
        <v>1.1457816333694384</v>
      </c>
      <c r="F479" s="24"/>
    </row>
    <row r="480" spans="1:6">
      <c r="A480">
        <v>778</v>
      </c>
      <c r="B480">
        <v>1.6846470106247579E-4</v>
      </c>
      <c r="C480">
        <f t="shared" si="29"/>
        <v>1.1306291043729715</v>
      </c>
      <c r="D480">
        <f t="shared" si="31"/>
        <v>1.1407754884416346</v>
      </c>
      <c r="E480" s="24">
        <f t="shared" si="30"/>
        <v>1.1407754884416346</v>
      </c>
      <c r="F480" s="24"/>
    </row>
    <row r="481" spans="1:6">
      <c r="A481">
        <v>779</v>
      </c>
      <c r="B481">
        <v>1.6774874803377314E-4</v>
      </c>
      <c r="C481">
        <f t="shared" si="29"/>
        <v>1.1258240779994346</v>
      </c>
      <c r="D481">
        <f t="shared" si="31"/>
        <v>1.1356799441196057</v>
      </c>
      <c r="E481" s="24">
        <f t="shared" si="30"/>
        <v>1.1356799441196057</v>
      </c>
      <c r="F481" s="24"/>
    </row>
    <row r="482" spans="1:6">
      <c r="A482">
        <v>780</v>
      </c>
      <c r="B482">
        <v>1.6698285431630212E-4</v>
      </c>
      <c r="C482">
        <f t="shared" si="29"/>
        <v>1.1206838811370188</v>
      </c>
      <c r="D482">
        <f t="shared" si="31"/>
        <v>1.1308302424403665</v>
      </c>
      <c r="E482" s="24">
        <f t="shared" si="30"/>
        <v>1.1308302424403665</v>
      </c>
      <c r="F482" s="24"/>
    </row>
    <row r="483" spans="1:6">
      <c r="A483">
        <v>781</v>
      </c>
      <c r="B483">
        <v>1.662003007804742E-4</v>
      </c>
      <c r="C483">
        <f t="shared" si="29"/>
        <v>1.1154318740532982</v>
      </c>
      <c r="D483">
        <f t="shared" si="31"/>
        <v>1.1255782581219611</v>
      </c>
      <c r="E483" s="24">
        <f t="shared" si="30"/>
        <v>1.1255782581219611</v>
      </c>
      <c r="F483" s="24"/>
    </row>
    <row r="484" spans="1:6">
      <c r="A484">
        <v>782</v>
      </c>
      <c r="B484">
        <v>1.6548434775177156E-4</v>
      </c>
      <c r="C484">
        <f t="shared" si="29"/>
        <v>1.1106268476797614</v>
      </c>
      <c r="D484">
        <f t="shared" si="31"/>
        <v>1.1206391570484968</v>
      </c>
      <c r="E484" s="24">
        <f t="shared" si="30"/>
        <v>1.1206391570484968</v>
      </c>
      <c r="F484" s="24"/>
    </row>
    <row r="485" spans="1:6">
      <c r="A485">
        <v>783</v>
      </c>
      <c r="B485">
        <v>1.6463520097750008E-4</v>
      </c>
      <c r="C485">
        <f t="shared" si="29"/>
        <v>1.1049279086686761</v>
      </c>
      <c r="D485">
        <f t="shared" si="31"/>
        <v>1.1154989179076378</v>
      </c>
      <c r="E485" s="24">
        <f t="shared" si="30"/>
        <v>1.1154989179076378</v>
      </c>
      <c r="F485" s="24"/>
    </row>
    <row r="486" spans="1:6">
      <c r="A486">
        <v>784</v>
      </c>
      <c r="B486">
        <v>1.6383599731489083E-4</v>
      </c>
      <c r="C486">
        <f t="shared" si="29"/>
        <v>1.0995641564074092</v>
      </c>
      <c r="D486">
        <f t="shared" si="31"/>
        <v>1.1102469335892327</v>
      </c>
      <c r="E486" s="24">
        <f t="shared" si="30"/>
        <v>1.1102469335892327</v>
      </c>
      <c r="F486" s="24"/>
    </row>
    <row r="487" spans="1:6">
      <c r="A487">
        <v>785</v>
      </c>
      <c r="B487">
        <v>1.6310339900519463E-4</v>
      </c>
      <c r="C487">
        <f t="shared" si="29"/>
        <v>1.0946474173782059</v>
      </c>
      <c r="D487">
        <f t="shared" si="31"/>
        <v>1.1050396408374701</v>
      </c>
      <c r="E487" s="24">
        <f t="shared" si="30"/>
        <v>1.1050396408374701</v>
      </c>
      <c r="F487" s="24"/>
    </row>
    <row r="488" spans="1:6">
      <c r="A488">
        <v>786</v>
      </c>
      <c r="B488">
        <v>1.6230419776547934E-4</v>
      </c>
      <c r="C488">
        <f t="shared" si="29"/>
        <v>1.0892836813778792</v>
      </c>
      <c r="D488">
        <f t="shared" si="31"/>
        <v>1.0998100023023865</v>
      </c>
      <c r="E488" s="24">
        <f t="shared" si="30"/>
        <v>1.0998100023023865</v>
      </c>
      <c r="F488" s="24"/>
    </row>
    <row r="489" spans="1:6">
      <c r="A489">
        <v>787</v>
      </c>
      <c r="B489">
        <v>1.6147169627220138E-4</v>
      </c>
      <c r="C489">
        <f t="shared" si="29"/>
        <v>1.0836964550224604</v>
      </c>
      <c r="D489">
        <f t="shared" si="31"/>
        <v>1.0944239237709261</v>
      </c>
      <c r="E489" s="24">
        <f t="shared" si="30"/>
        <v>1.0944239237709261</v>
      </c>
      <c r="F489" s="24"/>
    </row>
    <row r="490" spans="1:6">
      <c r="A490">
        <v>788</v>
      </c>
      <c r="B490">
        <v>1.6072245025861777E-4</v>
      </c>
      <c r="C490">
        <f t="shared" si="29"/>
        <v>1.0786679870766507</v>
      </c>
      <c r="D490">
        <f t="shared" si="31"/>
        <v>1.089171939452521</v>
      </c>
      <c r="E490" s="24">
        <f t="shared" si="30"/>
        <v>1.089171939452521</v>
      </c>
      <c r="F490" s="24"/>
    </row>
    <row r="491" spans="1:6">
      <c r="A491">
        <v>789</v>
      </c>
      <c r="B491">
        <v>1.6017300092062217E-4</v>
      </c>
      <c r="C491">
        <f t="shared" si="29"/>
        <v>1.0749804287395133</v>
      </c>
      <c r="D491">
        <f t="shared" si="31"/>
        <v>1.084255193918942</v>
      </c>
      <c r="E491" s="24">
        <f t="shared" si="30"/>
        <v>1.084255193918942</v>
      </c>
      <c r="F491" s="24"/>
    </row>
    <row r="492" spans="1:6">
      <c r="A492">
        <v>790</v>
      </c>
      <c r="B492">
        <v>1.5842474972305352E-4</v>
      </c>
      <c r="C492">
        <f t="shared" si="29"/>
        <v>1.0632472664018853</v>
      </c>
      <c r="D492">
        <f t="shared" si="31"/>
        <v>1.0779751637236779</v>
      </c>
      <c r="E492" s="24">
        <f t="shared" si="30"/>
        <v>1.0779751637236779</v>
      </c>
      <c r="F492" s="24"/>
    </row>
    <row r="493" spans="1:6">
      <c r="A493">
        <v>791</v>
      </c>
      <c r="B493">
        <v>1.5769214899046346E-4</v>
      </c>
      <c r="C493">
        <f t="shared" si="29"/>
        <v>1.0583305111117423</v>
      </c>
      <c r="D493">
        <f t="shared" si="31"/>
        <v>1.0717845296704502</v>
      </c>
      <c r="E493" s="24">
        <f t="shared" si="30"/>
        <v>1.0717845296704502</v>
      </c>
      <c r="F493" s="24"/>
    </row>
    <row r="494" spans="1:6">
      <c r="A494">
        <v>792</v>
      </c>
      <c r="B494">
        <v>1.5712604710279267E-4</v>
      </c>
      <c r="C494">
        <f t="shared" si="29"/>
        <v>1.0545311913361193</v>
      </c>
      <c r="D494">
        <f t="shared" si="31"/>
        <v>1.0659514769331822</v>
      </c>
      <c r="E494" s="24">
        <f t="shared" si="30"/>
        <v>1.0659514769331822</v>
      </c>
      <c r="F494" s="24"/>
    </row>
    <row r="495" spans="1:6">
      <c r="A495">
        <v>793</v>
      </c>
      <c r="B495">
        <v>1.5652665465313475E-4</v>
      </c>
      <c r="C495">
        <f t="shared" si="29"/>
        <v>1.050508446249163</v>
      </c>
      <c r="D495">
        <f t="shared" si="31"/>
        <v>1.0603195687676845</v>
      </c>
      <c r="E495" s="24">
        <f t="shared" si="30"/>
        <v>1.0603195687676845</v>
      </c>
      <c r="F495" s="24"/>
    </row>
    <row r="496" spans="1:6">
      <c r="A496">
        <v>794</v>
      </c>
      <c r="B496">
        <v>1.5602715084969533E-4</v>
      </c>
      <c r="C496">
        <f t="shared" si="29"/>
        <v>1.0471560909227842</v>
      </c>
      <c r="D496">
        <f t="shared" si="31"/>
        <v>1.0547547012043388</v>
      </c>
      <c r="E496" s="24">
        <f t="shared" si="30"/>
        <v>1.0547547012043388</v>
      </c>
      <c r="F496" s="24"/>
    </row>
    <row r="497" spans="1:6">
      <c r="A497">
        <v>795</v>
      </c>
      <c r="B497">
        <v>1.5554429959593107E-4</v>
      </c>
      <c r="C497">
        <f t="shared" si="29"/>
        <v>1.0439154970348907</v>
      </c>
      <c r="D497">
        <f t="shared" si="31"/>
        <v>1.0508883473309398</v>
      </c>
      <c r="E497" s="24">
        <f t="shared" si="30"/>
        <v>1.0508883473309398</v>
      </c>
      <c r="F497" s="24"/>
    </row>
    <row r="498" spans="1:6">
      <c r="A498">
        <v>796</v>
      </c>
      <c r="B498">
        <v>1.5479505115945357E-4</v>
      </c>
      <c r="C498">
        <f t="shared" si="29"/>
        <v>1.0388870128281413</v>
      </c>
      <c r="D498">
        <f t="shared" si="31"/>
        <v>1.0469996476742196</v>
      </c>
      <c r="E498" s="24">
        <f t="shared" si="30"/>
        <v>1.0469996476742196</v>
      </c>
      <c r="F498" s="24"/>
    </row>
    <row r="499" spans="1:6">
      <c r="A499">
        <v>797</v>
      </c>
      <c r="B499">
        <v>1.5419564659532623E-4</v>
      </c>
      <c r="C499">
        <f t="shared" si="29"/>
        <v>1.0348641864364865</v>
      </c>
      <c r="D499">
        <f t="shared" si="31"/>
        <v>1.043066246694293</v>
      </c>
      <c r="E499" s="24">
        <f t="shared" si="30"/>
        <v>1.043066246694293</v>
      </c>
      <c r="F499" s="24"/>
    </row>
    <row r="500" spans="1:6">
      <c r="A500">
        <v>798</v>
      </c>
      <c r="B500">
        <v>1.5359625172277447E-4</v>
      </c>
      <c r="C500">
        <f t="shared" si="29"/>
        <v>1.0308414250885909</v>
      </c>
      <c r="D500">
        <f t="shared" si="31"/>
        <v>1.0391328424621786</v>
      </c>
      <c r="E500" s="24">
        <f t="shared" si="30"/>
        <v>1.0391328424621786</v>
      </c>
      <c r="F500" s="24"/>
    </row>
    <row r="501" spans="1:6">
      <c r="A501">
        <v>799</v>
      </c>
      <c r="B501">
        <v>1.5216435051115695E-4</v>
      </c>
      <c r="C501">
        <f t="shared" si="29"/>
        <v>1.0212314048633966</v>
      </c>
      <c r="D501">
        <f t="shared" si="31"/>
        <v>1.0339479052503011</v>
      </c>
      <c r="E501" s="24">
        <f t="shared" si="30"/>
        <v>1.0339479052503011</v>
      </c>
      <c r="F501" s="24"/>
    </row>
    <row r="502" spans="1:6">
      <c r="A502">
        <v>800</v>
      </c>
      <c r="B502">
        <v>1.5141509965178556E-4</v>
      </c>
      <c r="C502">
        <f t="shared" si="29"/>
        <v>1.0162029043957075</v>
      </c>
      <c r="D502">
        <f t="shared" si="31"/>
        <v>1.0284053867224645</v>
      </c>
      <c r="E502" s="24">
        <f t="shared" si="30"/>
        <v>1.0284053867224645</v>
      </c>
      <c r="F502" s="24"/>
    </row>
    <row r="503" spans="1:6">
      <c r="A503">
        <v>801</v>
      </c>
      <c r="B503">
        <v>1.5068250134208939E-4</v>
      </c>
      <c r="C503">
        <f t="shared" si="29"/>
        <v>1.0112861653665042</v>
      </c>
      <c r="D503">
        <f t="shared" si="31"/>
        <v>1.022885217230137</v>
      </c>
      <c r="E503" s="24">
        <f t="shared" si="30"/>
        <v>1.022885217230137</v>
      </c>
      <c r="F503" s="24"/>
    </row>
    <row r="504" spans="1:6">
      <c r="A504">
        <v>802</v>
      </c>
      <c r="B504">
        <v>1.501330495811999E-4</v>
      </c>
      <c r="C504">
        <f t="shared" si="29"/>
        <v>1.0075985907684271</v>
      </c>
      <c r="D504">
        <f t="shared" si="31"/>
        <v>1.0174320980965252</v>
      </c>
      <c r="E504" s="24">
        <f t="shared" si="30"/>
        <v>1.0174320980965252</v>
      </c>
      <c r="F504" s="24"/>
    </row>
    <row r="505" spans="1:6">
      <c r="A505">
        <v>803</v>
      </c>
      <c r="B505">
        <v>1.495669476935291E-4</v>
      </c>
      <c r="C505">
        <f t="shared" si="29"/>
        <v>1.0037992709928041</v>
      </c>
      <c r="D505">
        <f t="shared" si="31"/>
        <v>1.0120236672773679</v>
      </c>
      <c r="E505" s="24">
        <f t="shared" si="30"/>
        <v>1.0120236672773679</v>
      </c>
      <c r="F505" s="24"/>
    </row>
    <row r="506" spans="1:6">
      <c r="A506">
        <v>804</v>
      </c>
      <c r="B506">
        <v>1.4908409886265871E-4</v>
      </c>
      <c r="C506">
        <f t="shared" si="29"/>
        <v>1.0005586933658503</v>
      </c>
      <c r="D506">
        <f t="shared" si="31"/>
        <v>1.0078891249778585</v>
      </c>
      <c r="E506" s="24">
        <f t="shared" si="30"/>
        <v>1.0078891249778585</v>
      </c>
      <c r="F506" s="24"/>
    </row>
    <row r="507" spans="1:6">
      <c r="A507">
        <v>805</v>
      </c>
      <c r="B507">
        <v>1.4810174865124279E-4</v>
      </c>
      <c r="C507">
        <f t="shared" si="29"/>
        <v>0.99396577667345742</v>
      </c>
      <c r="D507">
        <f t="shared" si="31"/>
        <v>1.0034416994334088</v>
      </c>
      <c r="E507" s="24">
        <f t="shared" si="30"/>
        <v>1.0034416994334088</v>
      </c>
      <c r="F507" s="24"/>
    </row>
    <row r="508" spans="1:6">
      <c r="A508">
        <v>806</v>
      </c>
      <c r="B508">
        <v>1.4756894701713465E-4</v>
      </c>
      <c r="C508">
        <f t="shared" si="29"/>
        <v>0.99038994725292651</v>
      </c>
      <c r="D508">
        <f t="shared" si="31"/>
        <v>0.99926245581069306</v>
      </c>
      <c r="E508" s="24">
        <f t="shared" si="30"/>
        <v>0.99926245581069306</v>
      </c>
      <c r="F508" s="24"/>
    </row>
    <row r="509" spans="1:6">
      <c r="A509">
        <v>807</v>
      </c>
      <c r="B509">
        <v>1.4711940086272081E-4</v>
      </c>
      <c r="C509">
        <f t="shared" si="29"/>
        <v>0.98737287624200454</v>
      </c>
      <c r="D509">
        <f t="shared" si="31"/>
        <v>0.99521731290540871</v>
      </c>
      <c r="E509" s="24">
        <f t="shared" si="30"/>
        <v>0.99521731290540871</v>
      </c>
      <c r="F509" s="24"/>
    </row>
    <row r="510" spans="1:6">
      <c r="A510">
        <v>808</v>
      </c>
      <c r="B510">
        <v>1.4670315253897571E-4</v>
      </c>
      <c r="C510">
        <f t="shared" si="29"/>
        <v>0.9845792793252347</v>
      </c>
      <c r="D510">
        <f t="shared" si="31"/>
        <v>0.9913733145718947</v>
      </c>
      <c r="E510" s="24">
        <f t="shared" si="30"/>
        <v>0.9913733145718947</v>
      </c>
      <c r="F510" s="24"/>
    </row>
    <row r="511" spans="1:6">
      <c r="A511">
        <v>809</v>
      </c>
      <c r="B511">
        <v>1.4607045014417962E-4</v>
      </c>
      <c r="C511">
        <f t="shared" si="29"/>
        <v>0.98033297883942772</v>
      </c>
      <c r="D511">
        <f t="shared" si="31"/>
        <v>0.98732817166661013</v>
      </c>
      <c r="E511" s="24">
        <f t="shared" si="30"/>
        <v>0.98732817166661013</v>
      </c>
      <c r="F511" s="24"/>
    </row>
    <row r="512" spans="1:6">
      <c r="A512">
        <v>810</v>
      </c>
      <c r="B512">
        <v>1.455875988904154E-4</v>
      </c>
      <c r="C512">
        <f t="shared" si="29"/>
        <v>0.9770923849515345</v>
      </c>
      <c r="D512">
        <f t="shared" si="31"/>
        <v>0.98395349332222559</v>
      </c>
      <c r="E512" s="24">
        <f t="shared" si="30"/>
        <v>0.98395349332222559</v>
      </c>
      <c r="F512" s="24"/>
    </row>
    <row r="513" spans="1:6">
      <c r="A513">
        <v>811</v>
      </c>
      <c r="B513">
        <v>1.4523794865090167E-4</v>
      </c>
      <c r="C513">
        <f t="shared" si="29"/>
        <v>0.97474575248400885</v>
      </c>
      <c r="D513">
        <f t="shared" si="31"/>
        <v>0.98082465436844202</v>
      </c>
      <c r="E513" s="24">
        <f t="shared" si="30"/>
        <v>0.98082465436844202</v>
      </c>
      <c r="F513" s="24"/>
    </row>
    <row r="514" spans="1:6">
      <c r="A514">
        <v>812</v>
      </c>
      <c r="B514">
        <v>1.4462189638288691E-4</v>
      </c>
      <c r="C514">
        <f t="shared" si="29"/>
        <v>0.97061119717574784</v>
      </c>
      <c r="D514">
        <f t="shared" si="31"/>
        <v>0.97747231855519079</v>
      </c>
      <c r="E514" s="24">
        <f t="shared" si="30"/>
        <v>0.97747231855519079</v>
      </c>
      <c r="F514" s="24"/>
    </row>
    <row r="515" spans="1:6">
      <c r="A515">
        <v>813</v>
      </c>
      <c r="B515">
        <v>1.4407245189067906E-4</v>
      </c>
      <c r="C515">
        <f t="shared" ref="C515:C578" si="32">B515/B$257</f>
        <v>0.96692367136048973</v>
      </c>
      <c r="D515">
        <f t="shared" si="31"/>
        <v>0.97394119696224168</v>
      </c>
      <c r="E515" s="24">
        <f t="shared" ref="E515:E578" si="33">MAX(D515,E$1)</f>
        <v>0.97394119696224168</v>
      </c>
      <c r="F515" s="24"/>
    </row>
    <row r="516" spans="1:6">
      <c r="A516">
        <v>814</v>
      </c>
      <c r="B516">
        <v>1.4348970229912086E-4</v>
      </c>
      <c r="C516">
        <f t="shared" si="32"/>
        <v>0.9630126226682606</v>
      </c>
      <c r="D516">
        <f t="shared" si="31"/>
        <v>0.97047712572800826</v>
      </c>
      <c r="E516" s="24">
        <f t="shared" si="33"/>
        <v>0.97047712572800826</v>
      </c>
      <c r="F516" s="24"/>
    </row>
    <row r="517" spans="1:6">
      <c r="A517">
        <v>815</v>
      </c>
      <c r="B517">
        <v>1.4309009925636928E-4</v>
      </c>
      <c r="C517">
        <f t="shared" si="32"/>
        <v>0.96033073840715732</v>
      </c>
      <c r="D517">
        <f t="shared" si="31"/>
        <v>0.96712479641913285</v>
      </c>
      <c r="E517" s="24">
        <f t="shared" si="33"/>
        <v>0.96712479641913285</v>
      </c>
      <c r="F517" s="24"/>
    </row>
    <row r="518" spans="1:6">
      <c r="A518">
        <v>816</v>
      </c>
      <c r="B518">
        <v>1.4265719838294898E-4</v>
      </c>
      <c r="C518">
        <f t="shared" si="32"/>
        <v>0.95742538005190192</v>
      </c>
      <c r="D518">
        <f t="shared" si="31"/>
        <v>0.96366072193271146</v>
      </c>
      <c r="E518" s="24">
        <f t="shared" si="33"/>
        <v>0.96366072193271146</v>
      </c>
      <c r="F518" s="24"/>
    </row>
    <row r="519" spans="1:6">
      <c r="A519">
        <v>817</v>
      </c>
      <c r="B519">
        <v>1.4200785313005327E-4</v>
      </c>
      <c r="C519">
        <f t="shared" si="32"/>
        <v>0.95306738317136808</v>
      </c>
      <c r="D519">
        <f t="shared" ref="D519:D582" si="34">AVERAGE(C515:C519)</f>
        <v>0.9601519591318356</v>
      </c>
      <c r="E519" s="24">
        <f t="shared" si="33"/>
        <v>0.9601519591318356</v>
      </c>
      <c r="F519" s="24"/>
    </row>
    <row r="520" spans="1:6">
      <c r="A520">
        <v>818</v>
      </c>
      <c r="B520">
        <v>1.4142510111560114E-4</v>
      </c>
      <c r="C520">
        <f t="shared" si="32"/>
        <v>0.94915631821819912</v>
      </c>
      <c r="D520">
        <f t="shared" si="34"/>
        <v>0.95659848850337748</v>
      </c>
      <c r="E520" s="24">
        <f t="shared" si="33"/>
        <v>0.95659848850337748</v>
      </c>
      <c r="F520" s="24"/>
    </row>
    <row r="521" spans="1:6">
      <c r="A521">
        <v>819</v>
      </c>
      <c r="B521">
        <v>1.409255973121617E-4</v>
      </c>
      <c r="C521">
        <f t="shared" si="32"/>
        <v>0.94580396289182012</v>
      </c>
      <c r="D521">
        <f t="shared" si="34"/>
        <v>0.95315675654808929</v>
      </c>
      <c r="E521" s="24">
        <f t="shared" si="33"/>
        <v>0.95315675654808929</v>
      </c>
      <c r="F521" s="24"/>
    </row>
    <row r="522" spans="1:6">
      <c r="A522">
        <v>820</v>
      </c>
      <c r="B522">
        <v>1.4057594707264797E-4</v>
      </c>
      <c r="C522">
        <f t="shared" si="32"/>
        <v>0.94345733042429447</v>
      </c>
      <c r="D522">
        <f t="shared" si="34"/>
        <v>0.94978207495151667</v>
      </c>
      <c r="E522" s="24">
        <f t="shared" si="33"/>
        <v>0.94978207495151667</v>
      </c>
      <c r="F522" s="24"/>
    </row>
    <row r="523" spans="1:6">
      <c r="A523">
        <v>821</v>
      </c>
      <c r="B523">
        <v>1.4009310066467149E-4</v>
      </c>
      <c r="C523">
        <f t="shared" si="32"/>
        <v>0.94021676905828055</v>
      </c>
      <c r="D523">
        <f t="shared" si="34"/>
        <v>0.94634035275279249</v>
      </c>
      <c r="E523" s="24">
        <f t="shared" si="33"/>
        <v>0.94634035275279249</v>
      </c>
      <c r="F523" s="24"/>
    </row>
    <row r="524" spans="1:6">
      <c r="A524">
        <v>822</v>
      </c>
      <c r="B524">
        <v>1.3967684991803253E-4</v>
      </c>
      <c r="C524">
        <f t="shared" si="32"/>
        <v>0.93742315588057123</v>
      </c>
      <c r="D524">
        <f t="shared" si="34"/>
        <v>0.9432115072946331</v>
      </c>
      <c r="E524" s="24">
        <f t="shared" si="33"/>
        <v>0.9432115072946331</v>
      </c>
      <c r="F524" s="24"/>
    </row>
    <row r="525" spans="1:6">
      <c r="A525">
        <v>823</v>
      </c>
      <c r="B525">
        <v>1.393438498053001E-4</v>
      </c>
      <c r="C525">
        <f t="shared" si="32"/>
        <v>0.93518826859059145</v>
      </c>
      <c r="D525">
        <f t="shared" si="34"/>
        <v>0.94041789736911174</v>
      </c>
      <c r="E525" s="24">
        <f t="shared" si="33"/>
        <v>0.94041789736911174</v>
      </c>
      <c r="F525" s="24"/>
    </row>
    <row r="526" spans="1:6">
      <c r="A526">
        <v>824</v>
      </c>
      <c r="B526">
        <v>1.3894424676254858E-4</v>
      </c>
      <c r="C526">
        <f t="shared" si="32"/>
        <v>0.93250638432948851</v>
      </c>
      <c r="D526">
        <f t="shared" si="34"/>
        <v>0.93775838165664527</v>
      </c>
      <c r="E526" s="24">
        <f t="shared" si="33"/>
        <v>0.93775838165664527</v>
      </c>
      <c r="F526" s="24"/>
    </row>
    <row r="527" spans="1:6">
      <c r="A527">
        <v>825</v>
      </c>
      <c r="B527">
        <v>1.3866119703016011E-4</v>
      </c>
      <c r="C527">
        <f t="shared" si="32"/>
        <v>0.93060673257214677</v>
      </c>
      <c r="D527">
        <f t="shared" si="34"/>
        <v>0.93518826208621575</v>
      </c>
      <c r="E527" s="24">
        <f t="shared" si="33"/>
        <v>0.93518826208621575</v>
      </c>
      <c r="F527" s="24"/>
    </row>
    <row r="528" spans="1:6">
      <c r="A528">
        <v>826</v>
      </c>
      <c r="B528">
        <v>1.3829490393254672E-4</v>
      </c>
      <c r="C528">
        <f t="shared" si="32"/>
        <v>0.92814840370989427</v>
      </c>
      <c r="D528">
        <f t="shared" si="34"/>
        <v>0.93277458901653854</v>
      </c>
      <c r="E528" s="24">
        <f t="shared" si="33"/>
        <v>0.93277458901653854</v>
      </c>
      <c r="F528" s="24"/>
    </row>
    <row r="529" spans="1:6">
      <c r="A529">
        <v>827</v>
      </c>
      <c r="B529">
        <v>1.3801185420015828E-4</v>
      </c>
      <c r="C529">
        <f t="shared" si="32"/>
        <v>0.92624875195255274</v>
      </c>
      <c r="D529">
        <f t="shared" si="34"/>
        <v>0.93053970823093479</v>
      </c>
      <c r="E529" s="24">
        <f t="shared" si="33"/>
        <v>0.93053970823093479</v>
      </c>
      <c r="F529" s="24"/>
    </row>
    <row r="530" spans="1:6">
      <c r="A530">
        <v>828</v>
      </c>
      <c r="B530">
        <v>1.3774545217165723E-4</v>
      </c>
      <c r="C530">
        <f t="shared" si="32"/>
        <v>0.92446082911181715</v>
      </c>
      <c r="D530">
        <f t="shared" si="34"/>
        <v>0.92839422033517993</v>
      </c>
      <c r="E530" s="24">
        <f t="shared" si="33"/>
        <v>0.92839422033517993</v>
      </c>
      <c r="F530" s="24"/>
    </row>
    <row r="531" spans="1:6">
      <c r="A531">
        <v>829</v>
      </c>
      <c r="B531">
        <v>1.3749570026993751E-4</v>
      </c>
      <c r="C531">
        <f t="shared" si="32"/>
        <v>0.92278465144862765</v>
      </c>
      <c r="D531">
        <f t="shared" si="34"/>
        <v>0.92644987375900778</v>
      </c>
      <c r="E531" s="24">
        <f t="shared" si="33"/>
        <v>0.92644987375900778</v>
      </c>
      <c r="F531" s="24"/>
    </row>
    <row r="532" spans="1:6">
      <c r="A532">
        <v>830</v>
      </c>
      <c r="B532">
        <v>1.3724594836821778E-4</v>
      </c>
      <c r="C532">
        <f t="shared" si="32"/>
        <v>0.92110847378543814</v>
      </c>
      <c r="D532">
        <f t="shared" si="34"/>
        <v>0.92455022200166592</v>
      </c>
      <c r="E532" s="24">
        <f t="shared" si="33"/>
        <v>0.92455022200166592</v>
      </c>
      <c r="F532" s="24"/>
    </row>
    <row r="533" spans="1:6">
      <c r="A533">
        <v>831</v>
      </c>
      <c r="B533">
        <v>1.3699619646649809E-4</v>
      </c>
      <c r="C533">
        <f t="shared" si="32"/>
        <v>0.91943229612224886</v>
      </c>
      <c r="D533">
        <f t="shared" si="34"/>
        <v>0.92280700048413689</v>
      </c>
      <c r="E533" s="24">
        <f t="shared" si="33"/>
        <v>0.92280700048413689</v>
      </c>
      <c r="F533" s="24"/>
    </row>
    <row r="534" spans="1:6">
      <c r="A534">
        <v>832</v>
      </c>
      <c r="B534">
        <v>1.3677974724123486E-4</v>
      </c>
      <c r="C534">
        <f t="shared" si="32"/>
        <v>0.91797962507509079</v>
      </c>
      <c r="D534">
        <f t="shared" si="34"/>
        <v>0.92115317510864458</v>
      </c>
      <c r="E534" s="24">
        <f t="shared" si="33"/>
        <v>0.92115317510864458</v>
      </c>
      <c r="F534" s="24"/>
    </row>
    <row r="535" spans="1:6">
      <c r="A535">
        <v>833</v>
      </c>
      <c r="B535">
        <v>1.3667984648054699E-4</v>
      </c>
      <c r="C535">
        <f t="shared" si="32"/>
        <v>0.91730915400981516</v>
      </c>
      <c r="D535">
        <f t="shared" si="34"/>
        <v>0.91972284008824412</v>
      </c>
      <c r="E535" s="24">
        <f t="shared" si="33"/>
        <v>0.91972284008824412</v>
      </c>
      <c r="F535" s="24"/>
    </row>
    <row r="536" spans="1:6">
      <c r="A536">
        <v>834</v>
      </c>
      <c r="B536">
        <v>1.3652999776240902E-4</v>
      </c>
      <c r="C536">
        <f t="shared" si="32"/>
        <v>0.9163034636728411</v>
      </c>
      <c r="D536">
        <f t="shared" si="34"/>
        <v>0.91842660253308672</v>
      </c>
      <c r="E536" s="24">
        <f t="shared" si="33"/>
        <v>0.91842660253308672</v>
      </c>
      <c r="F536" s="24"/>
    </row>
    <row r="537" spans="1:6">
      <c r="A537">
        <v>835</v>
      </c>
      <c r="B537">
        <v>1.3636350618617142E-4</v>
      </c>
      <c r="C537">
        <f t="shared" si="32"/>
        <v>0.91518607694114018</v>
      </c>
      <c r="D537">
        <f t="shared" si="34"/>
        <v>0.91724212316422715</v>
      </c>
      <c r="E537" s="24">
        <f t="shared" si="33"/>
        <v>0.91724212316422715</v>
      </c>
      <c r="F537" s="24"/>
    </row>
    <row r="538" spans="1:6">
      <c r="A538">
        <v>836</v>
      </c>
      <c r="B538">
        <v>1.3623030517192092E-4</v>
      </c>
      <c r="C538">
        <f t="shared" si="32"/>
        <v>0.91429211552077261</v>
      </c>
      <c r="D538">
        <f t="shared" si="34"/>
        <v>0.91621408704393192</v>
      </c>
      <c r="E538" s="24">
        <f t="shared" si="33"/>
        <v>0.91621408704393192</v>
      </c>
      <c r="F538" s="24"/>
    </row>
    <row r="539" spans="1:6">
      <c r="A539">
        <v>837</v>
      </c>
      <c r="B539">
        <v>1.3614705453801436E-4</v>
      </c>
      <c r="C539">
        <f t="shared" si="32"/>
        <v>0.91373338963304285</v>
      </c>
      <c r="D539">
        <f t="shared" si="34"/>
        <v>0.91536483995552231</v>
      </c>
      <c r="E539" s="24">
        <f t="shared" si="33"/>
        <v>0.91536483995552231</v>
      </c>
      <c r="F539" s="24"/>
    </row>
    <row r="540" spans="1:6">
      <c r="A540">
        <v>838</v>
      </c>
      <c r="B540">
        <v>1.359805532702012E-4</v>
      </c>
      <c r="C540">
        <f t="shared" si="32"/>
        <v>0.9126159378575831</v>
      </c>
      <c r="D540">
        <f t="shared" si="34"/>
        <v>0.91442619672507597</v>
      </c>
      <c r="E540" s="24">
        <f t="shared" si="33"/>
        <v>0.91442619672507597</v>
      </c>
      <c r="F540" s="24"/>
    </row>
    <row r="541" spans="1:6">
      <c r="A541">
        <v>839</v>
      </c>
      <c r="B541">
        <v>1.3601385352376383E-4</v>
      </c>
      <c r="C541">
        <f t="shared" si="32"/>
        <v>0.91283942821267505</v>
      </c>
      <c r="D541">
        <f t="shared" si="34"/>
        <v>0.91373338963304285</v>
      </c>
      <c r="E541" s="24">
        <f t="shared" si="33"/>
        <v>0.91373338963304285</v>
      </c>
      <c r="F541" s="24"/>
    </row>
    <row r="542" spans="1:6">
      <c r="A542">
        <v>840</v>
      </c>
      <c r="B542">
        <v>1.359972033969825E-4</v>
      </c>
      <c r="C542">
        <f t="shared" si="32"/>
        <v>0.91272768303512897</v>
      </c>
      <c r="D542">
        <f t="shared" si="34"/>
        <v>0.91324171085184047</v>
      </c>
      <c r="E542" s="24">
        <f t="shared" si="33"/>
        <v>0.91324171085184047</v>
      </c>
      <c r="F542" s="24"/>
    </row>
    <row r="543" spans="1:6">
      <c r="A543">
        <v>841</v>
      </c>
      <c r="B543">
        <v>1.3589730263629464E-4</v>
      </c>
      <c r="C543">
        <f t="shared" si="32"/>
        <v>0.91205721196985334</v>
      </c>
      <c r="D543">
        <f t="shared" si="34"/>
        <v>0.91279473014165668</v>
      </c>
      <c r="E543" s="24">
        <f t="shared" si="33"/>
        <v>0.91279473014165668</v>
      </c>
      <c r="F543" s="24"/>
    </row>
    <row r="544" spans="1:6">
      <c r="A544">
        <v>842</v>
      </c>
      <c r="B544">
        <v>1.3596390314341987E-4</v>
      </c>
      <c r="C544">
        <f t="shared" si="32"/>
        <v>0.91250419268003702</v>
      </c>
      <c r="D544">
        <f t="shared" si="34"/>
        <v>0.9125488907510555</v>
      </c>
      <c r="E544" s="24">
        <f t="shared" si="33"/>
        <v>0.9125488907510555</v>
      </c>
      <c r="F544" s="24"/>
    </row>
    <row r="545" spans="1:6">
      <c r="A545">
        <v>843</v>
      </c>
      <c r="B545">
        <v>1.3596390314341987E-4</v>
      </c>
      <c r="C545">
        <f t="shared" si="32"/>
        <v>0.91250419268003702</v>
      </c>
      <c r="D545">
        <f t="shared" si="34"/>
        <v>0.91252654171554626</v>
      </c>
      <c r="E545" s="24">
        <f t="shared" si="33"/>
        <v>0.91252654171554626</v>
      </c>
      <c r="F545" s="24"/>
    </row>
    <row r="546" spans="1:6">
      <c r="A546">
        <v>844</v>
      </c>
      <c r="B546">
        <v>1.3596390314341987E-4</v>
      </c>
      <c r="C546">
        <f t="shared" si="32"/>
        <v>0.91250419268003702</v>
      </c>
      <c r="D546">
        <f t="shared" si="34"/>
        <v>0.91245949460901876</v>
      </c>
      <c r="E546" s="24">
        <f t="shared" si="33"/>
        <v>0.91245949460901876</v>
      </c>
      <c r="F546" s="24"/>
    </row>
    <row r="547" spans="1:6">
      <c r="A547">
        <v>845</v>
      </c>
      <c r="B547">
        <v>1.360804540308891E-4</v>
      </c>
      <c r="C547">
        <f t="shared" si="32"/>
        <v>0.91328640892285895</v>
      </c>
      <c r="D547">
        <f t="shared" si="34"/>
        <v>0.91257123978656463</v>
      </c>
      <c r="E547" s="24">
        <f t="shared" si="33"/>
        <v>0.91257123978656463</v>
      </c>
      <c r="F547" s="24"/>
    </row>
    <row r="548" spans="1:6">
      <c r="A548">
        <v>846</v>
      </c>
      <c r="B548">
        <v>1.3614705453801436E-4</v>
      </c>
      <c r="C548">
        <f t="shared" si="32"/>
        <v>0.91373338963304285</v>
      </c>
      <c r="D548">
        <f t="shared" si="34"/>
        <v>0.91290647531920255</v>
      </c>
      <c r="E548" s="24">
        <f t="shared" si="33"/>
        <v>0.91290647531920255</v>
      </c>
      <c r="F548" s="24"/>
    </row>
    <row r="549" spans="1:6">
      <c r="A549">
        <v>847</v>
      </c>
      <c r="B549">
        <v>1.3618035479157696E-4</v>
      </c>
      <c r="C549">
        <f t="shared" si="32"/>
        <v>0.91395687998813457</v>
      </c>
      <c r="D549">
        <f t="shared" si="34"/>
        <v>0.91319701278082199</v>
      </c>
      <c r="E549" s="24">
        <f t="shared" si="33"/>
        <v>0.91319701278082199</v>
      </c>
      <c r="F549" s="24"/>
    </row>
    <row r="550" spans="1:6">
      <c r="A550">
        <v>848</v>
      </c>
      <c r="B550">
        <v>1.3634685121360234E-4</v>
      </c>
      <c r="C550">
        <f t="shared" si="32"/>
        <v>0.91507429924171491</v>
      </c>
      <c r="D550">
        <f t="shared" si="34"/>
        <v>0.91371103409315757</v>
      </c>
      <c r="E550" s="24">
        <f t="shared" si="33"/>
        <v>0.91371103409315757</v>
      </c>
      <c r="F550" s="24"/>
    </row>
    <row r="551" spans="1:6">
      <c r="A551">
        <v>849</v>
      </c>
      <c r="B551">
        <v>1.3654665031208422E-4</v>
      </c>
      <c r="C551">
        <f t="shared" si="32"/>
        <v>0.91641522511132667</v>
      </c>
      <c r="D551">
        <f t="shared" si="34"/>
        <v>0.91449324057941561</v>
      </c>
      <c r="E551" s="24">
        <f t="shared" si="33"/>
        <v>0.91449324057941561</v>
      </c>
      <c r="F551" s="24"/>
    </row>
    <row r="552" spans="1:6">
      <c r="A552">
        <v>850</v>
      </c>
      <c r="B552">
        <v>1.3654664788919033E-4</v>
      </c>
      <c r="C552">
        <f t="shared" si="32"/>
        <v>0.91641520885038696</v>
      </c>
      <c r="D552">
        <f t="shared" si="34"/>
        <v>0.91511900056492124</v>
      </c>
      <c r="E552" s="24">
        <f t="shared" si="33"/>
        <v>0.91511900056492124</v>
      </c>
      <c r="F552" s="24"/>
    </row>
    <row r="553" spans="1:6">
      <c r="A553">
        <v>851</v>
      </c>
      <c r="B553">
        <v>1.3681304749479752E-4</v>
      </c>
      <c r="C553">
        <f t="shared" si="32"/>
        <v>0.91820311543018296</v>
      </c>
      <c r="D553">
        <f t="shared" si="34"/>
        <v>0.91601294572434921</v>
      </c>
      <c r="E553" s="24">
        <f t="shared" si="33"/>
        <v>0.91601294572434921</v>
      </c>
      <c r="F553" s="24"/>
    </row>
    <row r="554" spans="1:6">
      <c r="A554">
        <v>852</v>
      </c>
      <c r="B554">
        <v>1.3696289863582932E-4</v>
      </c>
      <c r="C554">
        <f t="shared" si="32"/>
        <v>0.9192088220280964</v>
      </c>
      <c r="D554">
        <f t="shared" si="34"/>
        <v>0.91706333413234165</v>
      </c>
      <c r="E554" s="24">
        <f t="shared" si="33"/>
        <v>0.91706333413234165</v>
      </c>
      <c r="F554" s="24"/>
    </row>
    <row r="555" spans="1:6">
      <c r="A555">
        <v>853</v>
      </c>
      <c r="B555">
        <v>1.3721264811465518E-4</v>
      </c>
      <c r="C555">
        <f t="shared" si="32"/>
        <v>0.92088498343034642</v>
      </c>
      <c r="D555">
        <f t="shared" si="34"/>
        <v>0.9182254709700679</v>
      </c>
      <c r="E555" s="24">
        <f t="shared" si="33"/>
        <v>0.9182254709700679</v>
      </c>
      <c r="F555" s="24"/>
    </row>
    <row r="556" spans="1:6">
      <c r="A556">
        <v>854</v>
      </c>
      <c r="B556">
        <v>1.3744574988959357E-4</v>
      </c>
      <c r="C556">
        <f t="shared" si="32"/>
        <v>0.92244941591598983</v>
      </c>
      <c r="D556">
        <f t="shared" si="34"/>
        <v>0.9194323091310006</v>
      </c>
      <c r="E556" s="24">
        <f t="shared" si="33"/>
        <v>0.9194323091310006</v>
      </c>
      <c r="F556" s="24"/>
    </row>
    <row r="557" spans="1:6">
      <c r="A557">
        <v>855</v>
      </c>
      <c r="B557">
        <v>1.3754565065028147E-4</v>
      </c>
      <c r="C557">
        <f t="shared" si="32"/>
        <v>0.92311988698126568</v>
      </c>
      <c r="D557">
        <f t="shared" si="34"/>
        <v>0.92077324475717626</v>
      </c>
      <c r="E557" s="24">
        <f t="shared" si="33"/>
        <v>0.92077324475717626</v>
      </c>
      <c r="F557" s="24"/>
    </row>
    <row r="558" spans="1:6">
      <c r="A558">
        <v>856</v>
      </c>
      <c r="B558">
        <v>1.3787865318590776E-4</v>
      </c>
      <c r="C558">
        <f t="shared" si="32"/>
        <v>0.92535479053218495</v>
      </c>
      <c r="D558">
        <f t="shared" si="34"/>
        <v>0.9222035797775765</v>
      </c>
      <c r="E558" s="24">
        <f t="shared" si="33"/>
        <v>0.9222035797775765</v>
      </c>
      <c r="F558" s="24"/>
    </row>
    <row r="559" spans="1:6">
      <c r="A559">
        <v>857</v>
      </c>
      <c r="B559">
        <v>1.3811175253795229E-4</v>
      </c>
      <c r="C559">
        <f t="shared" si="32"/>
        <v>0.92691920675688888</v>
      </c>
      <c r="D559">
        <f t="shared" si="34"/>
        <v>0.9237456567233352</v>
      </c>
      <c r="E559" s="24">
        <f t="shared" si="33"/>
        <v>0.9237456567233352</v>
      </c>
      <c r="F559" s="24"/>
    </row>
    <row r="560" spans="1:6">
      <c r="A560">
        <v>858</v>
      </c>
      <c r="B560">
        <v>1.382616012560902E-4</v>
      </c>
      <c r="C560">
        <f t="shared" si="32"/>
        <v>0.92792489709386261</v>
      </c>
      <c r="D560">
        <f t="shared" si="34"/>
        <v>0.92515363945603846</v>
      </c>
      <c r="E560" s="24">
        <f t="shared" si="33"/>
        <v>0.92515363945603846</v>
      </c>
      <c r="F560" s="24"/>
    </row>
    <row r="561" spans="1:6">
      <c r="A561">
        <v>859</v>
      </c>
      <c r="B561">
        <v>1.3869449728372274E-4</v>
      </c>
      <c r="C561">
        <f t="shared" si="32"/>
        <v>0.93083022292723872</v>
      </c>
      <c r="D561">
        <f t="shared" si="34"/>
        <v>0.92682980085828814</v>
      </c>
      <c r="E561" s="24">
        <f t="shared" si="33"/>
        <v>0.92682980085828814</v>
      </c>
      <c r="F561" s="24"/>
    </row>
    <row r="562" spans="1:6">
      <c r="A562">
        <v>860</v>
      </c>
      <c r="B562">
        <v>1.3894424676254858E-4</v>
      </c>
      <c r="C562">
        <f t="shared" si="32"/>
        <v>0.93250638432948851</v>
      </c>
      <c r="D562">
        <f t="shared" si="34"/>
        <v>0.9287071003279328</v>
      </c>
      <c r="E562" s="24">
        <f t="shared" si="33"/>
        <v>0.9287071003279328</v>
      </c>
      <c r="F562" s="24"/>
    </row>
    <row r="563" spans="1:6">
      <c r="A563">
        <v>861</v>
      </c>
      <c r="B563">
        <v>1.4005980041110889E-4</v>
      </c>
      <c r="C563">
        <f t="shared" si="32"/>
        <v>0.93999327870318872</v>
      </c>
      <c r="D563">
        <f t="shared" si="34"/>
        <v>0.93163479796213355</v>
      </c>
      <c r="E563" s="24">
        <f t="shared" si="33"/>
        <v>0.93163479796213355</v>
      </c>
      <c r="F563" s="24"/>
    </row>
    <row r="564" spans="1:6">
      <c r="A564">
        <v>862</v>
      </c>
      <c r="B564">
        <v>1.4032620243960994E-4</v>
      </c>
      <c r="C564">
        <f t="shared" si="32"/>
        <v>0.94178120154392431</v>
      </c>
      <c r="D564">
        <f t="shared" si="34"/>
        <v>0.93460719691954064</v>
      </c>
      <c r="E564" s="24">
        <f t="shared" si="33"/>
        <v>0.93460719691954064</v>
      </c>
      <c r="F564" s="24"/>
    </row>
    <row r="565" spans="1:6">
      <c r="A565">
        <v>863</v>
      </c>
      <c r="B565">
        <v>1.4064255242556101E-4</v>
      </c>
      <c r="C565">
        <f t="shared" si="32"/>
        <v>0.94390434365635778</v>
      </c>
      <c r="D565">
        <f t="shared" si="34"/>
        <v>0.93780308623203956</v>
      </c>
      <c r="E565" s="24">
        <f t="shared" si="33"/>
        <v>0.93780308623203956</v>
      </c>
      <c r="F565" s="24"/>
    </row>
    <row r="566" spans="1:6">
      <c r="A566">
        <v>864</v>
      </c>
      <c r="B566">
        <v>1.4099220024218085E-4</v>
      </c>
      <c r="C566">
        <f t="shared" si="32"/>
        <v>0.94625095986294372</v>
      </c>
      <c r="D566">
        <f t="shared" si="34"/>
        <v>0.94088723361918059</v>
      </c>
      <c r="E566" s="24">
        <f t="shared" si="33"/>
        <v>0.94088723361918059</v>
      </c>
      <c r="F566" s="24"/>
    </row>
    <row r="567" spans="1:6">
      <c r="A567">
        <v>865</v>
      </c>
      <c r="B567">
        <v>1.4115870150999401E-4</v>
      </c>
      <c r="C567">
        <f t="shared" si="32"/>
        <v>0.94736841163840346</v>
      </c>
      <c r="D567">
        <f t="shared" si="34"/>
        <v>0.9438596390809636</v>
      </c>
      <c r="E567" s="24">
        <f t="shared" si="33"/>
        <v>0.9438596390809636</v>
      </c>
      <c r="F567" s="24"/>
    </row>
    <row r="568" spans="1:6">
      <c r="A568">
        <v>866</v>
      </c>
      <c r="B568">
        <v>1.4164154791797046E-4</v>
      </c>
      <c r="C568">
        <f t="shared" si="32"/>
        <v>0.95060897300441716</v>
      </c>
      <c r="D568">
        <f t="shared" si="34"/>
        <v>0.94598277794120933</v>
      </c>
      <c r="E568" s="24">
        <f t="shared" si="33"/>
        <v>0.94598277794120933</v>
      </c>
      <c r="F568" s="24"/>
    </row>
    <row r="569" spans="1:6">
      <c r="A569">
        <v>867</v>
      </c>
      <c r="B569">
        <v>1.4210774904495338E-4</v>
      </c>
      <c r="C569">
        <f t="shared" si="32"/>
        <v>0.95373782171476451</v>
      </c>
      <c r="D569">
        <f t="shared" si="34"/>
        <v>0.94837410197537719</v>
      </c>
      <c r="E569" s="24">
        <f t="shared" si="33"/>
        <v>0.94837410197537719</v>
      </c>
      <c r="F569" s="24"/>
    </row>
    <row r="570" spans="1:6">
      <c r="A570">
        <v>868</v>
      </c>
      <c r="B570">
        <v>1.4224095005920391E-4</v>
      </c>
      <c r="C570">
        <f t="shared" si="32"/>
        <v>0.95463178313513231</v>
      </c>
      <c r="D570">
        <f t="shared" si="34"/>
        <v>0.95051958987113228</v>
      </c>
      <c r="E570" s="24">
        <f t="shared" si="33"/>
        <v>0.95051958987113228</v>
      </c>
      <c r="F570" s="24"/>
    </row>
    <row r="571" spans="1:6">
      <c r="A571">
        <v>869</v>
      </c>
      <c r="B571">
        <v>1.4260724800260502E-4</v>
      </c>
      <c r="C571">
        <f t="shared" si="32"/>
        <v>0.95709014451926389</v>
      </c>
      <c r="D571">
        <f t="shared" si="34"/>
        <v>0.95268742680239638</v>
      </c>
      <c r="E571" s="24">
        <f t="shared" si="33"/>
        <v>0.95268742680239638</v>
      </c>
      <c r="F571" s="24"/>
    </row>
    <row r="572" spans="1:6">
      <c r="A572">
        <v>870</v>
      </c>
      <c r="B572">
        <v>1.4314004963671321E-4</v>
      </c>
      <c r="C572">
        <f t="shared" si="32"/>
        <v>0.96066597393979514</v>
      </c>
      <c r="D572">
        <f t="shared" si="34"/>
        <v>0.95534693926267467</v>
      </c>
      <c r="E572" s="24">
        <f t="shared" si="33"/>
        <v>0.95534693926267467</v>
      </c>
      <c r="F572" s="24"/>
    </row>
    <row r="573" spans="1:6">
      <c r="A573">
        <v>871</v>
      </c>
      <c r="B573">
        <v>1.4358960305980873E-4</v>
      </c>
      <c r="C573">
        <f t="shared" si="32"/>
        <v>0.96368309373353622</v>
      </c>
      <c r="D573">
        <f t="shared" si="34"/>
        <v>0.95796176340849848</v>
      </c>
      <c r="E573" s="24">
        <f t="shared" si="33"/>
        <v>0.95796176340849848</v>
      </c>
      <c r="F573" s="24"/>
    </row>
    <row r="574" spans="1:6">
      <c r="A574">
        <v>872</v>
      </c>
      <c r="B574">
        <v>1.4410574729845394E-4</v>
      </c>
      <c r="C574">
        <f t="shared" si="32"/>
        <v>0.96714712919370249</v>
      </c>
      <c r="D574">
        <f t="shared" si="34"/>
        <v>0.96064362490428601</v>
      </c>
      <c r="E574" s="24">
        <f t="shared" si="33"/>
        <v>0.96064362490428601</v>
      </c>
      <c r="F574" s="24"/>
    </row>
    <row r="575" spans="1:6">
      <c r="A575">
        <v>873</v>
      </c>
      <c r="B575">
        <v>1.4468849931290604E-4</v>
      </c>
      <c r="C575">
        <f t="shared" si="32"/>
        <v>0.97105819414687133</v>
      </c>
      <c r="D575">
        <f t="shared" si="34"/>
        <v>0.96392890710663381</v>
      </c>
      <c r="E575" s="24">
        <f t="shared" si="33"/>
        <v>0.96392890710663381</v>
      </c>
      <c r="F575" s="24"/>
    </row>
    <row r="576" spans="1:6">
      <c r="A576">
        <v>874</v>
      </c>
      <c r="B576">
        <v>1.4535450196126475E-4</v>
      </c>
      <c r="C576">
        <f t="shared" si="32"/>
        <v>0.97552798498777027</v>
      </c>
      <c r="D576">
        <f t="shared" si="34"/>
        <v>0.967616475200335</v>
      </c>
      <c r="E576" s="24">
        <f t="shared" si="33"/>
        <v>0.967616475200335</v>
      </c>
      <c r="F576" s="24"/>
    </row>
    <row r="577" spans="1:6">
      <c r="A577">
        <v>875</v>
      </c>
      <c r="B577">
        <v>1.4578739798889727E-4</v>
      </c>
      <c r="C577">
        <f t="shared" si="32"/>
        <v>0.97843331082114626</v>
      </c>
      <c r="D577">
        <f t="shared" si="34"/>
        <v>0.97116994257660527</v>
      </c>
      <c r="E577" s="24">
        <f t="shared" si="33"/>
        <v>0.97116994257660527</v>
      </c>
      <c r="F577" s="24"/>
    </row>
    <row r="578" spans="1:6">
      <c r="A578">
        <v>876</v>
      </c>
      <c r="B578">
        <v>1.4635349987656809E-4</v>
      </c>
      <c r="C578">
        <f t="shared" si="32"/>
        <v>0.98223263059676946</v>
      </c>
      <c r="D578">
        <f t="shared" si="34"/>
        <v>0.97487984994925192</v>
      </c>
      <c r="E578" s="24">
        <f t="shared" si="33"/>
        <v>0.97487984994925192</v>
      </c>
      <c r="F578" s="24"/>
    </row>
    <row r="579" spans="1:6">
      <c r="A579">
        <v>877</v>
      </c>
      <c r="B579">
        <v>1.4680305087676971E-4</v>
      </c>
      <c r="C579">
        <f t="shared" ref="C579:C642" si="35">B579/B$257</f>
        <v>0.98524973412957084</v>
      </c>
      <c r="D579">
        <f t="shared" si="34"/>
        <v>0.97850037093642561</v>
      </c>
      <c r="E579" s="24">
        <f t="shared" ref="E579:E642" si="36">MAX(D579,E$1)</f>
        <v>0.97850037093642561</v>
      </c>
      <c r="F579" s="24"/>
    </row>
    <row r="580" spans="1:6">
      <c r="A580">
        <v>878</v>
      </c>
      <c r="B580">
        <v>1.4725260187697131E-4</v>
      </c>
      <c r="C580">
        <f t="shared" si="35"/>
        <v>0.98826683766237211</v>
      </c>
      <c r="D580">
        <f t="shared" si="34"/>
        <v>0.98194209963952572</v>
      </c>
      <c r="E580" s="24">
        <f t="shared" si="36"/>
        <v>0.98194209963952572</v>
      </c>
      <c r="F580" s="24"/>
    </row>
    <row r="581" spans="1:6">
      <c r="A581">
        <v>879</v>
      </c>
      <c r="B581">
        <v>1.4773544828494779E-4</v>
      </c>
      <c r="C581">
        <f t="shared" si="35"/>
        <v>0.99150739902838603</v>
      </c>
      <c r="D581">
        <f t="shared" si="34"/>
        <v>0.98513798244764905</v>
      </c>
      <c r="E581" s="24">
        <f t="shared" si="36"/>
        <v>0.98513798244764905</v>
      </c>
      <c r="F581" s="24"/>
    </row>
    <row r="582" spans="1:6">
      <c r="A582">
        <v>880</v>
      </c>
      <c r="B582">
        <v>1.4831819787650605E-4</v>
      </c>
      <c r="C582">
        <f t="shared" si="35"/>
        <v>0.99541844772061561</v>
      </c>
      <c r="D582">
        <f t="shared" si="34"/>
        <v>0.98853500982754272</v>
      </c>
      <c r="E582" s="24">
        <f t="shared" si="36"/>
        <v>0.98853500982754272</v>
      </c>
      <c r="F582" s="24"/>
    </row>
    <row r="583" spans="1:6">
      <c r="A583">
        <v>881</v>
      </c>
      <c r="B583">
        <v>1.488676520602894E-4</v>
      </c>
      <c r="C583">
        <f t="shared" si="35"/>
        <v>0.99910603857963221</v>
      </c>
      <c r="D583">
        <f t="shared" ref="D583:D646" si="37">AVERAGE(C579:C583)</f>
        <v>0.99190969142411534</v>
      </c>
      <c r="E583" s="24">
        <f t="shared" si="36"/>
        <v>0.99190969142411534</v>
      </c>
      <c r="F583" s="24"/>
    </row>
    <row r="584" spans="1:6">
      <c r="A584">
        <v>882</v>
      </c>
      <c r="B584">
        <v>1.4953365228575423E-4</v>
      </c>
      <c r="C584">
        <f t="shared" si="35"/>
        <v>1.0035758131595915</v>
      </c>
      <c r="D584">
        <f t="shared" si="37"/>
        <v>0.99557490723011954</v>
      </c>
      <c r="E584" s="24">
        <f t="shared" si="36"/>
        <v>0.99557490723011954</v>
      </c>
      <c r="F584" s="24"/>
    </row>
    <row r="585" spans="1:6">
      <c r="A585">
        <v>883</v>
      </c>
      <c r="B585">
        <v>1.5016634741186864E-4</v>
      </c>
      <c r="C585">
        <f t="shared" si="35"/>
        <v>1.0078220648625793</v>
      </c>
      <c r="D585">
        <f t="shared" si="37"/>
        <v>0.99948595267016105</v>
      </c>
      <c r="E585" s="24">
        <f t="shared" si="36"/>
        <v>0.99948595267016105</v>
      </c>
      <c r="F585" s="24"/>
    </row>
    <row r="586" spans="1:6">
      <c r="A586">
        <v>884</v>
      </c>
      <c r="B586">
        <v>1.5074910184921465E-4</v>
      </c>
      <c r="C586">
        <f t="shared" si="35"/>
        <v>1.0117331460766881</v>
      </c>
      <c r="D586">
        <f t="shared" si="37"/>
        <v>1.0035311020798212</v>
      </c>
      <c r="E586" s="24">
        <f t="shared" si="36"/>
        <v>1.0035311020798212</v>
      </c>
      <c r="F586" s="24"/>
    </row>
    <row r="587" spans="1:6">
      <c r="A587">
        <v>885</v>
      </c>
      <c r="B587">
        <v>1.5134850156755419E-4</v>
      </c>
      <c r="C587">
        <f t="shared" si="35"/>
        <v>1.0157559399464633</v>
      </c>
      <c r="D587">
        <f t="shared" si="37"/>
        <v>1.0075986005249908</v>
      </c>
      <c r="E587" s="24">
        <f t="shared" si="36"/>
        <v>1.0075986005249908</v>
      </c>
      <c r="F587" s="24"/>
    </row>
    <row r="588" spans="1:6">
      <c r="A588">
        <v>886</v>
      </c>
      <c r="B588">
        <v>1.5196454898978116E-4</v>
      </c>
      <c r="C588">
        <f t="shared" si="35"/>
        <v>1.0198904627328449</v>
      </c>
      <c r="D588">
        <f t="shared" si="37"/>
        <v>1.0117554853556334</v>
      </c>
      <c r="E588" s="24">
        <f t="shared" si="36"/>
        <v>1.0117554853556334</v>
      </c>
      <c r="F588" s="24"/>
    </row>
    <row r="589" spans="1:6">
      <c r="A589">
        <v>887</v>
      </c>
      <c r="B589">
        <v>1.5268050201848384E-4</v>
      </c>
      <c r="C589">
        <f t="shared" si="35"/>
        <v>1.024695489106382</v>
      </c>
      <c r="D589">
        <f t="shared" si="37"/>
        <v>1.0159794205449917</v>
      </c>
      <c r="E589" s="24">
        <f t="shared" si="36"/>
        <v>1.0159794205449917</v>
      </c>
      <c r="F589" s="24"/>
    </row>
    <row r="590" spans="1:6">
      <c r="A590">
        <v>888</v>
      </c>
      <c r="B590">
        <v>1.5327989931392949E-4</v>
      </c>
      <c r="C590">
        <f t="shared" si="35"/>
        <v>1.0287182667152175</v>
      </c>
      <c r="D590">
        <f t="shared" si="37"/>
        <v>1.0201586609155191</v>
      </c>
      <c r="E590" s="24">
        <f t="shared" si="36"/>
        <v>1.0201586609155191</v>
      </c>
      <c r="F590" s="24"/>
    </row>
    <row r="591" spans="1:6">
      <c r="A591">
        <v>889</v>
      </c>
      <c r="B591">
        <v>1.5372945031413108E-4</v>
      </c>
      <c r="C591">
        <f t="shared" si="35"/>
        <v>1.0317353702480188</v>
      </c>
      <c r="D591">
        <f t="shared" si="37"/>
        <v>1.0241591057497854</v>
      </c>
      <c r="E591" s="24">
        <f t="shared" si="36"/>
        <v>1.0241591057497854</v>
      </c>
      <c r="F591" s="24"/>
    </row>
    <row r="592" spans="1:6">
      <c r="A592">
        <v>890</v>
      </c>
      <c r="B592">
        <v>1.5419564901822014E-4</v>
      </c>
      <c r="C592">
        <f t="shared" si="35"/>
        <v>1.0348642026974264</v>
      </c>
      <c r="D592">
        <f t="shared" si="37"/>
        <v>1.0279807582999778</v>
      </c>
      <c r="E592" s="24">
        <f t="shared" si="36"/>
        <v>1.0279807582999778</v>
      </c>
      <c r="F592" s="24"/>
    </row>
    <row r="593" spans="1:6">
      <c r="A593">
        <v>891</v>
      </c>
      <c r="B593">
        <v>1.5487830421625405E-4</v>
      </c>
      <c r="C593">
        <f t="shared" si="35"/>
        <v>1.039445754976811</v>
      </c>
      <c r="D593">
        <f t="shared" si="37"/>
        <v>1.0318918167487712</v>
      </c>
      <c r="E593" s="24">
        <f t="shared" si="36"/>
        <v>1.0318918167487712</v>
      </c>
      <c r="F593" s="24"/>
    </row>
    <row r="594" spans="1:6">
      <c r="A594">
        <v>892</v>
      </c>
      <c r="B594">
        <v>1.5557759742659981E-4</v>
      </c>
      <c r="C594">
        <f t="shared" si="35"/>
        <v>1.044138971129043</v>
      </c>
      <c r="D594">
        <f t="shared" si="37"/>
        <v>1.0357805131533033</v>
      </c>
      <c r="E594" s="24">
        <f t="shared" si="36"/>
        <v>1.0357805131533033</v>
      </c>
      <c r="F594" s="24"/>
    </row>
    <row r="595" spans="1:6">
      <c r="A595">
        <v>893</v>
      </c>
      <c r="B595">
        <v>1.5631020058208379E-4</v>
      </c>
      <c r="C595">
        <f t="shared" si="35"/>
        <v>1.0490557426801259</v>
      </c>
      <c r="D595">
        <f t="shared" si="37"/>
        <v>1.0398480083462851</v>
      </c>
      <c r="E595" s="24">
        <f t="shared" si="36"/>
        <v>1.0398480083462851</v>
      </c>
      <c r="F595" s="24"/>
    </row>
    <row r="596" spans="1:6">
      <c r="A596">
        <v>894</v>
      </c>
      <c r="B596">
        <v>1.5670980362483534E-4</v>
      </c>
      <c r="C596">
        <f t="shared" si="35"/>
        <v>1.0517376269412291</v>
      </c>
      <c r="D596">
        <f t="shared" si="37"/>
        <v>1.0438484596849271</v>
      </c>
      <c r="E596" s="24">
        <f t="shared" si="36"/>
        <v>1.0438484596849271</v>
      </c>
      <c r="F596" s="24"/>
    </row>
    <row r="597" spans="1:6">
      <c r="A597">
        <v>895</v>
      </c>
      <c r="B597">
        <v>1.5729255079349972E-4</v>
      </c>
      <c r="C597">
        <f t="shared" si="35"/>
        <v>1.0556486593725187</v>
      </c>
      <c r="D597">
        <f t="shared" si="37"/>
        <v>1.0480053510199456</v>
      </c>
      <c r="E597" s="24">
        <f t="shared" si="36"/>
        <v>1.0480053510199456</v>
      </c>
      <c r="F597" s="24"/>
    </row>
    <row r="598" spans="1:6">
      <c r="A598">
        <v>896</v>
      </c>
      <c r="B598">
        <v>1.5810839731420856E-4</v>
      </c>
      <c r="C598">
        <f t="shared" si="35"/>
        <v>1.0611241080285121</v>
      </c>
      <c r="D598">
        <f t="shared" si="37"/>
        <v>1.0523410216302858</v>
      </c>
      <c r="E598" s="24">
        <f t="shared" si="36"/>
        <v>1.0523410216302858</v>
      </c>
      <c r="F598" s="24"/>
    </row>
    <row r="599" spans="1:6">
      <c r="A599">
        <v>897</v>
      </c>
      <c r="B599">
        <v>1.5865785149799197E-4</v>
      </c>
      <c r="C599">
        <f t="shared" si="35"/>
        <v>1.0648116988875291</v>
      </c>
      <c r="D599">
        <f t="shared" si="37"/>
        <v>1.056475567181983</v>
      </c>
      <c r="E599" s="24">
        <f t="shared" si="36"/>
        <v>1.056475567181983</v>
      </c>
      <c r="F599" s="24"/>
    </row>
    <row r="600" spans="1:6">
      <c r="A600">
        <v>898</v>
      </c>
      <c r="B600">
        <v>1.5927390134311284E-4</v>
      </c>
      <c r="C600">
        <f t="shared" si="35"/>
        <v>1.0689462379348504</v>
      </c>
      <c r="D600">
        <f t="shared" si="37"/>
        <v>1.0604536662329278</v>
      </c>
      <c r="E600" s="24">
        <f t="shared" si="36"/>
        <v>1.0604536662329278</v>
      </c>
      <c r="F600" s="24"/>
    </row>
    <row r="601" spans="1:6">
      <c r="A601">
        <v>899</v>
      </c>
      <c r="B601">
        <v>1.5967349711718269E-4</v>
      </c>
      <c r="C601">
        <f t="shared" si="35"/>
        <v>1.0716280734131343</v>
      </c>
      <c r="D601">
        <f t="shared" si="37"/>
        <v>1.0644317555273086</v>
      </c>
      <c r="E601" s="24">
        <f t="shared" si="36"/>
        <v>1.0644317555273086</v>
      </c>
      <c r="F601" s="24"/>
    </row>
    <row r="602" spans="1:6">
      <c r="A602">
        <v>900</v>
      </c>
      <c r="B602">
        <v>1.6003979748347775E-4</v>
      </c>
      <c r="C602">
        <f t="shared" si="35"/>
        <v>1.0740864510582058</v>
      </c>
      <c r="D602">
        <f t="shared" si="37"/>
        <v>1.0681193138644463</v>
      </c>
      <c r="E602" s="24">
        <f t="shared" si="36"/>
        <v>1.0681193138644463</v>
      </c>
      <c r="F602" s="24"/>
    </row>
    <row r="603" spans="1:6">
      <c r="A603">
        <v>901</v>
      </c>
      <c r="B603">
        <v>1.6087230382254346E-4</v>
      </c>
      <c r="C603">
        <f t="shared" si="35"/>
        <v>1.0796737099355038</v>
      </c>
      <c r="D603">
        <f t="shared" si="37"/>
        <v>1.0718292342458446</v>
      </c>
      <c r="E603" s="24">
        <f t="shared" si="36"/>
        <v>1.0718292342458446</v>
      </c>
      <c r="F603" s="24"/>
    </row>
    <row r="604" spans="1:6">
      <c r="A604">
        <v>902</v>
      </c>
      <c r="B604">
        <v>1.6145504856831397E-4</v>
      </c>
      <c r="C604">
        <f t="shared" si="35"/>
        <v>1.0835847261058542</v>
      </c>
      <c r="D604">
        <f t="shared" si="37"/>
        <v>1.0755838396895097</v>
      </c>
      <c r="E604" s="24">
        <f t="shared" si="36"/>
        <v>1.0755838396895097</v>
      </c>
      <c r="F604" s="24"/>
    </row>
    <row r="605" spans="1:6">
      <c r="A605">
        <v>903</v>
      </c>
      <c r="B605">
        <v>1.6182134893460897E-4</v>
      </c>
      <c r="C605">
        <f t="shared" si="35"/>
        <v>1.0860431037509255</v>
      </c>
      <c r="D605">
        <f t="shared" si="37"/>
        <v>1.0790032128527245</v>
      </c>
      <c r="E605" s="24">
        <f t="shared" si="36"/>
        <v>1.0790032128527245</v>
      </c>
      <c r="F605" s="24"/>
    </row>
    <row r="606" spans="1:6">
      <c r="A606">
        <v>904</v>
      </c>
      <c r="B606">
        <v>1.6248735158296769E-4</v>
      </c>
      <c r="C606">
        <f t="shared" si="35"/>
        <v>1.0905128945918245</v>
      </c>
      <c r="D606">
        <f t="shared" si="37"/>
        <v>1.0827801770884626</v>
      </c>
      <c r="E606" s="24">
        <f t="shared" si="36"/>
        <v>1.0827801770884626</v>
      </c>
      <c r="F606" s="24"/>
    </row>
    <row r="607" spans="1:6">
      <c r="A607">
        <v>905</v>
      </c>
      <c r="B607">
        <v>1.6310339658230077E-4</v>
      </c>
      <c r="C607">
        <f t="shared" si="35"/>
        <v>1.0946474011172662</v>
      </c>
      <c r="D607">
        <f t="shared" si="37"/>
        <v>1.0868923671002748</v>
      </c>
      <c r="E607" s="24">
        <f t="shared" si="36"/>
        <v>1.0868923671002748</v>
      </c>
      <c r="F607" s="24"/>
    </row>
    <row r="608" spans="1:6">
      <c r="A608">
        <v>906</v>
      </c>
      <c r="B608">
        <v>1.6380269948422206E-4</v>
      </c>
      <c r="C608">
        <f t="shared" si="35"/>
        <v>1.099340682313257</v>
      </c>
      <c r="D608">
        <f t="shared" si="37"/>
        <v>1.0908257615758257</v>
      </c>
      <c r="E608" s="24">
        <f t="shared" si="36"/>
        <v>1.0908257615758257</v>
      </c>
      <c r="F608" s="24"/>
    </row>
    <row r="609" spans="1:6">
      <c r="A609">
        <v>907</v>
      </c>
      <c r="B609">
        <v>1.6443540430191207E-4</v>
      </c>
      <c r="C609">
        <f t="shared" si="35"/>
        <v>1.1035869990600038</v>
      </c>
      <c r="D609">
        <f t="shared" si="37"/>
        <v>1.0948262161666553</v>
      </c>
      <c r="E609" s="24">
        <f t="shared" si="36"/>
        <v>1.0948262161666553</v>
      </c>
      <c r="F609" s="24"/>
    </row>
    <row r="610" spans="1:6">
      <c r="A610">
        <v>908</v>
      </c>
      <c r="B610">
        <v>1.649016030060011E-4</v>
      </c>
      <c r="C610">
        <f t="shared" si="35"/>
        <v>1.1067158315094114</v>
      </c>
      <c r="D610">
        <f t="shared" si="37"/>
        <v>1.0989607617183528</v>
      </c>
      <c r="E610" s="24">
        <f t="shared" si="36"/>
        <v>1.0989607617183528</v>
      </c>
      <c r="F610" s="24"/>
    </row>
    <row r="611" spans="1:6">
      <c r="A611">
        <v>909</v>
      </c>
      <c r="B611">
        <v>1.6535114916041492E-4</v>
      </c>
      <c r="C611">
        <f t="shared" si="35"/>
        <v>1.1097329025203333</v>
      </c>
      <c r="D611">
        <f t="shared" si="37"/>
        <v>1.1028047633040543</v>
      </c>
      <c r="E611" s="24">
        <f t="shared" si="36"/>
        <v>1.1028047633040543</v>
      </c>
      <c r="F611" s="24"/>
    </row>
    <row r="612" spans="1:6">
      <c r="A612">
        <v>910</v>
      </c>
      <c r="B612">
        <v>1.6580070016061654E-4</v>
      </c>
      <c r="C612">
        <f t="shared" si="35"/>
        <v>1.1127500060531348</v>
      </c>
      <c r="D612">
        <f t="shared" si="37"/>
        <v>1.1064252842912281</v>
      </c>
      <c r="E612" s="24">
        <f t="shared" si="36"/>
        <v>1.1064252842912281</v>
      </c>
      <c r="F612" s="24"/>
    </row>
    <row r="613" spans="1:6">
      <c r="A613">
        <v>911</v>
      </c>
      <c r="B613">
        <v>1.6621695090725553E-4</v>
      </c>
      <c r="C613">
        <f t="shared" si="35"/>
        <v>1.1155436192308443</v>
      </c>
      <c r="D613">
        <f t="shared" si="37"/>
        <v>1.1096658716747456</v>
      </c>
      <c r="E613" s="24">
        <f t="shared" si="36"/>
        <v>1.1096658716747456</v>
      </c>
      <c r="F613" s="24"/>
    </row>
    <row r="614" spans="1:6">
      <c r="A614">
        <v>912</v>
      </c>
      <c r="B614">
        <v>1.6683299832948254E-4</v>
      </c>
      <c r="C614">
        <f t="shared" si="35"/>
        <v>1.1196781420172259</v>
      </c>
      <c r="D614">
        <f t="shared" si="37"/>
        <v>1.1128841002661898</v>
      </c>
      <c r="E614" s="24">
        <f t="shared" si="36"/>
        <v>1.1128841002661898</v>
      </c>
      <c r="F614" s="24"/>
    </row>
    <row r="615" spans="1:6">
      <c r="A615">
        <v>913</v>
      </c>
      <c r="B615">
        <v>1.6723259652644628E-4</v>
      </c>
      <c r="C615">
        <f t="shared" si="35"/>
        <v>1.1223599937564495</v>
      </c>
      <c r="D615">
        <f t="shared" si="37"/>
        <v>1.1160129327155974</v>
      </c>
      <c r="E615" s="24">
        <f t="shared" si="36"/>
        <v>1.1160129327155974</v>
      </c>
      <c r="F615" s="24"/>
    </row>
    <row r="616" spans="1:6">
      <c r="A616">
        <v>914</v>
      </c>
      <c r="B616">
        <v>1.6779870083701099E-4</v>
      </c>
      <c r="C616">
        <f t="shared" si="35"/>
        <v>1.1261593297930124</v>
      </c>
      <c r="D616">
        <f t="shared" si="37"/>
        <v>1.1192982181701332</v>
      </c>
      <c r="E616" s="24">
        <f t="shared" si="36"/>
        <v>1.1192982181701332</v>
      </c>
      <c r="F616" s="24"/>
    </row>
    <row r="617" spans="1:6">
      <c r="A617">
        <v>915</v>
      </c>
      <c r="B617">
        <v>1.6819830387976254E-4</v>
      </c>
      <c r="C617">
        <f t="shared" si="35"/>
        <v>1.1288412140541155</v>
      </c>
      <c r="D617">
        <f t="shared" si="37"/>
        <v>1.1225164597703294</v>
      </c>
      <c r="E617" s="24">
        <f t="shared" si="36"/>
        <v>1.1225164597703294</v>
      </c>
      <c r="F617" s="24"/>
    </row>
    <row r="618" spans="1:6">
      <c r="A618">
        <v>916</v>
      </c>
      <c r="B618">
        <v>1.6874774837197039E-4</v>
      </c>
      <c r="C618">
        <f t="shared" si="35"/>
        <v>1.1325287398693737</v>
      </c>
      <c r="D618">
        <f t="shared" si="37"/>
        <v>1.1259134838980354</v>
      </c>
      <c r="E618" s="24">
        <f t="shared" si="36"/>
        <v>1.1259134838980354</v>
      </c>
      <c r="F618" s="24"/>
    </row>
    <row r="619" spans="1:6">
      <c r="A619">
        <v>917</v>
      </c>
      <c r="B619">
        <v>1.6926389745640336E-4</v>
      </c>
      <c r="C619">
        <f t="shared" si="35"/>
        <v>1.1359928078514192</v>
      </c>
      <c r="D619">
        <f t="shared" si="37"/>
        <v>1.1291764170648739</v>
      </c>
      <c r="E619" s="24">
        <f t="shared" si="36"/>
        <v>1.1291764170648739</v>
      </c>
      <c r="F619" s="24"/>
    </row>
    <row r="620" spans="1:6">
      <c r="A620">
        <v>918</v>
      </c>
      <c r="B620">
        <v>1.6978005138662411E-4</v>
      </c>
      <c r="C620">
        <f t="shared" si="35"/>
        <v>1.1394569083553441</v>
      </c>
      <c r="D620">
        <f t="shared" si="37"/>
        <v>1.132595799984653</v>
      </c>
      <c r="E620" s="24">
        <f t="shared" si="36"/>
        <v>1.132595799984653</v>
      </c>
      <c r="F620" s="24"/>
    </row>
    <row r="621" spans="1:6">
      <c r="A621">
        <v>919</v>
      </c>
      <c r="B621">
        <v>1.7024625009071312E-4</v>
      </c>
      <c r="C621">
        <f t="shared" si="35"/>
        <v>1.1425857408047515</v>
      </c>
      <c r="D621">
        <f t="shared" si="37"/>
        <v>1.1358810821870007</v>
      </c>
      <c r="E621" s="24">
        <f t="shared" si="36"/>
        <v>1.1358810821870007</v>
      </c>
      <c r="F621" s="24"/>
    </row>
    <row r="622" spans="1:6">
      <c r="A622">
        <v>920</v>
      </c>
      <c r="B622">
        <v>1.7082899968227138E-4</v>
      </c>
      <c r="C622">
        <f t="shared" si="35"/>
        <v>1.1464967894969809</v>
      </c>
      <c r="D622">
        <f t="shared" si="37"/>
        <v>1.1394121972755737</v>
      </c>
      <c r="E622" s="24">
        <f t="shared" si="36"/>
        <v>1.1394121972755737</v>
      </c>
      <c r="F622" s="24"/>
    </row>
    <row r="623" spans="1:6">
      <c r="A623">
        <v>921</v>
      </c>
      <c r="B623">
        <v>1.7116199737210992E-4</v>
      </c>
      <c r="C623">
        <f t="shared" si="35"/>
        <v>1.1487316605260209</v>
      </c>
      <c r="D623">
        <f t="shared" si="37"/>
        <v>1.1426527814069032</v>
      </c>
      <c r="E623" s="24">
        <f t="shared" si="36"/>
        <v>1.1426527814069032</v>
      </c>
      <c r="F623" s="24"/>
    </row>
    <row r="624" spans="1:6">
      <c r="A624">
        <v>922</v>
      </c>
      <c r="B624">
        <v>1.7164485104876804E-4</v>
      </c>
      <c r="C624">
        <f t="shared" si="35"/>
        <v>1.1519722706748539</v>
      </c>
      <c r="D624">
        <f t="shared" si="37"/>
        <v>1.1458486739715903</v>
      </c>
      <c r="E624" s="24">
        <f t="shared" si="36"/>
        <v>1.1458486739715903</v>
      </c>
      <c r="F624" s="24"/>
    </row>
    <row r="625" spans="1:6">
      <c r="A625">
        <v>923</v>
      </c>
      <c r="B625">
        <v>1.720944044718635E-4</v>
      </c>
      <c r="C625">
        <f t="shared" si="35"/>
        <v>1.1549893904685946</v>
      </c>
      <c r="D625">
        <f t="shared" si="37"/>
        <v>1.1489551703942404</v>
      </c>
      <c r="E625" s="24">
        <f t="shared" si="36"/>
        <v>1.1489551703942404</v>
      </c>
      <c r="F625" s="24"/>
    </row>
    <row r="626" spans="1:6">
      <c r="A626">
        <v>924</v>
      </c>
      <c r="B626">
        <v>1.724773501191521E-4</v>
      </c>
      <c r="C626">
        <f t="shared" si="35"/>
        <v>1.157559480769333</v>
      </c>
      <c r="D626">
        <f t="shared" si="37"/>
        <v>1.1519499183871567</v>
      </c>
      <c r="E626" s="24">
        <f t="shared" si="36"/>
        <v>1.1519499183871567</v>
      </c>
      <c r="F626" s="24"/>
    </row>
    <row r="627" spans="1:6">
      <c r="A627">
        <v>925</v>
      </c>
      <c r="B627">
        <v>1.7307674983749167E-4</v>
      </c>
      <c r="C627">
        <f t="shared" si="35"/>
        <v>1.1615822746391082</v>
      </c>
      <c r="D627">
        <f t="shared" si="37"/>
        <v>1.1549670154155822</v>
      </c>
      <c r="E627" s="24">
        <f t="shared" si="36"/>
        <v>1.1549670154155822</v>
      </c>
      <c r="F627" s="24"/>
    </row>
    <row r="628" spans="1:6">
      <c r="A628">
        <v>926</v>
      </c>
      <c r="B628">
        <v>1.7352630083769329E-4</v>
      </c>
      <c r="C628">
        <f t="shared" si="35"/>
        <v>1.1645993781719097</v>
      </c>
      <c r="D628">
        <f t="shared" si="37"/>
        <v>1.1581405589447598</v>
      </c>
      <c r="E628" s="24">
        <f t="shared" si="36"/>
        <v>1.1581405589447598</v>
      </c>
      <c r="F628" s="24"/>
    </row>
    <row r="629" spans="1:6">
      <c r="A629">
        <v>927</v>
      </c>
      <c r="B629">
        <v>1.7395920171111356E-4</v>
      </c>
      <c r="C629">
        <f t="shared" si="35"/>
        <v>1.1675047365271649</v>
      </c>
      <c r="D629">
        <f t="shared" si="37"/>
        <v>1.1612470521152221</v>
      </c>
      <c r="E629" s="24">
        <f t="shared" si="36"/>
        <v>1.1612470521152221</v>
      </c>
      <c r="F629" s="24"/>
    </row>
    <row r="630" spans="1:6">
      <c r="A630">
        <v>928</v>
      </c>
      <c r="B630">
        <v>1.7439210016163996E-4</v>
      </c>
      <c r="C630">
        <f t="shared" si="35"/>
        <v>1.1704100786214806</v>
      </c>
      <c r="D630">
        <f t="shared" si="37"/>
        <v>1.1643311897457993</v>
      </c>
      <c r="E630" s="24">
        <f t="shared" si="36"/>
        <v>1.1643311897457993</v>
      </c>
      <c r="F630" s="24"/>
    </row>
    <row r="631" spans="1:6">
      <c r="A631">
        <v>929</v>
      </c>
      <c r="B631">
        <v>1.7469180244370362E-4</v>
      </c>
      <c r="C631">
        <f t="shared" si="35"/>
        <v>1.1724214918173079</v>
      </c>
      <c r="D631">
        <f t="shared" si="37"/>
        <v>1.167303591955394</v>
      </c>
      <c r="E631" s="24">
        <f t="shared" si="36"/>
        <v>1.167303591955394</v>
      </c>
      <c r="F631" s="24"/>
    </row>
    <row r="632" spans="1:6">
      <c r="A632">
        <v>930</v>
      </c>
      <c r="B632">
        <v>1.7524124935880536E-4</v>
      </c>
      <c r="C632">
        <f t="shared" si="35"/>
        <v>1.1761090338935059</v>
      </c>
      <c r="D632">
        <f t="shared" si="37"/>
        <v>1.1702089438062737</v>
      </c>
      <c r="E632" s="24">
        <f t="shared" si="36"/>
        <v>1.1702089438062737</v>
      </c>
      <c r="F632" s="24"/>
    </row>
    <row r="633" spans="1:6">
      <c r="A633">
        <v>931</v>
      </c>
      <c r="B633">
        <v>1.7557424947153778E-4</v>
      </c>
      <c r="C633">
        <f t="shared" si="35"/>
        <v>1.1783439211834856</v>
      </c>
      <c r="D633">
        <f t="shared" si="37"/>
        <v>1.1729578524085891</v>
      </c>
      <c r="E633" s="24">
        <f t="shared" si="36"/>
        <v>1.1729578524085891</v>
      </c>
      <c r="F633" s="24"/>
    </row>
    <row r="634" spans="1:6">
      <c r="A634">
        <v>932</v>
      </c>
      <c r="B634">
        <v>1.7590724958427016E-4</v>
      </c>
      <c r="C634">
        <f t="shared" si="35"/>
        <v>1.180578808473465</v>
      </c>
      <c r="D634">
        <f t="shared" si="37"/>
        <v>1.175572666797849</v>
      </c>
      <c r="E634" s="24">
        <f t="shared" si="36"/>
        <v>1.175572666797849</v>
      </c>
      <c r="F634" s="24"/>
    </row>
    <row r="635" spans="1:6">
      <c r="A635">
        <v>933</v>
      </c>
      <c r="B635">
        <v>1.7635680058447178E-4</v>
      </c>
      <c r="C635">
        <f t="shared" si="35"/>
        <v>1.1835959120062665</v>
      </c>
      <c r="D635">
        <f t="shared" si="37"/>
        <v>1.1782098334748061</v>
      </c>
      <c r="E635" s="24">
        <f t="shared" si="36"/>
        <v>1.1782098334748061</v>
      </c>
      <c r="F635" s="24"/>
    </row>
    <row r="636" spans="1:6">
      <c r="A636">
        <v>934</v>
      </c>
      <c r="B636">
        <v>1.7670644840109162E-4</v>
      </c>
      <c r="C636">
        <f t="shared" si="35"/>
        <v>1.1859425282128522</v>
      </c>
      <c r="D636">
        <f t="shared" si="37"/>
        <v>1.1809140407539149</v>
      </c>
      <c r="E636" s="24">
        <f t="shared" si="36"/>
        <v>1.1809140407539149</v>
      </c>
      <c r="F636" s="24"/>
    </row>
    <row r="637" spans="1:6">
      <c r="A637">
        <v>935</v>
      </c>
      <c r="B637">
        <v>1.7707274876738665E-4</v>
      </c>
      <c r="C637">
        <f t="shared" si="35"/>
        <v>1.1884009058579237</v>
      </c>
      <c r="D637">
        <f t="shared" si="37"/>
        <v>1.1833724151467986</v>
      </c>
      <c r="E637" s="24">
        <f t="shared" si="36"/>
        <v>1.1833724151467986</v>
      </c>
      <c r="F637" s="24"/>
    </row>
    <row r="638" spans="1:6">
      <c r="A638">
        <v>936</v>
      </c>
      <c r="B638">
        <v>1.7738910117623161E-4</v>
      </c>
      <c r="C638">
        <f t="shared" si="35"/>
        <v>1.1905240642312969</v>
      </c>
      <c r="D638">
        <f t="shared" si="37"/>
        <v>1.1858084437563607</v>
      </c>
      <c r="E638" s="24">
        <f t="shared" si="36"/>
        <v>1.1858084437563607</v>
      </c>
      <c r="F638" s="24"/>
    </row>
    <row r="639" spans="1:6">
      <c r="A639">
        <v>937</v>
      </c>
      <c r="B639">
        <v>1.7747234938724434E-4</v>
      </c>
      <c r="C639">
        <f t="shared" si="35"/>
        <v>1.1910827738580874</v>
      </c>
      <c r="D639">
        <f t="shared" si="37"/>
        <v>1.1879092368332853</v>
      </c>
      <c r="E639" s="24">
        <f t="shared" si="36"/>
        <v>1.1879092368332853</v>
      </c>
      <c r="F639" s="24"/>
    </row>
    <row r="640" spans="1:6">
      <c r="A640">
        <v>938</v>
      </c>
      <c r="B640">
        <v>1.7773875141574537E-4</v>
      </c>
      <c r="C640">
        <f t="shared" si="35"/>
        <v>1.1928706966988227</v>
      </c>
      <c r="D640">
        <f t="shared" si="37"/>
        <v>1.1897641937717967</v>
      </c>
      <c r="E640" s="24">
        <f t="shared" si="36"/>
        <v>1.1897641937717967</v>
      </c>
      <c r="F640" s="24"/>
    </row>
    <row r="641" spans="1:6">
      <c r="A641">
        <v>939</v>
      </c>
      <c r="B641">
        <v>1.7797185319068376E-4</v>
      </c>
      <c r="C641">
        <f t="shared" si="35"/>
        <v>1.1944351291844661</v>
      </c>
      <c r="D641">
        <f t="shared" si="37"/>
        <v>1.1914627139661191</v>
      </c>
      <c r="E641" s="24">
        <f t="shared" si="36"/>
        <v>1.1914627139661191</v>
      </c>
      <c r="F641" s="24"/>
    </row>
    <row r="642" spans="1:6">
      <c r="A642">
        <v>940</v>
      </c>
      <c r="B642">
        <v>1.7820495254272826E-4</v>
      </c>
      <c r="C642">
        <f t="shared" si="35"/>
        <v>1.1959995454091699</v>
      </c>
      <c r="D642">
        <f t="shared" si="37"/>
        <v>1.1929824418763686</v>
      </c>
      <c r="E642" s="24">
        <f t="shared" si="36"/>
        <v>1.1929824418763686</v>
      </c>
      <c r="F642" s="24"/>
    </row>
    <row r="643" spans="1:6">
      <c r="A643">
        <v>941</v>
      </c>
      <c r="B643">
        <v>1.7850464513321642E-4</v>
      </c>
      <c r="C643">
        <f t="shared" ref="C643:C706" si="38">B643/B$257</f>
        <v>1.1980108935612388</v>
      </c>
      <c r="D643">
        <f t="shared" si="37"/>
        <v>1.1944798077423571</v>
      </c>
      <c r="E643" s="24">
        <f t="shared" ref="E643:E706" si="39">MAX(D643,E$1)</f>
        <v>1.1944798077423571</v>
      </c>
      <c r="F643" s="24"/>
    </row>
    <row r="644" spans="1:6">
      <c r="A644">
        <v>942</v>
      </c>
      <c r="B644">
        <v>1.7877104716171742E-4</v>
      </c>
      <c r="C644">
        <f t="shared" si="38"/>
        <v>1.1997988164019739</v>
      </c>
      <c r="D644">
        <f t="shared" si="37"/>
        <v>1.1962230162511343</v>
      </c>
      <c r="E644" s="24">
        <f t="shared" si="39"/>
        <v>1.1962230162511343</v>
      </c>
      <c r="F644" s="24"/>
    </row>
    <row r="645" spans="1:6">
      <c r="A645">
        <v>943</v>
      </c>
      <c r="B645">
        <v>1.790873995705624E-4</v>
      </c>
      <c r="C645">
        <f t="shared" si="38"/>
        <v>1.2019219747753473</v>
      </c>
      <c r="D645">
        <f t="shared" si="37"/>
        <v>1.1980332718664393</v>
      </c>
      <c r="E645" s="24">
        <f t="shared" si="39"/>
        <v>1.1980332718664393</v>
      </c>
      <c r="F645" s="24"/>
    </row>
    <row r="646" spans="1:6">
      <c r="A646">
        <v>944</v>
      </c>
      <c r="B646">
        <v>1.7935379917616954E-4</v>
      </c>
      <c r="C646">
        <f t="shared" si="38"/>
        <v>1.203709881355143</v>
      </c>
      <c r="D646">
        <f t="shared" si="37"/>
        <v>1.1998882223005747</v>
      </c>
      <c r="E646" s="24">
        <f t="shared" si="39"/>
        <v>1.1998882223005747</v>
      </c>
      <c r="F646" s="24"/>
    </row>
    <row r="647" spans="1:6">
      <c r="A647">
        <v>945</v>
      </c>
      <c r="B647">
        <v>1.7960355107788926E-4</v>
      </c>
      <c r="C647">
        <f t="shared" si="38"/>
        <v>1.2053860590183325</v>
      </c>
      <c r="D647">
        <f t="shared" ref="D647:D710" si="40">AVERAGE(C643:C647)</f>
        <v>1.2017655250224071</v>
      </c>
      <c r="E647" s="24">
        <f t="shared" si="39"/>
        <v>1.2017655250224071</v>
      </c>
      <c r="F647" s="24"/>
    </row>
    <row r="648" spans="1:6">
      <c r="A648">
        <v>946</v>
      </c>
      <c r="B648">
        <v>1.7995320374029691E-4</v>
      </c>
      <c r="C648">
        <f t="shared" si="38"/>
        <v>1.2077327077467979</v>
      </c>
      <c r="D648">
        <f t="shared" si="40"/>
        <v>1.2037098878595189</v>
      </c>
      <c r="E648" s="24">
        <f t="shared" si="39"/>
        <v>1.2037098878595189</v>
      </c>
      <c r="F648" s="24"/>
    </row>
    <row r="649" spans="1:6">
      <c r="A649">
        <v>947</v>
      </c>
      <c r="B649">
        <v>1.8015300041588486E-4</v>
      </c>
      <c r="C649">
        <f t="shared" si="38"/>
        <v>1.2090736173554699</v>
      </c>
      <c r="D649">
        <f t="shared" si="40"/>
        <v>1.2055648480502181</v>
      </c>
      <c r="E649" s="24">
        <f t="shared" si="39"/>
        <v>1.2055648480502181</v>
      </c>
      <c r="F649" s="24"/>
    </row>
    <row r="650" spans="1:6">
      <c r="A650">
        <v>948</v>
      </c>
      <c r="B650">
        <v>1.8043604772537947E-4</v>
      </c>
      <c r="C650">
        <f t="shared" si="38"/>
        <v>1.210973252851872</v>
      </c>
      <c r="D650">
        <f t="shared" si="40"/>
        <v>1.2073751036655231</v>
      </c>
      <c r="E650" s="24">
        <f t="shared" si="39"/>
        <v>1.2073751036655231</v>
      </c>
      <c r="F650" s="24"/>
    </row>
    <row r="651" spans="1:6">
      <c r="A651">
        <v>949</v>
      </c>
      <c r="B651">
        <v>1.806857972042053E-4</v>
      </c>
      <c r="C651">
        <f t="shared" si="38"/>
        <v>1.2126494142541218</v>
      </c>
      <c r="D651">
        <f t="shared" si="40"/>
        <v>1.2091630102453188</v>
      </c>
      <c r="E651" s="24">
        <f t="shared" si="39"/>
        <v>1.2091630102453188</v>
      </c>
      <c r="F651" s="24"/>
    </row>
    <row r="652" spans="1:6">
      <c r="A652">
        <v>950</v>
      </c>
      <c r="B652">
        <v>1.8098549948626899E-4</v>
      </c>
      <c r="C652">
        <f t="shared" si="38"/>
        <v>1.2146608274499493</v>
      </c>
      <c r="D652">
        <f t="shared" si="40"/>
        <v>1.2110179639316421</v>
      </c>
      <c r="E652" s="24">
        <f t="shared" si="39"/>
        <v>1.2110179639316421</v>
      </c>
      <c r="F652" s="24"/>
    </row>
    <row r="653" spans="1:6">
      <c r="A653">
        <v>951</v>
      </c>
      <c r="B653">
        <v>1.8125189909187612E-4</v>
      </c>
      <c r="C653">
        <f t="shared" si="38"/>
        <v>1.216448734029745</v>
      </c>
      <c r="D653">
        <f t="shared" si="40"/>
        <v>1.2127611691882314</v>
      </c>
      <c r="E653" s="24">
        <f t="shared" si="39"/>
        <v>1.2127611691882314</v>
      </c>
      <c r="F653" s="24"/>
    </row>
    <row r="654" spans="1:6">
      <c r="A654">
        <v>952</v>
      </c>
      <c r="B654">
        <v>1.8160155175428374E-4</v>
      </c>
      <c r="C654">
        <f t="shared" si="38"/>
        <v>1.2187953827582103</v>
      </c>
      <c r="D654">
        <f t="shared" si="40"/>
        <v>1.2147055222687795</v>
      </c>
      <c r="E654" s="24">
        <f t="shared" si="39"/>
        <v>1.2147055222687795</v>
      </c>
      <c r="F654" s="24"/>
    </row>
    <row r="655" spans="1:6">
      <c r="A655">
        <v>953</v>
      </c>
      <c r="B655">
        <v>1.8188460390956604E-4</v>
      </c>
      <c r="C655">
        <f t="shared" si="38"/>
        <v>1.2206950507764913</v>
      </c>
      <c r="D655">
        <f t="shared" si="40"/>
        <v>1.2166498818537037</v>
      </c>
      <c r="E655" s="24">
        <f t="shared" si="39"/>
        <v>1.2166498818537037</v>
      </c>
      <c r="F655" s="24"/>
    </row>
    <row r="656" spans="1:6">
      <c r="A656">
        <v>954</v>
      </c>
      <c r="B656">
        <v>1.8213435096549801E-4</v>
      </c>
      <c r="C656">
        <f t="shared" si="38"/>
        <v>1.2223711959178016</v>
      </c>
      <c r="D656">
        <f t="shared" si="40"/>
        <v>1.2185942381864394</v>
      </c>
      <c r="E656" s="24">
        <f t="shared" si="39"/>
        <v>1.2185942381864394</v>
      </c>
      <c r="F656" s="24"/>
    </row>
    <row r="657" spans="1:6">
      <c r="A657">
        <v>955</v>
      </c>
      <c r="B657">
        <v>1.8236745031754257E-4</v>
      </c>
      <c r="C657">
        <f t="shared" si="38"/>
        <v>1.2239356121425056</v>
      </c>
      <c r="D657">
        <f t="shared" si="40"/>
        <v>1.2204491951249508</v>
      </c>
      <c r="E657" s="24">
        <f t="shared" si="39"/>
        <v>1.2204491951249508</v>
      </c>
      <c r="F657" s="24"/>
    </row>
    <row r="658" spans="1:6">
      <c r="A658">
        <v>956</v>
      </c>
      <c r="B658">
        <v>1.8250064648600526E-4</v>
      </c>
      <c r="C658">
        <f t="shared" si="38"/>
        <v>1.2248295410409937</v>
      </c>
      <c r="D658">
        <f t="shared" si="40"/>
        <v>1.2221253565272006</v>
      </c>
      <c r="E658" s="24">
        <f t="shared" si="39"/>
        <v>1.2221253565272006</v>
      </c>
      <c r="F658" s="24"/>
    </row>
    <row r="659" spans="1:6">
      <c r="A659">
        <v>957</v>
      </c>
      <c r="B659">
        <v>1.8276704851450632E-4</v>
      </c>
      <c r="C659">
        <f t="shared" si="38"/>
        <v>1.2266174638817291</v>
      </c>
      <c r="D659">
        <f t="shared" si="40"/>
        <v>1.2236897727519043</v>
      </c>
      <c r="E659" s="24">
        <f t="shared" si="39"/>
        <v>1.2236897727519043</v>
      </c>
      <c r="F659" s="24"/>
    </row>
    <row r="660" spans="1:6">
      <c r="A660">
        <v>958</v>
      </c>
      <c r="B660">
        <v>1.8293354978231945E-4</v>
      </c>
      <c r="C660">
        <f t="shared" si="38"/>
        <v>1.2277349156571888</v>
      </c>
      <c r="D660">
        <f t="shared" si="40"/>
        <v>1.2250977457280439</v>
      </c>
      <c r="E660" s="24">
        <f t="shared" si="39"/>
        <v>1.2250977457280439</v>
      </c>
      <c r="F660" s="24"/>
    </row>
    <row r="661" spans="1:6">
      <c r="A661">
        <v>959</v>
      </c>
      <c r="B661">
        <v>1.8321659951470791E-4</v>
      </c>
      <c r="C661">
        <f t="shared" si="38"/>
        <v>1.2296345674145304</v>
      </c>
      <c r="D661">
        <f t="shared" si="40"/>
        <v>1.2265504200273896</v>
      </c>
      <c r="E661" s="24">
        <f t="shared" si="39"/>
        <v>1.2265504200273896</v>
      </c>
      <c r="F661" s="24"/>
    </row>
    <row r="662" spans="1:6">
      <c r="A662">
        <v>960</v>
      </c>
      <c r="B662">
        <v>1.8326654989505187E-4</v>
      </c>
      <c r="C662">
        <f t="shared" si="38"/>
        <v>1.2299698029471684</v>
      </c>
      <c r="D662">
        <f t="shared" si="40"/>
        <v>1.227757258188322</v>
      </c>
      <c r="E662" s="24">
        <f t="shared" si="39"/>
        <v>1.227757258188322</v>
      </c>
      <c r="F662" s="24"/>
    </row>
    <row r="663" spans="1:6">
      <c r="A663">
        <v>961</v>
      </c>
      <c r="B663">
        <v>1.8354960205033423E-4</v>
      </c>
      <c r="C663">
        <f t="shared" si="38"/>
        <v>1.2318694709654499</v>
      </c>
      <c r="D663">
        <f t="shared" si="40"/>
        <v>1.2291652441732133</v>
      </c>
      <c r="E663" s="24">
        <f t="shared" si="39"/>
        <v>1.2291652441732133</v>
      </c>
      <c r="F663" s="24"/>
    </row>
    <row r="664" spans="1:6">
      <c r="A664">
        <v>962</v>
      </c>
      <c r="B664">
        <v>1.8381600407883528E-4</v>
      </c>
      <c r="C664">
        <f t="shared" si="38"/>
        <v>1.2336573938061854</v>
      </c>
      <c r="D664">
        <f t="shared" si="40"/>
        <v>1.2305732301581045</v>
      </c>
      <c r="E664" s="24">
        <f t="shared" si="39"/>
        <v>1.2305732301581045</v>
      </c>
      <c r="F664" s="24"/>
    </row>
    <row r="665" spans="1:6">
      <c r="A665">
        <v>963</v>
      </c>
      <c r="B665">
        <v>1.8401580560021104E-4</v>
      </c>
      <c r="C665">
        <f t="shared" si="38"/>
        <v>1.2349983359367369</v>
      </c>
      <c r="D665">
        <f t="shared" si="40"/>
        <v>1.2320259142140142</v>
      </c>
      <c r="E665" s="24">
        <f t="shared" si="39"/>
        <v>1.2320259142140142</v>
      </c>
      <c r="F665" s="24"/>
    </row>
    <row r="666" spans="1:6">
      <c r="A666">
        <v>964</v>
      </c>
      <c r="B666">
        <v>1.8419894972612381E-4</v>
      </c>
      <c r="C666">
        <f t="shared" si="38"/>
        <v>1.2362274841069232</v>
      </c>
      <c r="D666">
        <f t="shared" si="40"/>
        <v>1.2333444975524928</v>
      </c>
      <c r="E666" s="24">
        <f t="shared" si="39"/>
        <v>1.2333444975524928</v>
      </c>
      <c r="F666" s="24"/>
    </row>
    <row r="667" spans="1:6">
      <c r="A667">
        <v>965</v>
      </c>
      <c r="B667">
        <v>1.8436544614814919E-4</v>
      </c>
      <c r="C667">
        <f t="shared" si="38"/>
        <v>1.2373449033605035</v>
      </c>
      <c r="D667">
        <f t="shared" si="40"/>
        <v>1.23481951763516</v>
      </c>
      <c r="E667" s="24">
        <f t="shared" si="39"/>
        <v>1.23481951763516</v>
      </c>
      <c r="F667" s="24"/>
    </row>
    <row r="668" spans="1:6">
      <c r="A668">
        <v>966</v>
      </c>
      <c r="B668">
        <v>1.8461519804986891E-4</v>
      </c>
      <c r="C668">
        <f t="shared" si="38"/>
        <v>1.239021081023693</v>
      </c>
      <c r="D668">
        <f t="shared" si="40"/>
        <v>1.2362498396468082</v>
      </c>
      <c r="E668" s="24">
        <f t="shared" si="39"/>
        <v>1.2362498396468082</v>
      </c>
      <c r="F668" s="24"/>
    </row>
    <row r="669" spans="1:6">
      <c r="A669">
        <v>967</v>
      </c>
      <c r="B669">
        <v>1.8476504676800685E-4</v>
      </c>
      <c r="C669">
        <f t="shared" si="38"/>
        <v>1.240026771360667</v>
      </c>
      <c r="D669">
        <f t="shared" si="40"/>
        <v>1.2375237151577048</v>
      </c>
      <c r="E669" s="24">
        <f t="shared" si="39"/>
        <v>1.2375237151577048</v>
      </c>
      <c r="F669" s="24"/>
    </row>
    <row r="670" spans="1:6">
      <c r="A670">
        <v>968</v>
      </c>
      <c r="B670">
        <v>1.8496484828938267E-4</v>
      </c>
      <c r="C670">
        <f t="shared" si="38"/>
        <v>1.2413677134912189</v>
      </c>
      <c r="D670">
        <f t="shared" si="40"/>
        <v>1.2387975906686013</v>
      </c>
      <c r="E670" s="24">
        <f t="shared" si="39"/>
        <v>1.2387975906686013</v>
      </c>
      <c r="F670" s="24"/>
    </row>
    <row r="671" spans="1:6">
      <c r="A671">
        <v>969</v>
      </c>
      <c r="B671">
        <v>1.8508139917685186E-4</v>
      </c>
      <c r="C671">
        <f t="shared" si="38"/>
        <v>1.2421499297340406</v>
      </c>
      <c r="D671">
        <f t="shared" si="40"/>
        <v>1.2399820797940246</v>
      </c>
      <c r="E671" s="24">
        <f t="shared" si="39"/>
        <v>1.2399820797940246</v>
      </c>
      <c r="F671" s="24"/>
    </row>
    <row r="672" spans="1:6">
      <c r="A672">
        <v>970</v>
      </c>
      <c r="B672">
        <v>1.8519795006432106E-4</v>
      </c>
      <c r="C672">
        <f t="shared" si="38"/>
        <v>1.2429321459768623</v>
      </c>
      <c r="D672">
        <f t="shared" si="40"/>
        <v>1.2410995283172963</v>
      </c>
      <c r="E672" s="24">
        <f t="shared" si="39"/>
        <v>1.2410995283172963</v>
      </c>
      <c r="F672" s="24"/>
    </row>
    <row r="673" spans="1:6">
      <c r="A673">
        <v>971</v>
      </c>
      <c r="B673">
        <v>1.8531450095179026E-4</v>
      </c>
      <c r="C673">
        <f t="shared" si="38"/>
        <v>1.243714362219684</v>
      </c>
      <c r="D673">
        <f t="shared" si="40"/>
        <v>1.2420381845564945</v>
      </c>
      <c r="E673" s="24">
        <f t="shared" si="39"/>
        <v>1.2420381845564945</v>
      </c>
      <c r="F673" s="24"/>
    </row>
    <row r="674" spans="1:6">
      <c r="A674">
        <v>972</v>
      </c>
      <c r="B674">
        <v>1.8546435209282209E-4</v>
      </c>
      <c r="C674">
        <f t="shared" si="38"/>
        <v>1.2447200688175977</v>
      </c>
      <c r="D674">
        <f t="shared" si="40"/>
        <v>1.2429768440478808</v>
      </c>
      <c r="E674" s="24">
        <f t="shared" si="39"/>
        <v>1.2429768440478808</v>
      </c>
      <c r="F674" s="24"/>
    </row>
    <row r="675" spans="1:6">
      <c r="A675">
        <v>973</v>
      </c>
      <c r="B675">
        <v>1.8561420323385394E-4</v>
      </c>
      <c r="C675">
        <f t="shared" si="38"/>
        <v>1.2457257754155115</v>
      </c>
      <c r="D675">
        <f t="shared" si="40"/>
        <v>1.2438484564327392</v>
      </c>
      <c r="E675" s="24">
        <f t="shared" si="39"/>
        <v>1.2438484564327392</v>
      </c>
      <c r="F675" s="24"/>
    </row>
    <row r="676" spans="1:6">
      <c r="A676">
        <v>974</v>
      </c>
      <c r="B676">
        <v>1.8571410399454181E-4</v>
      </c>
      <c r="C676">
        <f t="shared" si="38"/>
        <v>1.2463962464807872</v>
      </c>
      <c r="D676">
        <f t="shared" si="40"/>
        <v>1.2446977197820885</v>
      </c>
      <c r="E676" s="24">
        <f t="shared" si="39"/>
        <v>1.2446977197820885</v>
      </c>
      <c r="F676" s="24"/>
    </row>
    <row r="677" spans="1:6">
      <c r="A677">
        <v>975</v>
      </c>
      <c r="B677">
        <v>1.8586395513557367E-4</v>
      </c>
      <c r="C677">
        <f t="shared" si="38"/>
        <v>1.2474019530787011</v>
      </c>
      <c r="D677">
        <f t="shared" si="40"/>
        <v>1.2455916812024563</v>
      </c>
      <c r="E677" s="24">
        <f t="shared" si="39"/>
        <v>1.2455916812024563</v>
      </c>
      <c r="F677" s="24"/>
    </row>
    <row r="678" spans="1:6">
      <c r="A678">
        <v>976</v>
      </c>
      <c r="B678">
        <v>1.859305556426989E-4</v>
      </c>
      <c r="C678">
        <f t="shared" si="38"/>
        <v>1.2478489337888847</v>
      </c>
      <c r="D678">
        <f t="shared" si="40"/>
        <v>1.2464185955162965</v>
      </c>
      <c r="E678" s="24">
        <f t="shared" si="39"/>
        <v>1.2464185955162965</v>
      </c>
      <c r="F678" s="24"/>
    </row>
    <row r="679" spans="1:6">
      <c r="A679">
        <v>977</v>
      </c>
      <c r="B679">
        <v>1.8599715614982414E-4</v>
      </c>
      <c r="C679">
        <f t="shared" si="38"/>
        <v>1.2482959144990684</v>
      </c>
      <c r="D679">
        <f t="shared" si="40"/>
        <v>1.2471337646525904</v>
      </c>
      <c r="E679" s="24">
        <f t="shared" si="39"/>
        <v>1.2471337646525904</v>
      </c>
      <c r="F679" s="24"/>
    </row>
    <row r="680" spans="1:6">
      <c r="A680">
        <v>978</v>
      </c>
      <c r="B680">
        <v>1.8606375423405551E-4</v>
      </c>
      <c r="C680">
        <f t="shared" si="38"/>
        <v>1.2487428789483126</v>
      </c>
      <c r="D680">
        <f t="shared" si="40"/>
        <v>1.2477371853591506</v>
      </c>
      <c r="E680" s="24">
        <f t="shared" si="39"/>
        <v>1.2477371853591506</v>
      </c>
      <c r="F680" s="24"/>
    </row>
    <row r="681" spans="1:6">
      <c r="A681">
        <v>979</v>
      </c>
      <c r="B681">
        <v>1.8608040193794295E-4</v>
      </c>
      <c r="C681">
        <f t="shared" si="38"/>
        <v>1.248854607864919</v>
      </c>
      <c r="D681">
        <f t="shared" si="40"/>
        <v>1.248228857635977</v>
      </c>
      <c r="E681" s="24">
        <f t="shared" si="39"/>
        <v>1.248228857635977</v>
      </c>
      <c r="F681" s="24"/>
    </row>
    <row r="682" spans="1:6">
      <c r="A682">
        <v>980</v>
      </c>
      <c r="B682">
        <v>1.8609705448761817E-4</v>
      </c>
      <c r="C682">
        <f t="shared" si="38"/>
        <v>1.2489663693034048</v>
      </c>
      <c r="D682">
        <f t="shared" si="40"/>
        <v>1.2485417408809178</v>
      </c>
      <c r="E682" s="24">
        <f t="shared" si="39"/>
        <v>1.2485417408809178</v>
      </c>
      <c r="F682" s="24"/>
    </row>
    <row r="683" spans="1:6">
      <c r="A683">
        <v>981</v>
      </c>
      <c r="B683">
        <v>1.862801961906371E-4</v>
      </c>
      <c r="C683">
        <f t="shared" si="38"/>
        <v>1.2501955012126515</v>
      </c>
      <c r="D683">
        <f t="shared" si="40"/>
        <v>1.2490110543656712</v>
      </c>
      <c r="E683" s="24">
        <f t="shared" si="39"/>
        <v>1.2490110543656712</v>
      </c>
      <c r="F683" s="24"/>
    </row>
    <row r="684" spans="1:6">
      <c r="A684">
        <v>982</v>
      </c>
      <c r="B684">
        <v>1.8633014657098103E-4</v>
      </c>
      <c r="C684">
        <f t="shared" si="38"/>
        <v>1.2505307367452894</v>
      </c>
      <c r="D684">
        <f t="shared" si="40"/>
        <v>1.2494580188149154</v>
      </c>
      <c r="E684" s="24">
        <f t="shared" si="39"/>
        <v>1.2494580188149154</v>
      </c>
      <c r="F684" s="24"/>
    </row>
    <row r="685" spans="1:6">
      <c r="A685">
        <v>983</v>
      </c>
      <c r="B685">
        <v>1.8661319630336947E-4</v>
      </c>
      <c r="C685">
        <f t="shared" si="38"/>
        <v>1.2524303885026309</v>
      </c>
      <c r="D685">
        <f t="shared" si="40"/>
        <v>1.2501955207257791</v>
      </c>
      <c r="E685" s="24">
        <f t="shared" si="39"/>
        <v>1.2501955207257791</v>
      </c>
      <c r="F685" s="24"/>
    </row>
    <row r="686" spans="1:6">
      <c r="A686">
        <v>984</v>
      </c>
      <c r="B686">
        <v>1.8659654617658817E-4</v>
      </c>
      <c r="C686">
        <f t="shared" si="38"/>
        <v>1.252318643325085</v>
      </c>
      <c r="D686">
        <f t="shared" si="40"/>
        <v>1.2508883278178122</v>
      </c>
      <c r="E686" s="24">
        <f t="shared" si="39"/>
        <v>1.2508883278178122</v>
      </c>
      <c r="F686" s="24"/>
    </row>
    <row r="687" spans="1:6">
      <c r="A687">
        <v>985</v>
      </c>
      <c r="B687">
        <v>1.8692954871221443E-4</v>
      </c>
      <c r="C687">
        <f t="shared" si="38"/>
        <v>1.2545535468760041</v>
      </c>
      <c r="D687">
        <f t="shared" si="40"/>
        <v>1.2520057633323323</v>
      </c>
      <c r="E687" s="24">
        <f t="shared" si="39"/>
        <v>1.2520057633323323</v>
      </c>
      <c r="F687" s="24"/>
    </row>
    <row r="688" spans="1:6">
      <c r="A688">
        <v>986</v>
      </c>
      <c r="B688">
        <v>1.8689624845865183E-4</v>
      </c>
      <c r="C688">
        <f t="shared" si="38"/>
        <v>1.2543300565209123</v>
      </c>
      <c r="D688">
        <f t="shared" si="40"/>
        <v>1.2528326743939844</v>
      </c>
      <c r="E688" s="24">
        <f t="shared" si="39"/>
        <v>1.2528326743939844</v>
      </c>
      <c r="F688" s="24"/>
    </row>
    <row r="689" spans="1:6">
      <c r="A689">
        <v>987</v>
      </c>
      <c r="B689">
        <v>1.8701279934612102E-4</v>
      </c>
      <c r="C689">
        <f t="shared" si="38"/>
        <v>1.255112272763734</v>
      </c>
      <c r="D689">
        <f t="shared" si="40"/>
        <v>1.2537489815976732</v>
      </c>
      <c r="E689" s="24">
        <f t="shared" si="39"/>
        <v>1.2537489815976732</v>
      </c>
      <c r="F689" s="24"/>
    </row>
    <row r="690" spans="1:6">
      <c r="A690">
        <v>988</v>
      </c>
      <c r="B690">
        <v>1.8717930061393421E-4</v>
      </c>
      <c r="C690">
        <f t="shared" si="38"/>
        <v>1.256229724539194</v>
      </c>
      <c r="D690">
        <f t="shared" si="40"/>
        <v>1.254508848804986</v>
      </c>
      <c r="E690" s="24">
        <f t="shared" si="39"/>
        <v>1.254508848804986</v>
      </c>
      <c r="F690" s="24"/>
    </row>
    <row r="691" spans="1:6">
      <c r="A691">
        <v>989</v>
      </c>
      <c r="B691">
        <v>1.8717930061393415E-4</v>
      </c>
      <c r="C691">
        <f t="shared" si="38"/>
        <v>1.2562297245391936</v>
      </c>
      <c r="D691">
        <f t="shared" si="40"/>
        <v>1.2552910650478075</v>
      </c>
      <c r="E691" s="24">
        <f t="shared" si="39"/>
        <v>1.2552910650478075</v>
      </c>
      <c r="F691" s="24"/>
    </row>
    <row r="692" spans="1:6">
      <c r="A692">
        <v>990</v>
      </c>
      <c r="B692">
        <v>1.8707939985324626E-4</v>
      </c>
      <c r="C692">
        <f t="shared" si="38"/>
        <v>1.2555592534739177</v>
      </c>
      <c r="D692">
        <f t="shared" si="40"/>
        <v>1.2554922063673903</v>
      </c>
      <c r="E692" s="24">
        <f t="shared" si="39"/>
        <v>1.2554922063673903</v>
      </c>
      <c r="F692" s="24"/>
    </row>
    <row r="693" spans="1:6">
      <c r="A693">
        <v>991</v>
      </c>
      <c r="B693">
        <v>1.8709604998002762E-4</v>
      </c>
      <c r="C693">
        <f t="shared" si="38"/>
        <v>1.255670998651464</v>
      </c>
      <c r="D693">
        <f t="shared" si="40"/>
        <v>1.2557603947935008</v>
      </c>
      <c r="E693" s="24">
        <f t="shared" si="39"/>
        <v>1.2557603947935008</v>
      </c>
      <c r="F693" s="24"/>
    </row>
    <row r="694" spans="1:6">
      <c r="A694">
        <v>992</v>
      </c>
      <c r="B694">
        <v>1.8724590112105944E-4</v>
      </c>
      <c r="C694">
        <f t="shared" si="38"/>
        <v>1.2566767052493777</v>
      </c>
      <c r="D694">
        <f t="shared" si="40"/>
        <v>1.2560732812906295</v>
      </c>
      <c r="E694" s="24">
        <f t="shared" si="39"/>
        <v>1.2560732812906295</v>
      </c>
      <c r="F694" s="24"/>
    </row>
    <row r="695" spans="1:6">
      <c r="A695">
        <v>993</v>
      </c>
      <c r="B695">
        <v>1.8741239996597869E-4</v>
      </c>
      <c r="C695">
        <f t="shared" si="38"/>
        <v>1.2577941407638975</v>
      </c>
      <c r="D695">
        <f t="shared" si="40"/>
        <v>1.2563861645355701</v>
      </c>
      <c r="E695" s="24">
        <f t="shared" si="39"/>
        <v>1.2563861645355701</v>
      </c>
      <c r="F695" s="24"/>
    </row>
    <row r="696" spans="1:6">
      <c r="A696">
        <v>994</v>
      </c>
      <c r="B696">
        <v>1.8764550174091708E-4</v>
      </c>
      <c r="C696">
        <f t="shared" si="38"/>
        <v>1.2593585732495409</v>
      </c>
      <c r="D696">
        <f t="shared" si="40"/>
        <v>1.2570119342776396</v>
      </c>
      <c r="E696" s="24">
        <f t="shared" si="39"/>
        <v>1.2570119342776396</v>
      </c>
      <c r="F696" s="24"/>
    </row>
    <row r="697" spans="1:6">
      <c r="A697">
        <v>995</v>
      </c>
      <c r="B697">
        <v>1.8786195338907417E-4</v>
      </c>
      <c r="C697">
        <f t="shared" si="38"/>
        <v>1.2608112605576385</v>
      </c>
      <c r="D697">
        <f t="shared" si="40"/>
        <v>1.2580623356943836</v>
      </c>
      <c r="E697" s="24">
        <f t="shared" si="39"/>
        <v>1.2580623356943836</v>
      </c>
      <c r="F697" s="24"/>
    </row>
    <row r="698" spans="1:6">
      <c r="A698">
        <v>996</v>
      </c>
      <c r="B698">
        <v>1.8784530326229287E-4</v>
      </c>
      <c r="C698">
        <f t="shared" si="38"/>
        <v>1.2606995153800926</v>
      </c>
      <c r="D698">
        <f t="shared" si="40"/>
        <v>1.2590680390401094</v>
      </c>
      <c r="E698" s="24">
        <f t="shared" si="39"/>
        <v>1.2590680390401094</v>
      </c>
      <c r="F698" s="24"/>
    </row>
    <row r="699" spans="1:6">
      <c r="A699">
        <v>997</v>
      </c>
      <c r="B699">
        <v>1.8764550174091708E-4</v>
      </c>
      <c r="C699">
        <f t="shared" si="38"/>
        <v>1.2593585732495409</v>
      </c>
      <c r="D699">
        <f t="shared" si="40"/>
        <v>1.259604412640142</v>
      </c>
      <c r="E699" s="24">
        <f t="shared" si="39"/>
        <v>1.259604412640142</v>
      </c>
      <c r="F699" s="24"/>
    </row>
    <row r="700" spans="1:6">
      <c r="A700">
        <v>998</v>
      </c>
      <c r="B700">
        <v>1.8799515198043081E-4</v>
      </c>
      <c r="C700">
        <f t="shared" si="38"/>
        <v>1.2617052057170666</v>
      </c>
      <c r="D700">
        <f t="shared" si="40"/>
        <v>1.2603866256307759</v>
      </c>
      <c r="E700" s="24">
        <f t="shared" si="39"/>
        <v>1.2603866256307759</v>
      </c>
      <c r="F700" s="24"/>
    </row>
    <row r="701" spans="1:6">
      <c r="A701">
        <v>999</v>
      </c>
      <c r="B701">
        <v>1.8767880199447974E-4</v>
      </c>
      <c r="C701">
        <f t="shared" si="38"/>
        <v>1.2595820636046331</v>
      </c>
      <c r="D701">
        <f t="shared" si="40"/>
        <v>1.2604313237017943</v>
      </c>
      <c r="E701" s="24">
        <f t="shared" si="39"/>
        <v>1.2604313237017943</v>
      </c>
      <c r="F701" s="24"/>
    </row>
    <row r="702" spans="1:6">
      <c r="A702">
        <v>1000</v>
      </c>
      <c r="B702">
        <v>1.8774540250160498E-4</v>
      </c>
      <c r="C702">
        <f t="shared" si="38"/>
        <v>1.2600290443148168</v>
      </c>
      <c r="D702">
        <f t="shared" si="40"/>
        <v>1.26027488045323</v>
      </c>
      <c r="E702" s="24">
        <f t="shared" si="39"/>
        <v>1.26027488045323</v>
      </c>
      <c r="F702" s="24"/>
    </row>
    <row r="703" spans="1:6">
      <c r="A703">
        <v>1001</v>
      </c>
      <c r="B703">
        <v>1.877620526283863E-4</v>
      </c>
      <c r="C703">
        <f t="shared" si="38"/>
        <v>1.2601407894923629</v>
      </c>
      <c r="D703">
        <f t="shared" si="40"/>
        <v>1.2601631352756839</v>
      </c>
      <c r="E703" s="24">
        <f t="shared" si="39"/>
        <v>1.2601631352756839</v>
      </c>
      <c r="F703" s="24"/>
    </row>
    <row r="704" spans="1:6">
      <c r="A704">
        <v>1002</v>
      </c>
      <c r="B704">
        <v>1.8769545212126107E-4</v>
      </c>
      <c r="C704">
        <f t="shared" si="38"/>
        <v>1.2596938087821792</v>
      </c>
      <c r="D704">
        <f t="shared" si="40"/>
        <v>1.2602301823822117</v>
      </c>
      <c r="E704" s="24">
        <f t="shared" si="39"/>
        <v>1.2602301823822117</v>
      </c>
      <c r="F704" s="24"/>
    </row>
    <row r="705" spans="1:6">
      <c r="A705">
        <v>1003</v>
      </c>
      <c r="B705">
        <v>1.8792855147330557E-4</v>
      </c>
      <c r="C705">
        <f t="shared" si="38"/>
        <v>1.2612582250068829</v>
      </c>
      <c r="D705">
        <f t="shared" si="40"/>
        <v>1.260140786240175</v>
      </c>
      <c r="E705" s="24">
        <f t="shared" si="39"/>
        <v>1.260140786240175</v>
      </c>
      <c r="F705" s="24"/>
    </row>
    <row r="706" spans="1:6">
      <c r="A706">
        <v>1004</v>
      </c>
      <c r="B706">
        <v>1.8822824890958145E-4</v>
      </c>
      <c r="C706">
        <f t="shared" si="38"/>
        <v>1.2632696056808308</v>
      </c>
      <c r="D706">
        <f t="shared" si="40"/>
        <v>1.2608782946554147</v>
      </c>
      <c r="E706" s="24">
        <f t="shared" si="39"/>
        <v>1.2608782946554147</v>
      </c>
      <c r="F706" s="24"/>
    </row>
    <row r="707" spans="1:6">
      <c r="A707">
        <v>1005</v>
      </c>
      <c r="B707">
        <v>1.8834480221994454E-4</v>
      </c>
      <c r="C707">
        <f t="shared" ref="C707:C770" si="41">B707/B$257</f>
        <v>1.2640518381845922</v>
      </c>
      <c r="D707">
        <f t="shared" si="40"/>
        <v>1.2616828534293698</v>
      </c>
      <c r="E707" s="24">
        <f t="shared" ref="E707:E770" si="42">MAX(D707,E$1)</f>
        <v>1.2616828534293698</v>
      </c>
      <c r="F707" s="24"/>
    </row>
    <row r="708" spans="1:6">
      <c r="A708">
        <v>1006</v>
      </c>
      <c r="B708">
        <v>1.8822825375536926E-4</v>
      </c>
      <c r="C708">
        <f t="shared" si="41"/>
        <v>1.2632696382027104</v>
      </c>
      <c r="D708">
        <f t="shared" si="40"/>
        <v>1.2623086231714391</v>
      </c>
      <c r="E708" s="24">
        <f t="shared" si="42"/>
        <v>1.2623086231714391</v>
      </c>
      <c r="F708" s="24"/>
    </row>
    <row r="709" spans="1:6">
      <c r="A709">
        <v>1007</v>
      </c>
      <c r="B709">
        <v>1.8856124659941999E-4</v>
      </c>
      <c r="C709">
        <f t="shared" si="41"/>
        <v>1.2655044767098709</v>
      </c>
      <c r="D709">
        <f t="shared" si="40"/>
        <v>1.2634707567569774</v>
      </c>
      <c r="E709" s="24">
        <f t="shared" si="42"/>
        <v>1.2634707567569774</v>
      </c>
      <c r="F709" s="24"/>
    </row>
    <row r="710" spans="1:6">
      <c r="A710">
        <v>1008</v>
      </c>
      <c r="B710">
        <v>1.8854460131842641E-4</v>
      </c>
      <c r="C710">
        <f t="shared" si="41"/>
        <v>1.265392764054204</v>
      </c>
      <c r="D710">
        <f t="shared" si="40"/>
        <v>1.2642976645664417</v>
      </c>
      <c r="E710" s="24">
        <f t="shared" si="42"/>
        <v>1.2642976645664417</v>
      </c>
      <c r="F710" s="24"/>
    </row>
    <row r="711" spans="1:6">
      <c r="A711">
        <v>1009</v>
      </c>
      <c r="B711">
        <v>1.8842804800806335E-4</v>
      </c>
      <c r="C711">
        <f t="shared" si="41"/>
        <v>1.2646105315504428</v>
      </c>
      <c r="D711">
        <f t="shared" ref="D711:D774" si="43">AVERAGE(C707:C711)</f>
        <v>1.264565849740364</v>
      </c>
      <c r="E711" s="24">
        <f t="shared" si="42"/>
        <v>1.264565849740364</v>
      </c>
      <c r="F711" s="24"/>
    </row>
    <row r="712" spans="1:6">
      <c r="A712">
        <v>1010</v>
      </c>
      <c r="B712">
        <v>1.8852794634585736E-4</v>
      </c>
      <c r="C712">
        <f t="shared" si="41"/>
        <v>1.2652809863547789</v>
      </c>
      <c r="D712">
        <f t="shared" si="43"/>
        <v>1.2648116793744015</v>
      </c>
      <c r="E712" s="24">
        <f t="shared" si="42"/>
        <v>1.2648116793744015</v>
      </c>
      <c r="F712" s="24"/>
    </row>
    <row r="713" spans="1:6">
      <c r="A713">
        <v>1011</v>
      </c>
      <c r="B713">
        <v>1.8807840019144351E-4</v>
      </c>
      <c r="C713">
        <f t="shared" si="41"/>
        <v>1.2622639153438568</v>
      </c>
      <c r="D713">
        <f t="shared" si="43"/>
        <v>1.2646105348026306</v>
      </c>
      <c r="E713" s="24">
        <f t="shared" si="42"/>
        <v>1.2646105348026306</v>
      </c>
      <c r="F713" s="24"/>
    </row>
    <row r="714" spans="1:6">
      <c r="A714">
        <v>1012</v>
      </c>
      <c r="B714">
        <v>1.8831149954348802E-4</v>
      </c>
      <c r="C714">
        <f t="shared" si="41"/>
        <v>1.2638283315685606</v>
      </c>
      <c r="D714">
        <f t="shared" si="43"/>
        <v>1.2642753057743685</v>
      </c>
      <c r="E714" s="24">
        <f t="shared" si="42"/>
        <v>1.2642753057743685</v>
      </c>
      <c r="F714" s="24"/>
    </row>
    <row r="715" spans="1:6">
      <c r="A715">
        <v>1013</v>
      </c>
      <c r="B715">
        <v>1.8904410027607811E-4</v>
      </c>
      <c r="C715">
        <f t="shared" si="41"/>
        <v>1.2687450868587038</v>
      </c>
      <c r="D715">
        <f t="shared" si="43"/>
        <v>1.2649457703352684</v>
      </c>
      <c r="E715" s="24">
        <f t="shared" si="42"/>
        <v>1.2649457703352684</v>
      </c>
      <c r="F715" s="24"/>
    </row>
    <row r="716" spans="1:6">
      <c r="A716">
        <v>1014</v>
      </c>
      <c r="B716">
        <v>1.8862784952943911E-4</v>
      </c>
      <c r="C716">
        <f t="shared" si="41"/>
        <v>1.2659514736809943</v>
      </c>
      <c r="D716">
        <f t="shared" si="43"/>
        <v>1.2652139587613789</v>
      </c>
      <c r="E716" s="24">
        <f t="shared" si="42"/>
        <v>1.2652139587613789</v>
      </c>
      <c r="F716" s="24"/>
    </row>
    <row r="717" spans="1:6">
      <c r="A717">
        <v>1015</v>
      </c>
      <c r="B717">
        <v>1.8884429875470234E-4</v>
      </c>
      <c r="C717">
        <f t="shared" si="41"/>
        <v>1.2674041447281521</v>
      </c>
      <c r="D717">
        <f t="shared" si="43"/>
        <v>1.2656385904360534</v>
      </c>
      <c r="E717" s="24">
        <f t="shared" si="42"/>
        <v>1.2656385904360534</v>
      </c>
      <c r="F717" s="24"/>
    </row>
    <row r="718" spans="1:6">
      <c r="A718">
        <v>1016</v>
      </c>
      <c r="B718">
        <v>1.8897750219184673E-4</v>
      </c>
      <c r="C718">
        <f t="shared" si="41"/>
        <v>1.2682981224094596</v>
      </c>
      <c r="D718">
        <f t="shared" si="43"/>
        <v>1.266845431849174</v>
      </c>
      <c r="E718" s="24">
        <f t="shared" si="42"/>
        <v>1.266845431849174</v>
      </c>
      <c r="F718" s="24"/>
    </row>
    <row r="719" spans="1:6">
      <c r="A719">
        <v>1017</v>
      </c>
      <c r="B719">
        <v>1.8952695152984231E-4</v>
      </c>
      <c r="C719">
        <f t="shared" si="41"/>
        <v>1.2719856807465968</v>
      </c>
      <c r="D719">
        <f t="shared" si="43"/>
        <v>1.2684769016847812</v>
      </c>
      <c r="E719" s="24">
        <f t="shared" si="42"/>
        <v>1.2684769016847812</v>
      </c>
      <c r="F719" s="24"/>
    </row>
    <row r="720" spans="1:6">
      <c r="A720">
        <v>1018</v>
      </c>
      <c r="B720">
        <v>1.8901080244540934E-4</v>
      </c>
      <c r="C720">
        <f t="shared" si="41"/>
        <v>1.2685216127645513</v>
      </c>
      <c r="D720">
        <f t="shared" si="43"/>
        <v>1.2684322068659508</v>
      </c>
      <c r="E720" s="24">
        <f t="shared" si="42"/>
        <v>1.2684322068659508</v>
      </c>
      <c r="F720" s="24"/>
    </row>
    <row r="721" spans="1:6">
      <c r="A721">
        <v>1019</v>
      </c>
      <c r="B721">
        <v>1.8894420193828407E-4</v>
      </c>
      <c r="C721">
        <f t="shared" si="41"/>
        <v>1.2680746320543674</v>
      </c>
      <c r="D721">
        <f t="shared" si="43"/>
        <v>1.2688568385406254</v>
      </c>
      <c r="E721" s="24">
        <f t="shared" si="42"/>
        <v>1.2688568385406254</v>
      </c>
      <c r="F721" s="24"/>
    </row>
    <row r="722" spans="1:6">
      <c r="A722">
        <v>1020</v>
      </c>
      <c r="B722">
        <v>1.8821160362858793E-4</v>
      </c>
      <c r="C722">
        <f t="shared" si="41"/>
        <v>1.2631578930251643</v>
      </c>
      <c r="D722">
        <f t="shared" si="43"/>
        <v>1.2680075882000279</v>
      </c>
      <c r="E722" s="24">
        <f t="shared" si="42"/>
        <v>1.2680075882000279</v>
      </c>
      <c r="F722" s="24"/>
    </row>
    <row r="723" spans="1:6">
      <c r="A723">
        <v>1021</v>
      </c>
      <c r="B723">
        <v>1.8894420193828407E-4</v>
      </c>
      <c r="C723">
        <f t="shared" si="41"/>
        <v>1.2680746320543674</v>
      </c>
      <c r="D723">
        <f t="shared" si="43"/>
        <v>1.2679628901290094</v>
      </c>
      <c r="E723" s="24">
        <f t="shared" si="42"/>
        <v>1.2679628901290094</v>
      </c>
      <c r="F723" s="24"/>
    </row>
    <row r="724" spans="1:6">
      <c r="A724">
        <v>1022</v>
      </c>
      <c r="B724">
        <v>1.8894420436117796E-4</v>
      </c>
      <c r="C724">
        <f t="shared" si="41"/>
        <v>1.2680746483153071</v>
      </c>
      <c r="D724">
        <f t="shared" si="43"/>
        <v>1.2671806836427515</v>
      </c>
      <c r="E724" s="24">
        <f t="shared" si="42"/>
        <v>1.2671806836427515</v>
      </c>
      <c r="F724" s="24"/>
    </row>
    <row r="725" spans="1:6">
      <c r="A725">
        <v>1023</v>
      </c>
      <c r="B725">
        <v>1.8907740537542849E-4</v>
      </c>
      <c r="C725">
        <f t="shared" si="41"/>
        <v>1.2689686097356749</v>
      </c>
      <c r="D725">
        <f t="shared" si="43"/>
        <v>1.2672700830369763</v>
      </c>
      <c r="E725" s="24">
        <f t="shared" si="42"/>
        <v>1.2672700830369763</v>
      </c>
      <c r="F725" s="24"/>
    </row>
    <row r="726" spans="1:6">
      <c r="A726">
        <v>1024</v>
      </c>
      <c r="B726">
        <v>1.8929384975490391E-4</v>
      </c>
      <c r="C726">
        <f t="shared" si="41"/>
        <v>1.2704212482609534</v>
      </c>
      <c r="D726">
        <f t="shared" si="43"/>
        <v>1.2677394062782934</v>
      </c>
      <c r="E726" s="24">
        <f t="shared" si="42"/>
        <v>1.2677394062782934</v>
      </c>
      <c r="F726" s="24"/>
    </row>
    <row r="727" spans="1:6">
      <c r="A727">
        <v>1025</v>
      </c>
      <c r="B727">
        <v>1.8941039821947922E-4</v>
      </c>
      <c r="C727">
        <f t="shared" si="41"/>
        <v>1.2712034482428354</v>
      </c>
      <c r="D727">
        <f t="shared" si="43"/>
        <v>1.2693485173218275</v>
      </c>
      <c r="E727" s="24">
        <f t="shared" si="42"/>
        <v>1.2693485173218275</v>
      </c>
      <c r="F727" s="24"/>
    </row>
    <row r="728" spans="1:6">
      <c r="A728">
        <v>1026</v>
      </c>
      <c r="B728">
        <v>1.893604502620292E-4</v>
      </c>
      <c r="C728">
        <f t="shared" si="41"/>
        <v>1.2708682289711373</v>
      </c>
      <c r="D728">
        <f t="shared" si="43"/>
        <v>1.2699072367051816</v>
      </c>
      <c r="E728" s="24">
        <f t="shared" si="42"/>
        <v>1.2699072367051816</v>
      </c>
      <c r="F728" s="24"/>
    </row>
    <row r="729" spans="1:6">
      <c r="A729">
        <v>1027</v>
      </c>
      <c r="B729">
        <v>1.890774029525346E-4</v>
      </c>
      <c r="C729">
        <f t="shared" si="41"/>
        <v>1.2689685934747352</v>
      </c>
      <c r="D729">
        <f t="shared" si="43"/>
        <v>1.2700860257370672</v>
      </c>
      <c r="E729" s="24">
        <f t="shared" si="42"/>
        <v>1.2700860257370672</v>
      </c>
      <c r="F729" s="24"/>
    </row>
    <row r="730" spans="1:6">
      <c r="A730">
        <v>1028</v>
      </c>
      <c r="B730">
        <v>1.889775021918467E-4</v>
      </c>
      <c r="C730">
        <f t="shared" si="41"/>
        <v>1.2682981224094594</v>
      </c>
      <c r="D730">
        <f t="shared" si="43"/>
        <v>1.2699519282718241</v>
      </c>
      <c r="E730" s="24">
        <f t="shared" si="42"/>
        <v>1.2699519282718241</v>
      </c>
      <c r="F730" s="24"/>
    </row>
    <row r="731" spans="1:6">
      <c r="A731">
        <v>1029</v>
      </c>
      <c r="B731">
        <v>1.8914399861387214E-4</v>
      </c>
      <c r="C731">
        <f t="shared" si="41"/>
        <v>1.2694155416630399</v>
      </c>
      <c r="D731">
        <f t="shared" si="43"/>
        <v>1.2697507869522415</v>
      </c>
      <c r="E731" s="24">
        <f t="shared" si="42"/>
        <v>1.2697507869522415</v>
      </c>
      <c r="F731" s="24"/>
    </row>
    <row r="732" spans="1:6">
      <c r="A732">
        <v>1030</v>
      </c>
      <c r="B732">
        <v>1.8974339833221165E-4</v>
      </c>
      <c r="C732">
        <f t="shared" si="41"/>
        <v>1.2734383355328149</v>
      </c>
      <c r="D732">
        <f t="shared" si="43"/>
        <v>1.2701977644102374</v>
      </c>
      <c r="E732" s="24">
        <f t="shared" si="42"/>
        <v>1.2701977644102374</v>
      </c>
      <c r="F732" s="24"/>
    </row>
    <row r="733" spans="1:6">
      <c r="A733">
        <v>1031</v>
      </c>
      <c r="B733">
        <v>1.8877770067047094E-4</v>
      </c>
      <c r="C733">
        <f t="shared" si="41"/>
        <v>1.2669571802789079</v>
      </c>
      <c r="D733">
        <f t="shared" si="43"/>
        <v>1.2694155546717916</v>
      </c>
      <c r="E733" s="24">
        <f t="shared" si="42"/>
        <v>1.2694155546717916</v>
      </c>
      <c r="F733" s="24"/>
    </row>
    <row r="734" spans="1:6">
      <c r="A734">
        <v>1032</v>
      </c>
      <c r="B734">
        <v>1.897434031779994E-4</v>
      </c>
      <c r="C734">
        <f t="shared" si="41"/>
        <v>1.2734383680546943</v>
      </c>
      <c r="D734">
        <f t="shared" si="43"/>
        <v>1.2703095095877834</v>
      </c>
      <c r="E734" s="24">
        <f t="shared" si="42"/>
        <v>1.2703095095877834</v>
      </c>
      <c r="F734" s="24"/>
    </row>
    <row r="735" spans="1:6">
      <c r="A735">
        <v>1033</v>
      </c>
      <c r="B735">
        <v>1.8992654730391222E-4</v>
      </c>
      <c r="C735">
        <f t="shared" si="41"/>
        <v>1.2746675162248808</v>
      </c>
      <c r="D735">
        <f t="shared" si="43"/>
        <v>1.2715833883508676</v>
      </c>
      <c r="E735" s="24">
        <f t="shared" si="42"/>
        <v>1.2715833883508676</v>
      </c>
      <c r="F735" s="24"/>
    </row>
    <row r="736" spans="1:6">
      <c r="A736">
        <v>1034</v>
      </c>
      <c r="B736">
        <v>1.8951030382595489E-4</v>
      </c>
      <c r="C736">
        <f t="shared" si="41"/>
        <v>1.2718739518299906</v>
      </c>
      <c r="D736">
        <f t="shared" si="43"/>
        <v>1.2720750703842576</v>
      </c>
      <c r="E736" s="24">
        <f t="shared" si="42"/>
        <v>1.2720750703842576</v>
      </c>
      <c r="F736" s="24"/>
    </row>
    <row r="737" spans="1:6">
      <c r="A737">
        <v>1035</v>
      </c>
      <c r="B737">
        <v>1.9004309819138144E-4</v>
      </c>
      <c r="C737">
        <f t="shared" si="41"/>
        <v>1.2754497324677028</v>
      </c>
      <c r="D737">
        <f t="shared" si="43"/>
        <v>1.2724773497712352</v>
      </c>
      <c r="E737" s="24">
        <f t="shared" si="42"/>
        <v>1.2724773497712352</v>
      </c>
      <c r="F737" s="24"/>
    </row>
    <row r="738" spans="1:6">
      <c r="A738">
        <v>1036</v>
      </c>
      <c r="B738">
        <v>1.8926054707844742E-4</v>
      </c>
      <c r="C738">
        <f t="shared" si="41"/>
        <v>1.2701977416449217</v>
      </c>
      <c r="D738">
        <f t="shared" si="43"/>
        <v>1.2731254620444381</v>
      </c>
      <c r="E738" s="24">
        <f t="shared" si="42"/>
        <v>1.2731254620444381</v>
      </c>
      <c r="F738" s="24"/>
    </row>
    <row r="739" spans="1:6">
      <c r="A739">
        <v>1037</v>
      </c>
      <c r="B739">
        <v>1.8984329667000562E-4</v>
      </c>
      <c r="C739">
        <f t="shared" si="41"/>
        <v>1.2741087903371509</v>
      </c>
      <c r="D739">
        <f t="shared" si="43"/>
        <v>1.2732595465009293</v>
      </c>
      <c r="E739" s="24">
        <f t="shared" si="42"/>
        <v>1.2732595465009293</v>
      </c>
      <c r="F739" s="24"/>
    </row>
    <row r="740" spans="1:6">
      <c r="A740">
        <v>1038</v>
      </c>
      <c r="B740">
        <v>1.9019294933241327E-4</v>
      </c>
      <c r="C740">
        <f t="shared" si="41"/>
        <v>1.2764554390656164</v>
      </c>
      <c r="D740">
        <f t="shared" si="43"/>
        <v>1.2736171310690765</v>
      </c>
      <c r="E740" s="24">
        <f t="shared" si="42"/>
        <v>1.2736171310690765</v>
      </c>
      <c r="F740" s="24"/>
    </row>
    <row r="741" spans="1:6">
      <c r="A741">
        <v>1039</v>
      </c>
      <c r="B741">
        <v>1.8972674820543034E-4</v>
      </c>
      <c r="C741">
        <f t="shared" si="41"/>
        <v>1.2733265903552691</v>
      </c>
      <c r="D741">
        <f t="shared" si="43"/>
        <v>1.2739076587741323</v>
      </c>
      <c r="E741" s="24">
        <f t="shared" si="42"/>
        <v>1.2739076587741323</v>
      </c>
      <c r="F741" s="24"/>
    </row>
    <row r="742" spans="1:6">
      <c r="A742">
        <v>1040</v>
      </c>
      <c r="B742">
        <v>1.9017630162852586E-4</v>
      </c>
      <c r="C742">
        <f t="shared" si="41"/>
        <v>1.2763437101490103</v>
      </c>
      <c r="D742">
        <f t="shared" si="43"/>
        <v>1.2740864543103936</v>
      </c>
      <c r="E742" s="24">
        <f t="shared" si="42"/>
        <v>1.2740864543103936</v>
      </c>
      <c r="F742" s="24"/>
    </row>
    <row r="743" spans="1:6">
      <c r="A743">
        <v>1041</v>
      </c>
      <c r="B743">
        <v>1.902095994591946E-4</v>
      </c>
      <c r="C743">
        <f t="shared" si="41"/>
        <v>1.2765671842431625</v>
      </c>
      <c r="D743">
        <f t="shared" si="43"/>
        <v>1.275360342830042</v>
      </c>
      <c r="E743" s="24">
        <f t="shared" si="42"/>
        <v>1.275360342830042</v>
      </c>
      <c r="F743" s="24"/>
    </row>
    <row r="744" spans="1:6">
      <c r="A744">
        <v>1042</v>
      </c>
      <c r="B744">
        <v>1.8997649768425615E-4</v>
      </c>
      <c r="C744">
        <f t="shared" si="41"/>
        <v>1.2750027517575186</v>
      </c>
      <c r="D744">
        <f t="shared" si="43"/>
        <v>1.2755391351141157</v>
      </c>
      <c r="E744" s="24">
        <f t="shared" si="42"/>
        <v>1.2755391351141157</v>
      </c>
      <c r="F744" s="24"/>
    </row>
    <row r="745" spans="1:6">
      <c r="A745">
        <v>1043</v>
      </c>
      <c r="B745">
        <v>1.9010970112140057E-4</v>
      </c>
      <c r="C745">
        <f t="shared" si="41"/>
        <v>1.2758967294388261</v>
      </c>
      <c r="D745">
        <f t="shared" si="43"/>
        <v>1.2754273931887572</v>
      </c>
      <c r="E745" s="24">
        <f t="shared" si="42"/>
        <v>1.2754273931887572</v>
      </c>
      <c r="F745" s="24"/>
    </row>
    <row r="746" spans="1:6">
      <c r="A746">
        <v>1044</v>
      </c>
      <c r="B746">
        <v>1.9079234905075286E-4</v>
      </c>
      <c r="C746">
        <f t="shared" si="41"/>
        <v>1.2804782329353921</v>
      </c>
      <c r="D746">
        <f t="shared" si="43"/>
        <v>1.2768577217047821</v>
      </c>
      <c r="E746" s="24">
        <f t="shared" si="42"/>
        <v>1.2768577217047821</v>
      </c>
      <c r="F746" s="24"/>
    </row>
    <row r="747" spans="1:6">
      <c r="A747">
        <v>1045</v>
      </c>
      <c r="B747">
        <v>1.9029284767020727E-4</v>
      </c>
      <c r="C747">
        <f t="shared" si="41"/>
        <v>1.2771258938699526</v>
      </c>
      <c r="D747">
        <f t="shared" si="43"/>
        <v>1.2770141584489703</v>
      </c>
      <c r="E747" s="24">
        <f t="shared" si="42"/>
        <v>1.2770141584489703</v>
      </c>
      <c r="F747" s="24"/>
    </row>
    <row r="748" spans="1:6">
      <c r="A748">
        <v>1046</v>
      </c>
      <c r="B748">
        <v>1.8944369847304188E-4</v>
      </c>
      <c r="C748">
        <f t="shared" si="41"/>
        <v>1.2714269385979273</v>
      </c>
      <c r="D748">
        <f t="shared" si="43"/>
        <v>1.2759861093199232</v>
      </c>
      <c r="E748" s="24">
        <f t="shared" si="42"/>
        <v>1.2759861093199232</v>
      </c>
      <c r="F748" s="24"/>
    </row>
    <row r="749" spans="1:6">
      <c r="A749">
        <v>1047</v>
      </c>
      <c r="B749">
        <v>1.9074240109330273E-4</v>
      </c>
      <c r="C749">
        <f t="shared" si="41"/>
        <v>1.2801430136636933</v>
      </c>
      <c r="D749">
        <f t="shared" si="43"/>
        <v>1.2770141617011581</v>
      </c>
      <c r="E749" s="24">
        <f t="shared" si="42"/>
        <v>1.2770141617011581</v>
      </c>
      <c r="F749" s="24"/>
    </row>
    <row r="750" spans="1:6">
      <c r="A750">
        <v>1048</v>
      </c>
      <c r="B750">
        <v>1.9114199686737264E-4</v>
      </c>
      <c r="C750">
        <f t="shared" si="41"/>
        <v>1.2828248491419776</v>
      </c>
      <c r="D750">
        <f t="shared" si="43"/>
        <v>1.2783997856417886</v>
      </c>
      <c r="E750" s="24">
        <f t="shared" si="42"/>
        <v>1.2783997856417886</v>
      </c>
      <c r="F750" s="24"/>
    </row>
    <row r="751" spans="1:6">
      <c r="A751">
        <v>1049</v>
      </c>
      <c r="B751">
        <v>1.8921059912099737E-4</v>
      </c>
      <c r="C751">
        <f t="shared" si="41"/>
        <v>1.2698625223732236</v>
      </c>
      <c r="D751">
        <f t="shared" si="43"/>
        <v>1.2762766435293549</v>
      </c>
      <c r="E751" s="24">
        <f t="shared" si="42"/>
        <v>1.2762766435293549</v>
      </c>
      <c r="F751" s="24"/>
    </row>
    <row r="752" spans="1:6">
      <c r="A752">
        <v>1050</v>
      </c>
      <c r="B752">
        <v>1.8999314781103748E-4</v>
      </c>
      <c r="C752">
        <f t="shared" si="41"/>
        <v>1.2751144969350647</v>
      </c>
      <c r="D752">
        <f t="shared" si="43"/>
        <v>1.2758743641423773</v>
      </c>
      <c r="E752" s="24">
        <f t="shared" si="42"/>
        <v>1.2758743641423773</v>
      </c>
      <c r="F752" s="24"/>
    </row>
    <row r="753" spans="1:6">
      <c r="A753">
        <v>1051</v>
      </c>
      <c r="B753">
        <v>1.9039275085378903E-4</v>
      </c>
      <c r="C753">
        <f t="shared" si="41"/>
        <v>1.2777963811961679</v>
      </c>
      <c r="D753">
        <f t="shared" si="43"/>
        <v>1.2771482526620255</v>
      </c>
      <c r="E753" s="24">
        <f t="shared" si="42"/>
        <v>1.2771482526620255</v>
      </c>
      <c r="F753" s="24"/>
    </row>
    <row r="754" spans="1:6">
      <c r="A754">
        <v>1052</v>
      </c>
      <c r="B754">
        <v>1.9300679652951659E-4</v>
      </c>
      <c r="C754">
        <f t="shared" si="41"/>
        <v>1.2953402114614876</v>
      </c>
      <c r="D754">
        <f t="shared" si="43"/>
        <v>1.2801876922215842</v>
      </c>
      <c r="E754" s="24">
        <f t="shared" si="42"/>
        <v>1.2801876922215842</v>
      </c>
      <c r="F754" s="24"/>
    </row>
    <row r="755" spans="1:6">
      <c r="A755">
        <v>1053</v>
      </c>
      <c r="B755">
        <v>1.9104210337536642E-4</v>
      </c>
      <c r="C755">
        <f t="shared" si="41"/>
        <v>1.2821544268595209</v>
      </c>
      <c r="D755">
        <f t="shared" si="43"/>
        <v>1.2800536077650928</v>
      </c>
      <c r="E755" s="24">
        <f t="shared" si="42"/>
        <v>1.2800536077650928</v>
      </c>
      <c r="F755" s="24"/>
    </row>
    <row r="756" spans="1:6">
      <c r="A756">
        <v>1054</v>
      </c>
      <c r="B756">
        <v>1.9139175119198628E-4</v>
      </c>
      <c r="C756">
        <f t="shared" si="41"/>
        <v>1.284501043066107</v>
      </c>
      <c r="D756">
        <f t="shared" si="43"/>
        <v>1.2829813119036695</v>
      </c>
      <c r="E756" s="24">
        <f t="shared" si="42"/>
        <v>1.2829813119036695</v>
      </c>
      <c r="F756" s="24"/>
    </row>
    <row r="757" spans="1:6">
      <c r="A757">
        <v>1055</v>
      </c>
      <c r="B757">
        <v>1.9370609943143791E-4</v>
      </c>
      <c r="C757">
        <f t="shared" si="41"/>
        <v>1.3000334926574784</v>
      </c>
      <c r="D757">
        <f t="shared" si="43"/>
        <v>1.2879651110481523</v>
      </c>
      <c r="E757" s="24">
        <f t="shared" si="42"/>
        <v>1.2879651110481523</v>
      </c>
      <c r="F757" s="24"/>
    </row>
    <row r="758" spans="1:6">
      <c r="A758">
        <v>1056</v>
      </c>
      <c r="B758">
        <v>1.9010969869850668E-4</v>
      </c>
      <c r="C758">
        <f t="shared" si="41"/>
        <v>1.2758967131778864</v>
      </c>
      <c r="D758">
        <f t="shared" si="43"/>
        <v>1.287585177444496</v>
      </c>
      <c r="E758" s="24">
        <f t="shared" si="42"/>
        <v>1.287585177444496</v>
      </c>
      <c r="F758" s="24"/>
    </row>
    <row r="759" spans="1:6">
      <c r="A759">
        <v>1057</v>
      </c>
      <c r="B759">
        <v>1.9209104682522591E-4</v>
      </c>
      <c r="C759">
        <f t="shared" si="41"/>
        <v>1.2891942754792785</v>
      </c>
      <c r="D759">
        <f t="shared" si="43"/>
        <v>1.2863559902480541</v>
      </c>
      <c r="E759" s="24">
        <f t="shared" si="42"/>
        <v>1.2863559902480541</v>
      </c>
      <c r="F759" s="24"/>
    </row>
    <row r="760" spans="1:6">
      <c r="A760">
        <v>1058</v>
      </c>
      <c r="B760">
        <v>1.9142504659976111E-4</v>
      </c>
      <c r="C760">
        <f t="shared" si="41"/>
        <v>1.2847245008993193</v>
      </c>
      <c r="D760">
        <f t="shared" si="43"/>
        <v>1.2868700050560138</v>
      </c>
      <c r="E760" s="24">
        <f t="shared" si="42"/>
        <v>1.2868700050560138</v>
      </c>
      <c r="F760" s="24"/>
    </row>
    <row r="761" spans="1:6">
      <c r="A761">
        <v>1059</v>
      </c>
      <c r="B761">
        <v>1.9318994792411103E-4</v>
      </c>
      <c r="C761">
        <f t="shared" si="41"/>
        <v>1.296569408414493</v>
      </c>
      <c r="D761">
        <f t="shared" si="43"/>
        <v>1.2892836781256911</v>
      </c>
      <c r="E761" s="24">
        <f t="shared" si="42"/>
        <v>1.2892836781256911</v>
      </c>
      <c r="F761" s="24"/>
    </row>
    <row r="762" spans="1:6">
      <c r="A762">
        <v>1060</v>
      </c>
      <c r="B762">
        <v>1.9305675175564831E-4</v>
      </c>
      <c r="C762">
        <f t="shared" si="41"/>
        <v>1.2956754795160048</v>
      </c>
      <c r="D762">
        <f t="shared" si="43"/>
        <v>1.2884120754973964</v>
      </c>
      <c r="E762" s="24">
        <f t="shared" si="42"/>
        <v>1.2884120754973964</v>
      </c>
      <c r="F762" s="24"/>
    </row>
    <row r="763" spans="1:6">
      <c r="A763">
        <v>1061</v>
      </c>
      <c r="B763">
        <v>1.921909475859138E-4</v>
      </c>
      <c r="C763">
        <f t="shared" si="41"/>
        <v>1.2898647465445543</v>
      </c>
      <c r="D763">
        <f t="shared" si="43"/>
        <v>1.2912056821707298</v>
      </c>
      <c r="E763" s="24">
        <f t="shared" si="42"/>
        <v>1.2912056821707298</v>
      </c>
      <c r="F763" s="24"/>
    </row>
    <row r="764" spans="1:6">
      <c r="A764">
        <v>1062</v>
      </c>
      <c r="B764">
        <v>1.8962684986763634E-4</v>
      </c>
      <c r="C764">
        <f t="shared" si="41"/>
        <v>1.2726561355509329</v>
      </c>
      <c r="D764">
        <f t="shared" si="43"/>
        <v>1.2878980541850606</v>
      </c>
      <c r="E764" s="24">
        <f t="shared" si="42"/>
        <v>1.2878980541850606</v>
      </c>
      <c r="F764" s="24"/>
    </row>
    <row r="765" spans="1:6">
      <c r="A765">
        <v>1063</v>
      </c>
      <c r="B765">
        <v>1.9147499940299893E-4</v>
      </c>
      <c r="C765">
        <f t="shared" si="41"/>
        <v>1.2850597526928969</v>
      </c>
      <c r="D765">
        <f t="shared" si="43"/>
        <v>1.2879651045437766</v>
      </c>
      <c r="E765" s="24">
        <f t="shared" si="42"/>
        <v>1.2879651045437766</v>
      </c>
      <c r="F765" s="24"/>
    </row>
    <row r="766" spans="1:6">
      <c r="A766">
        <v>1064</v>
      </c>
      <c r="B766">
        <v>1.9129185043129839E-4</v>
      </c>
      <c r="C766">
        <f t="shared" si="41"/>
        <v>1.2838305720008312</v>
      </c>
      <c r="D766">
        <f t="shared" si="43"/>
        <v>1.285417337261044</v>
      </c>
      <c r="E766" s="24">
        <f t="shared" si="42"/>
        <v>1.285417337261044</v>
      </c>
      <c r="F766" s="24"/>
    </row>
    <row r="767" spans="1:6">
      <c r="A767">
        <v>1065</v>
      </c>
      <c r="B767">
        <v>1.8972675062832423E-4</v>
      </c>
      <c r="C767">
        <f t="shared" si="41"/>
        <v>1.2733266066162088</v>
      </c>
      <c r="D767">
        <f t="shared" si="43"/>
        <v>1.2809475626810847</v>
      </c>
      <c r="E767" s="24">
        <f t="shared" si="42"/>
        <v>1.2809475626810847</v>
      </c>
      <c r="F767" s="24"/>
    </row>
    <row r="768" spans="1:6">
      <c r="A768">
        <v>1066</v>
      </c>
      <c r="B768">
        <v>1.8872775029012701E-4</v>
      </c>
      <c r="C768">
        <f t="shared" si="41"/>
        <v>1.2666219447462701</v>
      </c>
      <c r="D768">
        <f t="shared" si="43"/>
        <v>1.276299002321428</v>
      </c>
      <c r="E768" s="24">
        <f t="shared" si="42"/>
        <v>1.276299002321428</v>
      </c>
      <c r="F768" s="24"/>
    </row>
    <row r="769" spans="1:6">
      <c r="A769">
        <v>1067</v>
      </c>
      <c r="B769">
        <v>1.8917729886743472E-4</v>
      </c>
      <c r="C769">
        <f t="shared" si="41"/>
        <v>1.2696390320181317</v>
      </c>
      <c r="D769">
        <f t="shared" si="43"/>
        <v>1.2756955816148676</v>
      </c>
      <c r="E769" s="24">
        <f t="shared" si="42"/>
        <v>1.2756955816148676</v>
      </c>
      <c r="F769" s="24"/>
    </row>
    <row r="770" spans="1:6">
      <c r="A770">
        <v>1068</v>
      </c>
      <c r="B770">
        <v>1.889775021918467E-4</v>
      </c>
      <c r="C770">
        <f t="shared" si="41"/>
        <v>1.2682981224094594</v>
      </c>
      <c r="D770">
        <f t="shared" si="43"/>
        <v>1.2723432555581802</v>
      </c>
      <c r="E770" s="24">
        <f t="shared" si="42"/>
        <v>1.2723432555581802</v>
      </c>
      <c r="F770" s="24"/>
    </row>
    <row r="771" spans="1:6">
      <c r="A771">
        <v>1069</v>
      </c>
      <c r="B771">
        <v>1.856974490219727E-4</v>
      </c>
      <c r="C771">
        <f t="shared" ref="C771:C802" si="44">B771/B$257</f>
        <v>1.2462844687813617</v>
      </c>
      <c r="D771">
        <f t="shared" si="43"/>
        <v>1.2648340349142864</v>
      </c>
      <c r="E771" s="24">
        <f t="shared" ref="E771:E802" si="45">MAX(D771,E$1)</f>
        <v>1.2648340349142864</v>
      </c>
      <c r="F771" s="24"/>
    </row>
    <row r="772" spans="1:6">
      <c r="A772">
        <v>1070</v>
      </c>
      <c r="B772">
        <v>1.8641339720488757E-4</v>
      </c>
      <c r="C772">
        <f t="shared" si="44"/>
        <v>1.2510894626330189</v>
      </c>
      <c r="D772">
        <f t="shared" si="43"/>
        <v>1.2603866061176483</v>
      </c>
      <c r="E772" s="24">
        <f t="shared" si="45"/>
        <v>1.2603866061176483</v>
      </c>
      <c r="F772" s="24"/>
    </row>
    <row r="773" spans="1:6">
      <c r="A773">
        <v>1071</v>
      </c>
      <c r="B773">
        <v>1.8767879957158585E-4</v>
      </c>
      <c r="C773">
        <f t="shared" si="44"/>
        <v>1.2595820473436934</v>
      </c>
      <c r="D773">
        <f t="shared" si="43"/>
        <v>1.258978626637133</v>
      </c>
      <c r="E773" s="24">
        <f t="shared" si="45"/>
        <v>1.258978626637133</v>
      </c>
      <c r="F773" s="24"/>
    </row>
    <row r="774" spans="1:6">
      <c r="A774">
        <v>1072</v>
      </c>
      <c r="B774">
        <v>1.8744569537375357E-4</v>
      </c>
      <c r="C774">
        <f t="shared" si="44"/>
        <v>1.2580175985971103</v>
      </c>
      <c r="D774">
        <f t="shared" si="43"/>
        <v>1.2566543399529286</v>
      </c>
      <c r="E774" s="24">
        <f t="shared" si="45"/>
        <v>1.2566543399529286</v>
      </c>
      <c r="F774" s="24"/>
    </row>
    <row r="775" spans="1:6">
      <c r="A775">
        <v>1073</v>
      </c>
      <c r="B775">
        <v>1.8571409914875403E-4</v>
      </c>
      <c r="C775">
        <f t="shared" si="44"/>
        <v>1.2463962139589078</v>
      </c>
      <c r="D775">
        <f t="shared" ref="D775:D802" si="46">AVERAGE(C771:C775)</f>
        <v>1.2522739582628184</v>
      </c>
      <c r="E775" s="24">
        <f t="shared" si="45"/>
        <v>1.2522739582628184</v>
      </c>
      <c r="F775" s="24"/>
    </row>
    <row r="776" spans="1:6">
      <c r="A776">
        <v>1074</v>
      </c>
      <c r="B776">
        <v>1.835662521771155E-4</v>
      </c>
      <c r="C776">
        <f t="shared" si="44"/>
        <v>1.2319812161429957</v>
      </c>
      <c r="D776">
        <f t="shared" si="46"/>
        <v>1.2494133077351453</v>
      </c>
      <c r="E776" s="24">
        <f t="shared" si="45"/>
        <v>1.2494133077351453</v>
      </c>
      <c r="F776" s="24"/>
    </row>
    <row r="777" spans="1:6">
      <c r="A777">
        <v>1075</v>
      </c>
      <c r="B777">
        <v>1.8426554781035518E-4</v>
      </c>
      <c r="C777">
        <f t="shared" si="44"/>
        <v>1.2366744485561674</v>
      </c>
      <c r="D777">
        <f t="shared" si="46"/>
        <v>1.2465303049197749</v>
      </c>
      <c r="E777" s="24">
        <f t="shared" si="45"/>
        <v>1.2465303049197749</v>
      </c>
      <c r="F777" s="24"/>
    </row>
    <row r="778" spans="1:6">
      <c r="A778">
        <v>1076</v>
      </c>
      <c r="B778">
        <v>1.838826021630666E-4</v>
      </c>
      <c r="C778">
        <f t="shared" si="44"/>
        <v>1.2341043582554292</v>
      </c>
      <c r="D778">
        <f t="shared" si="46"/>
        <v>1.241434767102122</v>
      </c>
      <c r="E778" s="24">
        <f t="shared" si="45"/>
        <v>1.241434767102122</v>
      </c>
      <c r="F778" s="24"/>
    </row>
    <row r="779" spans="1:6">
      <c r="A779">
        <v>1077</v>
      </c>
      <c r="B779">
        <v>1.8300015028944474E-4</v>
      </c>
      <c r="C779">
        <f t="shared" si="44"/>
        <v>1.2281818963673727</v>
      </c>
      <c r="D779">
        <f t="shared" si="46"/>
        <v>1.2354676266561744</v>
      </c>
      <c r="E779" s="24">
        <f t="shared" si="45"/>
        <v>1.2354676266561744</v>
      </c>
      <c r="F779" s="24"/>
    </row>
    <row r="780" spans="1:6">
      <c r="A780">
        <v>1078</v>
      </c>
      <c r="B780">
        <v>1.8271710055705627E-4</v>
      </c>
      <c r="C780">
        <f t="shared" si="44"/>
        <v>1.226282244610031</v>
      </c>
      <c r="D780">
        <f t="shared" si="46"/>
        <v>1.2314448327863992</v>
      </c>
      <c r="E780" s="24">
        <f t="shared" si="45"/>
        <v>1.2314448327863992</v>
      </c>
      <c r="F780" s="24"/>
    </row>
    <row r="781" spans="1:6">
      <c r="A781">
        <v>1079</v>
      </c>
      <c r="B781">
        <v>1.8499814854294524E-4</v>
      </c>
      <c r="C781">
        <f t="shared" si="44"/>
        <v>1.2415912038463104</v>
      </c>
      <c r="D781">
        <f t="shared" si="46"/>
        <v>1.233366830327062</v>
      </c>
      <c r="E781" s="24">
        <f t="shared" si="45"/>
        <v>1.233366830327062</v>
      </c>
      <c r="F781" s="24"/>
    </row>
    <row r="782" spans="1:6">
      <c r="A782">
        <v>1080</v>
      </c>
      <c r="B782">
        <v>1.8393254769762278E-4</v>
      </c>
      <c r="C782">
        <f t="shared" si="44"/>
        <v>1.2344395612661878</v>
      </c>
      <c r="D782">
        <f t="shared" si="46"/>
        <v>1.2329198528690661</v>
      </c>
      <c r="E782" s="24">
        <f t="shared" si="45"/>
        <v>1.2329198528690661</v>
      </c>
      <c r="F782" s="24"/>
    </row>
    <row r="783" spans="1:6">
      <c r="A783">
        <v>1081</v>
      </c>
      <c r="B783">
        <v>1.8348300154320897E-4</v>
      </c>
      <c r="C783">
        <f t="shared" si="44"/>
        <v>1.231422490255266</v>
      </c>
      <c r="D783">
        <f t="shared" si="46"/>
        <v>1.2323834792690334</v>
      </c>
      <c r="E783" s="24">
        <f t="shared" si="45"/>
        <v>1.2323834792690334</v>
      </c>
      <c r="F783" s="24"/>
    </row>
    <row r="784" spans="1:6">
      <c r="A784">
        <v>1082</v>
      </c>
      <c r="B784">
        <v>1.8183464868343438E-4</v>
      </c>
      <c r="C784">
        <f t="shared" si="44"/>
        <v>1.2203597827219745</v>
      </c>
      <c r="D784">
        <f t="shared" si="46"/>
        <v>1.2308190565399539</v>
      </c>
      <c r="E784" s="24">
        <f t="shared" si="45"/>
        <v>1.2308190565399539</v>
      </c>
      <c r="F784" s="24"/>
    </row>
    <row r="785" spans="1:6">
      <c r="A785">
        <v>1083</v>
      </c>
      <c r="B785">
        <v>1.8338310078252107E-4</v>
      </c>
      <c r="C785">
        <f t="shared" si="44"/>
        <v>1.2307520191899901</v>
      </c>
      <c r="D785">
        <f t="shared" si="46"/>
        <v>1.2317130114559458</v>
      </c>
      <c r="E785" s="24">
        <f t="shared" si="45"/>
        <v>1.2317130114559458</v>
      </c>
      <c r="F785" s="24"/>
    </row>
    <row r="786" spans="1:6">
      <c r="A786">
        <v>1084</v>
      </c>
      <c r="B786">
        <v>1.8418229959934251E-4</v>
      </c>
      <c r="C786">
        <f t="shared" si="44"/>
        <v>1.2361157389293773</v>
      </c>
      <c r="D786">
        <f t="shared" si="46"/>
        <v>1.2306179184725592</v>
      </c>
      <c r="E786" s="24">
        <f t="shared" si="45"/>
        <v>1.2306179184725592</v>
      </c>
      <c r="F786" s="24"/>
    </row>
    <row r="787" spans="1:6">
      <c r="A787">
        <v>1085</v>
      </c>
      <c r="B787">
        <v>1.8245069610566133E-4</v>
      </c>
      <c r="C787">
        <f t="shared" si="44"/>
        <v>1.2244943055083559</v>
      </c>
      <c r="D787">
        <f t="shared" si="46"/>
        <v>1.2286288673209929</v>
      </c>
      <c r="E787" s="24">
        <f t="shared" si="45"/>
        <v>1.2286288673209929</v>
      </c>
      <c r="F787" s="24"/>
    </row>
    <row r="788" spans="1:6">
      <c r="A788">
        <v>1086</v>
      </c>
      <c r="B788">
        <v>1.8133514730288877E-4</v>
      </c>
      <c r="C788">
        <f t="shared" si="44"/>
        <v>1.2170074436565348</v>
      </c>
      <c r="D788">
        <f t="shared" si="46"/>
        <v>1.2257458580012464</v>
      </c>
      <c r="E788" s="24">
        <f t="shared" si="45"/>
        <v>1.2257458580012464</v>
      </c>
      <c r="F788" s="24"/>
    </row>
    <row r="789" spans="1:6">
      <c r="A789">
        <v>1087</v>
      </c>
      <c r="B789">
        <v>1.8278370106418151E-4</v>
      </c>
      <c r="C789">
        <f t="shared" si="44"/>
        <v>1.2267292253202149</v>
      </c>
      <c r="D789">
        <f t="shared" si="46"/>
        <v>1.2270197465208945</v>
      </c>
      <c r="E789" s="24">
        <f t="shared" si="45"/>
        <v>1.2270197465208945</v>
      </c>
      <c r="F789" s="24"/>
    </row>
    <row r="790" spans="1:6">
      <c r="A790">
        <v>1088</v>
      </c>
      <c r="B790">
        <v>1.839658503740793E-4</v>
      </c>
      <c r="C790">
        <f t="shared" si="44"/>
        <v>1.2346630678822195</v>
      </c>
      <c r="D790">
        <f t="shared" si="46"/>
        <v>1.2278019562593405</v>
      </c>
      <c r="E790" s="24">
        <f t="shared" si="45"/>
        <v>1.2278019562593405</v>
      </c>
      <c r="F790" s="24"/>
    </row>
    <row r="791" spans="1:6">
      <c r="A791">
        <v>1089</v>
      </c>
      <c r="B791">
        <v>1.8200114995124751E-4</v>
      </c>
      <c r="C791">
        <f t="shared" si="44"/>
        <v>1.2214772344974341</v>
      </c>
      <c r="D791">
        <f t="shared" si="46"/>
        <v>1.2248742553729517</v>
      </c>
      <c r="E791" s="24">
        <f t="shared" si="45"/>
        <v>1.2248742553729517</v>
      </c>
      <c r="F791" s="24"/>
    </row>
    <row r="792" spans="1:6">
      <c r="A792">
        <v>1090</v>
      </c>
      <c r="B792">
        <v>1.8166814741562122E-4</v>
      </c>
      <c r="C792">
        <f t="shared" si="44"/>
        <v>1.2192423309465148</v>
      </c>
      <c r="D792">
        <f t="shared" si="46"/>
        <v>1.2238238604605836</v>
      </c>
      <c r="E792" s="24">
        <f t="shared" si="45"/>
        <v>1.2238238604605836</v>
      </c>
      <c r="F792" s="24"/>
    </row>
    <row r="793" spans="1:6">
      <c r="A793">
        <v>1091</v>
      </c>
      <c r="B793">
        <v>1.8193455186701611E-4</v>
      </c>
      <c r="C793">
        <f t="shared" si="44"/>
        <v>1.2210302700481896</v>
      </c>
      <c r="D793">
        <f t="shared" si="46"/>
        <v>1.2246284257389146</v>
      </c>
      <c r="E793" s="24">
        <f t="shared" si="45"/>
        <v>1.2246284257389146</v>
      </c>
      <c r="F793" s="24"/>
    </row>
    <row r="794" spans="1:6">
      <c r="A794">
        <v>1092</v>
      </c>
      <c r="B794">
        <v>1.8245070095144911E-4</v>
      </c>
      <c r="C794">
        <f t="shared" si="44"/>
        <v>1.2244943380302353</v>
      </c>
      <c r="D794">
        <f t="shared" si="46"/>
        <v>1.2241814482809186</v>
      </c>
      <c r="E794" s="24">
        <f t="shared" si="45"/>
        <v>1.2241814482809186</v>
      </c>
      <c r="F794" s="24"/>
    </row>
    <row r="795" spans="1:6">
      <c r="A795">
        <v>1093</v>
      </c>
      <c r="B795">
        <v>1.8118530343053864E-4</v>
      </c>
      <c r="C795">
        <f t="shared" si="44"/>
        <v>1.2160017858414405</v>
      </c>
      <c r="D795">
        <f t="shared" si="46"/>
        <v>1.2204491918727629</v>
      </c>
      <c r="E795" s="24">
        <f t="shared" si="45"/>
        <v>1.2204491918727629</v>
      </c>
      <c r="F795" s="24"/>
    </row>
    <row r="796" spans="1:6">
      <c r="A796">
        <v>1094</v>
      </c>
      <c r="B796">
        <v>1.80669147077424E-4</v>
      </c>
      <c r="C796">
        <f t="shared" si="44"/>
        <v>1.2125376690765759</v>
      </c>
      <c r="D796">
        <f t="shared" si="46"/>
        <v>1.2186612787885911</v>
      </c>
      <c r="E796" s="24">
        <f t="shared" si="45"/>
        <v>1.2186612787885911</v>
      </c>
      <c r="F796" s="24"/>
    </row>
    <row r="797" spans="1:6">
      <c r="A797">
        <v>1095</v>
      </c>
      <c r="B797">
        <v>1.7986994583770867E-4</v>
      </c>
      <c r="C797">
        <f t="shared" si="44"/>
        <v>1.207173933076249</v>
      </c>
      <c r="D797">
        <f t="shared" si="46"/>
        <v>1.2162475992145381</v>
      </c>
      <c r="E797" s="24">
        <f t="shared" si="45"/>
        <v>1.2162475992145381</v>
      </c>
      <c r="F797" s="24"/>
    </row>
    <row r="798" spans="1:6">
      <c r="A798">
        <v>1096</v>
      </c>
      <c r="B798">
        <v>1.7967014916212064E-4</v>
      </c>
      <c r="C798">
        <f t="shared" si="44"/>
        <v>1.2058330234675767</v>
      </c>
      <c r="D798">
        <f t="shared" si="46"/>
        <v>1.2132081498984155</v>
      </c>
      <c r="E798" s="24">
        <f t="shared" si="45"/>
        <v>1.2132081498984155</v>
      </c>
      <c r="F798" s="24"/>
    </row>
    <row r="799" spans="1:6">
      <c r="A799">
        <v>1097</v>
      </c>
      <c r="B799">
        <v>1.7862120086647339E-4</v>
      </c>
      <c r="C799">
        <f t="shared" si="44"/>
        <v>1.1987931423259399</v>
      </c>
      <c r="D799">
        <f t="shared" si="46"/>
        <v>1.2080679107575563</v>
      </c>
      <c r="E799" s="24">
        <f t="shared" si="45"/>
        <v>1.2080679107575563</v>
      </c>
      <c r="F799" s="24"/>
    </row>
    <row r="800" spans="1:6">
      <c r="A800">
        <v>1098</v>
      </c>
      <c r="B800">
        <v>1.781882999930531E-4</v>
      </c>
      <c r="C800">
        <f t="shared" si="44"/>
        <v>1.1958877839706845</v>
      </c>
      <c r="D800">
        <f t="shared" si="46"/>
        <v>1.2040451103834051</v>
      </c>
      <c r="E800" s="24">
        <f t="shared" si="45"/>
        <v>1.2040451103834051</v>
      </c>
      <c r="F800" s="24"/>
    </row>
    <row r="801" spans="1:6">
      <c r="A801">
        <v>1099</v>
      </c>
      <c r="B801">
        <v>1.7815499973949044E-4</v>
      </c>
      <c r="C801">
        <f t="shared" si="44"/>
        <v>1.1956642936155923</v>
      </c>
      <c r="D801">
        <f t="shared" si="46"/>
        <v>1.2006704352912085</v>
      </c>
      <c r="E801" s="24">
        <f t="shared" si="45"/>
        <v>1.2006704352912085</v>
      </c>
      <c r="F801" s="24"/>
    </row>
    <row r="802" spans="1:6">
      <c r="A802">
        <v>1100</v>
      </c>
      <c r="B802">
        <v>1.7752230461337603E-4</v>
      </c>
      <c r="C802">
        <f t="shared" si="44"/>
        <v>1.1914180419126044</v>
      </c>
      <c r="D802">
        <f t="shared" si="46"/>
        <v>1.1975192570584796</v>
      </c>
      <c r="E802" s="24">
        <f t="shared" si="45"/>
        <v>1.1975192570584796</v>
      </c>
      <c r="F802" s="24"/>
    </row>
  </sheetData>
  <mergeCells count="1">
    <mergeCell ref="C1:D1"/>
  </mergeCells>
  <pageMargins left="0.7" right="0.7" top="0.75" bottom="0.75" header="0.3" footer="0.3"/>
  <ignoredErrors>
    <ignoredError sqref="C2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Summary</vt:lpstr>
      <vt:lpstr>Calculations</vt:lpstr>
      <vt:lpstr>IRcal</vt:lpstr>
      <vt:lpstr>data0</vt:lpstr>
      <vt:lpstr>data1</vt:lpstr>
      <vt:lpstr>vl1924e</vt:lpstr>
      <vt:lpstr>Cal</vt:lpstr>
      <vt:lpstr>Cal!Criteria</vt:lpstr>
      <vt:lpstr>Summary!Print_Area</vt:lpstr>
      <vt:lpstr>v_0</vt:lpstr>
      <vt:lpstr>v_1</vt:lpstr>
      <vt:lpstr>v_2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2012-07-10T00:57:15Z</dcterms:modified>
</cp:coreProperties>
</file>