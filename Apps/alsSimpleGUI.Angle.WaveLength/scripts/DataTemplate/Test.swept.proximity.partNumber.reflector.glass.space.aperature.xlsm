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emf" ContentType="image/x-emf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9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Default Extension="pptx" ContentType="application/vnd.openxmlformats-officedocument.presentationml.presentation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30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7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-15" yWindow="5055" windowWidth="19080" windowHeight="5115"/>
  </bookViews>
  <sheets>
    <sheet name="Summary" sheetId="9" r:id="rId1"/>
    <sheet name="Calculations" sheetId="8" r:id="rId2"/>
    <sheet name="data0" sheetId="10" r:id="rId3"/>
    <sheet name="data1" sheetId="11" r:id="rId4"/>
    <sheet name="data2" sheetId="12" r:id="rId5"/>
    <sheet name="data3" sheetId="13" r:id="rId6"/>
  </sheets>
  <functionGroups/>
  <definedNames>
    <definedName name="dataScale">Calculations!#REF!</definedName>
    <definedName name="params">Summary!$I$31</definedName>
    <definedName name="partNumber">Summary!$L$2</definedName>
    <definedName name="_xlnm.Print_Area" localSheetId="0">Summary!$A$16:$H$74</definedName>
    <definedName name="PswpStart">Summary!$Q$4</definedName>
    <definedName name="PswpStep">Summary!$Q$6</definedName>
    <definedName name="PswpStop">Summary!$Q$5</definedName>
    <definedName name="relativePrx">Calculations!$B$5</definedName>
  </definedNames>
  <calcPr calcId="125725"/>
</workbook>
</file>

<file path=xl/calcChain.xml><?xml version="1.0" encoding="utf-8"?>
<calcChain xmlns="http://schemas.openxmlformats.org/spreadsheetml/2006/main">
  <c r="L11" i="9"/>
  <c r="O124" i="8"/>
  <c r="N124"/>
  <c r="M124"/>
  <c r="L124"/>
  <c r="K124"/>
  <c r="J124"/>
  <c r="I124"/>
  <c r="G124"/>
  <c r="E124"/>
  <c r="O123"/>
  <c r="N123"/>
  <c r="M123"/>
  <c r="L123"/>
  <c r="K123"/>
  <c r="J123"/>
  <c r="I123"/>
  <c r="G123"/>
  <c r="E123"/>
  <c r="O122"/>
  <c r="N122"/>
  <c r="M122"/>
  <c r="L122"/>
  <c r="K122"/>
  <c r="J122"/>
  <c r="I122"/>
  <c r="G122"/>
  <c r="E122"/>
  <c r="O121"/>
  <c r="N121"/>
  <c r="M121"/>
  <c r="L121"/>
  <c r="K121"/>
  <c r="J121"/>
  <c r="I121"/>
  <c r="G121"/>
  <c r="E121"/>
  <c r="O120"/>
  <c r="N120"/>
  <c r="M120"/>
  <c r="L120"/>
  <c r="K120"/>
  <c r="J120"/>
  <c r="I120"/>
  <c r="G120"/>
  <c r="E120"/>
  <c r="O119"/>
  <c r="N119"/>
  <c r="M119"/>
  <c r="L119"/>
  <c r="K119"/>
  <c r="J119"/>
  <c r="I119"/>
  <c r="G119"/>
  <c r="E119"/>
  <c r="O118"/>
  <c r="N118"/>
  <c r="M118"/>
  <c r="L118"/>
  <c r="K118"/>
  <c r="J118"/>
  <c r="I118"/>
  <c r="G118"/>
  <c r="E118"/>
  <c r="O117"/>
  <c r="N117"/>
  <c r="M117"/>
  <c r="L117"/>
  <c r="K117"/>
  <c r="J117"/>
  <c r="I117"/>
  <c r="G117"/>
  <c r="E117"/>
  <c r="O116"/>
  <c r="N116"/>
  <c r="M116"/>
  <c r="L116"/>
  <c r="K116"/>
  <c r="J116"/>
  <c r="I116"/>
  <c r="G116"/>
  <c r="E116"/>
  <c r="O115"/>
  <c r="N115"/>
  <c r="M115"/>
  <c r="L115"/>
  <c r="K115"/>
  <c r="J115"/>
  <c r="I115"/>
  <c r="G115"/>
  <c r="E115"/>
  <c r="O114"/>
  <c r="N114"/>
  <c r="M114"/>
  <c r="L114"/>
  <c r="K114"/>
  <c r="J114"/>
  <c r="I114"/>
  <c r="G114"/>
  <c r="E114"/>
  <c r="O113"/>
  <c r="N113"/>
  <c r="M113"/>
  <c r="L113"/>
  <c r="K113"/>
  <c r="J113"/>
  <c r="I113"/>
  <c r="G113"/>
  <c r="E113"/>
  <c r="O112"/>
  <c r="N112"/>
  <c r="M112"/>
  <c r="L112"/>
  <c r="K112"/>
  <c r="J112"/>
  <c r="I112"/>
  <c r="G112"/>
  <c r="E112"/>
  <c r="O111"/>
  <c r="N111"/>
  <c r="M111"/>
  <c r="L111"/>
  <c r="K111"/>
  <c r="J111"/>
  <c r="I111"/>
  <c r="G111"/>
  <c r="E111"/>
  <c r="O110"/>
  <c r="N110"/>
  <c r="M110"/>
  <c r="L110"/>
  <c r="K110"/>
  <c r="J110"/>
  <c r="I110"/>
  <c r="G110"/>
  <c r="E110"/>
  <c r="O109"/>
  <c r="N109"/>
  <c r="M109"/>
  <c r="L109"/>
  <c r="K109"/>
  <c r="J109"/>
  <c r="I109"/>
  <c r="G109"/>
  <c r="E109"/>
  <c r="O108"/>
  <c r="N108"/>
  <c r="M108"/>
  <c r="L108"/>
  <c r="K108"/>
  <c r="J108"/>
  <c r="I108"/>
  <c r="G108"/>
  <c r="E108"/>
  <c r="O107"/>
  <c r="N107"/>
  <c r="M107"/>
  <c r="L107"/>
  <c r="K107"/>
  <c r="J107"/>
  <c r="I107"/>
  <c r="G107"/>
  <c r="E107"/>
  <c r="O106"/>
  <c r="N106"/>
  <c r="M106"/>
  <c r="L106"/>
  <c r="K106"/>
  <c r="J106"/>
  <c r="I106"/>
  <c r="G106"/>
  <c r="E106"/>
  <c r="O105"/>
  <c r="N105"/>
  <c r="M105"/>
  <c r="L105"/>
  <c r="K105"/>
  <c r="J105"/>
  <c r="I105"/>
  <c r="G105"/>
  <c r="E105"/>
  <c r="O104"/>
  <c r="N104"/>
  <c r="M104"/>
  <c r="L104"/>
  <c r="K104"/>
  <c r="J104"/>
  <c r="I104"/>
  <c r="G104"/>
  <c r="E104"/>
  <c r="O103"/>
  <c r="N103"/>
  <c r="M103"/>
  <c r="L103"/>
  <c r="K103"/>
  <c r="J103"/>
  <c r="I103"/>
  <c r="G103"/>
  <c r="E103"/>
  <c r="O102"/>
  <c r="N102"/>
  <c r="M102"/>
  <c r="L102"/>
  <c r="K102"/>
  <c r="J102"/>
  <c r="I102"/>
  <c r="G102"/>
  <c r="E102"/>
  <c r="O101"/>
  <c r="N101"/>
  <c r="M101"/>
  <c r="L101"/>
  <c r="K101"/>
  <c r="J101"/>
  <c r="I101"/>
  <c r="G101"/>
  <c r="E101"/>
  <c r="O100"/>
  <c r="N100"/>
  <c r="M100"/>
  <c r="L100"/>
  <c r="K100"/>
  <c r="J100"/>
  <c r="I100"/>
  <c r="G100"/>
  <c r="E100"/>
  <c r="O99"/>
  <c r="N99"/>
  <c r="M99"/>
  <c r="L99"/>
  <c r="K99"/>
  <c r="J99"/>
  <c r="I99"/>
  <c r="G99"/>
  <c r="E99"/>
  <c r="O98"/>
  <c r="N98"/>
  <c r="M98"/>
  <c r="L98"/>
  <c r="K98"/>
  <c r="J98"/>
  <c r="I98"/>
  <c r="G98"/>
  <c r="E98"/>
  <c r="O97"/>
  <c r="N97"/>
  <c r="M97"/>
  <c r="L97"/>
  <c r="K97"/>
  <c r="J97"/>
  <c r="I97"/>
  <c r="G97"/>
  <c r="E97"/>
  <c r="O96"/>
  <c r="N96"/>
  <c r="M96"/>
  <c r="L96"/>
  <c r="K96"/>
  <c r="J96"/>
  <c r="I96"/>
  <c r="G96"/>
  <c r="E96"/>
  <c r="O95"/>
  <c r="N95"/>
  <c r="M95"/>
  <c r="L95"/>
  <c r="K95"/>
  <c r="J95"/>
  <c r="I95"/>
  <c r="G95"/>
  <c r="E95"/>
  <c r="O94"/>
  <c r="N94"/>
  <c r="M94"/>
  <c r="L94"/>
  <c r="K94"/>
  <c r="J94"/>
  <c r="I94"/>
  <c r="G94"/>
  <c r="E94"/>
  <c r="O93"/>
  <c r="N93"/>
  <c r="M93"/>
  <c r="L93"/>
  <c r="K93"/>
  <c r="J93"/>
  <c r="I93"/>
  <c r="G93"/>
  <c r="E93"/>
  <c r="O92"/>
  <c r="N92"/>
  <c r="M92"/>
  <c r="L92"/>
  <c r="K92"/>
  <c r="J92"/>
  <c r="I92"/>
  <c r="G92"/>
  <c r="E92"/>
  <c r="O91"/>
  <c r="N91"/>
  <c r="M91"/>
  <c r="L91"/>
  <c r="K91"/>
  <c r="J91"/>
  <c r="I91"/>
  <c r="G91"/>
  <c r="E91"/>
  <c r="O90"/>
  <c r="N90"/>
  <c r="M90"/>
  <c r="L90"/>
  <c r="K90"/>
  <c r="J90"/>
  <c r="I90"/>
  <c r="G90"/>
  <c r="E90"/>
  <c r="O89"/>
  <c r="N89"/>
  <c r="M89"/>
  <c r="L89"/>
  <c r="K89"/>
  <c r="J89"/>
  <c r="I89"/>
  <c r="G89"/>
  <c r="E89"/>
  <c r="O88"/>
  <c r="N88"/>
  <c r="M88"/>
  <c r="L88"/>
  <c r="K88"/>
  <c r="J88"/>
  <c r="I88"/>
  <c r="G88"/>
  <c r="E88"/>
  <c r="O87"/>
  <c r="N87"/>
  <c r="M87"/>
  <c r="L87"/>
  <c r="K87"/>
  <c r="J87"/>
  <c r="I87"/>
  <c r="G87"/>
  <c r="E87"/>
  <c r="O86"/>
  <c r="N86"/>
  <c r="M86"/>
  <c r="L86"/>
  <c r="K86"/>
  <c r="J86"/>
  <c r="I86"/>
  <c r="G86"/>
  <c r="E86"/>
  <c r="O85"/>
  <c r="N85"/>
  <c r="M85"/>
  <c r="L85"/>
  <c r="K85"/>
  <c r="J85"/>
  <c r="I85"/>
  <c r="G85"/>
  <c r="E85"/>
  <c r="O84"/>
  <c r="N84"/>
  <c r="M84"/>
  <c r="L84"/>
  <c r="K84"/>
  <c r="J84"/>
  <c r="I84"/>
  <c r="G84"/>
  <c r="E84"/>
  <c r="O83"/>
  <c r="N83"/>
  <c r="M83"/>
  <c r="L83"/>
  <c r="K83"/>
  <c r="J83"/>
  <c r="I83"/>
  <c r="G83"/>
  <c r="E83"/>
  <c r="O82"/>
  <c r="N82"/>
  <c r="M82"/>
  <c r="L82"/>
  <c r="K82"/>
  <c r="J82"/>
  <c r="I82"/>
  <c r="G82"/>
  <c r="E82"/>
  <c r="O81"/>
  <c r="N81"/>
  <c r="M81"/>
  <c r="L81"/>
  <c r="K81"/>
  <c r="J81"/>
  <c r="I81"/>
  <c r="G81"/>
  <c r="E81"/>
  <c r="O80"/>
  <c r="N80"/>
  <c r="M80"/>
  <c r="L80"/>
  <c r="K80"/>
  <c r="J80"/>
  <c r="I80"/>
  <c r="G80"/>
  <c r="E80"/>
  <c r="O79"/>
  <c r="N79"/>
  <c r="M79"/>
  <c r="L79"/>
  <c r="K79"/>
  <c r="J79"/>
  <c r="I79"/>
  <c r="G79"/>
  <c r="E79"/>
  <c r="O78"/>
  <c r="N78"/>
  <c r="M78"/>
  <c r="L78"/>
  <c r="K78"/>
  <c r="J78"/>
  <c r="I78"/>
  <c r="G78"/>
  <c r="E78"/>
  <c r="O77"/>
  <c r="N77"/>
  <c r="M77"/>
  <c r="L77"/>
  <c r="K77"/>
  <c r="J77"/>
  <c r="I77"/>
  <c r="G77"/>
  <c r="E77"/>
  <c r="O76"/>
  <c r="N76"/>
  <c r="M76"/>
  <c r="L76"/>
  <c r="K76"/>
  <c r="J76"/>
  <c r="I76"/>
  <c r="G76"/>
  <c r="E76"/>
  <c r="O75"/>
  <c r="N75"/>
  <c r="M75"/>
  <c r="L75"/>
  <c r="K75"/>
  <c r="J75"/>
  <c r="I75"/>
  <c r="G75"/>
  <c r="E75"/>
  <c r="O74"/>
  <c r="N74"/>
  <c r="M74"/>
  <c r="L74"/>
  <c r="K74"/>
  <c r="J74"/>
  <c r="I74"/>
  <c r="G74"/>
  <c r="E74"/>
  <c r="O73"/>
  <c r="N73"/>
  <c r="M73"/>
  <c r="L73"/>
  <c r="K73"/>
  <c r="J73"/>
  <c r="I73"/>
  <c r="G73"/>
  <c r="E73"/>
  <c r="O72"/>
  <c r="N72"/>
  <c r="M72"/>
  <c r="L72"/>
  <c r="K72"/>
  <c r="J72"/>
  <c r="I72"/>
  <c r="G72"/>
  <c r="E72"/>
  <c r="O71"/>
  <c r="N71"/>
  <c r="M71"/>
  <c r="L71"/>
  <c r="K71"/>
  <c r="J71"/>
  <c r="I71"/>
  <c r="G71"/>
  <c r="E71"/>
  <c r="O70"/>
  <c r="N70"/>
  <c r="M70"/>
  <c r="L70"/>
  <c r="K70"/>
  <c r="J70"/>
  <c r="I70"/>
  <c r="G70"/>
  <c r="E70"/>
  <c r="O69"/>
  <c r="N69"/>
  <c r="M69"/>
  <c r="L69"/>
  <c r="K69"/>
  <c r="J69"/>
  <c r="I69"/>
  <c r="G69"/>
  <c r="E69"/>
  <c r="O68"/>
  <c r="N68"/>
  <c r="M68"/>
  <c r="L68"/>
  <c r="K68"/>
  <c r="J68"/>
  <c r="I68"/>
  <c r="G68"/>
  <c r="E68"/>
  <c r="O67"/>
  <c r="N67"/>
  <c r="M67"/>
  <c r="L67"/>
  <c r="K67"/>
  <c r="J67"/>
  <c r="I67"/>
  <c r="G67"/>
  <c r="E67"/>
  <c r="O66"/>
  <c r="N66"/>
  <c r="M66"/>
  <c r="L66"/>
  <c r="K66"/>
  <c r="J66"/>
  <c r="I66"/>
  <c r="G66"/>
  <c r="E66"/>
  <c r="O65"/>
  <c r="N65"/>
  <c r="M65"/>
  <c r="L65"/>
  <c r="K65"/>
  <c r="J65"/>
  <c r="I65"/>
  <c r="G65"/>
  <c r="E65"/>
  <c r="O64"/>
  <c r="N64"/>
  <c r="M64"/>
  <c r="L64"/>
  <c r="K64"/>
  <c r="J64"/>
  <c r="I64"/>
  <c r="G64"/>
  <c r="E64"/>
  <c r="O63"/>
  <c r="N63"/>
  <c r="M63"/>
  <c r="L63"/>
  <c r="K63"/>
  <c r="J63"/>
  <c r="I63"/>
  <c r="G63"/>
  <c r="E63"/>
  <c r="O62"/>
  <c r="N62"/>
  <c r="M62"/>
  <c r="L62"/>
  <c r="K62"/>
  <c r="J62"/>
  <c r="I62"/>
  <c r="G62"/>
  <c r="E62"/>
  <c r="O61"/>
  <c r="N61"/>
  <c r="M61"/>
  <c r="L61"/>
  <c r="K61"/>
  <c r="J61"/>
  <c r="I61"/>
  <c r="G61"/>
  <c r="E61"/>
  <c r="O60"/>
  <c r="N60"/>
  <c r="M60"/>
  <c r="L60"/>
  <c r="K60"/>
  <c r="J60"/>
  <c r="I60"/>
  <c r="G60"/>
  <c r="E60"/>
  <c r="O59"/>
  <c r="N59"/>
  <c r="M59"/>
  <c r="L59"/>
  <c r="K59"/>
  <c r="J59"/>
  <c r="I59"/>
  <c r="G59"/>
  <c r="E59"/>
  <c r="O58"/>
  <c r="N58"/>
  <c r="M58"/>
  <c r="L58"/>
  <c r="K58"/>
  <c r="J58"/>
  <c r="I58"/>
  <c r="G58"/>
  <c r="E58"/>
  <c r="O57"/>
  <c r="N57"/>
  <c r="M57"/>
  <c r="L57"/>
  <c r="K57"/>
  <c r="J57"/>
  <c r="I57"/>
  <c r="G57"/>
  <c r="E57"/>
  <c r="O56"/>
  <c r="N56"/>
  <c r="M56"/>
  <c r="L56"/>
  <c r="K56"/>
  <c r="J56"/>
  <c r="I56"/>
  <c r="G56"/>
  <c r="E56"/>
  <c r="O55"/>
  <c r="N55"/>
  <c r="M55"/>
  <c r="L55"/>
  <c r="K55"/>
  <c r="J55"/>
  <c r="I55"/>
  <c r="G55"/>
  <c r="E55"/>
  <c r="O54"/>
  <c r="N54"/>
  <c r="M54"/>
  <c r="L54"/>
  <c r="K54"/>
  <c r="J54"/>
  <c r="I54"/>
  <c r="G54"/>
  <c r="E54"/>
  <c r="O53"/>
  <c r="N53"/>
  <c r="M53"/>
  <c r="L53"/>
  <c r="K53"/>
  <c r="J53"/>
  <c r="I53"/>
  <c r="G53"/>
  <c r="E53"/>
  <c r="O52"/>
  <c r="N52"/>
  <c r="M52"/>
  <c r="L52"/>
  <c r="K52"/>
  <c r="J52"/>
  <c r="I52"/>
  <c r="G52"/>
  <c r="E52"/>
  <c r="O51"/>
  <c r="N51"/>
  <c r="M51"/>
  <c r="L51"/>
  <c r="K51"/>
  <c r="J51"/>
  <c r="I51"/>
  <c r="G51"/>
  <c r="E51"/>
  <c r="O50"/>
  <c r="N50"/>
  <c r="M50"/>
  <c r="L50"/>
  <c r="K50"/>
  <c r="J50"/>
  <c r="I50"/>
  <c r="G50"/>
  <c r="E50"/>
  <c r="O49"/>
  <c r="N49"/>
  <c r="M49"/>
  <c r="L49"/>
  <c r="K49"/>
  <c r="J49"/>
  <c r="I49"/>
  <c r="G49"/>
  <c r="E49"/>
  <c r="O48"/>
  <c r="N48"/>
  <c r="M48"/>
  <c r="L48"/>
  <c r="K48"/>
  <c r="J48"/>
  <c r="I48"/>
  <c r="G48"/>
  <c r="E48"/>
  <c r="O47"/>
  <c r="N47"/>
  <c r="M47"/>
  <c r="L47"/>
  <c r="K47"/>
  <c r="J47"/>
  <c r="I47"/>
  <c r="G47"/>
  <c r="E47"/>
  <c r="O46"/>
  <c r="N46"/>
  <c r="M46"/>
  <c r="L46"/>
  <c r="K46"/>
  <c r="J46"/>
  <c r="I46"/>
  <c r="G46"/>
  <c r="E46"/>
  <c r="O45"/>
  <c r="N45"/>
  <c r="M45"/>
  <c r="L45"/>
  <c r="K45"/>
  <c r="J45"/>
  <c r="I45"/>
  <c r="G45"/>
  <c r="E45"/>
  <c r="O44"/>
  <c r="N44"/>
  <c r="M44"/>
  <c r="L44"/>
  <c r="K44"/>
  <c r="J44"/>
  <c r="I44"/>
  <c r="G44"/>
  <c r="E44"/>
  <c r="N42"/>
  <c r="L42"/>
  <c r="J42"/>
  <c r="D42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BC2"/>
  <c r="BB2"/>
  <c r="BA2"/>
  <c r="AZ2"/>
  <c r="AY2"/>
  <c r="AX2"/>
  <c r="AW2"/>
  <c r="AV2"/>
  <c r="AU2"/>
  <c r="AT2"/>
  <c r="AS2"/>
  <c r="AR2"/>
  <c r="AQ2"/>
  <c r="AP2"/>
  <c r="AO2"/>
  <c r="AN2"/>
  <c r="AM2"/>
  <c r="AL2"/>
  <c r="AK2"/>
  <c r="AJ2"/>
  <c r="AI2"/>
  <c r="AH2"/>
  <c r="AG2"/>
  <c r="AF2"/>
  <c r="AE2"/>
  <c r="AD2"/>
  <c r="AC2"/>
  <c r="AB2"/>
  <c r="AA2"/>
  <c r="Z2"/>
  <c r="Y2"/>
  <c r="X2"/>
  <c r="B2"/>
  <c r="B67" i="9"/>
  <c r="B68" s="1"/>
  <c r="AI89" i="8" s="1"/>
  <c r="B85" i="9"/>
  <c r="I65"/>
  <c r="AI72" i="8" s="1"/>
  <c r="I64" i="9"/>
  <c r="B65"/>
  <c r="Z72" i="8" s="1"/>
  <c r="B64" i="9"/>
  <c r="B34"/>
  <c r="Z42" i="8" s="1"/>
  <c r="I34" i="9"/>
  <c r="AI42" i="8" s="1"/>
  <c r="I33" i="9"/>
  <c r="I31"/>
  <c r="A1"/>
  <c r="B86"/>
  <c r="Z89" i="8" s="1"/>
  <c r="V43"/>
  <c r="U43"/>
  <c r="T43"/>
  <c r="Q5" i="9"/>
  <c r="Q6" s="1"/>
  <c r="B4" i="8" s="1"/>
  <c r="O6" i="9"/>
  <c r="O5"/>
  <c r="G27"/>
  <c r="G31" s="1"/>
  <c r="A28"/>
  <c r="A29" s="1"/>
  <c r="A30" s="1"/>
  <c r="G23"/>
  <c r="A24"/>
  <c r="A25" s="1"/>
  <c r="A26" s="1"/>
  <c r="G5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4"/>
  <c r="B3"/>
  <c r="A5"/>
  <c r="A6" s="1"/>
  <c r="A4"/>
  <c r="B3" i="8"/>
  <c r="F23"/>
  <c r="G19"/>
  <c r="G20" s="1"/>
  <c r="G21" s="1"/>
  <c r="F19"/>
  <c r="F20" s="1"/>
  <c r="F21" s="1"/>
  <c r="K17"/>
  <c r="M17" s="1"/>
  <c r="O17" s="1"/>
  <c r="Q17" s="1"/>
  <c r="J17"/>
  <c r="L17" s="1"/>
  <c r="N17" s="1"/>
  <c r="P17" s="1"/>
  <c r="AS5" i="10" l="1"/>
  <c r="AS4"/>
  <c r="AP4"/>
  <c r="G10" i="8"/>
  <c r="F10"/>
  <c r="AG89" i="13"/>
  <c r="AG90" s="1"/>
  <c r="AF89"/>
  <c r="AF90" s="1"/>
  <c r="AE89"/>
  <c r="AE90" s="1"/>
  <c r="AD89"/>
  <c r="AD90" s="1"/>
  <c r="AC89"/>
  <c r="AC90" s="1"/>
  <c r="AB89"/>
  <c r="AB90" s="1"/>
  <c r="AA89"/>
  <c r="AA90" s="1"/>
  <c r="Z89"/>
  <c r="Z90" s="1"/>
  <c r="Y89"/>
  <c r="Y90" s="1"/>
  <c r="X89"/>
  <c r="X90" s="1"/>
  <c r="W89"/>
  <c r="W90" s="1"/>
  <c r="V89"/>
  <c r="V90" s="1"/>
  <c r="U89"/>
  <c r="U90" s="1"/>
  <c r="T89"/>
  <c r="T90" s="1"/>
  <c r="S89"/>
  <c r="S90" s="1"/>
  <c r="R89"/>
  <c r="R90" s="1"/>
  <c r="Q89"/>
  <c r="Q90" s="1"/>
  <c r="P89"/>
  <c r="P90" s="1"/>
  <c r="O89"/>
  <c r="O90" s="1"/>
  <c r="N89"/>
  <c r="N90" s="1"/>
  <c r="M89"/>
  <c r="M90" s="1"/>
  <c r="L89"/>
  <c r="L90" s="1"/>
  <c r="K89"/>
  <c r="K90" s="1"/>
  <c r="J89"/>
  <c r="J90" s="1"/>
  <c r="I89"/>
  <c r="I90" s="1"/>
  <c r="H89"/>
  <c r="H90" s="1"/>
  <c r="G89"/>
  <c r="G90" s="1"/>
  <c r="F89"/>
  <c r="F90" s="1"/>
  <c r="E89"/>
  <c r="E90" s="1"/>
  <c r="D89"/>
  <c r="D90" s="1"/>
  <c r="C89"/>
  <c r="C90" s="1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AG89" i="12"/>
  <c r="AG90" s="1"/>
  <c r="AF89"/>
  <c r="AF90" s="1"/>
  <c r="AE89"/>
  <c r="AE90" s="1"/>
  <c r="AD89"/>
  <c r="AD90" s="1"/>
  <c r="AC89"/>
  <c r="AC90" s="1"/>
  <c r="AB89"/>
  <c r="AB90" s="1"/>
  <c r="AA89"/>
  <c r="AA90" s="1"/>
  <c r="Z89"/>
  <c r="Z90" s="1"/>
  <c r="Y89"/>
  <c r="Y90" s="1"/>
  <c r="X89"/>
  <c r="X90" s="1"/>
  <c r="W89"/>
  <c r="W90" s="1"/>
  <c r="V89"/>
  <c r="V90" s="1"/>
  <c r="U89"/>
  <c r="U90" s="1"/>
  <c r="T89"/>
  <c r="T90" s="1"/>
  <c r="S89"/>
  <c r="S90" s="1"/>
  <c r="R89"/>
  <c r="R90" s="1"/>
  <c r="Q89"/>
  <c r="Q90" s="1"/>
  <c r="P89"/>
  <c r="P90" s="1"/>
  <c r="O89"/>
  <c r="O90" s="1"/>
  <c r="N89"/>
  <c r="N90" s="1"/>
  <c r="M89"/>
  <c r="M90" s="1"/>
  <c r="L89"/>
  <c r="L90" s="1"/>
  <c r="K89"/>
  <c r="K90" s="1"/>
  <c r="J89"/>
  <c r="J90" s="1"/>
  <c r="I89"/>
  <c r="I90" s="1"/>
  <c r="H89"/>
  <c r="H90" s="1"/>
  <c r="G89"/>
  <c r="G90" s="1"/>
  <c r="F89"/>
  <c r="F90" s="1"/>
  <c r="E89"/>
  <c r="E90" s="1"/>
  <c r="D89"/>
  <c r="D90" s="1"/>
  <c r="C89"/>
  <c r="C90" s="1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AG89" i="11"/>
  <c r="AG90" s="1"/>
  <c r="AF89"/>
  <c r="AF90" s="1"/>
  <c r="AE89"/>
  <c r="AE90" s="1"/>
  <c r="AD89"/>
  <c r="AD90" s="1"/>
  <c r="AC89"/>
  <c r="AC90" s="1"/>
  <c r="AB89"/>
  <c r="AB90" s="1"/>
  <c r="AA89"/>
  <c r="AA90" s="1"/>
  <c r="Z89"/>
  <c r="Z90" s="1"/>
  <c r="Y89"/>
  <c r="Y90" s="1"/>
  <c r="X89"/>
  <c r="X90" s="1"/>
  <c r="W89"/>
  <c r="W90" s="1"/>
  <c r="V89"/>
  <c r="V90" s="1"/>
  <c r="U89"/>
  <c r="U90" s="1"/>
  <c r="T89"/>
  <c r="T90" s="1"/>
  <c r="S89"/>
  <c r="S90" s="1"/>
  <c r="R89"/>
  <c r="R90" s="1"/>
  <c r="Q89"/>
  <c r="Q90" s="1"/>
  <c r="P89"/>
  <c r="P90" s="1"/>
  <c r="O89"/>
  <c r="O90" s="1"/>
  <c r="N89"/>
  <c r="N90" s="1"/>
  <c r="M89"/>
  <c r="M90" s="1"/>
  <c r="L89"/>
  <c r="L90" s="1"/>
  <c r="K89"/>
  <c r="K90" s="1"/>
  <c r="J89"/>
  <c r="J90" s="1"/>
  <c r="I89"/>
  <c r="I90" s="1"/>
  <c r="H89"/>
  <c r="H90" s="1"/>
  <c r="G89"/>
  <c r="G90" s="1"/>
  <c r="F89"/>
  <c r="F90" s="1"/>
  <c r="E89"/>
  <c r="E90" s="1"/>
  <c r="D89"/>
  <c r="D90" s="1"/>
  <c r="C89"/>
  <c r="C90" s="1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AG89" i="10"/>
  <c r="AG90" s="1"/>
  <c r="AF89"/>
  <c r="AF90" s="1"/>
  <c r="AE89"/>
  <c r="AE90" s="1"/>
  <c r="AD89"/>
  <c r="AD90" s="1"/>
  <c r="AC89"/>
  <c r="AC90" s="1"/>
  <c r="AB89"/>
  <c r="AB90" s="1"/>
  <c r="AA89"/>
  <c r="AA90" s="1"/>
  <c r="Z89"/>
  <c r="Z90" s="1"/>
  <c r="Y89"/>
  <c r="Y90" s="1"/>
  <c r="X89"/>
  <c r="X90" s="1"/>
  <c r="W89"/>
  <c r="W90" s="1"/>
  <c r="V89"/>
  <c r="V90" s="1"/>
  <c r="U89"/>
  <c r="U90" s="1"/>
  <c r="T89"/>
  <c r="T90" s="1"/>
  <c r="S89"/>
  <c r="S90" s="1"/>
  <c r="R89"/>
  <c r="R90" s="1"/>
  <c r="Q89"/>
  <c r="Q90" s="1"/>
  <c r="P89"/>
  <c r="P90" s="1"/>
  <c r="O89"/>
  <c r="O90" s="1"/>
  <c r="N89"/>
  <c r="N90" s="1"/>
  <c r="M89"/>
  <c r="M90" s="1"/>
  <c r="L89"/>
  <c r="L90" s="1"/>
  <c r="K89"/>
  <c r="K90" s="1"/>
  <c r="J89"/>
  <c r="J90" s="1"/>
  <c r="I89"/>
  <c r="I90" s="1"/>
  <c r="H89"/>
  <c r="H90" s="1"/>
  <c r="G89"/>
  <c r="G90" s="1"/>
  <c r="F89"/>
  <c r="F90" s="1"/>
  <c r="E89"/>
  <c r="E90" s="1"/>
  <c r="D89"/>
  <c r="D90" s="1"/>
  <c r="C89"/>
  <c r="C90" s="1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9" i="13"/>
  <c r="B90" s="1"/>
  <c r="B88"/>
  <c r="B89" i="12"/>
  <c r="B90" s="1"/>
  <c r="B88"/>
  <c r="B89" i="11"/>
  <c r="B90" s="1"/>
  <c r="B88"/>
  <c r="B89" i="10"/>
  <c r="B90" s="1"/>
  <c r="B88"/>
  <c r="G21" i="9"/>
  <c r="G20"/>
  <c r="G24" s="1"/>
  <c r="G28" s="1"/>
  <c r="AA9" i="8" l="1"/>
  <c r="AA13" s="1"/>
  <c r="AE9"/>
  <c r="AE13" s="1"/>
  <c r="AI9"/>
  <c r="AI13" s="1"/>
  <c r="AM9"/>
  <c r="AM13" s="1"/>
  <c r="AQ9"/>
  <c r="AQ13" s="1"/>
  <c r="AU9"/>
  <c r="AU13" s="1"/>
  <c r="AY9"/>
  <c r="AY13" s="1"/>
  <c r="BC9"/>
  <c r="BC13" s="1"/>
  <c r="Z9"/>
  <c r="Z12" s="1"/>
  <c r="AD9"/>
  <c r="AD12" s="1"/>
  <c r="AH9"/>
  <c r="AH12" s="1"/>
  <c r="AL9"/>
  <c r="AL12" s="1"/>
  <c r="AP9"/>
  <c r="AP12" s="1"/>
  <c r="AT9"/>
  <c r="AT12" s="1"/>
  <c r="AX9"/>
  <c r="AX12" s="1"/>
  <c r="BB9"/>
  <c r="BB12" s="1"/>
  <c r="Y9"/>
  <c r="Y13" s="1"/>
  <c r="AC9"/>
  <c r="AC13" s="1"/>
  <c r="AG9"/>
  <c r="AG13" s="1"/>
  <c r="AK9"/>
  <c r="AK13" s="1"/>
  <c r="AO9"/>
  <c r="AO13" s="1"/>
  <c r="AS9"/>
  <c r="AS13" s="1"/>
  <c r="AW9"/>
  <c r="AW13" s="1"/>
  <c r="BA9"/>
  <c r="BA13" s="1"/>
  <c r="X9"/>
  <c r="AB9"/>
  <c r="AB12" s="1"/>
  <c r="AF9"/>
  <c r="AF13" s="1"/>
  <c r="AJ9"/>
  <c r="AJ12" s="1"/>
  <c r="AN9"/>
  <c r="AR9"/>
  <c r="AR12" s="1"/>
  <c r="AV9"/>
  <c r="AZ9"/>
  <c r="AZ12" s="1"/>
  <c r="G22" i="9"/>
  <c r="G26" s="1"/>
  <c r="G30" s="1"/>
  <c r="G25"/>
  <c r="G29" s="1"/>
  <c r="M9" i="8"/>
  <c r="X10"/>
  <c r="X12"/>
  <c r="Y10"/>
  <c r="AA10"/>
  <c r="AC10"/>
  <c r="AK10"/>
  <c r="AO10"/>
  <c r="AQ10"/>
  <c r="AU10"/>
  <c r="Z11"/>
  <c r="AD11"/>
  <c r="AF11"/>
  <c r="AL11"/>
  <c r="AN11"/>
  <c r="AP11"/>
  <c r="AT11"/>
  <c r="Y12"/>
  <c r="AA12"/>
  <c r="AE12"/>
  <c r="AG12"/>
  <c r="AM12"/>
  <c r="AO12"/>
  <c r="AQ12"/>
  <c r="AU12"/>
  <c r="Z13"/>
  <c r="AB13"/>
  <c r="AH13"/>
  <c r="AN13"/>
  <c r="AP13"/>
  <c r="AT13"/>
  <c r="AV13"/>
  <c r="J9"/>
  <c r="N9"/>
  <c r="X11"/>
  <c r="X13"/>
  <c r="Z10"/>
  <c r="AB10"/>
  <c r="AL10"/>
  <c r="AN10"/>
  <c r="AP10"/>
  <c r="AT10"/>
  <c r="AV10"/>
  <c r="Y11"/>
  <c r="AA11"/>
  <c r="AC11"/>
  <c r="AM11"/>
  <c r="AO11"/>
  <c r="AQ11"/>
  <c r="AU11"/>
  <c r="AW11"/>
  <c r="AN12"/>
  <c r="K43"/>
  <c r="M43" s="1"/>
  <c r="O43" s="1"/>
  <c r="J43"/>
  <c r="L43" s="1"/>
  <c r="N43" s="1"/>
  <c r="AJ82" i="10"/>
  <c r="AH82"/>
  <c r="AJ81"/>
  <c r="AH81"/>
  <c r="AJ80"/>
  <c r="AH80"/>
  <c r="AJ79"/>
  <c r="AH79"/>
  <c r="AJ78"/>
  <c r="AH78"/>
  <c r="AJ77"/>
  <c r="AH77"/>
  <c r="AJ76"/>
  <c r="AH76"/>
  <c r="AJ75"/>
  <c r="AH75"/>
  <c r="AJ74"/>
  <c r="AH74"/>
  <c r="AJ73"/>
  <c r="AH73"/>
  <c r="AJ72"/>
  <c r="AH72"/>
  <c r="AJ71"/>
  <c r="AH71"/>
  <c r="AJ70"/>
  <c r="AH70"/>
  <c r="AJ69"/>
  <c r="AH69"/>
  <c r="AJ68"/>
  <c r="AH68"/>
  <c r="AJ67"/>
  <c r="AH67"/>
  <c r="AJ66"/>
  <c r="AH66"/>
  <c r="AJ65"/>
  <c r="AH65"/>
  <c r="AJ64"/>
  <c r="AH64"/>
  <c r="AJ63"/>
  <c r="AH63"/>
  <c r="AJ62"/>
  <c r="AH62"/>
  <c r="AJ61"/>
  <c r="AH61"/>
  <c r="AJ60"/>
  <c r="AH60"/>
  <c r="AJ59"/>
  <c r="AH59"/>
  <c r="AJ58"/>
  <c r="AH58"/>
  <c r="AJ57"/>
  <c r="AH57"/>
  <c r="AJ56"/>
  <c r="AH56"/>
  <c r="AJ55"/>
  <c r="AH55"/>
  <c r="AJ54"/>
  <c r="AH54"/>
  <c r="AJ53"/>
  <c r="AH53"/>
  <c r="AJ52"/>
  <c r="AH52"/>
  <c r="AJ51"/>
  <c r="AH51"/>
  <c r="AJ50"/>
  <c r="AH50"/>
  <c r="AJ49"/>
  <c r="AH49"/>
  <c r="AJ48"/>
  <c r="AH48"/>
  <c r="AJ47"/>
  <c r="AH47"/>
  <c r="AJ46"/>
  <c r="AH46"/>
  <c r="AJ45"/>
  <c r="AH45"/>
  <c r="AJ44"/>
  <c r="AH44"/>
  <c r="AJ43"/>
  <c r="AH43"/>
  <c r="AJ42"/>
  <c r="AH42"/>
  <c r="AJ41"/>
  <c r="AH41"/>
  <c r="AJ40"/>
  <c r="AH40"/>
  <c r="AJ39"/>
  <c r="AH39"/>
  <c r="AJ38"/>
  <c r="AH38"/>
  <c r="AJ37"/>
  <c r="AH37"/>
  <c r="AJ36"/>
  <c r="AH36"/>
  <c r="AJ35"/>
  <c r="AH35"/>
  <c r="AJ34"/>
  <c r="AH34"/>
  <c r="AJ33"/>
  <c r="AH33"/>
  <c r="AJ32"/>
  <c r="AH32"/>
  <c r="AJ31"/>
  <c r="AH31"/>
  <c r="AJ30"/>
  <c r="AH30"/>
  <c r="AJ29"/>
  <c r="AH29"/>
  <c r="AJ28"/>
  <c r="AH28"/>
  <c r="AJ27"/>
  <c r="AH27"/>
  <c r="AJ26"/>
  <c r="AH26"/>
  <c r="AJ25"/>
  <c r="AH25"/>
  <c r="AJ24"/>
  <c r="AH24"/>
  <c r="AJ23"/>
  <c r="AH23"/>
  <c r="AJ22"/>
  <c r="AH22"/>
  <c r="AJ21"/>
  <c r="AH21"/>
  <c r="AJ20"/>
  <c r="AH20"/>
  <c r="AJ19"/>
  <c r="AH19"/>
  <c r="AJ18"/>
  <c r="AH18"/>
  <c r="AJ17"/>
  <c r="AH17"/>
  <c r="AJ16"/>
  <c r="AH16"/>
  <c r="AJ15"/>
  <c r="AH15"/>
  <c r="AJ14"/>
  <c r="AH14"/>
  <c r="AJ13"/>
  <c r="AH13"/>
  <c r="AJ12"/>
  <c r="AH12"/>
  <c r="AJ11"/>
  <c r="AH11"/>
  <c r="AJ10"/>
  <c r="AH10"/>
  <c r="AJ9"/>
  <c r="AH9"/>
  <c r="AJ8"/>
  <c r="AH8"/>
  <c r="AJ7"/>
  <c r="AH7"/>
  <c r="AJ6"/>
  <c r="AH6"/>
  <c r="AJ5"/>
  <c r="AH5"/>
  <c r="AJ4"/>
  <c r="AH4"/>
  <c r="AJ3"/>
  <c r="AH3"/>
  <c r="AJ2"/>
  <c r="AH2"/>
  <c r="A2" i="13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A2" i="12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P2" i="8"/>
  <c r="N2"/>
  <c r="L2"/>
  <c r="K35"/>
  <c r="M35" s="1"/>
  <c r="O35" s="1"/>
  <c r="Q35" s="1"/>
  <c r="J35"/>
  <c r="L35" s="1"/>
  <c r="N35" s="1"/>
  <c r="P35" s="1"/>
  <c r="K29"/>
  <c r="M29" s="1"/>
  <c r="O29" s="1"/>
  <c r="Q29" s="1"/>
  <c r="J29"/>
  <c r="L29" s="1"/>
  <c r="N29" s="1"/>
  <c r="P29" s="1"/>
  <c r="K23"/>
  <c r="M23" s="1"/>
  <c r="O23" s="1"/>
  <c r="Q23" s="1"/>
  <c r="J23"/>
  <c r="L23" s="1"/>
  <c r="N23" s="1"/>
  <c r="P23" s="1"/>
  <c r="K3"/>
  <c r="M3" s="1"/>
  <c r="O3" s="1"/>
  <c r="Q3" s="1"/>
  <c r="J3"/>
  <c r="L3" s="1"/>
  <c r="N3" s="1"/>
  <c r="P3" s="1"/>
  <c r="J2"/>
  <c r="B7" i="9"/>
  <c r="BC32" i="8"/>
  <c r="AU32"/>
  <c r="AM32"/>
  <c r="AE32"/>
  <c r="AX32"/>
  <c r="AW32"/>
  <c r="AO32"/>
  <c r="AG32"/>
  <c r="AA32"/>
  <c r="AZ32"/>
  <c r="AT32"/>
  <c r="AP32"/>
  <c r="AL32"/>
  <c r="AH32"/>
  <c r="AD32"/>
  <c r="Z32"/>
  <c r="BC20"/>
  <c r="AY20"/>
  <c r="AU20"/>
  <c r="AQ20"/>
  <c r="AM20"/>
  <c r="AI20"/>
  <c r="AE20"/>
  <c r="AA20"/>
  <c r="BB20"/>
  <c r="AX20"/>
  <c r="AT20"/>
  <c r="AP20"/>
  <c r="AL20"/>
  <c r="AH20"/>
  <c r="AD20"/>
  <c r="Z20"/>
  <c r="BC26"/>
  <c r="BA26"/>
  <c r="AY26"/>
  <c r="AW26"/>
  <c r="AU26"/>
  <c r="AS26"/>
  <c r="AQ26"/>
  <c r="AO26"/>
  <c r="AM26"/>
  <c r="AK26"/>
  <c r="AI26"/>
  <c r="AG26"/>
  <c r="AE26"/>
  <c r="AC26"/>
  <c r="AA26"/>
  <c r="Y26"/>
  <c r="BB26"/>
  <c r="AZ26"/>
  <c r="AX26"/>
  <c r="AV26"/>
  <c r="AT26"/>
  <c r="AR26"/>
  <c r="AP26"/>
  <c r="AN26"/>
  <c r="AL26"/>
  <c r="AJ26"/>
  <c r="AH26"/>
  <c r="AF26"/>
  <c r="AD26"/>
  <c r="AB26"/>
  <c r="Z26"/>
  <c r="X26"/>
  <c r="BC33"/>
  <c r="AU33"/>
  <c r="AM33"/>
  <c r="AE33"/>
  <c r="BA33"/>
  <c r="AS33"/>
  <c r="AK33"/>
  <c r="AC33"/>
  <c r="BB33"/>
  <c r="AX33"/>
  <c r="AT33"/>
  <c r="AP33"/>
  <c r="AL33"/>
  <c r="AH33"/>
  <c r="AD33"/>
  <c r="Z33"/>
  <c r="BC21"/>
  <c r="AY21"/>
  <c r="AU21"/>
  <c r="AQ21"/>
  <c r="AM21"/>
  <c r="AI21"/>
  <c r="AE21"/>
  <c r="AA21"/>
  <c r="BB21"/>
  <c r="AX21"/>
  <c r="AT21"/>
  <c r="AP21"/>
  <c r="AL21"/>
  <c r="AH21"/>
  <c r="AD21"/>
  <c r="Z21"/>
  <c r="BC27"/>
  <c r="BA27"/>
  <c r="AY27"/>
  <c r="AW27"/>
  <c r="AU27"/>
  <c r="AS27"/>
  <c r="AQ27"/>
  <c r="AO27"/>
  <c r="AM27"/>
  <c r="AK27"/>
  <c r="AI27"/>
  <c r="AG27"/>
  <c r="AE27"/>
  <c r="AC27"/>
  <c r="AA27"/>
  <c r="Y27"/>
  <c r="BB27"/>
  <c r="AZ27"/>
  <c r="AX27"/>
  <c r="AV27"/>
  <c r="AT27"/>
  <c r="AR27"/>
  <c r="AP27"/>
  <c r="AN27"/>
  <c r="AL27"/>
  <c r="AJ27"/>
  <c r="AH27"/>
  <c r="AF27"/>
  <c r="AD27"/>
  <c r="AB27"/>
  <c r="Z27"/>
  <c r="X27"/>
  <c r="AF21"/>
  <c r="X21"/>
  <c r="BA39"/>
  <c r="AW39"/>
  <c r="AS39"/>
  <c r="AO39"/>
  <c r="AK39"/>
  <c r="AG39"/>
  <c r="AC39"/>
  <c r="Y39"/>
  <c r="AZ39"/>
  <c r="AV39"/>
  <c r="AR39"/>
  <c r="AN39"/>
  <c r="AJ39"/>
  <c r="AF39"/>
  <c r="AB39"/>
  <c r="X39"/>
  <c r="AY32"/>
  <c r="AQ32"/>
  <c r="AI32"/>
  <c r="Y32"/>
  <c r="BA32"/>
  <c r="AS32"/>
  <c r="AK32"/>
  <c r="AC32"/>
  <c r="BB32"/>
  <c r="AV32"/>
  <c r="AR32"/>
  <c r="AN32"/>
  <c r="AJ32"/>
  <c r="AF32"/>
  <c r="AB32"/>
  <c r="X32"/>
  <c r="BA20"/>
  <c r="AW20"/>
  <c r="AS20"/>
  <c r="AO20"/>
  <c r="AK20"/>
  <c r="AG20"/>
  <c r="AC20"/>
  <c r="Y20"/>
  <c r="AZ20"/>
  <c r="AV20"/>
  <c r="AR20"/>
  <c r="AN20"/>
  <c r="AJ20"/>
  <c r="AF20"/>
  <c r="AB20"/>
  <c r="X20"/>
  <c r="BC38"/>
  <c r="BA38"/>
  <c r="AY38"/>
  <c r="AW38"/>
  <c r="AU38"/>
  <c r="AS38"/>
  <c r="AQ38"/>
  <c r="AO38"/>
  <c r="AM38"/>
  <c r="AK38"/>
  <c r="AI38"/>
  <c r="AG38"/>
  <c r="AE38"/>
  <c r="AC38"/>
  <c r="AA38"/>
  <c r="Y38"/>
  <c r="BB38"/>
  <c r="AZ38"/>
  <c r="AX38"/>
  <c r="AV38"/>
  <c r="AT38"/>
  <c r="AR38"/>
  <c r="AP38"/>
  <c r="AN38"/>
  <c r="AL38"/>
  <c r="AJ38"/>
  <c r="AH38"/>
  <c r="AF38"/>
  <c r="AD38"/>
  <c r="AB38"/>
  <c r="Z38"/>
  <c r="X38"/>
  <c r="AY33"/>
  <c r="AQ33"/>
  <c r="AI33"/>
  <c r="AA33"/>
  <c r="AW33"/>
  <c r="AO33"/>
  <c r="AG33"/>
  <c r="Y33"/>
  <c r="AZ33"/>
  <c r="AV33"/>
  <c r="AR33"/>
  <c r="AN33"/>
  <c r="AJ33"/>
  <c r="AF33"/>
  <c r="AB33"/>
  <c r="X33"/>
  <c r="BA21"/>
  <c r="AW21"/>
  <c r="AS21"/>
  <c r="AO21"/>
  <c r="AK21"/>
  <c r="AG21"/>
  <c r="AC21"/>
  <c r="Y21"/>
  <c r="AZ21"/>
  <c r="AV21"/>
  <c r="AR21"/>
  <c r="AN21"/>
  <c r="AJ21"/>
  <c r="AB21"/>
  <c r="BC39"/>
  <c r="AY39"/>
  <c r="AU39"/>
  <c r="AQ39"/>
  <c r="AM39"/>
  <c r="AI39"/>
  <c r="AE39"/>
  <c r="AA39"/>
  <c r="BB39"/>
  <c r="AX39"/>
  <c r="AT39"/>
  <c r="AP39"/>
  <c r="AL39"/>
  <c r="AH39"/>
  <c r="AD39"/>
  <c r="Z39"/>
  <c r="I9" l="1"/>
  <c r="AS11"/>
  <c r="AE11"/>
  <c r="I11" s="1"/>
  <c r="AR10"/>
  <c r="AD10"/>
  <c r="I10" s="1"/>
  <c r="L9"/>
  <c r="AR13"/>
  <c r="N13" s="1"/>
  <c r="AD13"/>
  <c r="AS12"/>
  <c r="AC12"/>
  <c r="AR11"/>
  <c r="O11" s="1"/>
  <c r="AB11"/>
  <c r="BC10"/>
  <c r="AS10"/>
  <c r="AE10"/>
  <c r="O9"/>
  <c r="K9"/>
  <c r="Q9"/>
  <c r="BC11"/>
  <c r="BB10"/>
  <c r="AX13"/>
  <c r="Q13" s="1"/>
  <c r="AW12"/>
  <c r="AV11"/>
  <c r="P11" s="1"/>
  <c r="AM10"/>
  <c r="H9"/>
  <c r="E31" i="9" s="1"/>
  <c r="F31" s="1"/>
  <c r="AF12" i="8"/>
  <c r="AG11"/>
  <c r="L11" s="1"/>
  <c r="AF10"/>
  <c r="BC12"/>
  <c r="BB11"/>
  <c r="BA10"/>
  <c r="AY11"/>
  <c r="AI11"/>
  <c r="AX10"/>
  <c r="AH10"/>
  <c r="AZ13"/>
  <c r="AJ13"/>
  <c r="AY12"/>
  <c r="AI12"/>
  <c r="AX11"/>
  <c r="AH11"/>
  <c r="AW10"/>
  <c r="Q10" s="1"/>
  <c r="AG10"/>
  <c r="AV12"/>
  <c r="P12" s="1"/>
  <c r="BA11"/>
  <c r="AK11"/>
  <c r="AZ10"/>
  <c r="AJ10"/>
  <c r="L10" s="1"/>
  <c r="P9"/>
  <c r="BB13"/>
  <c r="H13" s="1"/>
  <c r="E26" i="9" s="1"/>
  <c r="AL13" i="8"/>
  <c r="BA12"/>
  <c r="AK12"/>
  <c r="AZ11"/>
  <c r="Q11" s="1"/>
  <c r="AJ11"/>
  <c r="AY10"/>
  <c r="AI10"/>
  <c r="K10"/>
  <c r="O13"/>
  <c r="M13"/>
  <c r="K13"/>
  <c r="O12"/>
  <c r="O10"/>
  <c r="H11"/>
  <c r="E24" i="9" s="1"/>
  <c r="M12" i="8"/>
  <c r="I12"/>
  <c r="K12"/>
  <c r="N12"/>
  <c r="M10"/>
  <c r="H12"/>
  <c r="E25" i="9" s="1"/>
  <c r="H10" i="8"/>
  <c r="L12"/>
  <c r="J13"/>
  <c r="N10"/>
  <c r="P13"/>
  <c r="L13"/>
  <c r="J11"/>
  <c r="N11"/>
  <c r="J12"/>
  <c r="AK1" i="10"/>
  <c r="E7" i="8"/>
  <c r="E21" s="1"/>
  <c r="C6" i="9" s="1"/>
  <c r="R43" i="8"/>
  <c r="J72" i="9" s="1"/>
  <c r="K6" i="8"/>
  <c r="M6"/>
  <c r="L6"/>
  <c r="O6"/>
  <c r="N6"/>
  <c r="Q6"/>
  <c r="P6"/>
  <c r="J7"/>
  <c r="L7"/>
  <c r="M7"/>
  <c r="N7"/>
  <c r="O7"/>
  <c r="P7"/>
  <c r="Q7"/>
  <c r="Q43"/>
  <c r="J71" i="9" s="1"/>
  <c r="E6" i="8"/>
  <c r="E20" s="1"/>
  <c r="C5" i="9" s="1"/>
  <c r="J10" i="8" l="1"/>
  <c r="P10"/>
  <c r="K11"/>
  <c r="M11"/>
  <c r="I13"/>
  <c r="D31" i="9"/>
  <c r="D26"/>
  <c r="F26" s="1"/>
  <c r="Q12" i="8"/>
  <c r="D24" i="9"/>
  <c r="F24" s="1"/>
  <c r="AK3" i="10"/>
  <c r="AP2"/>
  <c r="H6" i="8"/>
  <c r="I6"/>
  <c r="K7"/>
  <c r="H7"/>
  <c r="AS3" i="10"/>
  <c r="E23" i="9"/>
  <c r="D25"/>
  <c r="F25" s="1"/>
  <c r="K20" i="8"/>
  <c r="I20"/>
  <c r="J20"/>
  <c r="H20"/>
  <c r="E5" i="9" s="1"/>
  <c r="M20" i="8"/>
  <c r="L20"/>
  <c r="O20"/>
  <c r="N20"/>
  <c r="Q20"/>
  <c r="P20"/>
  <c r="K21"/>
  <c r="I21"/>
  <c r="J21"/>
  <c r="H21"/>
  <c r="E6" i="9" s="1"/>
  <c r="M21" i="8"/>
  <c r="L21"/>
  <c r="O21"/>
  <c r="N21"/>
  <c r="Q21"/>
  <c r="P21"/>
  <c r="AK82" i="10"/>
  <c r="AN82" s="1"/>
  <c r="AK80"/>
  <c r="AN80" s="1"/>
  <c r="AK78"/>
  <c r="AN78" s="1"/>
  <c r="AK76"/>
  <c r="AN76" s="1"/>
  <c r="AK74"/>
  <c r="AN74" s="1"/>
  <c r="AK72"/>
  <c r="AN72" s="1"/>
  <c r="AK70"/>
  <c r="AN70" s="1"/>
  <c r="AK68"/>
  <c r="AN68" s="1"/>
  <c r="AK66"/>
  <c r="AN66" s="1"/>
  <c r="AK64"/>
  <c r="AN64" s="1"/>
  <c r="AK62"/>
  <c r="AN62" s="1"/>
  <c r="AK60"/>
  <c r="AN60" s="1"/>
  <c r="AK58"/>
  <c r="AN58" s="1"/>
  <c r="AK56"/>
  <c r="AN56" s="1"/>
  <c r="AK54"/>
  <c r="AN54" s="1"/>
  <c r="AK52"/>
  <c r="AN52" s="1"/>
  <c r="AK50"/>
  <c r="AN50" s="1"/>
  <c r="AK48"/>
  <c r="AN48" s="1"/>
  <c r="AK46"/>
  <c r="AN46" s="1"/>
  <c r="AK44"/>
  <c r="AN44" s="1"/>
  <c r="AK42"/>
  <c r="AN42" s="1"/>
  <c r="AK40"/>
  <c r="AN40" s="1"/>
  <c r="AK38"/>
  <c r="AN38" s="1"/>
  <c r="AK36"/>
  <c r="AN36" s="1"/>
  <c r="AK34"/>
  <c r="AN34" s="1"/>
  <c r="AK32"/>
  <c r="AN32" s="1"/>
  <c r="AK30"/>
  <c r="AN30" s="1"/>
  <c r="AK28"/>
  <c r="AN28" s="1"/>
  <c r="AK26"/>
  <c r="AN26" s="1"/>
  <c r="AK24"/>
  <c r="AN24" s="1"/>
  <c r="AK22"/>
  <c r="AN22" s="1"/>
  <c r="AK20"/>
  <c r="AN20" s="1"/>
  <c r="AK18"/>
  <c r="AN18" s="1"/>
  <c r="AK16"/>
  <c r="AN16" s="1"/>
  <c r="AK14"/>
  <c r="AN14" s="1"/>
  <c r="AK12"/>
  <c r="AN12" s="1"/>
  <c r="AK10"/>
  <c r="AK8"/>
  <c r="AK6"/>
  <c r="AK4"/>
  <c r="AK2"/>
  <c r="AK81"/>
  <c r="AN81" s="1"/>
  <c r="AK79"/>
  <c r="AN79" s="1"/>
  <c r="AK77"/>
  <c r="AN77" s="1"/>
  <c r="AK75"/>
  <c r="AN75" s="1"/>
  <c r="AK73"/>
  <c r="AN73" s="1"/>
  <c r="AK71"/>
  <c r="AN71" s="1"/>
  <c r="AK69"/>
  <c r="AN69" s="1"/>
  <c r="AK67"/>
  <c r="AN67" s="1"/>
  <c r="AK65"/>
  <c r="AN65" s="1"/>
  <c r="AK63"/>
  <c r="AN63" s="1"/>
  <c r="AK61"/>
  <c r="AN61" s="1"/>
  <c r="AK59"/>
  <c r="AN59" s="1"/>
  <c r="AK57"/>
  <c r="AN57" s="1"/>
  <c r="AK55"/>
  <c r="AN55" s="1"/>
  <c r="AK53"/>
  <c r="AN53" s="1"/>
  <c r="AK51"/>
  <c r="AN51" s="1"/>
  <c r="AK49"/>
  <c r="AN49" s="1"/>
  <c r="AK47"/>
  <c r="AN47" s="1"/>
  <c r="AK45"/>
  <c r="AN45" s="1"/>
  <c r="AK43"/>
  <c r="AN43" s="1"/>
  <c r="AK41"/>
  <c r="AN41" s="1"/>
  <c r="AK39"/>
  <c r="AN39" s="1"/>
  <c r="AK37"/>
  <c r="AN37" s="1"/>
  <c r="AK35"/>
  <c r="AN35" s="1"/>
  <c r="AK33"/>
  <c r="AN33" s="1"/>
  <c r="AK31"/>
  <c r="AN31" s="1"/>
  <c r="AK29"/>
  <c r="AN29" s="1"/>
  <c r="AK27"/>
  <c r="AN27" s="1"/>
  <c r="AK25"/>
  <c r="AN25" s="1"/>
  <c r="AK23"/>
  <c r="AN23" s="1"/>
  <c r="AK21"/>
  <c r="AN21" s="1"/>
  <c r="AK19"/>
  <c r="AN19" s="1"/>
  <c r="AK17"/>
  <c r="AN17" s="1"/>
  <c r="AK15"/>
  <c r="AN15" s="1"/>
  <c r="AK13"/>
  <c r="AN13" s="1"/>
  <c r="AK11"/>
  <c r="AK9"/>
  <c r="AK7"/>
  <c r="AK5"/>
  <c r="Q27" i="8"/>
  <c r="P27"/>
  <c r="O27"/>
  <c r="N27"/>
  <c r="M27"/>
  <c r="L27"/>
  <c r="Q26"/>
  <c r="P26"/>
  <c r="O26"/>
  <c r="N26"/>
  <c r="M26"/>
  <c r="L26"/>
  <c r="F21" i="9"/>
  <c r="D21"/>
  <c r="E21"/>
  <c r="E29" s="1"/>
  <c r="I7" i="8"/>
  <c r="C22" i="9"/>
  <c r="C26" s="1"/>
  <c r="C30" s="1"/>
  <c r="E27" i="8"/>
  <c r="C21" i="9"/>
  <c r="C25" s="1"/>
  <c r="C29" s="1"/>
  <c r="E26" i="8"/>
  <c r="J6"/>
  <c r="G5"/>
  <c r="F5"/>
  <c r="F35"/>
  <c r="F29"/>
  <c r="A2" i="11"/>
  <c r="A3" s="1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C1"/>
  <c r="A2" i="10"/>
  <c r="C1"/>
  <c r="D1" s="1"/>
  <c r="E1" s="1"/>
  <c r="F1" s="1"/>
  <c r="G1" s="1"/>
  <c r="H1" s="1"/>
  <c r="I1" s="1"/>
  <c r="J1" s="1"/>
  <c r="K1" s="1"/>
  <c r="L1" s="1"/>
  <c r="M1" s="1"/>
  <c r="N1" s="1"/>
  <c r="O1" s="1"/>
  <c r="P1" s="1"/>
  <c r="Q1" s="1"/>
  <c r="R1" s="1"/>
  <c r="S1" s="1"/>
  <c r="T1" s="1"/>
  <c r="U1" s="1"/>
  <c r="V1" s="1"/>
  <c r="W1" s="1"/>
  <c r="X1" s="1"/>
  <c r="Y1" s="1"/>
  <c r="Z1" s="1"/>
  <c r="AA1" s="1"/>
  <c r="AB1" s="1"/>
  <c r="AC1" s="1"/>
  <c r="AD1" s="1"/>
  <c r="AE1" s="1"/>
  <c r="AF1" s="1"/>
  <c r="AG1" s="1"/>
  <c r="BA31" i="8"/>
  <c r="AS31"/>
  <c r="AK31"/>
  <c r="AC31"/>
  <c r="BC31"/>
  <c r="AU31"/>
  <c r="AM31"/>
  <c r="AE31"/>
  <c r="BB31"/>
  <c r="AX31"/>
  <c r="AT31"/>
  <c r="AP31"/>
  <c r="BA19"/>
  <c r="AW19"/>
  <c r="AS19"/>
  <c r="AO19"/>
  <c r="AK19"/>
  <c r="AG19"/>
  <c r="AC19"/>
  <c r="Y19"/>
  <c r="AZ19"/>
  <c r="AV19"/>
  <c r="AR19"/>
  <c r="BC25"/>
  <c r="BA25"/>
  <c r="AY25"/>
  <c r="AW25"/>
  <c r="AU25"/>
  <c r="AS25"/>
  <c r="AQ25"/>
  <c r="AO25"/>
  <c r="AM25"/>
  <c r="AK25"/>
  <c r="AI25"/>
  <c r="AG25"/>
  <c r="AE25"/>
  <c r="AC25"/>
  <c r="AA25"/>
  <c r="Y25"/>
  <c r="BB25"/>
  <c r="AZ25"/>
  <c r="AX25"/>
  <c r="AV25"/>
  <c r="AR25"/>
  <c r="AP25"/>
  <c r="AL25"/>
  <c r="AH25"/>
  <c r="AB25"/>
  <c r="X25"/>
  <c r="AL19"/>
  <c r="AH19"/>
  <c r="AD19"/>
  <c r="Z19"/>
  <c r="AW31"/>
  <c r="AO31"/>
  <c r="AG31"/>
  <c r="Y31"/>
  <c r="AY31"/>
  <c r="AQ31"/>
  <c r="AI31"/>
  <c r="AA31"/>
  <c r="AZ31"/>
  <c r="AV31"/>
  <c r="AR31"/>
  <c r="BC19"/>
  <c r="AY19"/>
  <c r="AU19"/>
  <c r="AQ19"/>
  <c r="AM19"/>
  <c r="AI19"/>
  <c r="AE19"/>
  <c r="AA19"/>
  <c r="BB19"/>
  <c r="AX19"/>
  <c r="AT19"/>
  <c r="AP19"/>
  <c r="BC37"/>
  <c r="BA37"/>
  <c r="AY37"/>
  <c r="AW37"/>
  <c r="AU37"/>
  <c r="AS37"/>
  <c r="AQ37"/>
  <c r="AO37"/>
  <c r="AM37"/>
  <c r="AK37"/>
  <c r="AI37"/>
  <c r="AG37"/>
  <c r="AE37"/>
  <c r="AC37"/>
  <c r="AA37"/>
  <c r="Y37"/>
  <c r="BB37"/>
  <c r="AZ37"/>
  <c r="AX37"/>
  <c r="AV37"/>
  <c r="AT37"/>
  <c r="AR37"/>
  <c r="AP37"/>
  <c r="AN37"/>
  <c r="AL37"/>
  <c r="AJ37"/>
  <c r="AH37"/>
  <c r="AF37"/>
  <c r="AD37"/>
  <c r="AB37"/>
  <c r="Z37"/>
  <c r="X37"/>
  <c r="AN31"/>
  <c r="AL31"/>
  <c r="AJ31"/>
  <c r="AH31"/>
  <c r="AF31"/>
  <c r="AD31"/>
  <c r="AB31"/>
  <c r="Z31"/>
  <c r="X31"/>
  <c r="AT25"/>
  <c r="AN25"/>
  <c r="AJ25"/>
  <c r="AF25"/>
  <c r="AD25"/>
  <c r="Z25"/>
  <c r="AN19"/>
  <c r="AJ19"/>
  <c r="AF19"/>
  <c r="AB19"/>
  <c r="X19"/>
  <c r="D23" i="9" l="1"/>
  <c r="F23" s="1"/>
  <c r="F85"/>
  <c r="R124" i="8"/>
  <c r="R97"/>
  <c r="R44"/>
  <c r="R112"/>
  <c r="D29" i="9"/>
  <c r="R65" i="8"/>
  <c r="R76"/>
  <c r="R121"/>
  <c r="R49"/>
  <c r="R60"/>
  <c r="R122"/>
  <c r="R81"/>
  <c r="R92"/>
  <c r="R57"/>
  <c r="R89"/>
  <c r="R68"/>
  <c r="R100"/>
  <c r="R107"/>
  <c r="R73"/>
  <c r="R52"/>
  <c r="R84"/>
  <c r="R117"/>
  <c r="R53"/>
  <c r="R51"/>
  <c r="R59"/>
  <c r="R67"/>
  <c r="R75"/>
  <c r="R83"/>
  <c r="R91"/>
  <c r="R99"/>
  <c r="R46"/>
  <c r="R54"/>
  <c r="R62"/>
  <c r="R70"/>
  <c r="R78"/>
  <c r="R86"/>
  <c r="R94"/>
  <c r="R102"/>
  <c r="R114"/>
  <c r="R118"/>
  <c r="R104"/>
  <c r="R109"/>
  <c r="R123"/>
  <c r="F22" i="9"/>
  <c r="F30" s="1"/>
  <c r="R47" i="8"/>
  <c r="R55"/>
  <c r="R63"/>
  <c r="R71"/>
  <c r="R79"/>
  <c r="R87"/>
  <c r="R95"/>
  <c r="R103"/>
  <c r="E22" i="9"/>
  <c r="E30" s="1"/>
  <c r="R50" i="8"/>
  <c r="R58"/>
  <c r="R66"/>
  <c r="R74"/>
  <c r="R82"/>
  <c r="R90"/>
  <c r="R98"/>
  <c r="R110"/>
  <c r="R116"/>
  <c r="R120"/>
  <c r="R106"/>
  <c r="R113"/>
  <c r="R45"/>
  <c r="R61"/>
  <c r="R69"/>
  <c r="R77"/>
  <c r="R85"/>
  <c r="R93"/>
  <c r="R101"/>
  <c r="R48"/>
  <c r="R56"/>
  <c r="R64"/>
  <c r="R72"/>
  <c r="R80"/>
  <c r="R88"/>
  <c r="R96"/>
  <c r="R108"/>
  <c r="R115"/>
  <c r="R119"/>
  <c r="R105"/>
  <c r="R111"/>
  <c r="F6"/>
  <c r="F11"/>
  <c r="G6"/>
  <c r="G11"/>
  <c r="K72" i="9"/>
  <c r="F29"/>
  <c r="F6"/>
  <c r="D6"/>
  <c r="F5"/>
  <c r="D5"/>
  <c r="D22"/>
  <c r="D30" s="1"/>
  <c r="M39" i="8"/>
  <c r="L39"/>
  <c r="Q39"/>
  <c r="P39"/>
  <c r="M38"/>
  <c r="L38"/>
  <c r="O38"/>
  <c r="N38"/>
  <c r="Q38"/>
  <c r="P38"/>
  <c r="O39"/>
  <c r="N39"/>
  <c r="N33"/>
  <c r="O33"/>
  <c r="L32"/>
  <c r="M32"/>
  <c r="N32"/>
  <c r="O32"/>
  <c r="P32"/>
  <c r="Q32"/>
  <c r="L33"/>
  <c r="M33"/>
  <c r="P33"/>
  <c r="Q33"/>
  <c r="K26"/>
  <c r="I26"/>
  <c r="J26"/>
  <c r="H26"/>
  <c r="K27"/>
  <c r="I27"/>
  <c r="J27"/>
  <c r="H27"/>
  <c r="J39"/>
  <c r="H39"/>
  <c r="K39"/>
  <c r="I39"/>
  <c r="K32"/>
  <c r="I32"/>
  <c r="J32"/>
  <c r="H32"/>
  <c r="J38"/>
  <c r="H38"/>
  <c r="K38"/>
  <c r="I38"/>
  <c r="K33"/>
  <c r="I33"/>
  <c r="J33"/>
  <c r="H33"/>
  <c r="C9" i="9"/>
  <c r="E32" i="8"/>
  <c r="C10" i="9"/>
  <c r="E33" i="8"/>
  <c r="A3" i="10"/>
  <c r="AI2"/>
  <c r="AL2" s="1"/>
  <c r="B11" i="9"/>
  <c r="B15"/>
  <c r="D1" i="11"/>
  <c r="F46" i="8"/>
  <c r="A8" i="9"/>
  <c r="A9" s="1"/>
  <c r="A10" s="1"/>
  <c r="A12" s="1"/>
  <c r="A13" s="1"/>
  <c r="A14" s="1"/>
  <c r="A16" s="1"/>
  <c r="A17" s="1"/>
  <c r="A18" s="1"/>
  <c r="A20" s="1"/>
  <c r="A21" s="1"/>
  <c r="A22" s="1"/>
  <c r="A1" i="8"/>
  <c r="D46" l="1"/>
  <c r="G7"/>
  <c r="G13" s="1"/>
  <c r="G12"/>
  <c r="F7"/>
  <c r="F13" s="1"/>
  <c r="F12"/>
  <c r="K19"/>
  <c r="I19"/>
  <c r="J19"/>
  <c r="H19"/>
  <c r="E4" i="9" s="1"/>
  <c r="M19" i="8"/>
  <c r="L19"/>
  <c r="O19"/>
  <c r="N19"/>
  <c r="Q19"/>
  <c r="P19"/>
  <c r="C14" i="9"/>
  <c r="E39" i="8"/>
  <c r="C18" i="9" s="1"/>
  <c r="C13"/>
  <c r="E38" i="8"/>
  <c r="C17" i="9" s="1"/>
  <c r="F14"/>
  <c r="D14"/>
  <c r="E14"/>
  <c r="F17"/>
  <c r="D17"/>
  <c r="E17"/>
  <c r="E13"/>
  <c r="F13"/>
  <c r="D13"/>
  <c r="E18"/>
  <c r="F18"/>
  <c r="D18"/>
  <c r="E10"/>
  <c r="F10"/>
  <c r="D10"/>
  <c r="F9"/>
  <c r="D9"/>
  <c r="E9"/>
  <c r="A4" i="10"/>
  <c r="AI3"/>
  <c r="AL3" s="1"/>
  <c r="AM3" s="1"/>
  <c r="AN3" s="1"/>
  <c r="E1" i="11"/>
  <c r="K5" i="8"/>
  <c r="J37"/>
  <c r="K37"/>
  <c r="J25"/>
  <c r="K25"/>
  <c r="J31"/>
  <c r="K31"/>
  <c r="N31"/>
  <c r="O31"/>
  <c r="N37"/>
  <c r="O37"/>
  <c r="Q31"/>
  <c r="P31"/>
  <c r="N25"/>
  <c r="O25"/>
  <c r="M31"/>
  <c r="L31"/>
  <c r="M37"/>
  <c r="L37"/>
  <c r="Q25"/>
  <c r="P25"/>
  <c r="Q37"/>
  <c r="P37"/>
  <c r="M25"/>
  <c r="L25"/>
  <c r="H4"/>
  <c r="M4"/>
  <c r="L4"/>
  <c r="Q5"/>
  <c r="P5"/>
  <c r="N4"/>
  <c r="O4"/>
  <c r="K4"/>
  <c r="J4"/>
  <c r="J5"/>
  <c r="N5"/>
  <c r="O5"/>
  <c r="M5"/>
  <c r="L5"/>
  <c r="Q4"/>
  <c r="P4"/>
  <c r="I5"/>
  <c r="H5"/>
  <c r="I4"/>
  <c r="G37"/>
  <c r="G38" s="1"/>
  <c r="G39" s="1"/>
  <c r="F37"/>
  <c r="F38" s="1"/>
  <c r="F39" s="1"/>
  <c r="G31"/>
  <c r="G32" s="1"/>
  <c r="G33" s="1"/>
  <c r="F31"/>
  <c r="F32" s="1"/>
  <c r="F33" s="1"/>
  <c r="H44"/>
  <c r="U44" s="1"/>
  <c r="F25"/>
  <c r="F26" s="1"/>
  <c r="F27" s="1"/>
  <c r="C44"/>
  <c r="S44" s="1"/>
  <c r="V46" l="1"/>
  <c r="A46"/>
  <c r="T46"/>
  <c r="W44"/>
  <c r="C45"/>
  <c r="S45" s="1"/>
  <c r="H96"/>
  <c r="U96" s="1"/>
  <c r="H64"/>
  <c r="U64" s="1"/>
  <c r="H65"/>
  <c r="U65" s="1"/>
  <c r="H117"/>
  <c r="U117" s="1"/>
  <c r="H54"/>
  <c r="U54" s="1"/>
  <c r="H115"/>
  <c r="U115" s="1"/>
  <c r="H75"/>
  <c r="U75" s="1"/>
  <c r="H121"/>
  <c r="U121" s="1"/>
  <c r="H122"/>
  <c r="U122" s="1"/>
  <c r="H91"/>
  <c r="U91" s="1"/>
  <c r="H76"/>
  <c r="U76" s="1"/>
  <c r="H93"/>
  <c r="U93" s="1"/>
  <c r="H78"/>
  <c r="U78" s="1"/>
  <c r="H102"/>
  <c r="U102" s="1"/>
  <c r="H50"/>
  <c r="U50" s="1"/>
  <c r="H87"/>
  <c r="U87" s="1"/>
  <c r="H55"/>
  <c r="U55" s="1"/>
  <c r="H69"/>
  <c r="U69" s="1"/>
  <c r="H124"/>
  <c r="U124" s="1"/>
  <c r="H95"/>
  <c r="U95" s="1"/>
  <c r="H104"/>
  <c r="U104" s="1"/>
  <c r="H72"/>
  <c r="U72" s="1"/>
  <c r="H85"/>
  <c r="U85" s="1"/>
  <c r="H62"/>
  <c r="U62" s="1"/>
  <c r="H86"/>
  <c r="U86" s="1"/>
  <c r="H123"/>
  <c r="U123" s="1"/>
  <c r="H83"/>
  <c r="U83" s="1"/>
  <c r="H51"/>
  <c r="U51" s="1"/>
  <c r="H57"/>
  <c r="U57" s="1"/>
  <c r="H48"/>
  <c r="U48" s="1"/>
  <c r="H84"/>
  <c r="U84" s="1"/>
  <c r="H113"/>
  <c r="U113" s="1"/>
  <c r="H110"/>
  <c r="U110" s="1"/>
  <c r="H61"/>
  <c r="U61" s="1"/>
  <c r="H82"/>
  <c r="U82" s="1"/>
  <c r="H103"/>
  <c r="U103" s="1"/>
  <c r="H63"/>
  <c r="U63" s="1"/>
  <c r="H89"/>
  <c r="U89" s="1"/>
  <c r="H74"/>
  <c r="U74" s="1"/>
  <c r="H68"/>
  <c r="U68" s="1"/>
  <c r="H112"/>
  <c r="U112" s="1"/>
  <c r="H80"/>
  <c r="U80" s="1"/>
  <c r="H105"/>
  <c r="U105" s="1"/>
  <c r="H94"/>
  <c r="U94" s="1"/>
  <c r="H114"/>
  <c r="U114" s="1"/>
  <c r="H66"/>
  <c r="U66" s="1"/>
  <c r="H99"/>
  <c r="U99" s="1"/>
  <c r="H59"/>
  <c r="U59" s="1"/>
  <c r="H81"/>
  <c r="U81" s="1"/>
  <c r="H58"/>
  <c r="U58" s="1"/>
  <c r="H100"/>
  <c r="U100" s="1"/>
  <c r="H52"/>
  <c r="U52" s="1"/>
  <c r="H53"/>
  <c r="U53" s="1"/>
  <c r="H97"/>
  <c r="U97" s="1"/>
  <c r="H118"/>
  <c r="U118" s="1"/>
  <c r="H111"/>
  <c r="U111" s="1"/>
  <c r="H71"/>
  <c r="U71" s="1"/>
  <c r="H109"/>
  <c r="U109" s="1"/>
  <c r="H106"/>
  <c r="U106" s="1"/>
  <c r="H92"/>
  <c r="U92" s="1"/>
  <c r="H120"/>
  <c r="U120" s="1"/>
  <c r="H88"/>
  <c r="U88" s="1"/>
  <c r="H56"/>
  <c r="U56" s="1"/>
  <c r="H45"/>
  <c r="U45" s="1"/>
  <c r="H77"/>
  <c r="U77" s="1"/>
  <c r="H98"/>
  <c r="U98" s="1"/>
  <c r="H107"/>
  <c r="U107" s="1"/>
  <c r="H67"/>
  <c r="U67" s="1"/>
  <c r="H101"/>
  <c r="U101" s="1"/>
  <c r="H90"/>
  <c r="U90" s="1"/>
  <c r="H116"/>
  <c r="U116" s="1"/>
  <c r="H60"/>
  <c r="U60" s="1"/>
  <c r="H73"/>
  <c r="U73" s="1"/>
  <c r="H46"/>
  <c r="U46" s="1"/>
  <c r="H70"/>
  <c r="U70" s="1"/>
  <c r="H119"/>
  <c r="U119" s="1"/>
  <c r="H79"/>
  <c r="U79" s="1"/>
  <c r="H47"/>
  <c r="U47" s="1"/>
  <c r="H49"/>
  <c r="U49" s="1"/>
  <c r="H108"/>
  <c r="U108" s="1"/>
  <c r="F57"/>
  <c r="V57" s="1"/>
  <c r="D57"/>
  <c r="T57" s="1"/>
  <c r="F69"/>
  <c r="V69" s="1"/>
  <c r="D69"/>
  <c r="T69" s="1"/>
  <c r="F89"/>
  <c r="V89" s="1"/>
  <c r="D89"/>
  <c r="T89" s="1"/>
  <c r="F101"/>
  <c r="V101" s="1"/>
  <c r="D101"/>
  <c r="T101" s="1"/>
  <c r="F45"/>
  <c r="V45" s="1"/>
  <c r="D45"/>
  <c r="T45" s="1"/>
  <c r="F47"/>
  <c r="V47" s="1"/>
  <c r="D47"/>
  <c r="T47" s="1"/>
  <c r="F51"/>
  <c r="V51" s="1"/>
  <c r="D51"/>
  <c r="T51" s="1"/>
  <c r="F55"/>
  <c r="V55" s="1"/>
  <c r="D55"/>
  <c r="T55" s="1"/>
  <c r="F59"/>
  <c r="V59" s="1"/>
  <c r="D59"/>
  <c r="T59" s="1"/>
  <c r="F63"/>
  <c r="V63" s="1"/>
  <c r="D63"/>
  <c r="T63" s="1"/>
  <c r="F67"/>
  <c r="V67" s="1"/>
  <c r="D67"/>
  <c r="T67" s="1"/>
  <c r="F71"/>
  <c r="V71" s="1"/>
  <c r="D71"/>
  <c r="T71" s="1"/>
  <c r="F75"/>
  <c r="V75" s="1"/>
  <c r="D75"/>
  <c r="T75" s="1"/>
  <c r="F79"/>
  <c r="V79" s="1"/>
  <c r="D79"/>
  <c r="T79" s="1"/>
  <c r="F83"/>
  <c r="V83" s="1"/>
  <c r="D83"/>
  <c r="T83" s="1"/>
  <c r="F87"/>
  <c r="V87" s="1"/>
  <c r="D87"/>
  <c r="T87" s="1"/>
  <c r="F91"/>
  <c r="V91" s="1"/>
  <c r="D91"/>
  <c r="T91" s="1"/>
  <c r="F95"/>
  <c r="V95" s="1"/>
  <c r="D95"/>
  <c r="T95" s="1"/>
  <c r="F99"/>
  <c r="V99" s="1"/>
  <c r="D99"/>
  <c r="T99" s="1"/>
  <c r="F103"/>
  <c r="V103" s="1"/>
  <c r="D103"/>
  <c r="T103" s="1"/>
  <c r="F107"/>
  <c r="V107" s="1"/>
  <c r="D107"/>
  <c r="T107" s="1"/>
  <c r="F111"/>
  <c r="V111" s="1"/>
  <c r="D111"/>
  <c r="T111" s="1"/>
  <c r="F115"/>
  <c r="V115" s="1"/>
  <c r="D115"/>
  <c r="T115" s="1"/>
  <c r="F119"/>
  <c r="V119" s="1"/>
  <c r="D119"/>
  <c r="T119" s="1"/>
  <c r="F123"/>
  <c r="V123" s="1"/>
  <c r="D123"/>
  <c r="T123" s="1"/>
  <c r="F49"/>
  <c r="V49" s="1"/>
  <c r="D49"/>
  <c r="T49" s="1"/>
  <c r="F61"/>
  <c r="V61" s="1"/>
  <c r="D61"/>
  <c r="T61" s="1"/>
  <c r="F81"/>
  <c r="V81" s="1"/>
  <c r="D81"/>
  <c r="T81" s="1"/>
  <c r="F97"/>
  <c r="V97" s="1"/>
  <c r="D97"/>
  <c r="T97" s="1"/>
  <c r="F109"/>
  <c r="V109" s="1"/>
  <c r="D109"/>
  <c r="T109" s="1"/>
  <c r="F121"/>
  <c r="V121" s="1"/>
  <c r="D121"/>
  <c r="T121" s="1"/>
  <c r="D44"/>
  <c r="T44" s="1"/>
  <c r="F44"/>
  <c r="V44" s="1"/>
  <c r="F48"/>
  <c r="V48" s="1"/>
  <c r="D48"/>
  <c r="T48" s="1"/>
  <c r="F52"/>
  <c r="V52" s="1"/>
  <c r="D52"/>
  <c r="T52" s="1"/>
  <c r="F56"/>
  <c r="V56" s="1"/>
  <c r="D56"/>
  <c r="T56" s="1"/>
  <c r="F60"/>
  <c r="V60" s="1"/>
  <c r="D60"/>
  <c r="T60" s="1"/>
  <c r="F64"/>
  <c r="V64" s="1"/>
  <c r="D64"/>
  <c r="T64" s="1"/>
  <c r="F68"/>
  <c r="V68" s="1"/>
  <c r="D68"/>
  <c r="T68" s="1"/>
  <c r="F72"/>
  <c r="V72" s="1"/>
  <c r="D72"/>
  <c r="T72" s="1"/>
  <c r="F76"/>
  <c r="V76" s="1"/>
  <c r="D76"/>
  <c r="T76" s="1"/>
  <c r="F80"/>
  <c r="V80" s="1"/>
  <c r="D80"/>
  <c r="T80" s="1"/>
  <c r="F84"/>
  <c r="V84" s="1"/>
  <c r="D84"/>
  <c r="T84" s="1"/>
  <c r="F88"/>
  <c r="V88" s="1"/>
  <c r="D88"/>
  <c r="T88" s="1"/>
  <c r="F92"/>
  <c r="V92" s="1"/>
  <c r="D92"/>
  <c r="T92" s="1"/>
  <c r="F96"/>
  <c r="V96" s="1"/>
  <c r="D96"/>
  <c r="T96" s="1"/>
  <c r="F100"/>
  <c r="V100" s="1"/>
  <c r="D100"/>
  <c r="T100" s="1"/>
  <c r="F104"/>
  <c r="V104" s="1"/>
  <c r="D104"/>
  <c r="T104" s="1"/>
  <c r="F108"/>
  <c r="V108" s="1"/>
  <c r="D108"/>
  <c r="T108" s="1"/>
  <c r="F112"/>
  <c r="V112" s="1"/>
  <c r="D112"/>
  <c r="T112" s="1"/>
  <c r="F116"/>
  <c r="V116" s="1"/>
  <c r="D116"/>
  <c r="T116" s="1"/>
  <c r="F120"/>
  <c r="V120" s="1"/>
  <c r="D120"/>
  <c r="T120" s="1"/>
  <c r="F124"/>
  <c r="V124" s="1"/>
  <c r="D124"/>
  <c r="T124" s="1"/>
  <c r="F73"/>
  <c r="V73" s="1"/>
  <c r="D73"/>
  <c r="T73" s="1"/>
  <c r="F85"/>
  <c r="V85" s="1"/>
  <c r="D85"/>
  <c r="T85" s="1"/>
  <c r="F113"/>
  <c r="V113" s="1"/>
  <c r="D113"/>
  <c r="T113" s="1"/>
  <c r="F53"/>
  <c r="V53" s="1"/>
  <c r="D53"/>
  <c r="T53" s="1"/>
  <c r="F65"/>
  <c r="V65" s="1"/>
  <c r="D65"/>
  <c r="T65" s="1"/>
  <c r="F77"/>
  <c r="V77" s="1"/>
  <c r="D77"/>
  <c r="T77" s="1"/>
  <c r="F93"/>
  <c r="V93" s="1"/>
  <c r="D93"/>
  <c r="T93" s="1"/>
  <c r="F105"/>
  <c r="V105" s="1"/>
  <c r="D105"/>
  <c r="T105" s="1"/>
  <c r="F117"/>
  <c r="V117" s="1"/>
  <c r="D117"/>
  <c r="T117" s="1"/>
  <c r="F50"/>
  <c r="V50" s="1"/>
  <c r="D50"/>
  <c r="T50" s="1"/>
  <c r="F54"/>
  <c r="V54" s="1"/>
  <c r="D54"/>
  <c r="T54" s="1"/>
  <c r="F58"/>
  <c r="V58" s="1"/>
  <c r="D58"/>
  <c r="T58" s="1"/>
  <c r="F62"/>
  <c r="V62" s="1"/>
  <c r="D62"/>
  <c r="T62" s="1"/>
  <c r="F66"/>
  <c r="V66" s="1"/>
  <c r="D66"/>
  <c r="T66" s="1"/>
  <c r="F70"/>
  <c r="V70" s="1"/>
  <c r="D70"/>
  <c r="T70" s="1"/>
  <c r="F74"/>
  <c r="V74" s="1"/>
  <c r="D74"/>
  <c r="T74" s="1"/>
  <c r="F78"/>
  <c r="V78" s="1"/>
  <c r="D78"/>
  <c r="T78" s="1"/>
  <c r="F82"/>
  <c r="V82" s="1"/>
  <c r="D82"/>
  <c r="T82" s="1"/>
  <c r="F86"/>
  <c r="V86" s="1"/>
  <c r="D86"/>
  <c r="T86" s="1"/>
  <c r="F90"/>
  <c r="V90" s="1"/>
  <c r="D90"/>
  <c r="T90" s="1"/>
  <c r="F94"/>
  <c r="V94" s="1"/>
  <c r="D94"/>
  <c r="T94" s="1"/>
  <c r="F98"/>
  <c r="V98" s="1"/>
  <c r="D98"/>
  <c r="T98" s="1"/>
  <c r="F102"/>
  <c r="V102" s="1"/>
  <c r="D102"/>
  <c r="T102" s="1"/>
  <c r="F106"/>
  <c r="V106" s="1"/>
  <c r="D106"/>
  <c r="T106" s="1"/>
  <c r="F110"/>
  <c r="V110" s="1"/>
  <c r="D110"/>
  <c r="T110" s="1"/>
  <c r="F114"/>
  <c r="V114" s="1"/>
  <c r="D114"/>
  <c r="T114" s="1"/>
  <c r="F118"/>
  <c r="V118" s="1"/>
  <c r="D118"/>
  <c r="T118" s="1"/>
  <c r="F122"/>
  <c r="V122" s="1"/>
  <c r="D122"/>
  <c r="T122" s="1"/>
  <c r="F4" i="9"/>
  <c r="D4"/>
  <c r="Q44" i="8"/>
  <c r="Q45"/>
  <c r="Q47"/>
  <c r="Q48"/>
  <c r="Q49"/>
  <c r="Q50"/>
  <c r="Q51"/>
  <c r="Q52"/>
  <c r="Q53"/>
  <c r="Q54"/>
  <c r="Q55"/>
  <c r="Q56"/>
  <c r="Q57"/>
  <c r="Q58"/>
  <c r="Q59"/>
  <c r="Q60"/>
  <c r="Q61"/>
  <c r="Q62"/>
  <c r="Q63"/>
  <c r="Q64"/>
  <c r="Q65"/>
  <c r="Q66"/>
  <c r="Q67"/>
  <c r="Q68"/>
  <c r="Q69"/>
  <c r="Q70"/>
  <c r="Q71"/>
  <c r="Q72"/>
  <c r="Q73"/>
  <c r="Q74"/>
  <c r="Q75"/>
  <c r="Q76"/>
  <c r="Q77"/>
  <c r="Q78"/>
  <c r="Q79"/>
  <c r="Q80"/>
  <c r="Q81"/>
  <c r="Q82"/>
  <c r="Q83"/>
  <c r="Q84"/>
  <c r="Q85"/>
  <c r="Q86"/>
  <c r="Q87"/>
  <c r="Q88"/>
  <c r="Q89"/>
  <c r="Q90"/>
  <c r="Q91"/>
  <c r="Q92"/>
  <c r="Q93"/>
  <c r="Q94"/>
  <c r="Q95"/>
  <c r="Q96"/>
  <c r="Q97"/>
  <c r="Q98"/>
  <c r="Q99"/>
  <c r="Q100"/>
  <c r="Q101"/>
  <c r="Q102"/>
  <c r="Q103"/>
  <c r="Q104"/>
  <c r="Q105"/>
  <c r="Q106"/>
  <c r="Q107"/>
  <c r="Q108"/>
  <c r="Q109"/>
  <c r="Q110"/>
  <c r="Q111"/>
  <c r="Q112"/>
  <c r="Q113"/>
  <c r="Q114"/>
  <c r="Q115"/>
  <c r="Q116"/>
  <c r="Q117"/>
  <c r="Q118"/>
  <c r="Q119"/>
  <c r="Q120"/>
  <c r="Q121"/>
  <c r="Q122"/>
  <c r="Q123"/>
  <c r="Q124"/>
  <c r="E5"/>
  <c r="P43"/>
  <c r="J70" i="9" s="1"/>
  <c r="F20"/>
  <c r="F28" s="1"/>
  <c r="D20"/>
  <c r="D28" s="1"/>
  <c r="E19"/>
  <c r="E27" s="1"/>
  <c r="F19"/>
  <c r="F27" s="1"/>
  <c r="D19"/>
  <c r="D27" s="1"/>
  <c r="Q46" i="8"/>
  <c r="A5" i="10"/>
  <c r="AI4"/>
  <c r="AL4" s="1"/>
  <c r="AM4" s="1"/>
  <c r="AN4" s="1"/>
  <c r="F1" i="11"/>
  <c r="P46" i="8"/>
  <c r="E20" i="9"/>
  <c r="E28" s="1"/>
  <c r="K71" s="1"/>
  <c r="P81" i="8"/>
  <c r="P82"/>
  <c r="P83"/>
  <c r="P84"/>
  <c r="P85"/>
  <c r="P88"/>
  <c r="P89"/>
  <c r="P90"/>
  <c r="P91"/>
  <c r="P92"/>
  <c r="P93"/>
  <c r="P94"/>
  <c r="P95"/>
  <c r="P96"/>
  <c r="P97"/>
  <c r="P98"/>
  <c r="P99"/>
  <c r="P100"/>
  <c r="P101"/>
  <c r="P102"/>
  <c r="P103"/>
  <c r="P104"/>
  <c r="P105"/>
  <c r="P106"/>
  <c r="P108"/>
  <c r="P109"/>
  <c r="P110"/>
  <c r="P111"/>
  <c r="P112"/>
  <c r="P113"/>
  <c r="P114"/>
  <c r="P115"/>
  <c r="P116"/>
  <c r="P117"/>
  <c r="P118"/>
  <c r="P119"/>
  <c r="P120"/>
  <c r="P121"/>
  <c r="P122"/>
  <c r="P123"/>
  <c r="P124"/>
  <c r="P87"/>
  <c r="P80"/>
  <c r="P107"/>
  <c r="P86"/>
  <c r="P65"/>
  <c r="P58"/>
  <c r="P76"/>
  <c r="P55"/>
  <c r="P74"/>
  <c r="P72"/>
  <c r="P67"/>
  <c r="P64"/>
  <c r="P54"/>
  <c r="P53"/>
  <c r="P79"/>
  <c r="P78"/>
  <c r="P77"/>
  <c r="P75"/>
  <c r="P73"/>
  <c r="P69"/>
  <c r="P68"/>
  <c r="P66"/>
  <c r="P63"/>
  <c r="P59"/>
  <c r="P57"/>
  <c r="P52"/>
  <c r="P48"/>
  <c r="P71"/>
  <c r="P70"/>
  <c r="P62"/>
  <c r="P61"/>
  <c r="P60"/>
  <c r="P56"/>
  <c r="P45"/>
  <c r="P50"/>
  <c r="P44"/>
  <c r="P47"/>
  <c r="P49"/>
  <c r="P51"/>
  <c r="E4"/>
  <c r="E18" s="1"/>
  <c r="C3" i="9" s="1"/>
  <c r="C46" i="8"/>
  <c r="S46" s="1"/>
  <c r="I25"/>
  <c r="H25"/>
  <c r="G25"/>
  <c r="G26" s="1"/>
  <c r="G27" s="1"/>
  <c r="W46" l="1"/>
  <c r="W45"/>
  <c r="C47"/>
  <c r="K70" i="9"/>
  <c r="E25" i="8"/>
  <c r="E19"/>
  <c r="C4" i="9" s="1"/>
  <c r="C19"/>
  <c r="C23" s="1"/>
  <c r="C27" s="1"/>
  <c r="E24" i="8"/>
  <c r="C20" i="9"/>
  <c r="C24" s="1"/>
  <c r="C28" s="1"/>
  <c r="D8"/>
  <c r="F8"/>
  <c r="A6" i="10"/>
  <c r="AI5"/>
  <c r="G1" i="11"/>
  <c r="I31" i="8"/>
  <c r="H31"/>
  <c r="H37"/>
  <c r="I37"/>
  <c r="E8" i="9"/>
  <c r="S47" i="8" l="1"/>
  <c r="W47"/>
  <c r="C48"/>
  <c r="E31"/>
  <c r="C8" i="9"/>
  <c r="AL5" i="10"/>
  <c r="AM5" s="1"/>
  <c r="AN5" s="1"/>
  <c r="F16" i="9"/>
  <c r="D16"/>
  <c r="E12"/>
  <c r="D12"/>
  <c r="F12"/>
  <c r="E30" i="8"/>
  <c r="C7" i="9"/>
  <c r="A7" i="10"/>
  <c r="AI6"/>
  <c r="AL6" s="1"/>
  <c r="AM6" s="1"/>
  <c r="AN6" s="1"/>
  <c r="H1" i="11"/>
  <c r="E16" i="9"/>
  <c r="S48" i="8" l="1"/>
  <c r="W48"/>
  <c r="C49"/>
  <c r="E37"/>
  <c r="C16" i="9" s="1"/>
  <c r="C12"/>
  <c r="E36" i="8"/>
  <c r="C15" i="9" s="1"/>
  <c r="C11"/>
  <c r="A8" i="10"/>
  <c r="AI7"/>
  <c r="AL7" s="1"/>
  <c r="AM7" s="1"/>
  <c r="AN7" s="1"/>
  <c r="I1" i="11"/>
  <c r="S49" i="8" l="1"/>
  <c r="W49"/>
  <c r="C50"/>
  <c r="A9" i="10"/>
  <c r="AI8"/>
  <c r="AL8" s="1"/>
  <c r="AM8" s="1"/>
  <c r="AN8" s="1"/>
  <c r="J1" i="11"/>
  <c r="S50" i="8" l="1"/>
  <c r="W50"/>
  <c r="C51"/>
  <c r="A10" i="10"/>
  <c r="AI9"/>
  <c r="AL9" s="1"/>
  <c r="AM9" s="1"/>
  <c r="AN9" s="1"/>
  <c r="K1" i="11"/>
  <c r="S51" i="8" l="1"/>
  <c r="W51"/>
  <c r="C52"/>
  <c r="A11" i="10"/>
  <c r="AI10"/>
  <c r="AL10" s="1"/>
  <c r="AM10" s="1"/>
  <c r="AN10" s="1"/>
  <c r="L1" i="11"/>
  <c r="S52" i="8" l="1"/>
  <c r="W52"/>
  <c r="C53"/>
  <c r="A12" i="10"/>
  <c r="AI11"/>
  <c r="AL11" s="1"/>
  <c r="AM11" s="1"/>
  <c r="AN11" s="1"/>
  <c r="M1" i="11"/>
  <c r="S53" i="8" l="1"/>
  <c r="W53"/>
  <c r="C54"/>
  <c r="A13" i="10"/>
  <c r="AI12"/>
  <c r="AL12" s="1"/>
  <c r="AM12" s="1"/>
  <c r="N1" i="11"/>
  <c r="S54" i="8" l="1"/>
  <c r="W54"/>
  <c r="C55"/>
  <c r="A14" i="10"/>
  <c r="AI13"/>
  <c r="AL13" s="1"/>
  <c r="AM13" s="1"/>
  <c r="O1" i="11"/>
  <c r="S55" i="8" l="1"/>
  <c r="W55"/>
  <c r="C56"/>
  <c r="A15" i="10"/>
  <c r="AI14"/>
  <c r="AL14" s="1"/>
  <c r="AM14" s="1"/>
  <c r="P1" i="11"/>
  <c r="S56" i="8" l="1"/>
  <c r="W56"/>
  <c r="C57"/>
  <c r="A16" i="10"/>
  <c r="AI15"/>
  <c r="AL15" s="1"/>
  <c r="AM15" s="1"/>
  <c r="Q1" i="11"/>
  <c r="S57" i="8" l="1"/>
  <c r="W57"/>
  <c r="C58"/>
  <c r="A17" i="10"/>
  <c r="AI16"/>
  <c r="AL16" s="1"/>
  <c r="AM16" s="1"/>
  <c r="R1" i="11"/>
  <c r="S58" i="8" l="1"/>
  <c r="W58"/>
  <c r="C59"/>
  <c r="A18" i="10"/>
  <c r="AI17"/>
  <c r="AL17" s="1"/>
  <c r="AM17" s="1"/>
  <c r="S1" i="11"/>
  <c r="S59" i="8" l="1"/>
  <c r="W59"/>
  <c r="C60"/>
  <c r="A19" i="10"/>
  <c r="AI18"/>
  <c r="AL18" s="1"/>
  <c r="AM18" s="1"/>
  <c r="T1" i="11"/>
  <c r="S60" i="8" l="1"/>
  <c r="W60"/>
  <c r="C61"/>
  <c r="A20" i="10"/>
  <c r="AI19"/>
  <c r="AL19" s="1"/>
  <c r="AM19" s="1"/>
  <c r="U1" i="11"/>
  <c r="S61" i="8" l="1"/>
  <c r="W61"/>
  <c r="C62"/>
  <c r="A21" i="10"/>
  <c r="AI20"/>
  <c r="AP3" s="1"/>
  <c r="V1" i="11"/>
  <c r="S62" i="8" l="1"/>
  <c r="W62"/>
  <c r="C63"/>
  <c r="AL20" i="10"/>
  <c r="AM20" s="1"/>
  <c r="A22"/>
  <c r="AI21"/>
  <c r="AL21" s="1"/>
  <c r="AM21" s="1"/>
  <c r="W1" i="11"/>
  <c r="S63" i="8" l="1"/>
  <c r="W63"/>
  <c r="C64"/>
  <c r="A23" i="10"/>
  <c r="AI22"/>
  <c r="AL22" s="1"/>
  <c r="AM22" s="1"/>
  <c r="X1" i="11"/>
  <c r="S64" i="8" l="1"/>
  <c r="W64"/>
  <c r="C65"/>
  <c r="A24" i="10"/>
  <c r="AI23"/>
  <c r="AL23" s="1"/>
  <c r="AM23" s="1"/>
  <c r="Y1" i="11"/>
  <c r="S65" i="8" l="1"/>
  <c r="W65"/>
  <c r="C66"/>
  <c r="A25" i="10"/>
  <c r="AI24"/>
  <c r="AL24" s="1"/>
  <c r="AM24" s="1"/>
  <c r="Z1" i="11"/>
  <c r="S66" i="8" l="1"/>
  <c r="W66"/>
  <c r="C67"/>
  <c r="A26" i="10"/>
  <c r="AI25"/>
  <c r="AL25" s="1"/>
  <c r="AM25" s="1"/>
  <c r="AA1" i="11"/>
  <c r="S67" i="8" l="1"/>
  <c r="W67"/>
  <c r="C68"/>
  <c r="A27" i="10"/>
  <c r="AI26"/>
  <c r="AL26" s="1"/>
  <c r="AM26" s="1"/>
  <c r="AB1" i="11"/>
  <c r="S68" i="8" l="1"/>
  <c r="W68"/>
  <c r="C69"/>
  <c r="A28" i="10"/>
  <c r="AI27"/>
  <c r="AL27" s="1"/>
  <c r="AM27" s="1"/>
  <c r="AC1" i="11"/>
  <c r="S69" i="8" l="1"/>
  <c r="W69"/>
  <c r="C70"/>
  <c r="A29" i="10"/>
  <c r="AI28"/>
  <c r="AL28" s="1"/>
  <c r="AM28" s="1"/>
  <c r="AD1" i="11"/>
  <c r="S70" i="8" l="1"/>
  <c r="W70"/>
  <c r="C71"/>
  <c r="A30" i="10"/>
  <c r="AI29"/>
  <c r="AL29" s="1"/>
  <c r="AM29" s="1"/>
  <c r="AE1" i="11"/>
  <c r="S71" i="8" l="1"/>
  <c r="W71"/>
  <c r="C72"/>
  <c r="A31" i="10"/>
  <c r="AI30"/>
  <c r="AL30" s="1"/>
  <c r="AM30" s="1"/>
  <c r="AF1" i="11"/>
  <c r="S72" i="8" l="1"/>
  <c r="W72"/>
  <c r="C73"/>
  <c r="A32" i="10"/>
  <c r="AI31"/>
  <c r="AL31" s="1"/>
  <c r="AM31" s="1"/>
  <c r="AG1" i="11"/>
  <c r="S73" i="8" l="1"/>
  <c r="W73"/>
  <c r="C74"/>
  <c r="A33" i="10"/>
  <c r="AI32"/>
  <c r="S74" i="8" l="1"/>
  <c r="W74"/>
  <c r="C75"/>
  <c r="A34" i="10"/>
  <c r="AI33"/>
  <c r="S75" i="8" l="1"/>
  <c r="W75"/>
  <c r="C76"/>
  <c r="A35" i="10"/>
  <c r="AI34"/>
  <c r="S76" i="8" l="1"/>
  <c r="W76"/>
  <c r="C77"/>
  <c r="A36" i="10"/>
  <c r="AI35"/>
  <c r="S77" i="8" l="1"/>
  <c r="W77"/>
  <c r="C78"/>
  <c r="A37" i="10"/>
  <c r="AI36"/>
  <c r="S78" i="8" l="1"/>
  <c r="W78"/>
  <c r="C79"/>
  <c r="A38" i="10"/>
  <c r="AI37"/>
  <c r="S79" i="8" l="1"/>
  <c r="W79"/>
  <c r="C80"/>
  <c r="A39" i="10"/>
  <c r="AI38"/>
  <c r="S80" i="8" l="1"/>
  <c r="W80"/>
  <c r="C81"/>
  <c r="A40" i="10"/>
  <c r="AI39"/>
  <c r="S81" i="8" l="1"/>
  <c r="W81"/>
  <c r="C82"/>
  <c r="A41" i="10"/>
  <c r="AI40"/>
  <c r="S82" i="8" l="1"/>
  <c r="W82"/>
  <c r="C83"/>
  <c r="A42" i="10"/>
  <c r="AI41"/>
  <c r="S83" i="8" l="1"/>
  <c r="W83"/>
  <c r="C84"/>
  <c r="A43" i="10"/>
  <c r="AI42"/>
  <c r="S84" i="8" l="1"/>
  <c r="W84"/>
  <c r="C85"/>
  <c r="A44" i="10"/>
  <c r="AI43"/>
  <c r="S85" i="8" l="1"/>
  <c r="W85"/>
  <c r="C86"/>
  <c r="A45" i="10"/>
  <c r="AI44"/>
  <c r="S86" i="8" l="1"/>
  <c r="W86"/>
  <c r="C87"/>
  <c r="A46" i="10"/>
  <c r="AI45"/>
  <c r="S87" i="8" l="1"/>
  <c r="W87"/>
  <c r="C88"/>
  <c r="A47" i="10"/>
  <c r="AI46"/>
  <c r="S88" i="8" l="1"/>
  <c r="W88"/>
  <c r="C89"/>
  <c r="A48" i="10"/>
  <c r="AI47"/>
  <c r="S89" i="8" l="1"/>
  <c r="W89"/>
  <c r="C90"/>
  <c r="A49" i="10"/>
  <c r="AI48"/>
  <c r="S90" i="8" l="1"/>
  <c r="W90"/>
  <c r="C91"/>
  <c r="A50" i="10"/>
  <c r="AI49"/>
  <c r="S91" i="8" l="1"/>
  <c r="W91"/>
  <c r="C92"/>
  <c r="A51" i="10"/>
  <c r="AI50"/>
  <c r="S92" i="8" l="1"/>
  <c r="W92"/>
  <c r="C93"/>
  <c r="A52" i="10"/>
  <c r="AI51"/>
  <c r="S93" i="8" l="1"/>
  <c r="W93"/>
  <c r="C94"/>
  <c r="A53" i="10"/>
  <c r="AI52"/>
  <c r="S94" i="8" l="1"/>
  <c r="W94"/>
  <c r="C95"/>
  <c r="A54" i="10"/>
  <c r="AI53"/>
  <c r="S95" i="8" l="1"/>
  <c r="W95"/>
  <c r="C96"/>
  <c r="A55" i="10"/>
  <c r="AI54"/>
  <c r="S96" i="8" l="1"/>
  <c r="W96"/>
  <c r="C97"/>
  <c r="A56" i="10"/>
  <c r="AI55"/>
  <c r="S97" i="8" l="1"/>
  <c r="W97"/>
  <c r="C98"/>
  <c r="A57" i="10"/>
  <c r="AI56"/>
  <c r="S98" i="8" l="1"/>
  <c r="W98"/>
  <c r="C99"/>
  <c r="A58" i="10"/>
  <c r="AI57"/>
  <c r="S99" i="8" l="1"/>
  <c r="W99"/>
  <c r="C100"/>
  <c r="A59" i="10"/>
  <c r="AI58"/>
  <c r="S100" i="8" l="1"/>
  <c r="W100"/>
  <c r="C101"/>
  <c r="A60" i="10"/>
  <c r="AI59"/>
  <c r="S101" i="8" l="1"/>
  <c r="W101"/>
  <c r="C102"/>
  <c r="A61" i="10"/>
  <c r="AI60"/>
  <c r="S102" i="8" l="1"/>
  <c r="W102"/>
  <c r="C103"/>
  <c r="A62" i="10"/>
  <c r="AI61"/>
  <c r="S103" i="8" l="1"/>
  <c r="W103"/>
  <c r="C104"/>
  <c r="A63" i="10"/>
  <c r="AI62"/>
  <c r="S104" i="8" l="1"/>
  <c r="W104"/>
  <c r="C105"/>
  <c r="A64" i="10"/>
  <c r="AI63"/>
  <c r="S105" i="8" l="1"/>
  <c r="W105"/>
  <c r="C106"/>
  <c r="A65" i="10"/>
  <c r="AI64"/>
  <c r="S106" i="8" l="1"/>
  <c r="W106"/>
  <c r="C107"/>
  <c r="A66" i="10"/>
  <c r="AI65"/>
  <c r="S107" i="8" l="1"/>
  <c r="W107"/>
  <c r="C108"/>
  <c r="A67" i="10"/>
  <c r="AI66"/>
  <c r="S108" i="8" l="1"/>
  <c r="W108"/>
  <c r="C109"/>
  <c r="A68" i="10"/>
  <c r="AI67"/>
  <c r="S109" i="8" l="1"/>
  <c r="W109"/>
  <c r="C110"/>
  <c r="A69" i="10"/>
  <c r="AI68"/>
  <c r="S110" i="8" l="1"/>
  <c r="W110"/>
  <c r="C111"/>
  <c r="A70" i="10"/>
  <c r="AI69"/>
  <c r="S111" i="8" l="1"/>
  <c r="W111"/>
  <c r="C112"/>
  <c r="A71" i="10"/>
  <c r="AI70"/>
  <c r="S112" i="8" l="1"/>
  <c r="W112"/>
  <c r="C113"/>
  <c r="A72" i="10"/>
  <c r="AI71"/>
  <c r="S113" i="8" l="1"/>
  <c r="W113"/>
  <c r="C114"/>
  <c r="A73" i="10"/>
  <c r="AI72"/>
  <c r="S114" i="8" l="1"/>
  <c r="W114"/>
  <c r="C115"/>
  <c r="A74" i="10"/>
  <c r="AI73"/>
  <c r="S115" i="8" l="1"/>
  <c r="W115"/>
  <c r="C116"/>
  <c r="A75" i="10"/>
  <c r="AI74"/>
  <c r="S116" i="8" l="1"/>
  <c r="W116"/>
  <c r="C117"/>
  <c r="A76" i="10"/>
  <c r="AI75"/>
  <c r="S117" i="8" l="1"/>
  <c r="W117"/>
  <c r="C118"/>
  <c r="A77" i="10"/>
  <c r="AI76"/>
  <c r="S118" i="8" l="1"/>
  <c r="W118"/>
  <c r="C119"/>
  <c r="A78" i="10"/>
  <c r="AI77"/>
  <c r="S119" i="8" l="1"/>
  <c r="W119"/>
  <c r="C120"/>
  <c r="A79" i="10"/>
  <c r="AI78"/>
  <c r="S120" i="8" l="1"/>
  <c r="W120"/>
  <c r="C121"/>
  <c r="A80" i="10"/>
  <c r="AI79"/>
  <c r="S121" i="8" l="1"/>
  <c r="W121"/>
  <c r="C122"/>
  <c r="A81" i="10"/>
  <c r="AI80"/>
  <c r="S122" i="8" l="1"/>
  <c r="W122"/>
  <c r="C123"/>
  <c r="A82" i="10"/>
  <c r="AI81"/>
  <c r="BA30" i="8"/>
  <c r="AS30"/>
  <c r="AK30"/>
  <c r="AA30"/>
  <c r="AY30"/>
  <c r="AQ30"/>
  <c r="AI30"/>
  <c r="AC30"/>
  <c r="BC18"/>
  <c r="AY18"/>
  <c r="AU18"/>
  <c r="AQ18"/>
  <c r="AM18"/>
  <c r="AI18"/>
  <c r="AE18"/>
  <c r="AA18"/>
  <c r="BC24"/>
  <c r="BA24"/>
  <c r="AY24"/>
  <c r="AW24"/>
  <c r="AU24"/>
  <c r="AS24"/>
  <c r="AQ24"/>
  <c r="AO24"/>
  <c r="AM24"/>
  <c r="AK24"/>
  <c r="AI24"/>
  <c r="AG24"/>
  <c r="AE24"/>
  <c r="AC24"/>
  <c r="AA24"/>
  <c r="Y24"/>
  <c r="BB24"/>
  <c r="AZ24"/>
  <c r="AX24"/>
  <c r="AV24"/>
  <c r="AT24"/>
  <c r="AR24"/>
  <c r="AP24"/>
  <c r="AN24"/>
  <c r="AL24"/>
  <c r="AJ24"/>
  <c r="AH24"/>
  <c r="AF24"/>
  <c r="AD24"/>
  <c r="AB24"/>
  <c r="Z24"/>
  <c r="X24"/>
  <c r="BB18"/>
  <c r="AZ18"/>
  <c r="AX18"/>
  <c r="AV18"/>
  <c r="AT18"/>
  <c r="AR18"/>
  <c r="AP18"/>
  <c r="AN18"/>
  <c r="AL18"/>
  <c r="AJ18"/>
  <c r="AH18"/>
  <c r="AF18"/>
  <c r="AD18"/>
  <c r="AB18"/>
  <c r="Z18"/>
  <c r="X18"/>
  <c r="AW30"/>
  <c r="AO30"/>
  <c r="AG30"/>
  <c r="BC30"/>
  <c r="AU30"/>
  <c r="AM30"/>
  <c r="AE30"/>
  <c r="Y30"/>
  <c r="BA18"/>
  <c r="AW18"/>
  <c r="AS18"/>
  <c r="AO18"/>
  <c r="AK18"/>
  <c r="AG18"/>
  <c r="AC18"/>
  <c r="Y18"/>
  <c r="BC36"/>
  <c r="BA36"/>
  <c r="AY36"/>
  <c r="AW36"/>
  <c r="AU36"/>
  <c r="AS36"/>
  <c r="AQ36"/>
  <c r="AO36"/>
  <c r="AM36"/>
  <c r="AK36"/>
  <c r="AI36"/>
  <c r="AG36"/>
  <c r="AE36"/>
  <c r="AC36"/>
  <c r="AA36"/>
  <c r="Y36"/>
  <c r="BB36"/>
  <c r="AZ36"/>
  <c r="AX36"/>
  <c r="AV36"/>
  <c r="AT36"/>
  <c r="AR36"/>
  <c r="AP36"/>
  <c r="AN36"/>
  <c r="AL36"/>
  <c r="AJ36"/>
  <c r="AH36"/>
  <c r="AF36"/>
  <c r="AD36"/>
  <c r="AB36"/>
  <c r="Z36"/>
  <c r="X36"/>
  <c r="BB30"/>
  <c r="AZ30"/>
  <c r="AX30"/>
  <c r="AV30"/>
  <c r="AT30"/>
  <c r="AR30"/>
  <c r="AP30"/>
  <c r="AN30"/>
  <c r="AL30"/>
  <c r="AJ30"/>
  <c r="AH30"/>
  <c r="AF30"/>
  <c r="AD30"/>
  <c r="AB30"/>
  <c r="Z30"/>
  <c r="X30"/>
  <c r="S123" l="1"/>
  <c r="W123"/>
  <c r="C124"/>
  <c r="AI82" i="10"/>
  <c r="S124" i="8" l="1"/>
  <c r="W124"/>
  <c r="K18"/>
  <c r="I18"/>
  <c r="J18"/>
  <c r="H18"/>
  <c r="E3" i="9" s="1"/>
  <c r="Q18" i="8"/>
  <c r="P18"/>
  <c r="O18"/>
  <c r="N18"/>
  <c r="M18"/>
  <c r="L18"/>
  <c r="O36"/>
  <c r="N36"/>
  <c r="L36"/>
  <c r="M36"/>
  <c r="P36"/>
  <c r="Q36"/>
  <c r="K24"/>
  <c r="J24"/>
  <c r="I24"/>
  <c r="AS45"/>
  <c r="AS53"/>
  <c r="H24"/>
  <c r="L30"/>
  <c r="M30"/>
  <c r="P30"/>
  <c r="Q30"/>
  <c r="O30"/>
  <c r="N30"/>
  <c r="O24"/>
  <c r="N24"/>
  <c r="L24"/>
  <c r="M24"/>
  <c r="K36"/>
  <c r="J36"/>
  <c r="H36"/>
  <c r="I36"/>
  <c r="P24"/>
  <c r="Q24"/>
  <c r="K30"/>
  <c r="J30"/>
  <c r="I30"/>
  <c r="H30"/>
  <c r="F3" i="9" l="1"/>
  <c r="D3"/>
  <c r="F15"/>
  <c r="D15"/>
  <c r="E15"/>
  <c r="AS44" i="8"/>
  <c r="AS46" s="1"/>
  <c r="F11" i="9"/>
  <c r="D11"/>
  <c r="E11"/>
  <c r="D7"/>
  <c r="F7"/>
  <c r="E7"/>
  <c r="D64" s="1"/>
  <c r="AS47" i="8" l="1"/>
  <c r="AS48" l="1"/>
  <c r="AS49" l="1"/>
  <c r="AS50" l="1"/>
  <c r="AS51" l="1"/>
  <c r="AS52" l="1"/>
  <c r="AT53"/>
  <c r="AT49"/>
  <c r="AT45"/>
  <c r="AT50"/>
  <c r="AT51"/>
  <c r="AT47"/>
  <c r="AT52"/>
  <c r="AT48"/>
  <c r="AT46"/>
</calcChain>
</file>

<file path=xl/comments1.xml><?xml version="1.0" encoding="utf-8"?>
<comments xmlns="http://schemas.openxmlformats.org/spreadsheetml/2006/main">
  <authors>
    <author>Author</author>
  </authors>
  <commentList>
    <comment ref="B4" authorId="0">
      <text>
        <r>
          <rPr>
            <sz val="12"/>
            <color indexed="81"/>
            <rFont val="Tahoma"/>
            <family val="2"/>
          </rPr>
          <t>Step size: Use to control overall range
Fixed 80 Points
1: Range 80mm
2: Range 160mm
3: Range 240mm</t>
        </r>
      </text>
    </comment>
    <comment ref="B5" authorId="0">
      <text>
        <r>
          <rPr>
            <sz val="12"/>
            <color indexed="81"/>
            <rFont val="Tahoma"/>
            <family val="2"/>
          </rPr>
          <t>0 - Fixture which actually goes to zero when FAR (normal use)
1 - Xtalk creates an offset @ FAR</t>
        </r>
      </text>
    </comment>
  </commentList>
</comments>
</file>

<file path=xl/sharedStrings.xml><?xml version="1.0" encoding="utf-8"?>
<sst xmlns="http://schemas.openxmlformats.org/spreadsheetml/2006/main" count="124" uniqueCount="80">
  <si>
    <t>mean</t>
  </si>
  <si>
    <t>stdev</t>
  </si>
  <si>
    <t>#/devices</t>
  </si>
  <si>
    <t>start</t>
  </si>
  <si>
    <t>increment</t>
  </si>
  <si>
    <t>Transition</t>
  </si>
  <si>
    <t>Mean</t>
  </si>
  <si>
    <t>Stdev</t>
  </si>
  <si>
    <t>data</t>
  </si>
  <si>
    <t>#</t>
  </si>
  <si>
    <t>Label</t>
  </si>
  <si>
    <t>Sub Label</t>
  </si>
  <si>
    <t>Unit</t>
  </si>
  <si>
    <t>mm</t>
  </si>
  <si>
    <t>step</t>
  </si>
  <si>
    <t>min</t>
  </si>
  <si>
    <t>max</t>
  </si>
  <si>
    <t>count</t>
  </si>
  <si>
    <t>Histogram</t>
  </si>
  <si>
    <t>Range Ratio</t>
  </si>
  <si>
    <t>rev</t>
  </si>
  <si>
    <t>Offset</t>
  </si>
  <si>
    <t>relativePrx</t>
  </si>
  <si>
    <t>HI</t>
  </si>
  <si>
    <t>LO</t>
  </si>
  <si>
    <t>FSR</t>
  </si>
  <si>
    <t>Cell 0</t>
  </si>
  <si>
    <t>Cell 1</t>
  </si>
  <si>
    <t>Cell 2</t>
  </si>
  <si>
    <t>Cell 3</t>
  </si>
  <si>
    <t>All</t>
  </si>
  <si>
    <t>LO-MID</t>
  </si>
  <si>
    <t>HI-MID</t>
  </si>
  <si>
    <t>MAX</t>
  </si>
  <si>
    <t>X</t>
  </si>
  <si>
    <t>AVG</t>
  </si>
  <si>
    <t>Composite</t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</si>
  <si>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Min</t>
    </r>
  </si>
  <si>
    <r>
      <t>3</t>
    </r>
    <r>
      <rPr>
        <sz val="11"/>
        <color theme="1"/>
        <rFont val="Symbol"/>
        <family val="1"/>
        <charset val="2"/>
      </rPr>
      <t>s</t>
    </r>
    <r>
      <rPr>
        <sz val="11"/>
        <color theme="1"/>
        <rFont val="Calibri"/>
        <family val="2"/>
        <scheme val="minor"/>
      </rPr>
      <t xml:space="preserve"> Max</t>
    </r>
  </si>
  <si>
    <t>min Offset</t>
  </si>
  <si>
    <t>max Offset</t>
  </si>
  <si>
    <t>Saturation</t>
  </si>
  <si>
    <t>resolution</t>
  </si>
  <si>
    <t>fullscale</t>
  </si>
  <si>
    <t>Mask</t>
  </si>
  <si>
    <t>Adjust</t>
  </si>
  <si>
    <t>res.</t>
  </si>
  <si>
    <t>Set</t>
  </si>
  <si>
    <t>Glass Xmit @850nm=</t>
  </si>
  <si>
    <t>Target Reflection=</t>
  </si>
  <si>
    <t>Package Height=</t>
  </si>
  <si>
    <t>Spacer=</t>
  </si>
  <si>
    <t>Gap=</t>
  </si>
  <si>
    <t>Device</t>
  </si>
  <si>
    <t>Palette</t>
  </si>
  <si>
    <t>Start (mm)=</t>
  </si>
  <si>
    <t>Offset Adjust</t>
  </si>
  <si>
    <t>Total Offset</t>
  </si>
  <si>
    <t>Total Offset Ratio</t>
  </si>
  <si>
    <t>Key</t>
  </si>
  <si>
    <t>Output Values</t>
  </si>
  <si>
    <t>Input Values</t>
  </si>
  <si>
    <t>Out of Range</t>
  </si>
  <si>
    <t>SwpRng</t>
  </si>
  <si>
    <t>Sweep Range (mm)=</t>
  </si>
  <si>
    <t>Params</t>
  </si>
  <si>
    <t>PswpStart=</t>
  </si>
  <si>
    <t>PswpStop=</t>
  </si>
  <si>
    <t>PswpStep=</t>
  </si>
  <si>
    <r>
      <t>-1.5</t>
    </r>
    <r>
      <rPr>
        <sz val="11"/>
        <color theme="1"/>
        <rFont val="Calibri"/>
        <family val="2"/>
      </rPr>
      <t>σ</t>
    </r>
  </si>
  <si>
    <t>+1.5σ</t>
  </si>
  <si>
    <t>Max</t>
  </si>
  <si>
    <t>Rel.</t>
  </si>
  <si>
    <t>Valid "Near"</t>
  </si>
  <si>
    <r>
      <t>y = 5.9868x</t>
    </r>
    <r>
      <rPr>
        <vertAlign val="superscript"/>
        <sz val="10"/>
        <color rgb="FF000000"/>
        <rFont val="Calibri"/>
        <family val="2"/>
        <scheme val="minor"/>
      </rPr>
      <t>-1.191</t>
    </r>
    <r>
      <rPr>
        <sz val="10"/>
        <color rgb="FF000000"/>
        <rFont val="Calibri"/>
        <family val="2"/>
        <scheme val="minor"/>
      </rPr>
      <t xml:space="preserve"> </t>
    </r>
  </si>
  <si>
    <t>Normalize Hi Range</t>
  </si>
  <si>
    <t>Calc.</t>
  </si>
  <si>
    <t>Offset Resolution</t>
  </si>
  <si>
    <t xml:space="preserve"> Proximity Sweep: </t>
  </si>
  <si>
    <t>Plate Thickness=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</si>
</sst>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"/>
    <numFmt numFmtId="166" formatCode="0.0%"/>
  </numFmts>
  <fonts count="8"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b/>
      <sz val="11"/>
      <color theme="1"/>
      <name val="Calibri"/>
      <family val="2"/>
      <scheme val="minor"/>
    </font>
    <font>
      <sz val="12"/>
      <color indexed="81"/>
      <name val="Tahoma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rgb="FF000000"/>
      <name val="Calibri"/>
      <family val="2"/>
      <scheme val="minor"/>
    </font>
    <font>
      <vertAlign val="superscript"/>
      <sz val="10"/>
      <color rgb="FF0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3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0" borderId="0" xfId="0" applyFill="1" applyBorder="1" applyAlignment="1"/>
    <xf numFmtId="165" fontId="0" fillId="0" borderId="0" xfId="0" applyNumberFormat="1" applyFon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2" borderId="2" xfId="0" applyFill="1" applyBorder="1" applyAlignment="1">
      <alignment horizontal="right"/>
    </xf>
    <xf numFmtId="165" fontId="0" fillId="0" borderId="0" xfId="0" applyNumberForma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165" fontId="0" fillId="0" borderId="0" xfId="0" applyNumberFormat="1"/>
    <xf numFmtId="0" fontId="0" fillId="0" borderId="0" xfId="0"/>
    <xf numFmtId="0" fontId="0" fillId="0" borderId="0" xfId="0" applyBorder="1"/>
    <xf numFmtId="165" fontId="0" fillId="0" borderId="0" xfId="0" applyNumberFormat="1" applyBorder="1"/>
    <xf numFmtId="166" fontId="0" fillId="0" borderId="0" xfId="0" applyNumberFormat="1" applyBorder="1"/>
    <xf numFmtId="0" fontId="0" fillId="0" borderId="0" xfId="0" applyBorder="1" applyAlignment="1"/>
    <xf numFmtId="0" fontId="0" fillId="0" borderId="0" xfId="0" applyAlignment="1">
      <alignment horizontal="center"/>
    </xf>
    <xf numFmtId="9" fontId="0" fillId="0" borderId="0" xfId="0" applyNumberFormat="1" applyBorder="1"/>
    <xf numFmtId="2" fontId="0" fillId="2" borderId="2" xfId="0" applyNumberFormat="1" applyFill="1" applyBorder="1"/>
    <xf numFmtId="165" fontId="0" fillId="0" borderId="7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4" fontId="0" fillId="0" borderId="0" xfId="0" applyNumberFormat="1" applyBorder="1"/>
    <xf numFmtId="165" fontId="2" fillId="0" borderId="0" xfId="0" applyNumberFormat="1" applyFont="1"/>
    <xf numFmtId="164" fontId="0" fillId="0" borderId="0" xfId="0" applyNumberFormat="1" applyFont="1" applyBorder="1"/>
    <xf numFmtId="166" fontId="0" fillId="0" borderId="1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Alignment="1">
      <alignment vertical="center"/>
    </xf>
    <xf numFmtId="165" fontId="0" fillId="0" borderId="3" xfId="0" applyNumberFormat="1" applyBorder="1"/>
    <xf numFmtId="165" fontId="0" fillId="0" borderId="6" xfId="0" applyNumberFormat="1" applyBorder="1"/>
    <xf numFmtId="166" fontId="0" fillId="0" borderId="7" xfId="0" applyNumberFormat="1" applyBorder="1"/>
    <xf numFmtId="165" fontId="0" fillId="0" borderId="8" xfId="0" applyNumberFormat="1" applyBorder="1"/>
    <xf numFmtId="166" fontId="0" fillId="0" borderId="9" xfId="0" applyNumberFormat="1" applyBorder="1"/>
    <xf numFmtId="166" fontId="0" fillId="0" borderId="10" xfId="0" applyNumberFormat="1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 applyFo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center"/>
    </xf>
    <xf numFmtId="9" fontId="0" fillId="4" borderId="7" xfId="0" applyNumberFormat="1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right"/>
    </xf>
    <xf numFmtId="166" fontId="0" fillId="0" borderId="0" xfId="0" applyNumberFormat="1" applyBorder="1" applyAlignment="1">
      <alignment horizontal="center"/>
    </xf>
    <xf numFmtId="0" fontId="0" fillId="0" borderId="0" xfId="0" applyBorder="1" applyAlignment="1">
      <alignment vertical="top"/>
    </xf>
    <xf numFmtId="165" fontId="0" fillId="0" borderId="0" xfId="0" applyNumberFormat="1" applyBorder="1" applyAlignment="1"/>
    <xf numFmtId="164" fontId="0" fillId="0" borderId="0" xfId="0" applyNumberFormat="1" applyBorder="1" applyAlignment="1"/>
    <xf numFmtId="164" fontId="0" fillId="0" borderId="0" xfId="0" applyNumberFormat="1" applyFill="1" applyBorder="1" applyAlignment="1"/>
    <xf numFmtId="0" fontId="0" fillId="4" borderId="5" xfId="0" applyNumberFormat="1" applyFill="1" applyBorder="1" applyAlignment="1">
      <alignment horizontal="center" vertical="center"/>
    </xf>
    <xf numFmtId="0" fontId="0" fillId="4" borderId="7" xfId="0" applyNumberFormat="1" applyFill="1" applyBorder="1" applyAlignment="1">
      <alignment horizontal="center" vertical="center"/>
    </xf>
    <xf numFmtId="165" fontId="0" fillId="4" borderId="7" xfId="0" applyNumberFormat="1" applyFill="1" applyBorder="1" applyAlignment="1">
      <alignment horizontal="left" vertical="center"/>
    </xf>
    <xf numFmtId="2" fontId="0" fillId="2" borderId="2" xfId="0" applyNumberFormat="1" applyFill="1" applyBorder="1" applyAlignment="1">
      <alignment horizontal="right"/>
    </xf>
    <xf numFmtId="165" fontId="0" fillId="0" borderId="1" xfId="0" applyNumberFormat="1" applyBorder="1" applyAlignment="1">
      <alignment horizontal="center"/>
    </xf>
    <xf numFmtId="2" fontId="0" fillId="2" borderId="0" xfId="0" applyNumberFormat="1" applyFill="1" applyBorder="1"/>
    <xf numFmtId="166" fontId="0" fillId="0" borderId="0" xfId="0" applyNumberFormat="1" applyFont="1" applyBorder="1" applyAlignment="1">
      <alignment horizontal="center"/>
    </xf>
    <xf numFmtId="0" fontId="0" fillId="0" borderId="6" xfId="0" applyBorder="1"/>
    <xf numFmtId="0" fontId="0" fillId="0" borderId="8" xfId="0" applyBorder="1"/>
    <xf numFmtId="0" fontId="0" fillId="0" borderId="0" xfId="0" quotePrefix="1" applyBorder="1" applyAlignment="1">
      <alignment horizontal="center"/>
    </xf>
    <xf numFmtId="0" fontId="0" fillId="4" borderId="0" xfId="0" applyFill="1" applyBorder="1"/>
    <xf numFmtId="2" fontId="0" fillId="2" borderId="1" xfId="0" applyNumberFormat="1" applyFill="1" applyBorder="1"/>
    <xf numFmtId="0" fontId="0" fillId="0" borderId="0" xfId="0" applyBorder="1" applyAlignment="1">
      <alignment horizontal="left" vertical="top" wrapText="1"/>
    </xf>
    <xf numFmtId="2" fontId="0" fillId="0" borderId="0" xfId="0" applyNumberFormat="1" applyFill="1" applyBorder="1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1" xfId="0" applyBorder="1" applyAlignment="1">
      <alignment horizontal="left" vertical="top" wrapText="1"/>
    </xf>
    <xf numFmtId="0" fontId="0" fillId="2" borderId="14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9" fontId="0" fillId="0" borderId="1" xfId="0" applyNumberFormat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9" fontId="0" fillId="0" borderId="11" xfId="0" applyNumberFormat="1" applyBorder="1" applyAlignment="1">
      <alignment horizontal="center" vertical="top"/>
    </xf>
    <xf numFmtId="0" fontId="0" fillId="0" borderId="12" xfId="0" applyBorder="1" applyAlignment="1">
      <alignment horizontal="center" vertical="top"/>
    </xf>
    <xf numFmtId="0" fontId="0" fillId="0" borderId="13" xfId="0" applyBorder="1" applyAlignment="1">
      <alignment horizontal="center" vertical="top"/>
    </xf>
    <xf numFmtId="0" fontId="0" fillId="0" borderId="1" xfId="0" applyBorder="1" applyAlignment="1">
      <alignment horizontal="center" vertical="top" wrapText="1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6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0" fontId="0" fillId="0" borderId="8" xfId="0" applyFill="1" applyBorder="1" applyAlignment="1">
      <alignment horizontal="right"/>
    </xf>
    <xf numFmtId="0" fontId="0" fillId="0" borderId="9" xfId="0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7" borderId="0" xfId="0" applyFill="1" applyBorder="1" applyAlignment="1">
      <alignment horizontal="center"/>
    </xf>
    <xf numFmtId="0" fontId="6" fillId="0" borderId="0" xfId="0" applyFont="1" applyAlignment="1">
      <alignment horizontal="center" readingOrder="1"/>
    </xf>
    <xf numFmtId="0" fontId="0" fillId="0" borderId="0" xfId="0" applyFill="1" applyBorder="1" applyAlignment="1">
      <alignment horizontal="center"/>
    </xf>
    <xf numFmtId="0" fontId="4" fillId="0" borderId="0" xfId="0" applyFont="1" applyAlignment="1">
      <alignment horizontal="left"/>
    </xf>
    <xf numFmtId="0" fontId="0" fillId="4" borderId="0" xfId="0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NumberFormat="1" applyAlignment="1">
      <alignment horizontal="left"/>
    </xf>
  </cellXfs>
  <cellStyles count="1">
    <cellStyle name="Normal" xfId="0" builtinId="0"/>
  </cellStyles>
  <dxfs count="5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C00000"/>
        </patternFill>
      </fill>
    </dxf>
  </dxfs>
  <tableStyles count="0" defaultTableStyle="TableStyleMedium9" defaultPivotStyle="PivotStyleLight16"/>
  <colors>
    <mruColors>
      <color rgb="FF070707"/>
      <color rgb="FFE5E5E5"/>
      <color rgb="FF2D2D2D"/>
      <color rgb="FF0C0C0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Range Distribution (10%): 6% Reflector , 77% Xmit @ 850nm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Calculations!$AS$45:$AS$53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Calculations!$AT$45:$AT$53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141805824"/>
        <c:axId val="141885440"/>
      </c:barChart>
      <c:catAx>
        <c:axId val="14180582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 to</a:t>
                </a:r>
                <a:r>
                  <a:rPr lang="en-US" baseline="0"/>
                  <a:t> Target Distance in mm</a:t>
                </a:r>
                <a:endParaRPr lang="en-US"/>
              </a:p>
            </c:rich>
          </c:tx>
        </c:title>
        <c:numFmt formatCode="0.0" sourceLinked="1"/>
        <c:tickLblPos val="nextTo"/>
        <c:crossAx val="141885440"/>
        <c:crosses val="autoZero"/>
        <c:auto val="1"/>
        <c:lblAlgn val="ctr"/>
        <c:lblOffset val="100"/>
      </c:catAx>
      <c:valAx>
        <c:axId val="14188544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 devices</a:t>
                </a:r>
              </a:p>
            </c:rich>
          </c:tx>
        </c:title>
        <c:numFmt formatCode="General" sourceLinked="1"/>
        <c:tickLblPos val="nextTo"/>
        <c:crossAx val="141805824"/>
        <c:crosses val="autoZero"/>
        <c:crossBetween val="between"/>
      </c:valAx>
    </c:plotArea>
    <c:plotVisOnly val="1"/>
  </c:chart>
  <c:printSettings>
    <c:headerFooter/>
    <c:pageMargins b="0.75000000000000366" l="0.70000000000000062" r="0.70000000000000062" t="0.7500000000000036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Proximity Sweep: 6% Reflector , 77% Xmit @ 850nm</a:t>
            </a:r>
          </a:p>
        </c:rich>
      </c:tx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41949568"/>
        <c:axId val="142099200"/>
      </c:scatterChart>
      <c:valAx>
        <c:axId val="141949568"/>
        <c:scaling>
          <c:orientation val="minMax"/>
          <c:max val="80"/>
          <c:min val="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42099200"/>
        <c:crosses val="autoZero"/>
        <c:crossBetween val="midCat"/>
      </c:valAx>
      <c:valAx>
        <c:axId val="142099200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41949568"/>
        <c:crosses val="autoZero"/>
        <c:crossBetween val="midCat"/>
        <c:majorUnit val="0.1"/>
        <c:minorUnit val="0.05"/>
      </c:valAx>
    </c:plotArea>
    <c:legend>
      <c:legendPos val="r"/>
      <c:layout>
        <c:manualLayout>
          <c:xMode val="edge"/>
          <c:yMode val="edge"/>
          <c:x val="0.84425090079436249"/>
          <c:y val="0.32421819267641"/>
          <c:w val="0.13440813913970043"/>
          <c:h val="0.35156317292941763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Summary!$B$65</c:f>
          <c:strCache>
            <c:ptCount val="1"/>
            <c:pt idx="0">
              <c:v>29147 `Near' Detect Region: 6% Reflector , 77% Xmit @ 850nm</c:v>
            </c:pt>
          </c:strCache>
        </c:strRef>
      </c:tx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42805248"/>
        <c:axId val="142823808"/>
      </c:scatterChart>
      <c:valAx>
        <c:axId val="142805248"/>
        <c:scaling>
          <c:orientation val="minMax"/>
          <c:max val="30"/>
          <c:min val="5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42823808"/>
        <c:crosses val="autoZero"/>
        <c:crossBetween val="midCat"/>
        <c:majorUnit val="5"/>
        <c:minorUnit val="1"/>
      </c:valAx>
      <c:valAx>
        <c:axId val="142823808"/>
        <c:scaling>
          <c:orientation val="minMax"/>
          <c:max val="0.5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42805248"/>
        <c:crosses val="autoZero"/>
        <c:crossBetween val="midCat"/>
        <c:minorUnit val="1.0000000000000005E-2"/>
      </c:valAx>
    </c:plotArea>
    <c:legend>
      <c:legendPos val="r"/>
      <c:layout>
        <c:manualLayout>
          <c:xMode val="edge"/>
          <c:yMode val="edge"/>
          <c:x val="0.84425090079436249"/>
          <c:y val="0.32421819267641011"/>
          <c:w val="0.13440813913970048"/>
          <c:h val="0.35156317292941786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`Far` Offset Region: 6% Reflector , 77% Xmit @ 850nm</a:t>
            </a:r>
          </a:p>
        </c:rich>
      </c:tx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42866304"/>
        <c:axId val="142868480"/>
      </c:scatterChart>
      <c:valAx>
        <c:axId val="142866304"/>
        <c:scaling>
          <c:orientation val="minMax"/>
          <c:max val="80"/>
          <c:min val="7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42868480"/>
        <c:crosses val="autoZero"/>
        <c:crossBetween val="midCat"/>
      </c:valAx>
      <c:valAx>
        <c:axId val="142868480"/>
        <c:scaling>
          <c:orientation val="minMax"/>
          <c:max val="0.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42866304"/>
        <c:crosses val="autoZero"/>
        <c:crossBetween val="midCat"/>
        <c:minorUnit val="1.0000000000000005E-2"/>
      </c:valAx>
    </c:plotArea>
    <c:legend>
      <c:legendPos val="r"/>
      <c:layout>
        <c:manualLayout>
          <c:xMode val="edge"/>
          <c:yMode val="edge"/>
          <c:x val="0.84425090079436249"/>
          <c:y val="0.32421819267641011"/>
          <c:w val="0.13440813913970048"/>
          <c:h val="0.35156317292941786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Summary!$B$68</c:f>
          <c:strCache>
            <c:ptCount val="1"/>
            <c:pt idx="0">
              <c:v>29147 IRDR Range Ratio: 6% Reflector , 77% Xmit @ 850nm</c:v>
            </c:pt>
          </c:strCache>
        </c:strRef>
      </c:tx>
      <c:layout/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smoothMarker"/>
        <c:ser>
          <c:idx val="0"/>
          <c:order val="0"/>
          <c:tx>
            <c:strRef>
              <c:f>Calculations!$P$43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Calculations!$P$47:$P$62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Calculations!$Q$43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Calculations!$Q$47:$Q$62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Calculations!$R$43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Calculations!$R$47:$R$62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axId val="142924416"/>
        <c:axId val="142938496"/>
      </c:scatterChart>
      <c:valAx>
        <c:axId val="142924416"/>
        <c:scaling>
          <c:orientation val="minMax"/>
          <c:max val="21"/>
          <c:min val="6"/>
        </c:scaling>
        <c:axPos val="b"/>
        <c:numFmt formatCode="0" sourceLinked="0"/>
        <c:tickLblPos val="nextTo"/>
        <c:crossAx val="142938496"/>
        <c:crosses val="autoZero"/>
        <c:crossBetween val="midCat"/>
      </c:valAx>
      <c:valAx>
        <c:axId val="142938496"/>
        <c:scaling>
          <c:orientation val="minMax"/>
          <c:min val="1"/>
        </c:scaling>
        <c:axPos val="l"/>
        <c:majorGridlines/>
        <c:minorGridlines/>
        <c:numFmt formatCode="General" sourceLinked="1"/>
        <c:tickLblPos val="nextTo"/>
        <c:crossAx val="142924416"/>
        <c:crosses val="autoZero"/>
        <c:crossBetween val="midCat"/>
        <c:minorUnit val="0.1"/>
      </c:valAx>
    </c:plotArea>
    <c:legend>
      <c:legendPos val="r"/>
      <c:layout/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Summary!$B$86</c:f>
          <c:strCache>
            <c:ptCount val="1"/>
            <c:pt idx="0">
              <c:v>29147 System Curve: 6% Reflector , 77% Xmit @ 850nm</c:v>
            </c:pt>
          </c:strCache>
        </c:strRef>
      </c:tx>
      <c:layout/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Calculations!$T$43</c:f>
              <c:strCache>
                <c:ptCount val="1"/>
                <c:pt idx="0">
                  <c:v>-1.5σ</c:v>
                </c:pt>
              </c:strCache>
            </c:strRef>
          </c:tx>
          <c:spPr>
            <a:ln>
              <a:solidFill>
                <a:srgbClr val="070707"/>
              </a:solidFill>
              <a:prstDash val="sysDot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Calculations!$T$44:$T$124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Calculations!$U$43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Calculations!$U$44:$U$124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2"/>
          <c:order val="2"/>
          <c:tx>
            <c:strRef>
              <c:f>Calculations!$V$43</c:f>
              <c:strCache>
                <c:ptCount val="1"/>
                <c:pt idx="0">
                  <c:v>+1.5σ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Calculations!$V$44:$V$124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Calculations!$W$43</c:f>
              <c:strCache>
                <c:ptCount val="1"/>
                <c:pt idx="0">
                  <c:v>Calc.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Calculations!$W$44:$W$124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42992896"/>
        <c:axId val="142994432"/>
      </c:scatterChart>
      <c:valAx>
        <c:axId val="142992896"/>
        <c:scaling>
          <c:orientation val="minMax"/>
          <c:max val="80"/>
        </c:scaling>
        <c:axPos val="b"/>
        <c:numFmt formatCode="0.0" sourceLinked="1"/>
        <c:tickLblPos val="nextTo"/>
        <c:crossAx val="142994432"/>
        <c:crosses val="autoZero"/>
        <c:crossBetween val="midCat"/>
      </c:valAx>
      <c:valAx>
        <c:axId val="142994432"/>
        <c:scaling>
          <c:orientation val="minMax"/>
          <c:max val="1.2"/>
          <c:min val="0"/>
        </c:scaling>
        <c:axPos val="l"/>
        <c:majorGridlines/>
        <c:numFmt formatCode="0%" sourceLinked="0"/>
        <c:tickLblPos val="nextTo"/>
        <c:crossAx val="142992896"/>
        <c:crosses val="autoZero"/>
        <c:crossBetween val="midCat"/>
      </c:valAx>
    </c:plotArea>
    <c:legend>
      <c:legendPos val="r"/>
      <c:layout/>
    </c:legend>
    <c:plotVisOnly val="1"/>
  </c:chart>
  <c:printSettings>
    <c:headerFooter/>
    <c:pageMargins b="0.75000000000000056" l="0.70000000000000051" r="0.70000000000000051" t="0.75000000000000056" header="0.30000000000000027" footer="0.30000000000000027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Range Distribution (10%): 6% Reflector , 77% Xmit @ 850nm</a:t>
            </a:r>
          </a:p>
        </c:rich>
      </c:tx>
    </c:title>
    <c:plotArea>
      <c:layout/>
      <c:barChart>
        <c:barDir val="col"/>
        <c:grouping val="clustered"/>
        <c:ser>
          <c:idx val="0"/>
          <c:order val="0"/>
          <c:cat>
            <c:numRef>
              <c:f>Calculations!$AS$45:$AS$53</c:f>
              <c:numCache>
                <c:formatCode>0.0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cat>
          <c:val>
            <c:numRef>
              <c:f>Calculations!$AT$45:$AT$53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</c:ser>
        <c:axId val="143029376"/>
        <c:axId val="143031296"/>
      </c:barChart>
      <c:catAx>
        <c:axId val="14302937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 to</a:t>
                </a:r>
                <a:r>
                  <a:rPr lang="en-US" baseline="0"/>
                  <a:t> Target Distance in mm</a:t>
                </a:r>
                <a:endParaRPr lang="en-US"/>
              </a:p>
            </c:rich>
          </c:tx>
        </c:title>
        <c:numFmt formatCode="0.0" sourceLinked="1"/>
        <c:tickLblPos val="nextTo"/>
        <c:crossAx val="143031296"/>
        <c:crosses val="autoZero"/>
        <c:auto val="1"/>
        <c:lblAlgn val="ctr"/>
        <c:lblOffset val="100"/>
      </c:catAx>
      <c:valAx>
        <c:axId val="14303129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#/ devices</a:t>
                </a:r>
              </a:p>
            </c:rich>
          </c:tx>
        </c:title>
        <c:numFmt formatCode="General" sourceLinked="1"/>
        <c:tickLblPos val="nextTo"/>
        <c:crossAx val="143029376"/>
        <c:crosses val="autoZero"/>
        <c:crossBetween val="between"/>
      </c:valAx>
    </c:plotArea>
    <c:plotVisOnly val="1"/>
  </c:chart>
  <c:printSettings>
    <c:headerFooter/>
    <c:pageMargins b="0.75000000000000389" l="0.70000000000000062" r="0.70000000000000062" t="0.7500000000000038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 sz="1000"/>
              <a:t>29149 Proximity Sweep: 6% Reflector , 77% Xmit @ 850nm</a:t>
            </a:r>
          </a:p>
        </c:rich>
      </c:tx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43623296"/>
        <c:axId val="143625216"/>
      </c:scatterChart>
      <c:valAx>
        <c:axId val="143623296"/>
        <c:scaling>
          <c:orientation val="minMax"/>
          <c:max val="80"/>
          <c:min val="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43625216"/>
        <c:crosses val="autoZero"/>
        <c:crossBetween val="midCat"/>
      </c:valAx>
      <c:valAx>
        <c:axId val="143625216"/>
        <c:scaling>
          <c:orientation val="minMax"/>
          <c:max val="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43623296"/>
        <c:crosses val="autoZero"/>
        <c:crossBetween val="midCat"/>
        <c:majorUnit val="0.1"/>
        <c:minorUnit val="0.05"/>
      </c:valAx>
    </c:plotArea>
    <c:legend>
      <c:legendPos val="r"/>
      <c:layout>
        <c:manualLayout>
          <c:xMode val="edge"/>
          <c:yMode val="edge"/>
          <c:x val="0.84425090079436249"/>
          <c:y val="0.32421819267641011"/>
          <c:w val="0.13440813913970048"/>
          <c:h val="0.35156317292941786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Summary!$B$65</c:f>
          <c:strCache>
            <c:ptCount val="1"/>
            <c:pt idx="0">
              <c:v>29147 `Near' Detect Region: 6% Reflector , 77% Xmit @ 850nm</c:v>
            </c:pt>
          </c:strCache>
        </c:strRef>
      </c:tx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43676544"/>
        <c:axId val="143678464"/>
      </c:scatterChart>
      <c:valAx>
        <c:axId val="143676544"/>
        <c:scaling>
          <c:orientation val="minMax"/>
          <c:max val="30"/>
          <c:min val="5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43678464"/>
        <c:crosses val="autoZero"/>
        <c:crossBetween val="midCat"/>
        <c:majorUnit val="5"/>
        <c:minorUnit val="1"/>
      </c:valAx>
      <c:valAx>
        <c:axId val="143678464"/>
        <c:scaling>
          <c:orientation val="minMax"/>
          <c:max val="0.5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43676544"/>
        <c:crosses val="autoZero"/>
        <c:crossBetween val="midCat"/>
        <c:minorUnit val="1.0000000000000005E-2"/>
      </c:valAx>
    </c:plotArea>
    <c:legend>
      <c:legendPos val="r"/>
      <c:layout>
        <c:manualLayout>
          <c:xMode val="edge"/>
          <c:yMode val="edge"/>
          <c:x val="0.84425090079436249"/>
          <c:y val="0.32421819267641022"/>
          <c:w val="0.13440813913970054"/>
          <c:h val="0.35156317292941797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Calculations!$AI$72</c:f>
          <c:strCache>
            <c:ptCount val="1"/>
            <c:pt idx="0">
              <c:v>29147 `Far` Offset Region: 6% Reflector , 77% Xmit @ 850nm</c:v>
            </c:pt>
          </c:strCache>
        </c:strRef>
      </c:tx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2"/>
          <c:order val="2"/>
          <c:tx>
            <c:strRef>
              <c:f>Calculations!$D$42</c:f>
              <c:strCache>
                <c:ptCount val="1"/>
                <c:pt idx="0">
                  <c:v>HI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Calculations!$E$44:$E$124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Calculations!$J$42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Calculations!$J$44:$J$124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0"/>
          <c:order val="0"/>
          <c:tx>
            <c:strRef>
              <c:f>Calculations!$L$42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Calculations!$L$44:$L$124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Calculations!$N$42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Calculations!$C$44:$C$124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Calculations!$N$44:$N$124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43082624"/>
        <c:axId val="143084544"/>
      </c:scatterChart>
      <c:valAx>
        <c:axId val="143082624"/>
        <c:scaling>
          <c:orientation val="minMax"/>
          <c:max val="80"/>
          <c:min val="70"/>
        </c:scaling>
        <c:axPos val="b"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43084544"/>
        <c:crosses val="autoZero"/>
        <c:crossBetween val="midCat"/>
      </c:valAx>
      <c:valAx>
        <c:axId val="143084544"/>
        <c:scaling>
          <c:orientation val="minMax"/>
          <c:max val="0.1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 Power in %FSR</a:t>
                </a:r>
              </a:p>
            </c:rich>
          </c:tx>
        </c:title>
        <c:numFmt formatCode="0%" sourceLinked="0"/>
        <c:tickLblPos val="nextTo"/>
        <c:crossAx val="143082624"/>
        <c:crosses val="autoZero"/>
        <c:crossBetween val="midCat"/>
        <c:minorUnit val="1.0000000000000005E-2"/>
      </c:valAx>
    </c:plotArea>
    <c:legend>
      <c:legendPos val="r"/>
      <c:layout>
        <c:manualLayout>
          <c:xMode val="edge"/>
          <c:yMode val="edge"/>
          <c:x val="0.84425090079436249"/>
          <c:y val="0.32421819267641022"/>
          <c:w val="0.13440813913970054"/>
          <c:h val="0.35156317292941797"/>
        </c:manualLayout>
      </c:layout>
      <c:txPr>
        <a:bodyPr/>
        <a:lstStyle/>
        <a:p>
          <a:pPr>
            <a:defRPr sz="700"/>
          </a:pPr>
          <a:endParaRPr lang="en-US"/>
        </a:p>
      </c:txPr>
    </c:legend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Calculations!$AI$89</c:f>
          <c:strCache>
            <c:ptCount val="1"/>
            <c:pt idx="0">
              <c:v>29147 IRDR Range Ratio: 6% Reflector , 77% Xmit @ 850nm</c:v>
            </c:pt>
          </c:strCache>
        </c:strRef>
      </c:tx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smoothMarker"/>
        <c:ser>
          <c:idx val="0"/>
          <c:order val="0"/>
          <c:tx>
            <c:strRef>
              <c:f>Calculations!$P$43</c:f>
              <c:strCache>
                <c:ptCount val="1"/>
                <c:pt idx="0">
                  <c:v>HI-MID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Calculations!$P$47:$P$62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Calculations!$Q$43</c:f>
              <c:strCache>
                <c:ptCount val="1"/>
                <c:pt idx="0">
                  <c:v>LO-MID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Calculations!$Q$47:$Q$62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Calculations!$R$43</c:f>
              <c:strCache>
                <c:ptCount val="1"/>
                <c:pt idx="0">
                  <c:v>LO</c:v>
                </c:pt>
              </c:strCache>
            </c:strRef>
          </c:tx>
          <c:marker>
            <c:symbol val="none"/>
          </c:marker>
          <c:xVal>
            <c:numRef>
              <c:f>Calculations!$C$47:$C$62</c:f>
              <c:numCache>
                <c:formatCode>0.0</c:formatCode>
                <c:ptCount val="16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</c:numCache>
            </c:numRef>
          </c:xVal>
          <c:yVal>
            <c:numRef>
              <c:f>Calculations!$R$47:$R$62</c:f>
              <c:numCache>
                <c:formatCode>General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yVal>
          <c:smooth val="1"/>
        </c:ser>
        <c:axId val="143126528"/>
        <c:axId val="143128064"/>
      </c:scatterChart>
      <c:valAx>
        <c:axId val="143126528"/>
        <c:scaling>
          <c:orientation val="minMax"/>
          <c:max val="21"/>
          <c:min val="6"/>
        </c:scaling>
        <c:axPos val="b"/>
        <c:numFmt formatCode="0" sourceLinked="0"/>
        <c:tickLblPos val="nextTo"/>
        <c:crossAx val="143128064"/>
        <c:crosses val="autoZero"/>
        <c:crossBetween val="midCat"/>
      </c:valAx>
      <c:valAx>
        <c:axId val="143128064"/>
        <c:scaling>
          <c:orientation val="minMax"/>
          <c:min val="1"/>
        </c:scaling>
        <c:axPos val="l"/>
        <c:majorGridlines/>
        <c:minorGridlines/>
        <c:numFmt formatCode="General" sourceLinked="1"/>
        <c:tickLblPos val="nextTo"/>
        <c:crossAx val="143126528"/>
        <c:crosses val="autoZero"/>
        <c:crossBetween val="midCat"/>
        <c:minorUnit val="0.1"/>
      </c:valAx>
    </c:plotArea>
    <c:legend>
      <c:legendPos val="r"/>
    </c:legend>
    <c:plotVisOnly val="1"/>
  </c:chart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050"/>
            </a:pPr>
            <a:r>
              <a:rPr lang="en-US" sz="1050"/>
              <a:t>Power Series Calulation: Hi Range</a:t>
            </a:r>
          </a:p>
        </c:rich>
      </c:tx>
    </c:title>
    <c:plotArea>
      <c:layout/>
      <c:scatterChart>
        <c:scatterStyle val="lineMarker"/>
        <c:ser>
          <c:idx val="0"/>
          <c:order val="0"/>
          <c:tx>
            <c:strRef>
              <c:f>Calculations!$E$43</c:f>
              <c:strCache>
                <c:ptCount val="1"/>
                <c:pt idx="0">
                  <c:v>mean</c:v>
                </c:pt>
              </c:strCache>
            </c:strRef>
          </c:tx>
          <c:marker>
            <c:symbol val="none"/>
          </c:marker>
          <c:trendline>
            <c:trendlineType val="power"/>
            <c:dispEq val="1"/>
            <c:trendlineLbl>
              <c:layout>
                <c:manualLayout>
                  <c:x val="0.37954400661605636"/>
                  <c:y val="-0.55991044415656144"/>
                </c:manualLayout>
              </c:layout>
              <c:numFmt formatCode="General" sourceLinked="0"/>
            </c:trendlineLbl>
          </c:trendline>
          <c:xVal>
            <c:numRef>
              <c:f>Calculations!$C$47:$C$61</c:f>
              <c:numCache>
                <c:formatCode>0.0</c:formatCode>
                <c:ptCount val="15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</c:numCache>
            </c:numRef>
          </c:xVal>
          <c:yVal>
            <c:numRef>
              <c:f>Calculations!$E$47:$E$61</c:f>
              <c:numCache>
                <c:formatCode>0.000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</c:ser>
        <c:axId val="143762176"/>
        <c:axId val="143763712"/>
      </c:scatterChart>
      <c:valAx>
        <c:axId val="143762176"/>
        <c:scaling>
          <c:orientation val="minMax"/>
        </c:scaling>
        <c:axPos val="b"/>
        <c:numFmt formatCode="0.0" sourceLinked="1"/>
        <c:tickLblPos val="nextTo"/>
        <c:crossAx val="143763712"/>
        <c:crosses val="autoZero"/>
        <c:crossBetween val="midCat"/>
      </c:valAx>
      <c:valAx>
        <c:axId val="143763712"/>
        <c:scaling>
          <c:orientation val="minMax"/>
        </c:scaling>
        <c:axPos val="l"/>
        <c:majorGridlines/>
        <c:numFmt formatCode="0.000" sourceLinked="1"/>
        <c:tickLblPos val="nextTo"/>
        <c:crossAx val="14376217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Calculations!$Z$89</c:f>
          <c:strCache>
            <c:ptCount val="1"/>
            <c:pt idx="0">
              <c:v>29147 System Curve: 6% Reflector , 77% Xmit @ 850nm</c:v>
            </c:pt>
          </c:strCache>
        </c:strRef>
      </c:tx>
      <c:txPr>
        <a:bodyPr/>
        <a:lstStyle/>
        <a:p>
          <a:pPr>
            <a:defRPr sz="1000"/>
          </a:pPr>
          <a:endParaRPr lang="en-US"/>
        </a:p>
      </c:txPr>
    </c:title>
    <c:plotArea>
      <c:layout/>
      <c:scatterChart>
        <c:scatterStyle val="lineMarker"/>
        <c:ser>
          <c:idx val="0"/>
          <c:order val="0"/>
          <c:tx>
            <c:strRef>
              <c:f>Calculations!$T$43</c:f>
              <c:strCache>
                <c:ptCount val="1"/>
                <c:pt idx="0">
                  <c:v>-1.5σ</c:v>
                </c:pt>
              </c:strCache>
            </c:strRef>
          </c:tx>
          <c:spPr>
            <a:ln>
              <a:solidFill>
                <a:srgbClr val="070707"/>
              </a:solidFill>
              <a:prstDash val="sysDot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Calculations!$T$44:$T$124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1"/>
          <c:order val="1"/>
          <c:tx>
            <c:strRef>
              <c:f>Calculations!$U$43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Calculations!$U$44:$U$124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2"/>
          <c:order val="2"/>
          <c:tx>
            <c:strRef>
              <c:f>Calculations!$V$43</c:f>
              <c:strCache>
                <c:ptCount val="1"/>
                <c:pt idx="0">
                  <c:v>+1.5σ</c:v>
                </c:pt>
              </c:strCache>
            </c:strRef>
          </c:tx>
          <c:spPr>
            <a:ln>
              <a:solidFill>
                <a:srgbClr val="00B050"/>
              </a:solidFill>
              <a:prstDash val="sysDot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Calculations!$V$44:$V$124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ser>
          <c:idx val="3"/>
          <c:order val="3"/>
          <c:tx>
            <c:strRef>
              <c:f>Calculations!$W$43</c:f>
              <c:strCache>
                <c:ptCount val="1"/>
                <c:pt idx="0">
                  <c:v>Calc.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xVal>
            <c:numRef>
              <c:f>Calculations!$S$44:$S$124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Calculations!$W$44:$W$124</c:f>
              <c:numCache>
                <c:formatCode>0.000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</c:ser>
        <c:axId val="143868672"/>
        <c:axId val="143870208"/>
      </c:scatterChart>
      <c:valAx>
        <c:axId val="143868672"/>
        <c:scaling>
          <c:orientation val="minMax"/>
          <c:max val="80"/>
        </c:scaling>
        <c:axPos val="b"/>
        <c:numFmt formatCode="0.0" sourceLinked="1"/>
        <c:tickLblPos val="nextTo"/>
        <c:crossAx val="143870208"/>
        <c:crosses val="autoZero"/>
        <c:crossBetween val="midCat"/>
      </c:valAx>
      <c:valAx>
        <c:axId val="143870208"/>
        <c:scaling>
          <c:orientation val="minMax"/>
          <c:max val="1.2"/>
          <c:min val="0"/>
        </c:scaling>
        <c:axPos val="l"/>
        <c:majorGridlines/>
        <c:numFmt formatCode="0%" sourceLinked="0"/>
        <c:tickLblPos val="nextTo"/>
        <c:crossAx val="14386867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data0!$B$2:$B$82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data0!$C$1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data0!$C$2:$C$82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data0!$D$1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data0!$D$2:$D$82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data0!$E$1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data0!$E$2:$E$82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4"/>
          <c:order val="4"/>
          <c:tx>
            <c:strRef>
              <c:f>data0!$F$1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data0!$F$2:$F$82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5"/>
          <c:order val="5"/>
          <c:tx>
            <c:strRef>
              <c:f>data0!$G$1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data0!$G$2:$G$82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6"/>
          <c:order val="6"/>
          <c:tx>
            <c:strRef>
              <c:f>data0!$H$1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data0!$H$2:$H$82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7"/>
          <c:order val="7"/>
          <c:tx>
            <c:strRef>
              <c:f>data0!$I$1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data0!$I$2:$I$82</c:f>
              <c:numCache>
                <c:formatCode>0.000</c:formatCode>
                <c:ptCount val="81"/>
              </c:numCache>
            </c:numRef>
          </c:yVal>
          <c:smooth val="1"/>
        </c:ser>
        <c:axId val="143918208"/>
        <c:axId val="143919744"/>
      </c:scatterChart>
      <c:valAx>
        <c:axId val="143918208"/>
        <c:scaling>
          <c:orientation val="minMax"/>
        </c:scaling>
        <c:axPos val="b"/>
        <c:numFmt formatCode="0.0" sourceLinked="1"/>
        <c:tickLblPos val="nextTo"/>
        <c:crossAx val="143919744"/>
        <c:crosses val="autoZero"/>
        <c:crossBetween val="midCat"/>
      </c:valAx>
      <c:valAx>
        <c:axId val="14391974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391820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data0!$J$2:$J$82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data0!$K$1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data0!$K$2:$K$82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data0!$L$1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data0!$L$2:$L$82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data0!$M$1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data0!$M$2:$M$82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4"/>
          <c:order val="4"/>
          <c:tx>
            <c:strRef>
              <c:f>data0!$N$1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data0!$N$2:$N$82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5"/>
          <c:order val="5"/>
          <c:tx>
            <c:strRef>
              <c:f>data0!$O$1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data0!$O$2:$O$82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6"/>
          <c:order val="6"/>
          <c:tx>
            <c:strRef>
              <c:f>data0!$P$1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data0!$P$2:$P$82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7"/>
          <c:order val="7"/>
          <c:tx>
            <c:strRef>
              <c:f>data0!$Q$1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data0!$Q$2:$Q$82</c:f>
              <c:numCache>
                <c:formatCode>0.000</c:formatCode>
                <c:ptCount val="81"/>
              </c:numCache>
            </c:numRef>
          </c:yVal>
          <c:smooth val="1"/>
        </c:ser>
        <c:axId val="143984512"/>
        <c:axId val="143986048"/>
      </c:scatterChart>
      <c:valAx>
        <c:axId val="143984512"/>
        <c:scaling>
          <c:orientation val="minMax"/>
        </c:scaling>
        <c:axPos val="b"/>
        <c:numFmt formatCode="0.0" sourceLinked="1"/>
        <c:tickLblPos val="nextTo"/>
        <c:crossAx val="143986048"/>
        <c:crosses val="autoZero"/>
        <c:crossBetween val="midCat"/>
      </c:valAx>
      <c:valAx>
        <c:axId val="14398604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398451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data0!$R$2:$R$82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data0!$S$1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data0!$S$2:$S$82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data0!$T$1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data0!$T$2:$T$82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data0!$U$1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data0!$U$2:$U$82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4"/>
          <c:order val="4"/>
          <c:tx>
            <c:strRef>
              <c:f>data0!$V$1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data0!$V$2:$V$82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5"/>
          <c:order val="5"/>
          <c:tx>
            <c:strRef>
              <c:f>data0!$W$1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data0!$W$2:$W$82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6"/>
          <c:order val="6"/>
          <c:tx>
            <c:strRef>
              <c:f>data0!$X$1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data0!$X$2:$X$82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7"/>
          <c:order val="7"/>
          <c:tx>
            <c:strRef>
              <c:f>data0!$Y$1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data0!$Y$2:$Y$82</c:f>
              <c:numCache>
                <c:formatCode>0.000</c:formatCode>
                <c:ptCount val="81"/>
              </c:numCache>
            </c:numRef>
          </c:yVal>
          <c:smooth val="1"/>
        </c:ser>
        <c:axId val="144137216"/>
        <c:axId val="144143104"/>
      </c:scatterChart>
      <c:valAx>
        <c:axId val="144137216"/>
        <c:scaling>
          <c:orientation val="minMax"/>
        </c:scaling>
        <c:axPos val="b"/>
        <c:numFmt formatCode="0.0" sourceLinked="1"/>
        <c:tickLblPos val="nextTo"/>
        <c:crossAx val="144143104"/>
        <c:crosses val="autoZero"/>
        <c:crossBetween val="midCat"/>
      </c:valAx>
      <c:valAx>
        <c:axId val="14414310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413721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data0!$Z$1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data0!$Z$2:$Z$82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data0!$AA$1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data0!$AA$2:$AA$82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data0!$AB$1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data0!$AB$2:$AB$82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data0!$AC$1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data0!$AC$2:$AC$82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4"/>
          <c:order val="4"/>
          <c:tx>
            <c:strRef>
              <c:f>data0!$AD$1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data0!$AD$2:$AD$82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5"/>
          <c:order val="5"/>
          <c:tx>
            <c:strRef>
              <c:f>data0!$AE$1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data0!$AE$2:$AE$82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6"/>
          <c:order val="6"/>
          <c:tx>
            <c:strRef>
              <c:f>data0!$AF$1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data0!$AF$2:$AF$82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7"/>
          <c:order val="7"/>
          <c:tx>
            <c:strRef>
              <c:f>data0!$AG$1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data0!$A$2:$A$82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data0!$AG$2:$AG$82</c:f>
              <c:numCache>
                <c:formatCode>0.000</c:formatCode>
                <c:ptCount val="81"/>
              </c:numCache>
            </c:numRef>
          </c:yVal>
          <c:smooth val="1"/>
        </c:ser>
        <c:axId val="144203136"/>
        <c:axId val="144217216"/>
      </c:scatterChart>
      <c:valAx>
        <c:axId val="144203136"/>
        <c:scaling>
          <c:orientation val="minMax"/>
        </c:scaling>
        <c:axPos val="b"/>
        <c:numFmt formatCode="0.0" sourceLinked="1"/>
        <c:tickLblPos val="nextTo"/>
        <c:crossAx val="144217216"/>
        <c:crosses val="autoZero"/>
        <c:crossBetween val="midCat"/>
      </c:valAx>
      <c:valAx>
        <c:axId val="14421721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420313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data0!$AP$2</c:f>
          <c:strCache>
            <c:ptCount val="1"/>
            <c:pt idx="0">
              <c:v>#DIV/0!</c:v>
            </c:pt>
          </c:strCache>
        </c:strRef>
      </c:tx>
      <c:txPr>
        <a:bodyPr/>
        <a:lstStyle/>
        <a:p>
          <a:pPr>
            <a:defRPr/>
          </a:pPr>
          <a:endParaRPr lang="en-US"/>
        </a:p>
      </c:txPr>
    </c:title>
    <c:plotArea>
      <c:layout/>
      <c:scatterChart>
        <c:scatterStyle val="smoothMarker"/>
        <c:ser>
          <c:idx val="0"/>
          <c:order val="0"/>
          <c:spPr>
            <a:ln>
              <a:prstDash val="sysDash"/>
            </a:ln>
          </c:spPr>
          <c:marker>
            <c:symbol val="none"/>
          </c:marker>
          <c:xVal>
            <c:numRef>
              <c:f>data0!$AI$5:$AI$82</c:f>
              <c:numCache>
                <c:formatCode>0.0</c:formatCode>
                <c:ptCount val="78"/>
                <c:pt idx="0">
                  <c:v>4.5999999999999996</c:v>
                </c:pt>
                <c:pt idx="1">
                  <c:v>5.6</c:v>
                </c:pt>
                <c:pt idx="2">
                  <c:v>6.6</c:v>
                </c:pt>
                <c:pt idx="3">
                  <c:v>7.6</c:v>
                </c:pt>
                <c:pt idx="4">
                  <c:v>8.6</c:v>
                </c:pt>
                <c:pt idx="5">
                  <c:v>9.6</c:v>
                </c:pt>
                <c:pt idx="6">
                  <c:v>10.6</c:v>
                </c:pt>
                <c:pt idx="7">
                  <c:v>11.6</c:v>
                </c:pt>
                <c:pt idx="8">
                  <c:v>12.6</c:v>
                </c:pt>
                <c:pt idx="9">
                  <c:v>13.6</c:v>
                </c:pt>
                <c:pt idx="10">
                  <c:v>14.6</c:v>
                </c:pt>
                <c:pt idx="11">
                  <c:v>15.6</c:v>
                </c:pt>
                <c:pt idx="12">
                  <c:v>16.600000000000001</c:v>
                </c:pt>
                <c:pt idx="13">
                  <c:v>17.600000000000001</c:v>
                </c:pt>
                <c:pt idx="14">
                  <c:v>18.600000000000001</c:v>
                </c:pt>
                <c:pt idx="15">
                  <c:v>19.600000000000001</c:v>
                </c:pt>
                <c:pt idx="16">
                  <c:v>20.6</c:v>
                </c:pt>
                <c:pt idx="17">
                  <c:v>21.6</c:v>
                </c:pt>
                <c:pt idx="18">
                  <c:v>22.6</c:v>
                </c:pt>
                <c:pt idx="19">
                  <c:v>23.6</c:v>
                </c:pt>
                <c:pt idx="20">
                  <c:v>24.6</c:v>
                </c:pt>
                <c:pt idx="21">
                  <c:v>25.6</c:v>
                </c:pt>
                <c:pt idx="22">
                  <c:v>26.6</c:v>
                </c:pt>
                <c:pt idx="23">
                  <c:v>27.6</c:v>
                </c:pt>
                <c:pt idx="24">
                  <c:v>28.6</c:v>
                </c:pt>
                <c:pt idx="25">
                  <c:v>29.6</c:v>
                </c:pt>
                <c:pt idx="26">
                  <c:v>30.6</c:v>
                </c:pt>
                <c:pt idx="27">
                  <c:v>31.6</c:v>
                </c:pt>
                <c:pt idx="28">
                  <c:v>32.6</c:v>
                </c:pt>
                <c:pt idx="29">
                  <c:v>33.6</c:v>
                </c:pt>
                <c:pt idx="30">
                  <c:v>34.6</c:v>
                </c:pt>
                <c:pt idx="31">
                  <c:v>35.6</c:v>
                </c:pt>
                <c:pt idx="32">
                  <c:v>36.6</c:v>
                </c:pt>
                <c:pt idx="33">
                  <c:v>37.6</c:v>
                </c:pt>
                <c:pt idx="34">
                  <c:v>38.6</c:v>
                </c:pt>
                <c:pt idx="35">
                  <c:v>39.6</c:v>
                </c:pt>
                <c:pt idx="36">
                  <c:v>40.6</c:v>
                </c:pt>
                <c:pt idx="37">
                  <c:v>41.6</c:v>
                </c:pt>
                <c:pt idx="38">
                  <c:v>42.6</c:v>
                </c:pt>
                <c:pt idx="39">
                  <c:v>43.6</c:v>
                </c:pt>
                <c:pt idx="40">
                  <c:v>44.6</c:v>
                </c:pt>
                <c:pt idx="41">
                  <c:v>45.6</c:v>
                </c:pt>
                <c:pt idx="42">
                  <c:v>46.6</c:v>
                </c:pt>
                <c:pt idx="43">
                  <c:v>47.6</c:v>
                </c:pt>
                <c:pt idx="44">
                  <c:v>48.6</c:v>
                </c:pt>
                <c:pt idx="45">
                  <c:v>49.6</c:v>
                </c:pt>
                <c:pt idx="46">
                  <c:v>50.6</c:v>
                </c:pt>
                <c:pt idx="47">
                  <c:v>51.6</c:v>
                </c:pt>
                <c:pt idx="48">
                  <c:v>52.6</c:v>
                </c:pt>
                <c:pt idx="49">
                  <c:v>53.6</c:v>
                </c:pt>
                <c:pt idx="50">
                  <c:v>54.6</c:v>
                </c:pt>
                <c:pt idx="51">
                  <c:v>55.6</c:v>
                </c:pt>
                <c:pt idx="52">
                  <c:v>56.6</c:v>
                </c:pt>
                <c:pt idx="53">
                  <c:v>57.6</c:v>
                </c:pt>
                <c:pt idx="54">
                  <c:v>58.6</c:v>
                </c:pt>
                <c:pt idx="55">
                  <c:v>59.6</c:v>
                </c:pt>
                <c:pt idx="56">
                  <c:v>60.6</c:v>
                </c:pt>
                <c:pt idx="57">
                  <c:v>61.6</c:v>
                </c:pt>
                <c:pt idx="58">
                  <c:v>62.6</c:v>
                </c:pt>
                <c:pt idx="59">
                  <c:v>63.6</c:v>
                </c:pt>
                <c:pt idx="60">
                  <c:v>64.599999999999994</c:v>
                </c:pt>
                <c:pt idx="61">
                  <c:v>65.599999999999994</c:v>
                </c:pt>
                <c:pt idx="62">
                  <c:v>66.599999999999994</c:v>
                </c:pt>
                <c:pt idx="63">
                  <c:v>67.599999999999994</c:v>
                </c:pt>
                <c:pt idx="64">
                  <c:v>68.599999999999994</c:v>
                </c:pt>
                <c:pt idx="65">
                  <c:v>69.599999999999994</c:v>
                </c:pt>
                <c:pt idx="66">
                  <c:v>70.599999999999994</c:v>
                </c:pt>
                <c:pt idx="67">
                  <c:v>71.599999999999994</c:v>
                </c:pt>
                <c:pt idx="68">
                  <c:v>72.599999999999994</c:v>
                </c:pt>
                <c:pt idx="69">
                  <c:v>73.599999999999994</c:v>
                </c:pt>
                <c:pt idx="70">
                  <c:v>74.599999999999994</c:v>
                </c:pt>
                <c:pt idx="71">
                  <c:v>75.599999999999994</c:v>
                </c:pt>
                <c:pt idx="72">
                  <c:v>76.599999999999994</c:v>
                </c:pt>
                <c:pt idx="73">
                  <c:v>77.599999999999994</c:v>
                </c:pt>
                <c:pt idx="74">
                  <c:v>78.599999999999994</c:v>
                </c:pt>
                <c:pt idx="75">
                  <c:v>79.599999999999994</c:v>
                </c:pt>
                <c:pt idx="76">
                  <c:v>80.599999999999994</c:v>
                </c:pt>
                <c:pt idx="77">
                  <c:v>81.599999999999994</c:v>
                </c:pt>
              </c:numCache>
            </c:numRef>
          </c:xVal>
          <c:yVal>
            <c:numRef>
              <c:f>data0!$AK$5:$AK$82</c:f>
              <c:numCache>
                <c:formatCode>0.000</c:formatCode>
                <c:ptCount val="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</c:numCache>
            </c:numRef>
          </c:yVal>
          <c:smooth val="1"/>
        </c:ser>
        <c:ser>
          <c:idx val="1"/>
          <c:order val="1"/>
          <c:spPr>
            <a:ln>
              <a:prstDash val="sysDash"/>
            </a:ln>
          </c:spPr>
          <c:marker>
            <c:symbol val="none"/>
          </c:marker>
          <c:xVal>
            <c:numRef>
              <c:f>data0!$AI$3:$AI$20</c:f>
              <c:numCache>
                <c:formatCode>0.0</c:formatCode>
                <c:ptCount val="18"/>
                <c:pt idx="0">
                  <c:v>2.6</c:v>
                </c:pt>
                <c:pt idx="1">
                  <c:v>3.6</c:v>
                </c:pt>
                <c:pt idx="2">
                  <c:v>4.5999999999999996</c:v>
                </c:pt>
                <c:pt idx="3">
                  <c:v>5.6</c:v>
                </c:pt>
                <c:pt idx="4">
                  <c:v>6.6</c:v>
                </c:pt>
                <c:pt idx="5">
                  <c:v>7.6</c:v>
                </c:pt>
                <c:pt idx="6">
                  <c:v>8.6</c:v>
                </c:pt>
                <c:pt idx="7">
                  <c:v>9.6</c:v>
                </c:pt>
                <c:pt idx="8">
                  <c:v>10.6</c:v>
                </c:pt>
                <c:pt idx="9">
                  <c:v>11.6</c:v>
                </c:pt>
                <c:pt idx="10">
                  <c:v>12.6</c:v>
                </c:pt>
                <c:pt idx="11">
                  <c:v>13.6</c:v>
                </c:pt>
                <c:pt idx="12">
                  <c:v>14.6</c:v>
                </c:pt>
                <c:pt idx="13">
                  <c:v>15.6</c:v>
                </c:pt>
                <c:pt idx="14">
                  <c:v>16.600000000000001</c:v>
                </c:pt>
                <c:pt idx="15">
                  <c:v>17.600000000000001</c:v>
                </c:pt>
                <c:pt idx="16">
                  <c:v>18.600000000000001</c:v>
                </c:pt>
                <c:pt idx="17">
                  <c:v>19.600000000000001</c:v>
                </c:pt>
              </c:numCache>
            </c:numRef>
          </c:xVal>
          <c:yVal>
            <c:numRef>
              <c:f>data0!$AN$3:$AN$20</c:f>
              <c:numCache>
                <c:formatCode>0.000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1"/>
        </c:ser>
        <c:axId val="144320768"/>
        <c:axId val="144335232"/>
      </c:scatterChart>
      <c:valAx>
        <c:axId val="144320768"/>
        <c:scaling>
          <c:orientation val="minMax"/>
          <c:max val="100"/>
        </c:scaling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Sensor</a:t>
                </a:r>
                <a:r>
                  <a:rPr lang="en-US" baseline="0"/>
                  <a:t> to Target Distance in mm</a:t>
                </a:r>
                <a:endParaRPr lang="en-US"/>
              </a:p>
            </c:rich>
          </c:tx>
        </c:title>
        <c:numFmt formatCode="0" sourceLinked="0"/>
        <c:tickLblPos val="nextTo"/>
        <c:crossAx val="144335232"/>
        <c:crosses val="autoZero"/>
        <c:crossBetween val="midCat"/>
        <c:majorUnit val="10"/>
      </c:valAx>
      <c:valAx>
        <c:axId val="144335232"/>
        <c:scaling>
          <c:orientation val="minMax"/>
          <c:max val="1.2"/>
        </c:scaling>
        <c:axPos val="l"/>
        <c:majorGridlines/>
        <c:min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Detected</a:t>
                </a:r>
                <a:r>
                  <a:rPr lang="en-US" baseline="0"/>
                  <a:t> Power in %FSR</a:t>
                </a:r>
                <a:endParaRPr lang="en-US"/>
              </a:p>
            </c:rich>
          </c:tx>
        </c:title>
        <c:numFmt formatCode="0%" sourceLinked="0"/>
        <c:tickLblPos val="nextTo"/>
        <c:crossAx val="144320768"/>
        <c:crosses val="autoZero"/>
        <c:crossBetween val="midCat"/>
        <c:minorUnit val="0.1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data1!$B$2:$B$82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data1!$C$1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data1!$C$2:$C$82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data1!$D$1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data1!$D$2:$D$82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data1!$E$1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data1!$E$2:$E$82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4"/>
          <c:order val="4"/>
          <c:tx>
            <c:strRef>
              <c:f>data1!$F$1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data1!$F$2:$F$82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5"/>
          <c:order val="5"/>
          <c:tx>
            <c:strRef>
              <c:f>data1!$G$1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data1!$G$2:$G$82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6"/>
          <c:order val="6"/>
          <c:tx>
            <c:strRef>
              <c:f>data1!$H$1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data1!$H$2:$H$82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7"/>
          <c:order val="7"/>
          <c:tx>
            <c:strRef>
              <c:f>data1!$I$1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data1!$I$2:$I$82</c:f>
              <c:numCache>
                <c:formatCode>0.000</c:formatCode>
                <c:ptCount val="81"/>
              </c:numCache>
            </c:numRef>
          </c:yVal>
          <c:smooth val="1"/>
        </c:ser>
        <c:axId val="144428032"/>
        <c:axId val="144438016"/>
      </c:scatterChart>
      <c:valAx>
        <c:axId val="144428032"/>
        <c:scaling>
          <c:orientation val="minMax"/>
        </c:scaling>
        <c:axPos val="b"/>
        <c:numFmt formatCode="0.0" sourceLinked="1"/>
        <c:tickLblPos val="nextTo"/>
        <c:crossAx val="144438016"/>
        <c:crosses val="autoZero"/>
        <c:crossBetween val="midCat"/>
      </c:valAx>
      <c:valAx>
        <c:axId val="144438016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44280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data1!$J$2:$J$82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data1!$K$1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data1!$K$2:$K$82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data1!$L$1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data1!$L$2:$L$82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data1!$M$1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data1!$M$2:$M$82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4"/>
          <c:order val="4"/>
          <c:tx>
            <c:strRef>
              <c:f>data1!$N$1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data1!$N$2:$N$82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5"/>
          <c:order val="5"/>
          <c:tx>
            <c:strRef>
              <c:f>data1!$O$1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data1!$O$2:$O$82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6"/>
          <c:order val="6"/>
          <c:tx>
            <c:strRef>
              <c:f>data1!$P$1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data1!$P$2:$P$82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7"/>
          <c:order val="7"/>
          <c:tx>
            <c:strRef>
              <c:f>data1!$Q$1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data1!$Q$2:$Q$82</c:f>
              <c:numCache>
                <c:formatCode>0.000</c:formatCode>
                <c:ptCount val="81"/>
              </c:numCache>
            </c:numRef>
          </c:yVal>
          <c:smooth val="1"/>
        </c:ser>
        <c:axId val="144625664"/>
        <c:axId val="144627200"/>
      </c:scatterChart>
      <c:valAx>
        <c:axId val="144625664"/>
        <c:scaling>
          <c:orientation val="minMax"/>
        </c:scaling>
        <c:axPos val="b"/>
        <c:numFmt formatCode="0.0" sourceLinked="1"/>
        <c:tickLblPos val="nextTo"/>
        <c:crossAx val="144627200"/>
        <c:crosses val="autoZero"/>
        <c:crossBetween val="midCat"/>
      </c:valAx>
      <c:valAx>
        <c:axId val="144627200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4625664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data1!$R$2:$R$82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data1!$S$2:$S$82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data1!$T$2:$T$82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data1!$U$2:$U$82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data1!$V$2:$V$82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data1!$W$2:$W$82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data1!$X$2:$X$82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data1!$Y$2:$Y$82</c:f>
              <c:numCache>
                <c:formatCode>0.000</c:formatCode>
                <c:ptCount val="81"/>
              </c:numCache>
            </c:numRef>
          </c:yVal>
          <c:smooth val="1"/>
        </c:ser>
        <c:axId val="144307328"/>
        <c:axId val="144308864"/>
      </c:scatterChart>
      <c:valAx>
        <c:axId val="144307328"/>
        <c:scaling>
          <c:orientation val="minMax"/>
        </c:scaling>
        <c:axPos val="b"/>
        <c:numFmt formatCode="0.0" sourceLinked="1"/>
        <c:tickLblPos val="nextTo"/>
        <c:crossAx val="144308864"/>
        <c:crosses val="autoZero"/>
        <c:crossBetween val="midCat"/>
      </c:valAx>
      <c:valAx>
        <c:axId val="14430886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43073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smoothMarker"/>
        <c:ser>
          <c:idx val="0"/>
          <c:order val="0"/>
          <c:tx>
            <c:strRef>
              <c:f>data1!$R$1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data1!$R$2:$R$82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data1!$S$1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data1!$S$2:$S$82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2"/>
          <c:order val="2"/>
          <c:tx>
            <c:strRef>
              <c:f>data1!$T$1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data1!$T$2:$T$82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3"/>
          <c:order val="3"/>
          <c:tx>
            <c:strRef>
              <c:f>data1!$U$1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data1!$U$2:$U$82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4"/>
          <c:order val="4"/>
          <c:tx>
            <c:strRef>
              <c:f>data1!$V$1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data1!$V$2:$V$82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5"/>
          <c:order val="5"/>
          <c:tx>
            <c:strRef>
              <c:f>data1!$W$1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data1!$W$2:$W$82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6"/>
          <c:order val="6"/>
          <c:tx>
            <c:strRef>
              <c:f>data1!$X$1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data1!$X$2:$X$82</c:f>
              <c:numCache>
                <c:formatCode>0.000</c:formatCode>
                <c:ptCount val="81"/>
              </c:numCache>
            </c:numRef>
          </c:yVal>
          <c:smooth val="1"/>
        </c:ser>
        <c:ser>
          <c:idx val="7"/>
          <c:order val="7"/>
          <c:tx>
            <c:strRef>
              <c:f>data1!$Y$1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data1!$A$2:$A$82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data1!$Y$2:$Y$82</c:f>
              <c:numCache>
                <c:formatCode>0.000</c:formatCode>
                <c:ptCount val="81"/>
              </c:numCache>
            </c:numRef>
          </c:yVal>
          <c:smooth val="1"/>
        </c:ser>
        <c:axId val="144696832"/>
        <c:axId val="144698368"/>
      </c:scatterChart>
      <c:valAx>
        <c:axId val="144696832"/>
        <c:scaling>
          <c:orientation val="minMax"/>
        </c:scaling>
        <c:axPos val="b"/>
        <c:numFmt formatCode="0.0" sourceLinked="1"/>
        <c:tickLblPos val="nextTo"/>
        <c:crossAx val="144698368"/>
        <c:crosses val="autoZero"/>
        <c:crossBetween val="midCat"/>
      </c:valAx>
      <c:valAx>
        <c:axId val="14469836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4696832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data2!$B$2:$B$82</c:f>
              <c:numCache>
                <c:formatCode>0.000</c:formatCode>
                <c:ptCount val="81"/>
              </c:numCache>
            </c:numRef>
          </c:yVal>
        </c:ser>
        <c:ser>
          <c:idx val="1"/>
          <c:order val="1"/>
          <c:tx>
            <c:strRef>
              <c:f>data2!$C$1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data2!$C$2:$C$82</c:f>
              <c:numCache>
                <c:formatCode>0.000</c:formatCode>
                <c:ptCount val="81"/>
              </c:numCache>
            </c:numRef>
          </c:yVal>
        </c:ser>
        <c:ser>
          <c:idx val="2"/>
          <c:order val="2"/>
          <c:tx>
            <c:strRef>
              <c:f>data2!$D$1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data2!$D$2:$D$82</c:f>
              <c:numCache>
                <c:formatCode>0.000</c:formatCode>
                <c:ptCount val="81"/>
              </c:numCache>
            </c:numRef>
          </c:yVal>
        </c:ser>
        <c:ser>
          <c:idx val="3"/>
          <c:order val="3"/>
          <c:tx>
            <c:strRef>
              <c:f>data2!$E$1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data2!$E$2:$E$82</c:f>
              <c:numCache>
                <c:formatCode>0.000</c:formatCode>
                <c:ptCount val="81"/>
              </c:numCache>
            </c:numRef>
          </c:yVal>
        </c:ser>
        <c:ser>
          <c:idx val="4"/>
          <c:order val="4"/>
          <c:tx>
            <c:strRef>
              <c:f>data2!$F$1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data2!$F$2:$F$82</c:f>
              <c:numCache>
                <c:formatCode>0.000</c:formatCode>
                <c:ptCount val="81"/>
              </c:numCache>
            </c:numRef>
          </c:yVal>
        </c:ser>
        <c:ser>
          <c:idx val="5"/>
          <c:order val="5"/>
          <c:tx>
            <c:strRef>
              <c:f>data2!$G$1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data2!$G$2:$G$82</c:f>
              <c:numCache>
                <c:formatCode>0.000</c:formatCode>
                <c:ptCount val="81"/>
              </c:numCache>
            </c:numRef>
          </c:yVal>
        </c:ser>
        <c:ser>
          <c:idx val="6"/>
          <c:order val="6"/>
          <c:tx>
            <c:strRef>
              <c:f>data2!$H$1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data2!$H$2:$H$82</c:f>
              <c:numCache>
                <c:formatCode>0.000</c:formatCode>
                <c:ptCount val="81"/>
              </c:numCache>
            </c:numRef>
          </c:yVal>
        </c:ser>
        <c:ser>
          <c:idx val="7"/>
          <c:order val="7"/>
          <c:tx>
            <c:strRef>
              <c:f>data2!$I$1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data2!$I$2:$I$82</c:f>
              <c:numCache>
                <c:formatCode>0.000</c:formatCode>
                <c:ptCount val="81"/>
              </c:numCache>
            </c:numRef>
          </c:yVal>
        </c:ser>
        <c:axId val="145021568"/>
        <c:axId val="144839040"/>
      </c:scatterChart>
      <c:valAx>
        <c:axId val="145021568"/>
        <c:scaling>
          <c:orientation val="minMax"/>
          <c:min val="0"/>
        </c:scaling>
        <c:axPos val="b"/>
        <c:numFmt formatCode="0.0" sourceLinked="1"/>
        <c:tickLblPos val="nextTo"/>
        <c:crossAx val="144839040"/>
        <c:crosses val="autoZero"/>
        <c:crossBetween val="midCat"/>
      </c:valAx>
      <c:valAx>
        <c:axId val="144839040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50215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data2!$J$2:$J$82</c:f>
              <c:numCache>
                <c:formatCode>0.000</c:formatCode>
                <c:ptCount val="81"/>
              </c:numCache>
            </c:numRef>
          </c:yVal>
        </c:ser>
        <c:ser>
          <c:idx val="1"/>
          <c:order val="1"/>
          <c:tx>
            <c:strRef>
              <c:f>data2!$K$1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data2!$K$2:$K$82</c:f>
              <c:numCache>
                <c:formatCode>0.000</c:formatCode>
                <c:ptCount val="81"/>
              </c:numCache>
            </c:numRef>
          </c:yVal>
        </c:ser>
        <c:ser>
          <c:idx val="2"/>
          <c:order val="2"/>
          <c:tx>
            <c:strRef>
              <c:f>data2!$L$1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data2!$L$2:$L$82</c:f>
              <c:numCache>
                <c:formatCode>0.000</c:formatCode>
                <c:ptCount val="81"/>
              </c:numCache>
            </c:numRef>
          </c:yVal>
        </c:ser>
        <c:ser>
          <c:idx val="3"/>
          <c:order val="3"/>
          <c:tx>
            <c:strRef>
              <c:f>data2!$M$1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data2!$M$2:$M$82</c:f>
              <c:numCache>
                <c:formatCode>0.000</c:formatCode>
                <c:ptCount val="81"/>
              </c:numCache>
            </c:numRef>
          </c:yVal>
        </c:ser>
        <c:ser>
          <c:idx val="4"/>
          <c:order val="4"/>
          <c:tx>
            <c:strRef>
              <c:f>data2!$N$1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data2!$N$2:$N$82</c:f>
              <c:numCache>
                <c:formatCode>0.000</c:formatCode>
                <c:ptCount val="81"/>
              </c:numCache>
            </c:numRef>
          </c:yVal>
        </c:ser>
        <c:ser>
          <c:idx val="5"/>
          <c:order val="5"/>
          <c:tx>
            <c:strRef>
              <c:f>data2!$O$1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data2!$O$2:$O$82</c:f>
              <c:numCache>
                <c:formatCode>0.000</c:formatCode>
                <c:ptCount val="81"/>
              </c:numCache>
            </c:numRef>
          </c:yVal>
        </c:ser>
        <c:ser>
          <c:idx val="6"/>
          <c:order val="6"/>
          <c:tx>
            <c:strRef>
              <c:f>data2!$P$1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data2!$P$2:$P$82</c:f>
              <c:numCache>
                <c:formatCode>0.000</c:formatCode>
                <c:ptCount val="81"/>
              </c:numCache>
            </c:numRef>
          </c:yVal>
        </c:ser>
        <c:ser>
          <c:idx val="7"/>
          <c:order val="7"/>
          <c:tx>
            <c:strRef>
              <c:f>data2!$Q$1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data2!$Q$2:$Q$82</c:f>
              <c:numCache>
                <c:formatCode>0.000</c:formatCode>
                <c:ptCount val="81"/>
              </c:numCache>
            </c:numRef>
          </c:yVal>
        </c:ser>
        <c:axId val="144907648"/>
        <c:axId val="144917632"/>
      </c:scatterChart>
      <c:valAx>
        <c:axId val="144907648"/>
        <c:scaling>
          <c:orientation val="minMax"/>
          <c:min val="0"/>
        </c:scaling>
        <c:axPos val="b"/>
        <c:numFmt formatCode="0.0" sourceLinked="1"/>
        <c:tickLblPos val="nextTo"/>
        <c:crossAx val="144917632"/>
        <c:crosses val="autoZero"/>
        <c:crossBetween val="midCat"/>
      </c:valAx>
      <c:valAx>
        <c:axId val="144917632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490764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data2!$R$2:$R$82</c:f>
              <c:numCache>
                <c:formatCode>0.000</c:formatCode>
                <c:ptCount val="81"/>
              </c:numCache>
            </c:numRef>
          </c:yVal>
        </c:ser>
        <c:ser>
          <c:idx val="1"/>
          <c:order val="1"/>
          <c:tx>
            <c:strRef>
              <c:f>data2!$S$1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data2!$S$2:$S$82</c:f>
              <c:numCache>
                <c:formatCode>0.000</c:formatCode>
                <c:ptCount val="81"/>
              </c:numCache>
            </c:numRef>
          </c:yVal>
        </c:ser>
        <c:ser>
          <c:idx val="2"/>
          <c:order val="2"/>
          <c:tx>
            <c:strRef>
              <c:f>data2!$T$1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data2!$T$2:$T$82</c:f>
              <c:numCache>
                <c:formatCode>0.000</c:formatCode>
                <c:ptCount val="81"/>
              </c:numCache>
            </c:numRef>
          </c:yVal>
        </c:ser>
        <c:ser>
          <c:idx val="3"/>
          <c:order val="3"/>
          <c:tx>
            <c:strRef>
              <c:f>data2!$U$1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data2!$U$2:$U$82</c:f>
              <c:numCache>
                <c:formatCode>0.000</c:formatCode>
                <c:ptCount val="81"/>
              </c:numCache>
            </c:numRef>
          </c:yVal>
        </c:ser>
        <c:ser>
          <c:idx val="4"/>
          <c:order val="4"/>
          <c:tx>
            <c:strRef>
              <c:f>data2!$V$1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data2!$V$2:$V$82</c:f>
              <c:numCache>
                <c:formatCode>0.000</c:formatCode>
                <c:ptCount val="81"/>
              </c:numCache>
            </c:numRef>
          </c:yVal>
        </c:ser>
        <c:ser>
          <c:idx val="5"/>
          <c:order val="5"/>
          <c:tx>
            <c:strRef>
              <c:f>data2!$W$1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data2!$W$2:$W$82</c:f>
              <c:numCache>
                <c:formatCode>0.000</c:formatCode>
                <c:ptCount val="81"/>
              </c:numCache>
            </c:numRef>
          </c:yVal>
        </c:ser>
        <c:ser>
          <c:idx val="6"/>
          <c:order val="6"/>
          <c:tx>
            <c:strRef>
              <c:f>data2!$X$1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data2!$X$2:$X$82</c:f>
              <c:numCache>
                <c:formatCode>0.000</c:formatCode>
                <c:ptCount val="81"/>
              </c:numCache>
            </c:numRef>
          </c:yVal>
        </c:ser>
        <c:ser>
          <c:idx val="7"/>
          <c:order val="7"/>
          <c:tx>
            <c:strRef>
              <c:f>data2!$Y$1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data2!$Y$2:$Y$82</c:f>
              <c:numCache>
                <c:formatCode>0.000</c:formatCode>
                <c:ptCount val="81"/>
              </c:numCache>
            </c:numRef>
          </c:yVal>
        </c:ser>
        <c:axId val="145040128"/>
        <c:axId val="145041664"/>
      </c:scatterChart>
      <c:valAx>
        <c:axId val="145040128"/>
        <c:scaling>
          <c:orientation val="minMax"/>
          <c:min val="0"/>
        </c:scaling>
        <c:axPos val="b"/>
        <c:numFmt formatCode="0.0" sourceLinked="1"/>
        <c:tickLblPos val="nextTo"/>
        <c:crossAx val="145041664"/>
        <c:crosses val="autoZero"/>
        <c:crossBetween val="midCat"/>
      </c:valAx>
      <c:valAx>
        <c:axId val="14504166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50401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data2!$Z$1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data2!$Z$2:$Z$82</c:f>
              <c:numCache>
                <c:formatCode>0.000</c:formatCode>
                <c:ptCount val="81"/>
              </c:numCache>
            </c:numRef>
          </c:yVal>
        </c:ser>
        <c:ser>
          <c:idx val="1"/>
          <c:order val="1"/>
          <c:tx>
            <c:strRef>
              <c:f>data2!$AA$1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data2!$AA$2:$AA$82</c:f>
              <c:numCache>
                <c:formatCode>0.000</c:formatCode>
                <c:ptCount val="81"/>
              </c:numCache>
            </c:numRef>
          </c:yVal>
        </c:ser>
        <c:ser>
          <c:idx val="2"/>
          <c:order val="2"/>
          <c:tx>
            <c:strRef>
              <c:f>data2!$AB$1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data2!$AB$2:$AB$82</c:f>
              <c:numCache>
                <c:formatCode>0.000</c:formatCode>
                <c:ptCount val="81"/>
              </c:numCache>
            </c:numRef>
          </c:yVal>
        </c:ser>
        <c:ser>
          <c:idx val="3"/>
          <c:order val="3"/>
          <c:tx>
            <c:strRef>
              <c:f>data2!$AC$1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data2!$AC$2:$AC$82</c:f>
              <c:numCache>
                <c:formatCode>0.000</c:formatCode>
                <c:ptCount val="81"/>
              </c:numCache>
            </c:numRef>
          </c:yVal>
        </c:ser>
        <c:ser>
          <c:idx val="4"/>
          <c:order val="4"/>
          <c:tx>
            <c:strRef>
              <c:f>data2!$AD$1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data2!$AD$2:$AD$82</c:f>
              <c:numCache>
                <c:formatCode>0.000</c:formatCode>
                <c:ptCount val="81"/>
              </c:numCache>
            </c:numRef>
          </c:yVal>
        </c:ser>
        <c:ser>
          <c:idx val="5"/>
          <c:order val="5"/>
          <c:tx>
            <c:strRef>
              <c:f>data2!$AE$1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data2!$AE$2:$AE$82</c:f>
              <c:numCache>
                <c:formatCode>0.000</c:formatCode>
                <c:ptCount val="81"/>
              </c:numCache>
            </c:numRef>
          </c:yVal>
        </c:ser>
        <c:ser>
          <c:idx val="6"/>
          <c:order val="6"/>
          <c:tx>
            <c:strRef>
              <c:f>data2!$AF$1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data2!$AF$2:$AF$82</c:f>
              <c:numCache>
                <c:formatCode>0.000</c:formatCode>
                <c:ptCount val="81"/>
              </c:numCache>
            </c:numRef>
          </c:yVal>
        </c:ser>
        <c:ser>
          <c:idx val="7"/>
          <c:order val="7"/>
          <c:tx>
            <c:strRef>
              <c:f>data2!$AG$1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data2!$A$2:$A$82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data2!$AG$2:$AG$82</c:f>
              <c:numCache>
                <c:formatCode>0.000</c:formatCode>
                <c:ptCount val="81"/>
              </c:numCache>
            </c:numRef>
          </c:yVal>
        </c:ser>
        <c:axId val="145126528"/>
        <c:axId val="145128064"/>
      </c:scatterChart>
      <c:valAx>
        <c:axId val="145126528"/>
        <c:scaling>
          <c:orientation val="minMax"/>
          <c:min val="0"/>
        </c:scaling>
        <c:axPos val="b"/>
        <c:numFmt formatCode="0.0" sourceLinked="1"/>
        <c:tickLblPos val="nextTo"/>
        <c:crossAx val="145128064"/>
        <c:crosses val="autoZero"/>
        <c:crossBetween val="midCat"/>
      </c:valAx>
      <c:valAx>
        <c:axId val="14512806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512652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data3!$B$1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data3!$B$2:$B$82</c:f>
              <c:numCache>
                <c:formatCode>0.000</c:formatCode>
                <c:ptCount val="81"/>
              </c:numCache>
            </c:numRef>
          </c:yVal>
        </c:ser>
        <c:ser>
          <c:idx val="1"/>
          <c:order val="1"/>
          <c:tx>
            <c:strRef>
              <c:f>data3!$C$1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data3!$C$2:$C$82</c:f>
              <c:numCache>
                <c:formatCode>0.000</c:formatCode>
                <c:ptCount val="81"/>
              </c:numCache>
            </c:numRef>
          </c:yVal>
        </c:ser>
        <c:ser>
          <c:idx val="2"/>
          <c:order val="2"/>
          <c:tx>
            <c:strRef>
              <c:f>data3!$D$1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data3!$D$2:$D$82</c:f>
              <c:numCache>
                <c:formatCode>0.000</c:formatCode>
                <c:ptCount val="81"/>
              </c:numCache>
            </c:numRef>
          </c:yVal>
        </c:ser>
        <c:ser>
          <c:idx val="3"/>
          <c:order val="3"/>
          <c:tx>
            <c:strRef>
              <c:f>data3!$E$1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data3!$E$2:$E$82</c:f>
              <c:numCache>
                <c:formatCode>0.000</c:formatCode>
                <c:ptCount val="81"/>
              </c:numCache>
            </c:numRef>
          </c:yVal>
        </c:ser>
        <c:ser>
          <c:idx val="4"/>
          <c:order val="4"/>
          <c:tx>
            <c:strRef>
              <c:f>data3!$F$1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data3!$F$2:$F$82</c:f>
              <c:numCache>
                <c:formatCode>0.000</c:formatCode>
                <c:ptCount val="81"/>
              </c:numCache>
            </c:numRef>
          </c:yVal>
        </c:ser>
        <c:ser>
          <c:idx val="5"/>
          <c:order val="5"/>
          <c:tx>
            <c:strRef>
              <c:f>data3!$G$1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data3!$G$2:$G$82</c:f>
              <c:numCache>
                <c:formatCode>0.000</c:formatCode>
                <c:ptCount val="81"/>
              </c:numCache>
            </c:numRef>
          </c:yVal>
        </c:ser>
        <c:ser>
          <c:idx val="6"/>
          <c:order val="6"/>
          <c:tx>
            <c:strRef>
              <c:f>data3!$H$1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data3!$H$2:$H$82</c:f>
              <c:numCache>
                <c:formatCode>0.000</c:formatCode>
                <c:ptCount val="81"/>
              </c:numCache>
            </c:numRef>
          </c:yVal>
        </c:ser>
        <c:ser>
          <c:idx val="7"/>
          <c:order val="7"/>
          <c:tx>
            <c:strRef>
              <c:f>data3!$I$1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data3!$I$2:$I$82</c:f>
              <c:numCache>
                <c:formatCode>0.000</c:formatCode>
                <c:ptCount val="81"/>
              </c:numCache>
            </c:numRef>
          </c:yVal>
        </c:ser>
        <c:axId val="145357056"/>
        <c:axId val="145174528"/>
      </c:scatterChart>
      <c:valAx>
        <c:axId val="145357056"/>
        <c:scaling>
          <c:orientation val="minMax"/>
        </c:scaling>
        <c:axPos val="b"/>
        <c:numFmt formatCode="0.0" sourceLinked="1"/>
        <c:tickLblPos val="nextTo"/>
        <c:crossAx val="145174528"/>
        <c:crosses val="autoZero"/>
        <c:crossBetween val="midCat"/>
      </c:valAx>
      <c:valAx>
        <c:axId val="14517452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535705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data3!$J$1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data3!$J$2:$J$82</c:f>
              <c:numCache>
                <c:formatCode>0.000</c:formatCode>
                <c:ptCount val="81"/>
              </c:numCache>
            </c:numRef>
          </c:yVal>
        </c:ser>
        <c:ser>
          <c:idx val="1"/>
          <c:order val="1"/>
          <c:tx>
            <c:strRef>
              <c:f>data3!$K$1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data3!$K$2:$K$82</c:f>
              <c:numCache>
                <c:formatCode>0.000</c:formatCode>
                <c:ptCount val="81"/>
              </c:numCache>
            </c:numRef>
          </c:yVal>
        </c:ser>
        <c:ser>
          <c:idx val="2"/>
          <c:order val="2"/>
          <c:tx>
            <c:strRef>
              <c:f>data3!$L$1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data3!$L$2:$L$82</c:f>
              <c:numCache>
                <c:formatCode>0.000</c:formatCode>
                <c:ptCount val="81"/>
              </c:numCache>
            </c:numRef>
          </c:yVal>
        </c:ser>
        <c:ser>
          <c:idx val="3"/>
          <c:order val="3"/>
          <c:tx>
            <c:strRef>
              <c:f>data3!$M$1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data3!$M$2:$M$82</c:f>
              <c:numCache>
                <c:formatCode>0.000</c:formatCode>
                <c:ptCount val="81"/>
              </c:numCache>
            </c:numRef>
          </c:yVal>
        </c:ser>
        <c:ser>
          <c:idx val="4"/>
          <c:order val="4"/>
          <c:tx>
            <c:strRef>
              <c:f>data3!$N$1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data3!$N$2:$N$82</c:f>
              <c:numCache>
                <c:formatCode>0.000</c:formatCode>
                <c:ptCount val="81"/>
              </c:numCache>
            </c:numRef>
          </c:yVal>
        </c:ser>
        <c:ser>
          <c:idx val="5"/>
          <c:order val="5"/>
          <c:tx>
            <c:strRef>
              <c:f>data3!$O$1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data3!$O$2:$O$82</c:f>
              <c:numCache>
                <c:formatCode>0.000</c:formatCode>
                <c:ptCount val="81"/>
              </c:numCache>
            </c:numRef>
          </c:yVal>
        </c:ser>
        <c:ser>
          <c:idx val="6"/>
          <c:order val="6"/>
          <c:tx>
            <c:strRef>
              <c:f>data3!$P$1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data3!$P$2:$P$82</c:f>
              <c:numCache>
                <c:formatCode>0.000</c:formatCode>
                <c:ptCount val="81"/>
              </c:numCache>
            </c:numRef>
          </c:yVal>
        </c:ser>
        <c:ser>
          <c:idx val="7"/>
          <c:order val="7"/>
          <c:tx>
            <c:strRef>
              <c:f>data3!$Q$1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data3!$Q$2:$Q$82</c:f>
              <c:numCache>
                <c:formatCode>0.000</c:formatCode>
                <c:ptCount val="81"/>
              </c:numCache>
            </c:numRef>
          </c:yVal>
        </c:ser>
        <c:axId val="145239040"/>
        <c:axId val="145244928"/>
      </c:scatterChart>
      <c:valAx>
        <c:axId val="145239040"/>
        <c:scaling>
          <c:orientation val="minMax"/>
        </c:scaling>
        <c:axPos val="b"/>
        <c:numFmt formatCode="0.0" sourceLinked="1"/>
        <c:tickLblPos val="nextTo"/>
        <c:crossAx val="145244928"/>
        <c:crosses val="autoZero"/>
        <c:crossBetween val="midCat"/>
      </c:valAx>
      <c:valAx>
        <c:axId val="145244928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5239040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data3!$R$1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data3!$R$2:$R$82</c:f>
              <c:numCache>
                <c:formatCode>0.000</c:formatCode>
                <c:ptCount val="81"/>
              </c:numCache>
            </c:numRef>
          </c:yVal>
        </c:ser>
        <c:ser>
          <c:idx val="1"/>
          <c:order val="1"/>
          <c:tx>
            <c:strRef>
              <c:f>data3!$S$1</c:f>
              <c:strCache>
                <c:ptCount val="1"/>
                <c:pt idx="0">
                  <c:v>17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data3!$S$2:$S$82</c:f>
              <c:numCache>
                <c:formatCode>0.000</c:formatCode>
                <c:ptCount val="81"/>
              </c:numCache>
            </c:numRef>
          </c:yVal>
        </c:ser>
        <c:ser>
          <c:idx val="2"/>
          <c:order val="2"/>
          <c:tx>
            <c:strRef>
              <c:f>data3!$T$1</c:f>
              <c:strCache>
                <c:ptCount val="1"/>
                <c:pt idx="0">
                  <c:v>18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data3!$T$2:$T$82</c:f>
              <c:numCache>
                <c:formatCode>0.000</c:formatCode>
                <c:ptCount val="81"/>
              </c:numCache>
            </c:numRef>
          </c:yVal>
        </c:ser>
        <c:ser>
          <c:idx val="3"/>
          <c:order val="3"/>
          <c:tx>
            <c:strRef>
              <c:f>data3!$U$1</c:f>
              <c:strCache>
                <c:ptCount val="1"/>
                <c:pt idx="0">
                  <c:v>19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data3!$U$2:$U$82</c:f>
              <c:numCache>
                <c:formatCode>0.000</c:formatCode>
                <c:ptCount val="81"/>
              </c:numCache>
            </c:numRef>
          </c:yVal>
        </c:ser>
        <c:ser>
          <c:idx val="4"/>
          <c:order val="4"/>
          <c:tx>
            <c:strRef>
              <c:f>data3!$V$1</c:f>
              <c:strCache>
                <c:ptCount val="1"/>
                <c:pt idx="0">
                  <c:v>20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data3!$V$2:$V$82</c:f>
              <c:numCache>
                <c:formatCode>0.000</c:formatCode>
                <c:ptCount val="81"/>
              </c:numCache>
            </c:numRef>
          </c:yVal>
        </c:ser>
        <c:ser>
          <c:idx val="5"/>
          <c:order val="5"/>
          <c:tx>
            <c:strRef>
              <c:f>data3!$W$1</c:f>
              <c:strCache>
                <c:ptCount val="1"/>
                <c:pt idx="0">
                  <c:v>21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data3!$W$2:$W$82</c:f>
              <c:numCache>
                <c:formatCode>0.000</c:formatCode>
                <c:ptCount val="81"/>
              </c:numCache>
            </c:numRef>
          </c:yVal>
        </c:ser>
        <c:ser>
          <c:idx val="6"/>
          <c:order val="6"/>
          <c:tx>
            <c:strRef>
              <c:f>data3!$X$1</c:f>
              <c:strCache>
                <c:ptCount val="1"/>
                <c:pt idx="0">
                  <c:v>22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data3!$X$2:$X$82</c:f>
              <c:numCache>
                <c:formatCode>0.000</c:formatCode>
                <c:ptCount val="81"/>
              </c:numCache>
            </c:numRef>
          </c:yVal>
        </c:ser>
        <c:ser>
          <c:idx val="7"/>
          <c:order val="7"/>
          <c:tx>
            <c:strRef>
              <c:f>data3!$Y$1</c:f>
              <c:strCache>
                <c:ptCount val="1"/>
                <c:pt idx="0">
                  <c:v>23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data3!$Y$2:$Y$82</c:f>
              <c:numCache>
                <c:formatCode>0.000</c:formatCode>
                <c:ptCount val="81"/>
              </c:numCache>
            </c:numRef>
          </c:yVal>
        </c:ser>
        <c:axId val="145396096"/>
        <c:axId val="145397632"/>
      </c:scatterChart>
      <c:valAx>
        <c:axId val="145396096"/>
        <c:scaling>
          <c:orientation val="minMax"/>
        </c:scaling>
        <c:axPos val="b"/>
        <c:numFmt formatCode="0.0" sourceLinked="1"/>
        <c:tickLblPos val="nextTo"/>
        <c:crossAx val="145397632"/>
        <c:crosses val="autoZero"/>
        <c:crossBetween val="midCat"/>
      </c:valAx>
      <c:valAx>
        <c:axId val="145397632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5396096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scatterChart>
        <c:scatterStyle val="lineMarker"/>
        <c:ser>
          <c:idx val="0"/>
          <c:order val="0"/>
          <c:tx>
            <c:strRef>
              <c:f>data3!$Z$1</c:f>
              <c:strCache>
                <c:ptCount val="1"/>
                <c:pt idx="0">
                  <c:v>24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data3!$Z$2:$Z$82</c:f>
              <c:numCache>
                <c:formatCode>0.000</c:formatCode>
                <c:ptCount val="81"/>
              </c:numCache>
            </c:numRef>
          </c:yVal>
        </c:ser>
        <c:ser>
          <c:idx val="1"/>
          <c:order val="1"/>
          <c:tx>
            <c:strRef>
              <c:f>data3!$AA$1</c:f>
              <c:strCache>
                <c:ptCount val="1"/>
                <c:pt idx="0">
                  <c:v>25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data3!$AA$2:$AA$82</c:f>
              <c:numCache>
                <c:formatCode>0.000</c:formatCode>
                <c:ptCount val="81"/>
              </c:numCache>
            </c:numRef>
          </c:yVal>
        </c:ser>
        <c:ser>
          <c:idx val="2"/>
          <c:order val="2"/>
          <c:tx>
            <c:strRef>
              <c:f>data3!$AB$1</c:f>
              <c:strCache>
                <c:ptCount val="1"/>
                <c:pt idx="0">
                  <c:v>26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data3!$AB$2:$AB$82</c:f>
              <c:numCache>
                <c:formatCode>0.000</c:formatCode>
                <c:ptCount val="81"/>
              </c:numCache>
            </c:numRef>
          </c:yVal>
        </c:ser>
        <c:ser>
          <c:idx val="3"/>
          <c:order val="3"/>
          <c:tx>
            <c:strRef>
              <c:f>data3!$AC$1</c:f>
              <c:strCache>
                <c:ptCount val="1"/>
                <c:pt idx="0">
                  <c:v>27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data3!$AC$2:$AC$82</c:f>
              <c:numCache>
                <c:formatCode>0.000</c:formatCode>
                <c:ptCount val="81"/>
              </c:numCache>
            </c:numRef>
          </c:yVal>
        </c:ser>
        <c:ser>
          <c:idx val="4"/>
          <c:order val="4"/>
          <c:tx>
            <c:strRef>
              <c:f>data3!$AD$1</c:f>
              <c:strCache>
                <c:ptCount val="1"/>
                <c:pt idx="0">
                  <c:v>28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data3!$AD$2:$AD$82</c:f>
              <c:numCache>
                <c:formatCode>0.000</c:formatCode>
                <c:ptCount val="81"/>
              </c:numCache>
            </c:numRef>
          </c:yVal>
        </c:ser>
        <c:ser>
          <c:idx val="5"/>
          <c:order val="5"/>
          <c:tx>
            <c:strRef>
              <c:f>data3!$AE$1</c:f>
              <c:strCache>
                <c:ptCount val="1"/>
                <c:pt idx="0">
                  <c:v>29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data3!$AE$2:$AE$82</c:f>
              <c:numCache>
                <c:formatCode>0.000</c:formatCode>
                <c:ptCount val="81"/>
              </c:numCache>
            </c:numRef>
          </c:yVal>
        </c:ser>
        <c:ser>
          <c:idx val="6"/>
          <c:order val="6"/>
          <c:tx>
            <c:strRef>
              <c:f>data3!$AF$1</c:f>
              <c:strCache>
                <c:ptCount val="1"/>
                <c:pt idx="0">
                  <c:v>30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data3!$AF$2:$AF$82</c:f>
              <c:numCache>
                <c:formatCode>0.000</c:formatCode>
                <c:ptCount val="81"/>
              </c:numCache>
            </c:numRef>
          </c:yVal>
        </c:ser>
        <c:ser>
          <c:idx val="7"/>
          <c:order val="7"/>
          <c:tx>
            <c:strRef>
              <c:f>data3!$AG$1</c:f>
              <c:strCache>
                <c:ptCount val="1"/>
                <c:pt idx="0">
                  <c:v>31</c:v>
                </c:pt>
              </c:strCache>
            </c:strRef>
          </c:tx>
          <c:marker>
            <c:symbol val="none"/>
          </c:marker>
          <c:xVal>
            <c:numRef>
              <c:f>data3!$A$2:$A$82</c:f>
              <c:numCache>
                <c:formatCode>0.0</c:formatCode>
                <c:ptCount val="81"/>
                <c:pt idx="0">
                  <c:v>1.6</c:v>
                </c:pt>
                <c:pt idx="1">
                  <c:v>2.6</c:v>
                </c:pt>
                <c:pt idx="2">
                  <c:v>3.6</c:v>
                </c:pt>
                <c:pt idx="3">
                  <c:v>4.5999999999999996</c:v>
                </c:pt>
                <c:pt idx="4">
                  <c:v>5.6</c:v>
                </c:pt>
                <c:pt idx="5">
                  <c:v>6.6</c:v>
                </c:pt>
                <c:pt idx="6">
                  <c:v>7.6</c:v>
                </c:pt>
                <c:pt idx="7">
                  <c:v>8.6</c:v>
                </c:pt>
                <c:pt idx="8">
                  <c:v>9.6</c:v>
                </c:pt>
                <c:pt idx="9">
                  <c:v>10.6</c:v>
                </c:pt>
                <c:pt idx="10">
                  <c:v>11.6</c:v>
                </c:pt>
                <c:pt idx="11">
                  <c:v>12.6</c:v>
                </c:pt>
                <c:pt idx="12">
                  <c:v>13.6</c:v>
                </c:pt>
                <c:pt idx="13">
                  <c:v>14.6</c:v>
                </c:pt>
                <c:pt idx="14">
                  <c:v>15.6</c:v>
                </c:pt>
                <c:pt idx="15">
                  <c:v>16.600000000000001</c:v>
                </c:pt>
                <c:pt idx="16">
                  <c:v>17.600000000000001</c:v>
                </c:pt>
                <c:pt idx="17">
                  <c:v>18.600000000000001</c:v>
                </c:pt>
                <c:pt idx="18">
                  <c:v>19.600000000000001</c:v>
                </c:pt>
                <c:pt idx="19">
                  <c:v>20.6</c:v>
                </c:pt>
                <c:pt idx="20">
                  <c:v>21.6</c:v>
                </c:pt>
                <c:pt idx="21">
                  <c:v>22.6</c:v>
                </c:pt>
                <c:pt idx="22">
                  <c:v>23.6</c:v>
                </c:pt>
                <c:pt idx="23">
                  <c:v>24.6</c:v>
                </c:pt>
                <c:pt idx="24">
                  <c:v>25.6</c:v>
                </c:pt>
                <c:pt idx="25">
                  <c:v>26.6</c:v>
                </c:pt>
                <c:pt idx="26">
                  <c:v>27.6</c:v>
                </c:pt>
                <c:pt idx="27">
                  <c:v>28.6</c:v>
                </c:pt>
                <c:pt idx="28">
                  <c:v>29.6</c:v>
                </c:pt>
                <c:pt idx="29">
                  <c:v>30.6</c:v>
                </c:pt>
                <c:pt idx="30">
                  <c:v>31.6</c:v>
                </c:pt>
                <c:pt idx="31">
                  <c:v>32.6</c:v>
                </c:pt>
                <c:pt idx="32">
                  <c:v>33.6</c:v>
                </c:pt>
                <c:pt idx="33">
                  <c:v>34.6</c:v>
                </c:pt>
                <c:pt idx="34">
                  <c:v>35.6</c:v>
                </c:pt>
                <c:pt idx="35">
                  <c:v>36.6</c:v>
                </c:pt>
                <c:pt idx="36">
                  <c:v>37.6</c:v>
                </c:pt>
                <c:pt idx="37">
                  <c:v>38.6</c:v>
                </c:pt>
                <c:pt idx="38">
                  <c:v>39.6</c:v>
                </c:pt>
                <c:pt idx="39">
                  <c:v>40.6</c:v>
                </c:pt>
                <c:pt idx="40">
                  <c:v>41.6</c:v>
                </c:pt>
                <c:pt idx="41">
                  <c:v>42.6</c:v>
                </c:pt>
                <c:pt idx="42">
                  <c:v>43.6</c:v>
                </c:pt>
                <c:pt idx="43">
                  <c:v>44.6</c:v>
                </c:pt>
                <c:pt idx="44">
                  <c:v>45.6</c:v>
                </c:pt>
                <c:pt idx="45">
                  <c:v>46.6</c:v>
                </c:pt>
                <c:pt idx="46">
                  <c:v>47.6</c:v>
                </c:pt>
                <c:pt idx="47">
                  <c:v>48.6</c:v>
                </c:pt>
                <c:pt idx="48">
                  <c:v>49.6</c:v>
                </c:pt>
                <c:pt idx="49">
                  <c:v>50.6</c:v>
                </c:pt>
                <c:pt idx="50">
                  <c:v>51.6</c:v>
                </c:pt>
                <c:pt idx="51">
                  <c:v>52.6</c:v>
                </c:pt>
                <c:pt idx="52">
                  <c:v>53.6</c:v>
                </c:pt>
                <c:pt idx="53">
                  <c:v>54.6</c:v>
                </c:pt>
                <c:pt idx="54">
                  <c:v>55.6</c:v>
                </c:pt>
                <c:pt idx="55">
                  <c:v>56.6</c:v>
                </c:pt>
                <c:pt idx="56">
                  <c:v>57.6</c:v>
                </c:pt>
                <c:pt idx="57">
                  <c:v>58.6</c:v>
                </c:pt>
                <c:pt idx="58">
                  <c:v>59.6</c:v>
                </c:pt>
                <c:pt idx="59">
                  <c:v>60.6</c:v>
                </c:pt>
                <c:pt idx="60">
                  <c:v>61.6</c:v>
                </c:pt>
                <c:pt idx="61">
                  <c:v>62.6</c:v>
                </c:pt>
                <c:pt idx="62">
                  <c:v>63.6</c:v>
                </c:pt>
                <c:pt idx="63">
                  <c:v>64.599999999999994</c:v>
                </c:pt>
                <c:pt idx="64">
                  <c:v>65.599999999999994</c:v>
                </c:pt>
                <c:pt idx="65">
                  <c:v>66.599999999999994</c:v>
                </c:pt>
                <c:pt idx="66">
                  <c:v>67.599999999999994</c:v>
                </c:pt>
                <c:pt idx="67">
                  <c:v>68.599999999999994</c:v>
                </c:pt>
                <c:pt idx="68">
                  <c:v>69.599999999999994</c:v>
                </c:pt>
                <c:pt idx="69">
                  <c:v>70.599999999999994</c:v>
                </c:pt>
                <c:pt idx="70">
                  <c:v>71.599999999999994</c:v>
                </c:pt>
                <c:pt idx="71">
                  <c:v>72.599999999999994</c:v>
                </c:pt>
                <c:pt idx="72">
                  <c:v>73.599999999999994</c:v>
                </c:pt>
                <c:pt idx="73">
                  <c:v>74.599999999999994</c:v>
                </c:pt>
                <c:pt idx="74">
                  <c:v>75.599999999999994</c:v>
                </c:pt>
                <c:pt idx="75">
                  <c:v>76.599999999999994</c:v>
                </c:pt>
                <c:pt idx="76">
                  <c:v>77.599999999999994</c:v>
                </c:pt>
                <c:pt idx="77">
                  <c:v>78.599999999999994</c:v>
                </c:pt>
                <c:pt idx="78">
                  <c:v>79.599999999999994</c:v>
                </c:pt>
                <c:pt idx="79">
                  <c:v>80.599999999999994</c:v>
                </c:pt>
                <c:pt idx="80">
                  <c:v>81.599999999999994</c:v>
                </c:pt>
              </c:numCache>
            </c:numRef>
          </c:xVal>
          <c:yVal>
            <c:numRef>
              <c:f>data3!$AG$2:$AG$82</c:f>
              <c:numCache>
                <c:formatCode>0.000</c:formatCode>
                <c:ptCount val="81"/>
              </c:numCache>
            </c:numRef>
          </c:yVal>
        </c:ser>
        <c:axId val="145613568"/>
        <c:axId val="145615104"/>
      </c:scatterChart>
      <c:valAx>
        <c:axId val="145613568"/>
        <c:scaling>
          <c:orientation val="minMax"/>
        </c:scaling>
        <c:axPos val="b"/>
        <c:numFmt formatCode="0.0" sourceLinked="1"/>
        <c:tickLblPos val="nextTo"/>
        <c:crossAx val="145615104"/>
        <c:crosses val="autoZero"/>
        <c:crossBetween val="midCat"/>
      </c:valAx>
      <c:valAx>
        <c:axId val="145615104"/>
        <c:scaling>
          <c:orientation val="minMax"/>
          <c:max val="1"/>
        </c:scaling>
        <c:axPos val="l"/>
        <c:majorGridlines/>
        <c:numFmt formatCode="0%" sourceLinked="0"/>
        <c:tickLblPos val="nextTo"/>
        <c:crossAx val="145613568"/>
        <c:crosses val="autoZero"/>
        <c:crossBetween val="midCat"/>
      </c:valAx>
    </c:plotArea>
    <c:legend>
      <c:legendPos val="r"/>
    </c:legend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4" Type="http://schemas.openxmlformats.org/officeDocument/2006/relationships/chart" Target="../charts/chart22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4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9.xml"/><Relationship Id="rId2" Type="http://schemas.openxmlformats.org/officeDocument/2006/relationships/chart" Target="../charts/chart28.xml"/><Relationship Id="rId1" Type="http://schemas.openxmlformats.org/officeDocument/2006/relationships/chart" Target="../charts/chart27.xml"/><Relationship Id="rId4" Type="http://schemas.openxmlformats.org/officeDocument/2006/relationships/chart" Target="../charts/chart30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592667</xdr:colOff>
      <xdr:row>34</xdr:row>
      <xdr:rowOff>2643</xdr:rowOff>
    </xdr:from>
    <xdr:to>
      <xdr:col>15</xdr:col>
      <xdr:colOff>254001</xdr:colOff>
      <xdr:row>48</xdr:row>
      <xdr:rowOff>25927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34</xdr:row>
      <xdr:rowOff>2643</xdr:rowOff>
    </xdr:from>
    <xdr:to>
      <xdr:col>7</xdr:col>
      <xdr:colOff>592667</xdr:colOff>
      <xdr:row>48</xdr:row>
      <xdr:rowOff>25927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</xdr:colOff>
      <xdr:row>48</xdr:row>
      <xdr:rowOff>21165</xdr:rowOff>
    </xdr:from>
    <xdr:to>
      <xdr:col>7</xdr:col>
      <xdr:colOff>592667</xdr:colOff>
      <xdr:row>62</xdr:row>
      <xdr:rowOff>97365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592667</xdr:colOff>
      <xdr:row>48</xdr:row>
      <xdr:rowOff>21165</xdr:rowOff>
    </xdr:from>
    <xdr:to>
      <xdr:col>15</xdr:col>
      <xdr:colOff>254001</xdr:colOff>
      <xdr:row>62</xdr:row>
      <xdr:rowOff>97365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16</xdr:col>
      <xdr:colOff>95250</xdr:colOff>
      <xdr:row>10</xdr:row>
      <xdr:rowOff>29308</xdr:rowOff>
    </xdr:from>
    <xdr:ext cx="184731" cy="264560"/>
    <xdr:sp macro="" textlink="">
      <xdr:nvSpPr>
        <xdr:cNvPr id="11" name="TextBox 10"/>
        <xdr:cNvSpPr txBox="1"/>
      </xdr:nvSpPr>
      <xdr:spPr>
        <a:xfrm>
          <a:off x="10125808" y="1186962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1</xdr:col>
      <xdr:colOff>1</xdr:colOff>
      <xdr:row>67</xdr:row>
      <xdr:rowOff>190499</xdr:rowOff>
    </xdr:from>
    <xdr:to>
      <xdr:col>7</xdr:col>
      <xdr:colOff>592667</xdr:colOff>
      <xdr:row>82</xdr:row>
      <xdr:rowOff>79374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86</xdr:row>
      <xdr:rowOff>9525</xdr:rowOff>
    </xdr:from>
    <xdr:to>
      <xdr:col>8</xdr:col>
      <xdr:colOff>9525</xdr:colOff>
      <xdr:row>100</xdr:row>
      <xdr:rowOff>85725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0.17106</cdr:x>
      <cdr:y>0.15699</cdr:y>
    </cdr:from>
    <cdr:to>
      <cdr:x>0.52021</cdr:x>
      <cdr:y>0.26116</cdr:y>
    </cdr:to>
    <cdr:sp macro="" textlink="Calculations!$A$46">
      <cdr:nvSpPr>
        <cdr:cNvPr id="2" name="TextBox 1"/>
        <cdr:cNvSpPr txBox="1"/>
      </cdr:nvSpPr>
      <cdr:spPr>
        <a:xfrm xmlns:a="http://schemas.openxmlformats.org/drawingml/2006/main">
          <a:off x="782086" y="430655"/>
          <a:ext cx="1596314" cy="28575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82FB955-A005-4D13-B01F-23CE8C87C3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#DIV/0!</a:t>
          </a:fld>
          <a:endParaRPr lang="en-US" sz="1100"/>
        </a:p>
      </cdr:txBody>
    </cdr:sp>
  </cdr:relSizeAnchor>
  <cdr:relSizeAnchor xmlns:cdr="http://schemas.openxmlformats.org/drawingml/2006/chartDrawing">
    <cdr:from>
      <cdr:x>0.34167</cdr:x>
      <cdr:y>0.64931</cdr:y>
    </cdr:from>
    <cdr:to>
      <cdr:x>0.72083</cdr:x>
      <cdr:y>0.74653</cdr:y>
    </cdr:to>
    <cdr:sp macro="" textlink="Summary!$F$85">
      <cdr:nvSpPr>
        <cdr:cNvPr id="3" name="TextBox 2"/>
        <cdr:cNvSpPr txBox="1"/>
      </cdr:nvSpPr>
      <cdr:spPr>
        <a:xfrm xmlns:a="http://schemas.openxmlformats.org/drawingml/2006/main">
          <a:off x="1562100" y="1781175"/>
          <a:ext cx="1733550" cy="266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EE8EF94-343B-445A-981A-6A78E5029ACE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#DIV/0!</a:t>
          </a:fld>
          <a:endParaRPr lang="en-US" sz="1100" b="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396874</xdr:colOff>
      <xdr:row>42</xdr:row>
      <xdr:rowOff>0</xdr:rowOff>
    </xdr:from>
    <xdr:to>
      <xdr:col>42</xdr:col>
      <xdr:colOff>267758</xdr:colOff>
      <xdr:row>56</xdr:row>
      <xdr:rowOff>80434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0</xdr:colOff>
      <xdr:row>42</xdr:row>
      <xdr:rowOff>0</xdr:rowOff>
    </xdr:from>
    <xdr:to>
      <xdr:col>33</xdr:col>
      <xdr:colOff>396874</xdr:colOff>
      <xdr:row>56</xdr:row>
      <xdr:rowOff>80434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0</xdr:colOff>
      <xdr:row>56</xdr:row>
      <xdr:rowOff>75672</xdr:rowOff>
    </xdr:from>
    <xdr:to>
      <xdr:col>33</xdr:col>
      <xdr:colOff>396874</xdr:colOff>
      <xdr:row>70</xdr:row>
      <xdr:rowOff>170922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396874</xdr:colOff>
      <xdr:row>56</xdr:row>
      <xdr:rowOff>75672</xdr:rowOff>
    </xdr:from>
    <xdr:to>
      <xdr:col>42</xdr:col>
      <xdr:colOff>267758</xdr:colOff>
      <xdr:row>70</xdr:row>
      <xdr:rowOff>170922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423332</xdr:colOff>
      <xdr:row>72</xdr:row>
      <xdr:rowOff>189522</xdr:rowOff>
    </xdr:from>
    <xdr:to>
      <xdr:col>42</xdr:col>
      <xdr:colOff>301623</xdr:colOff>
      <xdr:row>87</xdr:row>
      <xdr:rowOff>97447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3780</xdr:colOff>
      <xdr:row>46</xdr:row>
      <xdr:rowOff>12095</xdr:rowOff>
    </xdr:from>
    <xdr:to>
      <xdr:col>15</xdr:col>
      <xdr:colOff>488689</xdr:colOff>
      <xdr:row>60</xdr:row>
      <xdr:rowOff>86178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514024</xdr:colOff>
      <xdr:row>72</xdr:row>
      <xdr:rowOff>189522</xdr:rowOff>
    </xdr:from>
    <xdr:to>
      <xdr:col>33</xdr:col>
      <xdr:colOff>418774</xdr:colOff>
      <xdr:row>87</xdr:row>
      <xdr:rowOff>75222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0.36481</cdr:x>
      <cdr:y>0.28199</cdr:y>
    </cdr:from>
    <cdr:to>
      <cdr:x>0.71396</cdr:x>
      <cdr:y>0.38616</cdr:y>
    </cdr:to>
    <cdr:sp macro="" textlink="Calculations!$A$46">
      <cdr:nvSpPr>
        <cdr:cNvPr id="2" name="TextBox 1"/>
        <cdr:cNvSpPr txBox="1"/>
      </cdr:nvSpPr>
      <cdr:spPr>
        <a:xfrm xmlns:a="http://schemas.openxmlformats.org/drawingml/2006/main">
          <a:off x="1667931" y="773563"/>
          <a:ext cx="1596293" cy="285748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82FB955-A005-4D13-B01F-23CE8C87C38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#DIV/0!</a:t>
          </a:fld>
          <a:endParaRPr lang="en-US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11907</xdr:colOff>
      <xdr:row>2</xdr:row>
      <xdr:rowOff>11906</xdr:rowOff>
    </xdr:from>
    <xdr:to>
      <xdr:col>9</xdr:col>
      <xdr:colOff>0</xdr:colOff>
      <xdr:row>16</xdr:row>
      <xdr:rowOff>107156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392905</xdr:colOff>
      <xdr:row>16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392905</xdr:colOff>
      <xdr:row>16</xdr:row>
      <xdr:rowOff>95250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392905</xdr:colOff>
      <xdr:row>16</xdr:row>
      <xdr:rowOff>95250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40</xdr:col>
      <xdr:colOff>52917</xdr:colOff>
      <xdr:row>5</xdr:row>
      <xdr:rowOff>84667</xdr:rowOff>
    </xdr:from>
    <xdr:to>
      <xdr:col>47</xdr:col>
      <xdr:colOff>497416</xdr:colOff>
      <xdr:row>22</xdr:row>
      <xdr:rowOff>145522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0.50138</cdr:x>
      <cdr:y>0.49469</cdr:y>
    </cdr:from>
    <cdr:to>
      <cdr:x>0.73939</cdr:x>
      <cdr:y>0.8286</cdr:y>
    </cdr:to>
    <cdr:sp macro="" textlink="">
      <cdr:nvSpPr>
        <cdr:cNvPr id="3" name="TextBox 2"/>
        <cdr:cNvSpPr txBox="1"/>
      </cdr:nvSpPr>
      <cdr:spPr>
        <a:xfrm xmlns:a="http://schemas.openxmlformats.org/drawingml/2006/main">
          <a:off x="1926166" y="135466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0.71231</cdr:x>
      <cdr:y>0.63833</cdr:y>
    </cdr:from>
    <cdr:to>
      <cdr:x>0.77232</cdr:x>
      <cdr:y>0.77704</cdr:y>
    </cdr:to>
    <cdr:sp macro="" textlink="">
      <cdr:nvSpPr>
        <cdr:cNvPr id="6" name="Straight Arrow Connector 5"/>
        <cdr:cNvSpPr/>
      </cdr:nvSpPr>
      <cdr:spPr>
        <a:xfrm xmlns:a="http://schemas.openxmlformats.org/drawingml/2006/main" flipH="1">
          <a:off x="3377308" y="2106084"/>
          <a:ext cx="284526" cy="45766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0.48029</cdr:x>
      <cdr:y>0.38813</cdr:y>
    </cdr:from>
    <cdr:to>
      <cdr:x>0.6942</cdr:x>
      <cdr:y>0.47153</cdr:y>
    </cdr:to>
    <cdr:sp macro="" textlink="data0!$AP$3">
      <cdr:nvSpPr>
        <cdr:cNvPr id="4" name="TextBox 3"/>
        <cdr:cNvSpPr txBox="1"/>
      </cdr:nvSpPr>
      <cdr:spPr>
        <a:xfrm xmlns:a="http://schemas.openxmlformats.org/drawingml/2006/main">
          <a:off x="2277234" y="1280583"/>
          <a:ext cx="1014183" cy="27516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49A35B4-B7EC-40F4-9DC0-9F9E90472BF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Both:4.6 - 19.6mm</a:t>
          </a:fld>
          <a:endParaRPr lang="en-US" sz="1100"/>
        </a:p>
      </cdr:txBody>
    </cdr:sp>
  </cdr:relSizeAnchor>
  <cdr:relSizeAnchor xmlns:cdr="http://schemas.openxmlformats.org/drawingml/2006/chartDrawing">
    <cdr:from>
      <cdr:x>0.7135</cdr:x>
      <cdr:y>0.56812</cdr:y>
    </cdr:from>
    <cdr:to>
      <cdr:x>0.90083</cdr:x>
      <cdr:y>0.67246</cdr:y>
    </cdr:to>
    <cdr:sp macro="" textlink="">
      <cdr:nvSpPr>
        <cdr:cNvPr id="7" name="TextBox 6"/>
        <cdr:cNvSpPr txBox="1"/>
      </cdr:nvSpPr>
      <cdr:spPr>
        <a:xfrm xmlns:a="http://schemas.openxmlformats.org/drawingml/2006/main">
          <a:off x="3382952" y="1874415"/>
          <a:ext cx="888183" cy="3442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Measured</a:t>
          </a:r>
        </a:p>
      </cdr:txBody>
    </cdr:sp>
  </cdr:relSizeAnchor>
  <cdr:relSizeAnchor xmlns:cdr="http://schemas.openxmlformats.org/drawingml/2006/chartDrawing">
    <cdr:from>
      <cdr:x>0.3192</cdr:x>
      <cdr:y>0.21743</cdr:y>
    </cdr:from>
    <cdr:to>
      <cdr:x>0.43398</cdr:x>
      <cdr:y>0.21743</cdr:y>
    </cdr:to>
    <cdr:sp macro="" textlink="">
      <cdr:nvSpPr>
        <cdr:cNvPr id="8" name="Straight Arrow Connector 7"/>
        <cdr:cNvSpPr/>
      </cdr:nvSpPr>
      <cdr:spPr>
        <a:xfrm xmlns:a="http://schemas.openxmlformats.org/drawingml/2006/main" flipH="1">
          <a:off x="1513416" y="717383"/>
          <a:ext cx="544227" cy="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0.44221</cdr:x>
      <cdr:y>0.18551</cdr:y>
    </cdr:from>
    <cdr:to>
      <cdr:x>0.68023</cdr:x>
      <cdr:y>0.27053</cdr:y>
    </cdr:to>
    <cdr:sp macro="" textlink="">
      <cdr:nvSpPr>
        <cdr:cNvPr id="9" name="TextBox 8"/>
        <cdr:cNvSpPr txBox="1"/>
      </cdr:nvSpPr>
      <cdr:spPr>
        <a:xfrm xmlns:a="http://schemas.openxmlformats.org/drawingml/2006/main">
          <a:off x="2096683" y="612063"/>
          <a:ext cx="1128514" cy="2805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Extrapolated</a:t>
          </a:r>
        </a:p>
      </cdr:txBody>
    </cdr:sp>
  </cdr:relSizeAnchor>
  <cdr:relSizeAnchor xmlns:cdr="http://schemas.openxmlformats.org/drawingml/2006/chartDrawing">
    <cdr:from>
      <cdr:x>0.02009</cdr:x>
      <cdr:y>0.88853</cdr:y>
    </cdr:from>
    <cdr:to>
      <cdr:x>0.28795</cdr:x>
      <cdr:y>0.97514</cdr:y>
    </cdr:to>
    <cdr:sp macro="" textlink="data0!$AP$4">
      <cdr:nvSpPr>
        <cdr:cNvPr id="11" name="TextBox 10"/>
        <cdr:cNvSpPr txBox="1"/>
      </cdr:nvSpPr>
      <cdr:spPr>
        <a:xfrm xmlns:a="http://schemas.openxmlformats.org/drawingml/2006/main">
          <a:off x="95252" y="2931576"/>
          <a:ext cx="1269997" cy="28575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41D23F8-EFB2-46C3-9EAC-4B2827E90E50}" type="TxLink">
            <a:rPr lang="en-US" sz="11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marR="0" indent="0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Y=2.6485X^-0.949</a:t>
          </a:fld>
          <a:endParaRPr lang="en-US" sz="1100"/>
        </a:p>
      </cdr:txBody>
    </cdr:sp>
  </cdr:relSizeAnchor>
  <cdr:relSizeAnchor xmlns:cdr="http://schemas.openxmlformats.org/drawingml/2006/chartDrawing">
    <cdr:from>
      <cdr:x>0.21652</cdr:x>
      <cdr:y>0.43945</cdr:y>
    </cdr:from>
    <cdr:to>
      <cdr:x>0.48214</cdr:x>
      <cdr:y>0.46512</cdr:y>
    </cdr:to>
    <cdr:sp macro="" textlink="">
      <cdr:nvSpPr>
        <cdr:cNvPr id="12" name="Straight Arrow Connector 11"/>
        <cdr:cNvSpPr/>
      </cdr:nvSpPr>
      <cdr:spPr>
        <a:xfrm xmlns:a="http://schemas.openxmlformats.org/drawingml/2006/main" flipH="1">
          <a:off x="1026583" y="1449917"/>
          <a:ext cx="1259417" cy="84666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0.3125</cdr:x>
      <cdr:y>0.44266</cdr:y>
    </cdr:from>
    <cdr:to>
      <cdr:x>0.48437</cdr:x>
      <cdr:y>0.75702</cdr:y>
    </cdr:to>
    <cdr:sp macro="" textlink="">
      <cdr:nvSpPr>
        <cdr:cNvPr id="14" name="Straight Arrow Connector 13"/>
        <cdr:cNvSpPr/>
      </cdr:nvSpPr>
      <cdr:spPr>
        <a:xfrm xmlns:a="http://schemas.openxmlformats.org/drawingml/2006/main" flipH="1">
          <a:off x="1481667" y="1460500"/>
          <a:ext cx="814916" cy="1037167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0.39509</cdr:x>
      <cdr:y>0.69286</cdr:y>
    </cdr:from>
    <cdr:to>
      <cdr:x>0.69866</cdr:x>
      <cdr:y>0.76664</cdr:y>
    </cdr:to>
    <cdr:sp macro="" textlink="data0!$AS$3">
      <cdr:nvSpPr>
        <cdr:cNvPr id="15" name="TextBox 14"/>
        <cdr:cNvSpPr txBox="1"/>
      </cdr:nvSpPr>
      <cdr:spPr>
        <a:xfrm xmlns:a="http://schemas.openxmlformats.org/drawingml/2006/main">
          <a:off x="1873251" y="2286000"/>
          <a:ext cx="1439334" cy="243417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201CFA65-91EB-4E0C-AC5E-DE6904843619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#DIV/0!</a:t>
          </a:fld>
          <a:endParaRPr lang="en-US" sz="1100"/>
        </a:p>
      </cdr:txBody>
    </cdr:sp>
  </cdr:relSizeAnchor>
  <cdr:relSizeAnchor xmlns:cdr="http://schemas.openxmlformats.org/drawingml/2006/chartDrawing">
    <cdr:from>
      <cdr:x>0.7567</cdr:x>
      <cdr:y>0.24058</cdr:y>
    </cdr:from>
    <cdr:to>
      <cdr:x>0.94955</cdr:x>
      <cdr:y>0.51772</cdr:y>
    </cdr:to>
    <cdr:sp macro="" textlink="">
      <cdr:nvSpPr>
        <cdr:cNvPr id="16" name="TextBox 15"/>
        <cdr:cNvSpPr txBox="1"/>
      </cdr:nvSpPr>
      <cdr:spPr>
        <a:xfrm xmlns:a="http://schemas.openxmlformats.org/drawingml/2006/main">
          <a:off x="3587750" y="7937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0.67411</cdr:x>
      <cdr:y>0.23095</cdr:y>
    </cdr:from>
    <cdr:to>
      <cdr:x>0.97991</cdr:x>
      <cdr:y>0.28869</cdr:y>
    </cdr:to>
    <cdr:sp macro="" textlink="data0!$AS$4">
      <cdr:nvSpPr>
        <cdr:cNvPr id="17" name="TextBox 16"/>
        <cdr:cNvSpPr txBox="1"/>
      </cdr:nvSpPr>
      <cdr:spPr>
        <a:xfrm xmlns:a="http://schemas.openxmlformats.org/drawingml/2006/main">
          <a:off x="3196166" y="762001"/>
          <a:ext cx="1449917" cy="190499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55F3E6AE-48AA-42C4-B03D-5A8AB7142655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Glass Xmit @850nm=77%</a:t>
          </a:fld>
          <a:endParaRPr lang="en-US" sz="1000"/>
        </a:p>
      </cdr:txBody>
    </cdr:sp>
  </cdr:relSizeAnchor>
  <cdr:relSizeAnchor xmlns:cdr="http://schemas.openxmlformats.org/drawingml/2006/chartDrawing">
    <cdr:from>
      <cdr:x>0.67411</cdr:x>
      <cdr:y>0.28869</cdr:y>
    </cdr:from>
    <cdr:to>
      <cdr:x>0.94643</cdr:x>
      <cdr:y>0.37209</cdr:y>
    </cdr:to>
    <cdr:sp macro="" textlink="data0!$AS$5">
      <cdr:nvSpPr>
        <cdr:cNvPr id="18" name="TextBox 17"/>
        <cdr:cNvSpPr txBox="1"/>
      </cdr:nvSpPr>
      <cdr:spPr>
        <a:xfrm xmlns:a="http://schemas.openxmlformats.org/drawingml/2006/main">
          <a:off x="3196166" y="952500"/>
          <a:ext cx="1291168" cy="275166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10D2FA0-D5E7-480C-A11D-BFEBB669DAB7}" type="TxLink">
            <a:rPr lang="en-US" sz="10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Target Reflection=6%</a:t>
          </a:fld>
          <a:endParaRPr lang="en-US" sz="10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</xdr:row>
      <xdr:rowOff>11908</xdr:rowOff>
    </xdr:from>
    <xdr:to>
      <xdr:col>9</xdr:col>
      <xdr:colOff>0</xdr:colOff>
      <xdr:row>16</xdr:row>
      <xdr:rowOff>83345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16</xdr:col>
      <xdr:colOff>404811</xdr:colOff>
      <xdr:row>16</xdr:row>
      <xdr:rowOff>71437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24</xdr:col>
      <xdr:colOff>404811</xdr:colOff>
      <xdr:row>16</xdr:row>
      <xdr:rowOff>71437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32</xdr:col>
      <xdr:colOff>404811</xdr:colOff>
      <xdr:row>16</xdr:row>
      <xdr:rowOff>71437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2</xdr:rowOff>
    </xdr:from>
    <xdr:to>
      <xdr:col>9</xdr:col>
      <xdr:colOff>0</xdr:colOff>
      <xdr:row>16</xdr:row>
      <xdr:rowOff>11906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11904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11904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11904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714375</xdr:colOff>
      <xdr:row>2</xdr:row>
      <xdr:rowOff>0</xdr:rowOff>
    </xdr:from>
    <xdr:to>
      <xdr:col>8</xdr:col>
      <xdr:colOff>392906</xdr:colOff>
      <xdr:row>16</xdr:row>
      <xdr:rowOff>71438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</xdr:row>
      <xdr:rowOff>0</xdr:rowOff>
    </xdr:from>
    <xdr:to>
      <xdr:col>17</xdr:col>
      <xdr:colOff>0</xdr:colOff>
      <xdr:row>16</xdr:row>
      <xdr:rowOff>71438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2</xdr:row>
      <xdr:rowOff>0</xdr:rowOff>
    </xdr:from>
    <xdr:to>
      <xdr:col>25</xdr:col>
      <xdr:colOff>0</xdr:colOff>
      <xdr:row>16</xdr:row>
      <xdr:rowOff>71438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33</xdr:col>
      <xdr:colOff>0</xdr:colOff>
      <xdr:row>16</xdr:row>
      <xdr:rowOff>71438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package" Target="../embeddings/Microsoft_Office_PowerPoint_Presentation1.ppt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U86"/>
  <sheetViews>
    <sheetView tabSelected="1" topLeftCell="D1" zoomScaleNormal="100" workbookViewId="0">
      <pane ySplit="7860" topLeftCell="A83"/>
      <selection activeCell="L11" sqref="L11"/>
      <selection pane="bottomLeft" activeCell="M85" sqref="M85"/>
    </sheetView>
  </sheetViews>
  <sheetFormatPr defaultRowHeight="15"/>
  <cols>
    <col min="3" max="3" width="13.5703125" customWidth="1"/>
    <col min="11" max="11" width="9.140625" customWidth="1"/>
    <col min="16" max="16" width="10.85546875" bestFit="1" customWidth="1"/>
  </cols>
  <sheetData>
    <row r="1" spans="1:17" ht="15.75" thickBot="1">
      <c r="A1" s="74" t="str">
        <f>L2&amp;" Proximity Range: "&amp;L7*100&amp;"% Reflector , "&amp;L6*100&amp;"% Xmit @ 850nm"</f>
        <v>29147 Proximity Range: 6% Reflector , 77% Xmit @ 850nm</v>
      </c>
      <c r="B1" s="74"/>
      <c r="C1" s="74"/>
      <c r="D1" s="74"/>
      <c r="E1" s="74"/>
      <c r="F1" s="74"/>
      <c r="G1" s="74"/>
    </row>
    <row r="2" spans="1:17">
      <c r="A2" s="11" t="s">
        <v>9</v>
      </c>
      <c r="B2" s="3" t="s">
        <v>10</v>
      </c>
      <c r="C2" s="3" t="s">
        <v>11</v>
      </c>
      <c r="D2" s="4" t="s">
        <v>37</v>
      </c>
      <c r="E2" s="4" t="s">
        <v>6</v>
      </c>
      <c r="F2" s="4" t="s">
        <v>38</v>
      </c>
      <c r="G2" s="4" t="s">
        <v>12</v>
      </c>
      <c r="I2" s="89" t="s">
        <v>53</v>
      </c>
      <c r="J2" s="90"/>
      <c r="K2" s="90"/>
      <c r="L2" s="57">
        <v>29147</v>
      </c>
      <c r="M2" s="33"/>
    </row>
    <row r="3" spans="1:17" s="17" customFormat="1">
      <c r="A3" s="24">
        <v>1</v>
      </c>
      <c r="B3" s="85">
        <f>Calculations!F17</f>
        <v>0.05</v>
      </c>
      <c r="C3" s="3" t="str">
        <f>Calculations!E18</f>
        <v>HI</v>
      </c>
      <c r="D3" s="61" t="e">
        <f>E3-1.5*Calculations!I18</f>
        <v>#VALUE!</v>
      </c>
      <c r="E3" s="61" t="e">
        <f>Calculations!H18</f>
        <v>#VALUE!</v>
      </c>
      <c r="F3" s="61" t="e">
        <f>E3+1.5*Calculations!I18</f>
        <v>#VALUE!</v>
      </c>
      <c r="G3" s="4" t="s">
        <v>13</v>
      </c>
      <c r="I3" s="91" t="s">
        <v>54</v>
      </c>
      <c r="J3" s="92"/>
      <c r="K3" s="92"/>
      <c r="L3" s="58"/>
      <c r="M3" s="33"/>
      <c r="O3" s="42" t="s">
        <v>63</v>
      </c>
      <c r="P3" s="97" t="s">
        <v>65</v>
      </c>
      <c r="Q3" s="97"/>
    </row>
    <row r="4" spans="1:17" s="17" customFormat="1">
      <c r="A4" s="60">
        <f>A3+0.01</f>
        <v>1.01</v>
      </c>
      <c r="B4" s="86"/>
      <c r="C4" s="3" t="str">
        <f>Calculations!E19</f>
        <v>HI-MID</v>
      </c>
      <c r="D4" s="61" t="e">
        <f>E4-1.5*Calculations!I19</f>
        <v>#VALUE!</v>
      </c>
      <c r="E4" s="61" t="e">
        <f>Calculations!H19</f>
        <v>#VALUE!</v>
      </c>
      <c r="F4" s="61" t="e">
        <f>E4+1.5*Calculations!I19</f>
        <v>#VALUE!</v>
      </c>
      <c r="G4" s="4" t="str">
        <f>G3</f>
        <v>mm</v>
      </c>
      <c r="I4" s="91" t="s">
        <v>55</v>
      </c>
      <c r="J4" s="92"/>
      <c r="K4" s="92"/>
      <c r="L4" s="59">
        <v>1.6</v>
      </c>
      <c r="M4" s="33"/>
      <c r="O4" s="42">
        <v>80</v>
      </c>
      <c r="P4" s="17" t="s">
        <v>66</v>
      </c>
      <c r="Q4" s="44">
        <v>0</v>
      </c>
    </row>
    <row r="5" spans="1:17" s="17" customFormat="1">
      <c r="A5" s="60">
        <f t="shared" ref="A5:A6" si="0">A4+0.01</f>
        <v>1.02</v>
      </c>
      <c r="B5" s="86"/>
      <c r="C5" s="3" t="str">
        <f>Calculations!E20</f>
        <v>LO-MID</v>
      </c>
      <c r="D5" s="61" t="e">
        <f>E5-1.5*Calculations!I20</f>
        <v>#VALUE!</v>
      </c>
      <c r="E5" s="61" t="e">
        <f>Calculations!H20</f>
        <v>#VALUE!</v>
      </c>
      <c r="F5" s="61" t="e">
        <f>E5+1.5*Calculations!I20</f>
        <v>#VALUE!</v>
      </c>
      <c r="G5" s="4" t="str">
        <f t="shared" ref="G5:G18" si="1">G4</f>
        <v>mm</v>
      </c>
      <c r="I5" s="91" t="s">
        <v>64</v>
      </c>
      <c r="J5" s="92"/>
      <c r="K5" s="92"/>
      <c r="L5" s="47">
        <v>80</v>
      </c>
      <c r="M5" s="33"/>
      <c r="O5" s="42">
        <f>O4*2</f>
        <v>160</v>
      </c>
      <c r="P5" s="17" t="s">
        <v>67</v>
      </c>
      <c r="Q5" s="44">
        <f>L5</f>
        <v>80</v>
      </c>
    </row>
    <row r="6" spans="1:17" s="17" customFormat="1">
      <c r="A6" s="60">
        <f t="shared" si="0"/>
        <v>1.03</v>
      </c>
      <c r="B6" s="87"/>
      <c r="C6" s="3" t="str">
        <f>Calculations!E21</f>
        <v>LO</v>
      </c>
      <c r="D6" s="61" t="e">
        <f>E6-1.5*Calculations!I21</f>
        <v>#VALUE!</v>
      </c>
      <c r="E6" s="61" t="e">
        <f>Calculations!H21</f>
        <v>#VALUE!</v>
      </c>
      <c r="F6" s="61" t="e">
        <f>E6+1.5*Calculations!I21</f>
        <v>#VALUE!</v>
      </c>
      <c r="G6" s="4" t="str">
        <f t="shared" si="1"/>
        <v>mm</v>
      </c>
      <c r="I6" s="93" t="s">
        <v>48</v>
      </c>
      <c r="J6" s="94"/>
      <c r="K6" s="94"/>
      <c r="L6" s="46">
        <v>0.77</v>
      </c>
      <c r="M6" s="33"/>
      <c r="O6" s="42">
        <f>O4*3</f>
        <v>240</v>
      </c>
      <c r="P6" s="17" t="s">
        <v>68</v>
      </c>
      <c r="Q6" s="44">
        <f>PswpStop/80</f>
        <v>1</v>
      </c>
    </row>
    <row r="7" spans="1:17">
      <c r="A7" s="60">
        <v>1.1000000000000001</v>
      </c>
      <c r="B7" s="83">
        <f>Calculations!F23</f>
        <v>0.1</v>
      </c>
      <c r="C7" s="8" t="str">
        <f>Calculations!E24</f>
        <v>HI</v>
      </c>
      <c r="D7" s="9" t="e">
        <f>(Calculations!H24-1.5*Calculations!I24)</f>
        <v>#VALUE!</v>
      </c>
      <c r="E7" s="9" t="e">
        <f>Calculations!H24</f>
        <v>#VALUE!</v>
      </c>
      <c r="F7" s="9" t="e">
        <f>(Calculations!H24+1.5*Calculations!I24)</f>
        <v>#VALUE!</v>
      </c>
      <c r="G7" s="10" t="str">
        <f t="shared" si="1"/>
        <v>mm</v>
      </c>
      <c r="I7" s="93" t="s">
        <v>49</v>
      </c>
      <c r="J7" s="94"/>
      <c r="K7" s="94"/>
      <c r="L7" s="46">
        <v>0.06</v>
      </c>
      <c r="M7" s="49"/>
    </row>
    <row r="8" spans="1:17">
      <c r="A8" s="24">
        <f t="shared" ref="A8:A30" si="2">A7+0.01</f>
        <v>1.1100000000000001</v>
      </c>
      <c r="B8" s="83"/>
      <c r="C8" s="3" t="str">
        <f>Calculations!E25</f>
        <v>HI-MID</v>
      </c>
      <c r="D8" s="5" t="e">
        <f>(Calculations!H25-1.5*Calculations!I25)</f>
        <v>#VALUE!</v>
      </c>
      <c r="E8" s="5" t="e">
        <f>Calculations!H25</f>
        <v>#VALUE!</v>
      </c>
      <c r="F8" s="5" t="e">
        <f>(Calculations!H25+1.5*Calculations!I25)</f>
        <v>#VALUE!</v>
      </c>
      <c r="G8" s="4" t="str">
        <f t="shared" si="1"/>
        <v>mm</v>
      </c>
      <c r="I8" s="93" t="s">
        <v>50</v>
      </c>
      <c r="J8" s="94"/>
      <c r="K8" s="94"/>
      <c r="L8" s="47">
        <v>1.25</v>
      </c>
      <c r="M8" s="49"/>
    </row>
    <row r="9" spans="1:17" s="17" customFormat="1">
      <c r="A9" s="24">
        <f t="shared" si="2"/>
        <v>1.1200000000000001</v>
      </c>
      <c r="B9" s="83"/>
      <c r="C9" s="3" t="str">
        <f>Calculations!E26</f>
        <v>LO-MID</v>
      </c>
      <c r="D9" s="5" t="e">
        <f>(Calculations!H26-1.5*Calculations!I26)</f>
        <v>#VALUE!</v>
      </c>
      <c r="E9" s="5" t="e">
        <f>Calculations!H26</f>
        <v>#VALUE!</v>
      </c>
      <c r="F9" s="5" t="e">
        <f>(Calculations!H26+1.5*Calculations!I26)</f>
        <v>#VALUE!</v>
      </c>
      <c r="G9" s="4" t="str">
        <f t="shared" si="1"/>
        <v>mm</v>
      </c>
      <c r="I9" s="91" t="s">
        <v>79</v>
      </c>
      <c r="J9" s="92"/>
      <c r="K9" s="92"/>
      <c r="L9" s="47">
        <v>0</v>
      </c>
      <c r="M9" s="49"/>
    </row>
    <row r="10" spans="1:17" s="17" customFormat="1">
      <c r="A10" s="24">
        <f t="shared" si="2"/>
        <v>1.1300000000000001</v>
      </c>
      <c r="B10" s="83"/>
      <c r="C10" s="3" t="str">
        <f>Calculations!E27</f>
        <v>LO</v>
      </c>
      <c r="D10" s="5" t="e">
        <f>(Calculations!H27-1.5*Calculations!I27)</f>
        <v>#VALUE!</v>
      </c>
      <c r="E10" s="5" t="e">
        <f>Calculations!H27</f>
        <v>#VALUE!</v>
      </c>
      <c r="F10" s="5" t="e">
        <f>(Calculations!H27+1.5*Calculations!I27)</f>
        <v>#VALUE!</v>
      </c>
      <c r="G10" s="4" t="str">
        <f t="shared" si="1"/>
        <v>mm</v>
      </c>
      <c r="I10" s="93" t="s">
        <v>51</v>
      </c>
      <c r="J10" s="94"/>
      <c r="K10" s="94"/>
      <c r="L10" s="47">
        <v>1.77</v>
      </c>
      <c r="M10" s="49"/>
    </row>
    <row r="11" spans="1:17" ht="15.75" thickBot="1">
      <c r="A11" s="24">
        <v>1.2</v>
      </c>
      <c r="B11" s="83">
        <f>Calculations!F29</f>
        <v>0.2</v>
      </c>
      <c r="C11" s="3" t="str">
        <f>Calculations!E30</f>
        <v>HI</v>
      </c>
      <c r="D11" s="5" t="e">
        <f>(Calculations!H30-1.5*Calculations!I30)</f>
        <v>#VALUE!</v>
      </c>
      <c r="E11" s="5" t="e">
        <f>Calculations!H30</f>
        <v>#VALUE!</v>
      </c>
      <c r="F11" s="5" t="e">
        <f>(Calculations!H30+1.5*Calculations!I30)</f>
        <v>#VALUE!</v>
      </c>
      <c r="G11" s="4" t="str">
        <f t="shared" si="1"/>
        <v>mm</v>
      </c>
      <c r="I11" s="95" t="s">
        <v>52</v>
      </c>
      <c r="J11" s="96"/>
      <c r="K11" s="96"/>
      <c r="L11" s="48">
        <f>L10+L9-L8</f>
        <v>0.52</v>
      </c>
      <c r="M11" s="49"/>
    </row>
    <row r="12" spans="1:17" ht="15.75" thickBot="1">
      <c r="A12" s="24">
        <f t="shared" si="2"/>
        <v>1.21</v>
      </c>
      <c r="B12" s="83"/>
      <c r="C12" s="3" t="str">
        <f>Calculations!E31</f>
        <v>HI-MID</v>
      </c>
      <c r="D12" s="5" t="e">
        <f>(Calculations!H31-1.5*Calculations!I31)</f>
        <v>#VALUE!</v>
      </c>
      <c r="E12" s="5" t="e">
        <f>Calculations!H31</f>
        <v>#VALUE!</v>
      </c>
      <c r="F12" s="5" t="e">
        <f>(Calculations!H31+1.5*Calculations!I31)</f>
        <v>#VALUE!</v>
      </c>
      <c r="G12" s="4" t="str">
        <f t="shared" si="1"/>
        <v>mm</v>
      </c>
      <c r="M12" s="49"/>
    </row>
    <row r="13" spans="1:17" s="17" customFormat="1">
      <c r="A13" s="24">
        <f t="shared" si="2"/>
        <v>1.22</v>
      </c>
      <c r="B13" s="83"/>
      <c r="C13" s="3" t="str">
        <f>Calculations!E32</f>
        <v>LO-MID</v>
      </c>
      <c r="D13" s="5" t="e">
        <f>(Calculations!H32-1.5*Calculations!I32)</f>
        <v>#VALUE!</v>
      </c>
      <c r="E13" s="5" t="e">
        <f>Calculations!H32</f>
        <v>#VALUE!</v>
      </c>
      <c r="F13" s="5" t="e">
        <f>(Calculations!H32+1.5*Calculations!I32)</f>
        <v>#VALUE!</v>
      </c>
      <c r="G13" s="4" t="str">
        <f t="shared" si="1"/>
        <v>mm</v>
      </c>
      <c r="I13" s="75" t="s">
        <v>59</v>
      </c>
      <c r="J13" s="76"/>
      <c r="M13" s="49"/>
    </row>
    <row r="14" spans="1:17" s="17" customFormat="1">
      <c r="A14" s="24">
        <f t="shared" si="2"/>
        <v>1.23</v>
      </c>
      <c r="B14" s="83"/>
      <c r="C14" s="3" t="str">
        <f>Calculations!E33</f>
        <v>LO</v>
      </c>
      <c r="D14" s="5" t="e">
        <f>(Calculations!H33-1.5*Calculations!I33)</f>
        <v>#VALUE!</v>
      </c>
      <c r="E14" s="5" t="e">
        <f>Calculations!H33</f>
        <v>#VALUE!</v>
      </c>
      <c r="F14" s="5" t="e">
        <f>(Calculations!H33+1.5*Calculations!I33)</f>
        <v>#VALUE!</v>
      </c>
      <c r="G14" s="4" t="str">
        <f t="shared" si="1"/>
        <v>mm</v>
      </c>
      <c r="I14" s="77" t="s">
        <v>61</v>
      </c>
      <c r="J14" s="78"/>
      <c r="M14" s="49"/>
    </row>
    <row r="15" spans="1:17">
      <c r="A15" s="24">
        <v>1.3</v>
      </c>
      <c r="B15" s="83">
        <f>Calculations!F35</f>
        <v>0.5</v>
      </c>
      <c r="C15" s="3" t="str">
        <f>Calculations!E36</f>
        <v>HI</v>
      </c>
      <c r="D15" s="5" t="e">
        <f>(Calculations!H36-1.5*Calculations!I36)</f>
        <v>#VALUE!</v>
      </c>
      <c r="E15" s="5" t="e">
        <f>Calculations!H36</f>
        <v>#VALUE!</v>
      </c>
      <c r="F15" s="5" t="e">
        <f>(Calculations!H36+1.5*Calculations!I36)</f>
        <v>#VALUE!</v>
      </c>
      <c r="G15" s="4" t="str">
        <f t="shared" si="1"/>
        <v>mm</v>
      </c>
      <c r="I15" s="79" t="s">
        <v>60</v>
      </c>
      <c r="J15" s="80"/>
      <c r="M15" s="49"/>
    </row>
    <row r="16" spans="1:17" ht="15.75" thickBot="1">
      <c r="A16" s="24">
        <f t="shared" si="2"/>
        <v>1.31</v>
      </c>
      <c r="B16" s="83"/>
      <c r="C16" s="14" t="str">
        <f>Calculations!E37</f>
        <v>HI-MID</v>
      </c>
      <c r="D16" s="5" t="e">
        <f>(Calculations!H37-1.5*Calculations!I37)</f>
        <v>#VALUE!</v>
      </c>
      <c r="E16" s="5" t="e">
        <f>Calculations!H37</f>
        <v>#VALUE!</v>
      </c>
      <c r="F16" s="5" t="e">
        <f>(Calculations!H37+1.5*Calculations!I37)</f>
        <v>#VALUE!</v>
      </c>
      <c r="G16" s="4" t="str">
        <f t="shared" si="1"/>
        <v>mm</v>
      </c>
      <c r="I16" s="81" t="s">
        <v>62</v>
      </c>
      <c r="J16" s="82"/>
      <c r="M16" s="49"/>
    </row>
    <row r="17" spans="1:12" s="17" customFormat="1">
      <c r="A17" s="24">
        <f t="shared" si="2"/>
        <v>1.32</v>
      </c>
      <c r="B17" s="83"/>
      <c r="C17" s="14" t="str">
        <f>Calculations!E38</f>
        <v>LO-MID</v>
      </c>
      <c r="D17" s="5" t="e">
        <f>(Calculations!H38-1.5*Calculations!I38)</f>
        <v>#VALUE!</v>
      </c>
      <c r="E17" s="5" t="e">
        <f>Calculations!H38</f>
        <v>#VALUE!</v>
      </c>
      <c r="F17" s="5" t="e">
        <f>(Calculations!H38+1.5*Calculations!I38)</f>
        <v>#VALUE!</v>
      </c>
      <c r="G17" s="4" t="str">
        <f t="shared" si="1"/>
        <v>mm</v>
      </c>
    </row>
    <row r="18" spans="1:12" s="17" customFormat="1">
      <c r="A18" s="24">
        <f t="shared" si="2"/>
        <v>1.33</v>
      </c>
      <c r="B18" s="83"/>
      <c r="C18" s="14" t="str">
        <f>Calculations!E39</f>
        <v>LO</v>
      </c>
      <c r="D18" s="5" t="e">
        <f>(Calculations!H39-1.5*Calculations!I39)</f>
        <v>#VALUE!</v>
      </c>
      <c r="E18" s="5" t="e">
        <f>Calculations!H39</f>
        <v>#VALUE!</v>
      </c>
      <c r="F18" s="5" t="e">
        <f>(Calculations!H39+1.5*Calculations!I39)</f>
        <v>#VALUE!</v>
      </c>
      <c r="G18" s="4" t="str">
        <f t="shared" si="1"/>
        <v>mm</v>
      </c>
    </row>
    <row r="19" spans="1:12">
      <c r="A19" s="24">
        <v>2</v>
      </c>
      <c r="B19" s="84" t="s">
        <v>21</v>
      </c>
      <c r="C19" s="3" t="str">
        <f>Calculations!E4</f>
        <v>HI</v>
      </c>
      <c r="D19" s="13" t="e">
        <f>(Calculations!H4-1.5*Calculations!I4)</f>
        <v>#DIV/0!</v>
      </c>
      <c r="E19" s="30" t="e">
        <f>Calculations!H4</f>
        <v>#DIV/0!</v>
      </c>
      <c r="F19" s="30" t="e">
        <f>(Calculations!H4+1.5*Calculations!I4)</f>
        <v>#DIV/0!</v>
      </c>
      <c r="G19" s="15" t="s">
        <v>25</v>
      </c>
    </row>
    <row r="20" spans="1:12">
      <c r="A20" s="24">
        <f t="shared" si="2"/>
        <v>2.0099999999999998</v>
      </c>
      <c r="B20" s="84"/>
      <c r="C20" s="3" t="str">
        <f>Calculations!E5</f>
        <v>HI-MID</v>
      </c>
      <c r="D20" s="13" t="e">
        <f>(Calculations!H5-1.5*Calculations!I5)</f>
        <v>#DIV/0!</v>
      </c>
      <c r="E20" s="30" t="e">
        <f>Calculations!H5</f>
        <v>#DIV/0!</v>
      </c>
      <c r="F20" s="30" t="e">
        <f>(Calculations!H5+1.5*Calculations!I5)</f>
        <v>#DIV/0!</v>
      </c>
      <c r="G20" s="15" t="str">
        <f>G19</f>
        <v>FSR</v>
      </c>
    </row>
    <row r="21" spans="1:12" s="17" customFormat="1">
      <c r="A21" s="24">
        <f t="shared" si="2"/>
        <v>2.0199999999999996</v>
      </c>
      <c r="B21" s="84"/>
      <c r="C21" s="3" t="str">
        <f>Calculations!E6</f>
        <v>LO-MID</v>
      </c>
      <c r="D21" s="13" t="e">
        <f>(Calculations!H6-1.5*Calculations!I6)</f>
        <v>#DIV/0!</v>
      </c>
      <c r="E21" s="30" t="e">
        <f>Calculations!H6</f>
        <v>#DIV/0!</v>
      </c>
      <c r="F21" s="30" t="e">
        <f>(Calculations!H6+1.5*Calculations!I6)</f>
        <v>#DIV/0!</v>
      </c>
      <c r="G21" s="15" t="str">
        <f t="shared" ref="G21:G22" si="3">G20</f>
        <v>FSR</v>
      </c>
    </row>
    <row r="22" spans="1:12" s="17" customFormat="1">
      <c r="A22" s="24">
        <f t="shared" si="2"/>
        <v>2.0299999999999994</v>
      </c>
      <c r="B22" s="84"/>
      <c r="C22" s="3" t="str">
        <f>Calculations!E7</f>
        <v>LO</v>
      </c>
      <c r="D22" s="13" t="e">
        <f>(Calculations!H7-1.5*Calculations!I7)</f>
        <v>#DIV/0!</v>
      </c>
      <c r="E22" s="30" t="e">
        <f>Calculations!H7</f>
        <v>#DIV/0!</v>
      </c>
      <c r="F22" s="30" t="e">
        <f>(Calculations!H7+1.5*Calculations!I7)</f>
        <v>#DIV/0!</v>
      </c>
      <c r="G22" s="15" t="str">
        <f t="shared" si="3"/>
        <v>FSR</v>
      </c>
    </row>
    <row r="23" spans="1:12" s="17" customFormat="1">
      <c r="A23" s="24">
        <v>2.1</v>
      </c>
      <c r="B23" s="88" t="s">
        <v>56</v>
      </c>
      <c r="C23" s="3" t="str">
        <f>C19</f>
        <v>HI</v>
      </c>
      <c r="D23" s="13" t="e">
        <f>E23-1.5*Calculations!I10</f>
        <v>#DIV/0!</v>
      </c>
      <c r="E23" s="30" t="e">
        <f>Calculations!H10</f>
        <v>#DIV/0!</v>
      </c>
      <c r="F23" s="30" t="e">
        <f>2*E23-D23</f>
        <v>#DIV/0!</v>
      </c>
      <c r="G23" s="15" t="str">
        <f>G19</f>
        <v>FSR</v>
      </c>
    </row>
    <row r="24" spans="1:12" s="17" customFormat="1">
      <c r="A24" s="24">
        <f t="shared" si="2"/>
        <v>2.11</v>
      </c>
      <c r="B24" s="88"/>
      <c r="C24" s="3" t="str">
        <f t="shared" ref="C24:C26" si="4">C20</f>
        <v>HI-MID</v>
      </c>
      <c r="D24" s="13" t="e">
        <f>E24-1.5*Calculations!I11</f>
        <v>#DIV/0!</v>
      </c>
      <c r="E24" s="30" t="e">
        <f>Calculations!H11</f>
        <v>#DIV/0!</v>
      </c>
      <c r="F24" s="30" t="e">
        <f t="shared" ref="F24:F26" si="5">2*E24-D24</f>
        <v>#DIV/0!</v>
      </c>
      <c r="G24" s="15" t="str">
        <f t="shared" ref="G24:G26" si="6">G20</f>
        <v>FSR</v>
      </c>
    </row>
    <row r="25" spans="1:12" s="17" customFormat="1">
      <c r="A25" s="24">
        <f t="shared" si="2"/>
        <v>2.1199999999999997</v>
      </c>
      <c r="B25" s="88"/>
      <c r="C25" s="3" t="str">
        <f t="shared" si="4"/>
        <v>LO-MID</v>
      </c>
      <c r="D25" s="13" t="e">
        <f>E25-1.5*Calculations!I12</f>
        <v>#DIV/0!</v>
      </c>
      <c r="E25" s="30" t="e">
        <f>Calculations!H12</f>
        <v>#DIV/0!</v>
      </c>
      <c r="F25" s="30" t="e">
        <f t="shared" si="5"/>
        <v>#DIV/0!</v>
      </c>
      <c r="G25" s="15" t="str">
        <f t="shared" si="6"/>
        <v>FSR</v>
      </c>
    </row>
    <row r="26" spans="1:12" s="17" customFormat="1">
      <c r="A26" s="24">
        <f t="shared" si="2"/>
        <v>2.1299999999999994</v>
      </c>
      <c r="B26" s="88"/>
      <c r="C26" s="3" t="str">
        <f t="shared" si="4"/>
        <v>LO</v>
      </c>
      <c r="D26" s="13" t="e">
        <f>E26-1.5*Calculations!I13</f>
        <v>#DIV/0!</v>
      </c>
      <c r="E26" s="30" t="e">
        <f>Calculations!H13</f>
        <v>#DIV/0!</v>
      </c>
      <c r="F26" s="30" t="e">
        <f t="shared" si="5"/>
        <v>#DIV/0!</v>
      </c>
      <c r="G26" s="15" t="str">
        <f t="shared" si="6"/>
        <v>FSR</v>
      </c>
    </row>
    <row r="27" spans="1:12" s="17" customFormat="1">
      <c r="A27" s="62">
        <v>2.2000000000000002</v>
      </c>
      <c r="B27" s="88" t="s">
        <v>57</v>
      </c>
      <c r="C27" s="14" t="str">
        <f>C23</f>
        <v>HI</v>
      </c>
      <c r="D27" s="13" t="e">
        <f>D19+D23</f>
        <v>#DIV/0!</v>
      </c>
      <c r="E27" s="13" t="e">
        <f t="shared" ref="E27:F27" si="7">E19+E23</f>
        <v>#DIV/0!</v>
      </c>
      <c r="F27" s="13" t="e">
        <f t="shared" si="7"/>
        <v>#DIV/0!</v>
      </c>
      <c r="G27" s="15" t="str">
        <f>G23</f>
        <v>FSR</v>
      </c>
    </row>
    <row r="28" spans="1:12" s="17" customFormat="1">
      <c r="A28" s="24">
        <f t="shared" si="2"/>
        <v>2.21</v>
      </c>
      <c r="B28" s="88"/>
      <c r="C28" s="14" t="str">
        <f t="shared" ref="C28:C30" si="8">C24</f>
        <v>HI-MID</v>
      </c>
      <c r="D28" s="13" t="e">
        <f t="shared" ref="D28:F28" si="9">D20+D24</f>
        <v>#DIV/0!</v>
      </c>
      <c r="E28" s="13" t="e">
        <f t="shared" si="9"/>
        <v>#DIV/0!</v>
      </c>
      <c r="F28" s="13" t="e">
        <f t="shared" si="9"/>
        <v>#DIV/0!</v>
      </c>
      <c r="G28" s="15" t="str">
        <f t="shared" ref="G28:G30" si="10">G24</f>
        <v>FSR</v>
      </c>
    </row>
    <row r="29" spans="1:12" s="17" customFormat="1" ht="15.75" thickBot="1">
      <c r="A29" s="24">
        <f t="shared" si="2"/>
        <v>2.2199999999999998</v>
      </c>
      <c r="B29" s="88"/>
      <c r="C29" s="14" t="str">
        <f t="shared" si="8"/>
        <v>LO-MID</v>
      </c>
      <c r="D29" s="13" t="e">
        <f t="shared" ref="D29:F29" si="11">D21+D25</f>
        <v>#DIV/0!</v>
      </c>
      <c r="E29" s="13" t="e">
        <f t="shared" si="11"/>
        <v>#DIV/0!</v>
      </c>
      <c r="F29" s="13" t="e">
        <f t="shared" si="11"/>
        <v>#DIV/0!</v>
      </c>
      <c r="G29" s="15" t="str">
        <f t="shared" si="10"/>
        <v>FSR</v>
      </c>
    </row>
    <row r="30" spans="1:12" s="17" customFormat="1">
      <c r="A30" s="24">
        <f t="shared" si="2"/>
        <v>2.2299999999999995</v>
      </c>
      <c r="B30" s="88"/>
      <c r="C30" s="14" t="str">
        <f t="shared" si="8"/>
        <v>LO</v>
      </c>
      <c r="D30" s="13" t="e">
        <f t="shared" ref="D30:E30" si="12">D22+D26</f>
        <v>#DIV/0!</v>
      </c>
      <c r="E30" s="13" t="e">
        <f t="shared" si="12"/>
        <v>#DIV/0!</v>
      </c>
      <c r="F30" s="13" t="e">
        <f>F22+F26</f>
        <v>#DIV/0!</v>
      </c>
      <c r="G30" s="15" t="str">
        <f t="shared" si="10"/>
        <v>FSR</v>
      </c>
      <c r="I30" s="75" t="s">
        <v>65</v>
      </c>
      <c r="J30" s="101"/>
      <c r="K30" s="101"/>
      <c r="L30" s="76"/>
    </row>
    <row r="31" spans="1:12" s="17" customFormat="1" ht="15.75" thickBot="1">
      <c r="A31" s="68">
        <v>3</v>
      </c>
      <c r="B31" s="73" t="s">
        <v>77</v>
      </c>
      <c r="C31" s="73"/>
      <c r="D31" s="13" t="e">
        <f>E31-1.5*Calculations!I9</f>
        <v>#DIV/0!</v>
      </c>
      <c r="E31" s="13" t="e">
        <f>Calculations!H9</f>
        <v>#DIV/0!</v>
      </c>
      <c r="F31" s="13" t="e">
        <f>E31+1.5*Calculations!I9</f>
        <v>#DIV/0!</v>
      </c>
      <c r="G31" s="15" t="str">
        <f>G27</f>
        <v>FSR</v>
      </c>
      <c r="I31" s="98" t="str">
        <f>L7*100&amp;"% Reflector , "&amp;L6*100&amp;"% Xmit @ 850nm"</f>
        <v>6% Reflector , 77% Xmit @ 850nm</v>
      </c>
      <c r="J31" s="99"/>
      <c r="K31" s="99"/>
      <c r="L31" s="100"/>
    </row>
    <row r="32" spans="1:12" s="17" customFormat="1">
      <c r="A32" s="70"/>
      <c r="B32" s="69"/>
      <c r="C32" s="69"/>
      <c r="D32" s="63"/>
      <c r="E32" s="63"/>
      <c r="F32" s="63"/>
      <c r="G32" s="45"/>
    </row>
    <row r="33" spans="2:21">
      <c r="B33" s="72" t="s">
        <v>78</v>
      </c>
      <c r="C33" s="72"/>
      <c r="I33" s="72" t="str">
        <f>" Range Distribution (10%): "</f>
        <v xml:space="preserve"> Range Distribution (10%): </v>
      </c>
      <c r="J33" s="72"/>
      <c r="K33" s="72"/>
    </row>
    <row r="34" spans="2:21" s="17" customFormat="1">
      <c r="B34" s="72" t="str">
        <f>partNumber&amp;B33&amp; params</f>
        <v>29147 Proximity Sweep: 6% Reflector , 77% Xmit @ 850nm</v>
      </c>
      <c r="C34" s="72"/>
      <c r="D34" s="72"/>
      <c r="E34" s="72"/>
      <c r="F34" s="72"/>
      <c r="G34" s="72"/>
      <c r="H34" s="72"/>
      <c r="I34" s="72" t="str">
        <f>partNumber&amp;I33&amp; params</f>
        <v>29147 Range Distribution (10%): 6% Reflector , 77% Xmit @ 850nm</v>
      </c>
      <c r="J34" s="72"/>
      <c r="K34" s="72"/>
      <c r="L34" s="72"/>
      <c r="M34" s="72"/>
      <c r="N34" s="72"/>
      <c r="O34" s="72"/>
      <c r="P34" s="72"/>
    </row>
    <row r="35" spans="2:21" s="17" customFormat="1"/>
    <row r="36" spans="2:21" s="17" customFormat="1"/>
    <row r="37" spans="2:21" s="17" customFormat="1"/>
    <row r="38" spans="2:21" s="17" customFormat="1"/>
    <row r="39" spans="2:21" s="17" customFormat="1"/>
    <row r="40" spans="2:21" s="17" customFormat="1"/>
    <row r="41" spans="2:21" s="17" customFormat="1"/>
    <row r="42" spans="2:21" s="17" customFormat="1">
      <c r="Q42" s="21"/>
      <c r="R42" s="21"/>
      <c r="S42" s="21"/>
      <c r="T42" s="21"/>
      <c r="U42" s="21"/>
    </row>
    <row r="43" spans="2:21" s="17" customFormat="1">
      <c r="Q43" s="21"/>
      <c r="R43" s="21"/>
      <c r="S43" s="21"/>
      <c r="T43" s="21"/>
      <c r="U43" s="21"/>
    </row>
    <row r="44" spans="2:21" s="17" customFormat="1">
      <c r="Q44" s="21"/>
      <c r="R44" s="21"/>
      <c r="S44" s="21"/>
      <c r="T44" s="21"/>
      <c r="U44" s="21"/>
    </row>
    <row r="45" spans="2:21" s="17" customFormat="1">
      <c r="Q45" s="21"/>
      <c r="R45" s="21"/>
      <c r="S45" s="21"/>
      <c r="T45" s="21"/>
      <c r="U45" s="21"/>
    </row>
    <row r="46" spans="2:21" s="17" customFormat="1">
      <c r="Q46" s="21"/>
      <c r="R46" s="21"/>
      <c r="S46" s="21"/>
      <c r="T46" s="21"/>
      <c r="U46" s="21"/>
    </row>
    <row r="47" spans="2:21">
      <c r="Q47" s="21"/>
      <c r="R47" s="21"/>
      <c r="S47" s="21"/>
      <c r="T47" s="21"/>
      <c r="U47" s="21"/>
    </row>
    <row r="48" spans="2:21">
      <c r="Q48" s="21"/>
      <c r="R48" s="21"/>
      <c r="S48" s="21"/>
      <c r="T48" s="21"/>
      <c r="U48" s="21"/>
    </row>
    <row r="49" spans="2:21">
      <c r="Q49" s="21"/>
      <c r="R49" s="21"/>
      <c r="S49" s="21"/>
      <c r="T49" s="21"/>
      <c r="U49" s="21"/>
    </row>
    <row r="50" spans="2:21">
      <c r="Q50" s="21"/>
      <c r="R50" s="21"/>
      <c r="S50" s="21"/>
      <c r="T50" s="21"/>
      <c r="U50" s="21"/>
    </row>
    <row r="51" spans="2:21">
      <c r="Q51" s="21"/>
      <c r="R51" s="21"/>
      <c r="S51" s="21"/>
      <c r="T51" s="21"/>
      <c r="U51" s="21"/>
    </row>
    <row r="52" spans="2:21">
      <c r="Q52" s="21"/>
      <c r="R52" s="21"/>
      <c r="S52" s="21"/>
      <c r="T52" s="21"/>
      <c r="U52" s="21"/>
    </row>
    <row r="53" spans="2:21">
      <c r="Q53" s="21"/>
      <c r="R53" s="21"/>
      <c r="S53" s="21"/>
      <c r="T53" s="21"/>
      <c r="U53" s="21"/>
    </row>
    <row r="54" spans="2:21">
      <c r="Q54" s="21"/>
      <c r="R54" s="21"/>
      <c r="S54" s="21"/>
      <c r="T54" s="21"/>
      <c r="U54" s="21"/>
    </row>
    <row r="55" spans="2:21">
      <c r="Q55" s="21"/>
      <c r="R55" s="21"/>
      <c r="S55" s="21"/>
      <c r="T55" s="21"/>
      <c r="U55" s="21"/>
    </row>
    <row r="56" spans="2:21">
      <c r="Q56" s="21"/>
      <c r="R56" s="21"/>
      <c r="S56" s="21"/>
      <c r="T56" s="21"/>
      <c r="U56" s="21"/>
    </row>
    <row r="57" spans="2:21">
      <c r="Q57" s="21"/>
      <c r="R57" s="21"/>
      <c r="S57" s="21"/>
      <c r="T57" s="21"/>
      <c r="U57" s="21"/>
    </row>
    <row r="58" spans="2:21">
      <c r="Q58" s="21"/>
      <c r="R58" s="21"/>
      <c r="S58" s="21"/>
      <c r="T58" s="21"/>
      <c r="U58" s="21"/>
    </row>
    <row r="59" spans="2:21">
      <c r="Q59" s="21"/>
      <c r="R59" s="21"/>
      <c r="S59" s="21"/>
      <c r="T59" s="21"/>
      <c r="U59" s="21"/>
    </row>
    <row r="60" spans="2:21">
      <c r="Q60" s="21"/>
      <c r="R60" s="21"/>
      <c r="S60" s="21"/>
      <c r="T60" s="21"/>
      <c r="U60" s="21"/>
    </row>
    <row r="61" spans="2:21">
      <c r="Q61" s="21"/>
      <c r="R61" s="21"/>
      <c r="S61" s="21"/>
      <c r="T61" s="21"/>
      <c r="U61" s="21"/>
    </row>
    <row r="62" spans="2:21">
      <c r="Q62" s="21"/>
      <c r="R62" s="21"/>
      <c r="S62" s="21"/>
      <c r="T62" s="21"/>
      <c r="U62" s="21"/>
    </row>
    <row r="63" spans="2:21">
      <c r="Q63" s="21"/>
      <c r="R63" s="21"/>
      <c r="S63" s="21"/>
      <c r="T63" s="21"/>
      <c r="U63" s="21"/>
    </row>
    <row r="64" spans="2:21">
      <c r="B64" s="102" t="str">
        <f xml:space="preserve"> " `Near' Detect Region: "</f>
        <v xml:space="preserve"> `Near' Detect Region: </v>
      </c>
      <c r="C64" s="102"/>
      <c r="D64" s="71" t="e">
        <f>INT(MIN(E3:E13)*10)/10 &amp; "-"&amp; INT(MAX(E3:E13)*10)/10</f>
        <v>#VALUE!</v>
      </c>
      <c r="I64" s="72" t="str">
        <f xml:space="preserve"> " `Far` Offset Region: "</f>
        <v xml:space="preserve"> `Far` Offset Region: </v>
      </c>
      <c r="J64" s="72"/>
      <c r="Q64" s="21"/>
      <c r="R64" s="21"/>
      <c r="S64" s="21"/>
      <c r="T64" s="21"/>
      <c r="U64" s="21"/>
    </row>
    <row r="65" spans="2:21">
      <c r="B65" s="72" t="str">
        <f>partNumber&amp;B64&amp; params</f>
        <v>29147 `Near' Detect Region: 6% Reflector , 77% Xmit @ 850nm</v>
      </c>
      <c r="C65" s="72"/>
      <c r="D65" s="72"/>
      <c r="E65" s="72"/>
      <c r="F65" s="72"/>
      <c r="G65" s="72"/>
      <c r="H65" s="72"/>
      <c r="I65" s="72" t="str">
        <f>partNumber&amp;I64&amp; params</f>
        <v>29147 `Far` Offset Region: 6% Reflector , 77% Xmit @ 850nm</v>
      </c>
      <c r="J65" s="72"/>
      <c r="K65" s="72"/>
      <c r="L65" s="72"/>
      <c r="M65" s="72"/>
      <c r="N65" s="72"/>
      <c r="O65" s="72"/>
      <c r="P65" s="72"/>
      <c r="Q65" s="21"/>
      <c r="R65" s="21"/>
      <c r="S65" s="21"/>
      <c r="T65" s="21"/>
      <c r="U65" s="21"/>
    </row>
    <row r="66" spans="2:21" s="17" customFormat="1">
      <c r="R66" s="52"/>
      <c r="S66" s="12"/>
    </row>
    <row r="67" spans="2:21" s="17" customFormat="1">
      <c r="B67" s="72" t="str">
        <f xml:space="preserve"> " IRDR Range Ratio: "</f>
        <v xml:space="preserve"> IRDR Range Ratio: </v>
      </c>
      <c r="C67" s="72"/>
      <c r="R67" s="52"/>
      <c r="S67" s="12"/>
    </row>
    <row r="68" spans="2:21" ht="15.75" thickBot="1">
      <c r="B68" s="72" t="str">
        <f>partNumber&amp;B67&amp; params</f>
        <v>29147 IRDR Range Ratio: 6% Reflector , 77% Xmit @ 850nm</v>
      </c>
      <c r="C68" s="72"/>
      <c r="D68" s="72"/>
      <c r="E68" s="72"/>
      <c r="F68" s="72"/>
      <c r="G68" s="72"/>
      <c r="H68" s="72"/>
    </row>
    <row r="69" spans="2:21">
      <c r="J69" s="75" t="s">
        <v>58</v>
      </c>
      <c r="K69" s="76"/>
    </row>
    <row r="70" spans="2:21">
      <c r="J70" s="64" t="str">
        <f>Calculations!P43</f>
        <v>HI-MID</v>
      </c>
      <c r="K70" s="25" t="e">
        <f>E27/E28</f>
        <v>#DIV/0!</v>
      </c>
    </row>
    <row r="71" spans="2:21">
      <c r="J71" s="64" t="str">
        <f>Calculations!Q43</f>
        <v>LO-MID</v>
      </c>
      <c r="K71" s="25" t="e">
        <f t="shared" ref="K71:K72" si="13">E28/E29</f>
        <v>#DIV/0!</v>
      </c>
    </row>
    <row r="72" spans="2:21" ht="15.75" thickBot="1">
      <c r="J72" s="65" t="str">
        <f>Calculations!R43</f>
        <v>LO</v>
      </c>
      <c r="K72" s="26" t="e">
        <f t="shared" si="13"/>
        <v>#DIV/0!</v>
      </c>
    </row>
    <row r="84" spans="2:8" s="17" customFormat="1"/>
    <row r="85" spans="2:8" s="17" customFormat="1">
      <c r="B85" s="72" t="str">
        <f xml:space="preserve"> " System Curve: "</f>
        <v xml:space="preserve"> System Curve: </v>
      </c>
      <c r="C85" s="72"/>
      <c r="F85" s="72" t="e">
        <f>"Offset Adjustment="&amp;INT(E23*1000)/10&amp;"%"</f>
        <v>#DIV/0!</v>
      </c>
      <c r="G85" s="72"/>
      <c r="H85" s="72"/>
    </row>
    <row r="86" spans="2:8">
      <c r="B86" s="72" t="str">
        <f>L2&amp;" "&amp;L3&amp; "System Curve: "&amp;L7*100&amp;"% Reflector , "&amp;L6*100&amp;"% Xmit @ 850nm"</f>
        <v>29147 System Curve: 6% Reflector , 77% Xmit @ 850nm</v>
      </c>
      <c r="C86" s="72"/>
      <c r="D86" s="72"/>
      <c r="E86" s="72"/>
      <c r="F86" s="72"/>
      <c r="G86" s="72"/>
      <c r="H86" s="72"/>
    </row>
  </sheetData>
  <sortState ref="C31:C42">
    <sortCondition ref="C53:C64"/>
  </sortState>
  <mergeCells count="40">
    <mergeCell ref="I33:K33"/>
    <mergeCell ref="I9:K9"/>
    <mergeCell ref="I64:J64"/>
    <mergeCell ref="B85:C85"/>
    <mergeCell ref="B67:C67"/>
    <mergeCell ref="F85:H85"/>
    <mergeCell ref="B68:H68"/>
    <mergeCell ref="B64:C64"/>
    <mergeCell ref="B23:B26"/>
    <mergeCell ref="B27:B30"/>
    <mergeCell ref="B34:H34"/>
    <mergeCell ref="I2:K2"/>
    <mergeCell ref="I3:K3"/>
    <mergeCell ref="I4:K4"/>
    <mergeCell ref="I34:P34"/>
    <mergeCell ref="I6:K6"/>
    <mergeCell ref="I7:K7"/>
    <mergeCell ref="I8:K8"/>
    <mergeCell ref="I10:K10"/>
    <mergeCell ref="I11:K11"/>
    <mergeCell ref="I5:K5"/>
    <mergeCell ref="P3:Q3"/>
    <mergeCell ref="I31:L31"/>
    <mergeCell ref="I30:L30"/>
    <mergeCell ref="B86:H86"/>
    <mergeCell ref="B31:C31"/>
    <mergeCell ref="A1:G1"/>
    <mergeCell ref="B33:C33"/>
    <mergeCell ref="J69:K69"/>
    <mergeCell ref="I13:J13"/>
    <mergeCell ref="I14:J14"/>
    <mergeCell ref="I15:J15"/>
    <mergeCell ref="I16:J16"/>
    <mergeCell ref="B7:B10"/>
    <mergeCell ref="B11:B14"/>
    <mergeCell ref="B15:B18"/>
    <mergeCell ref="B19:B22"/>
    <mergeCell ref="B3:B6"/>
    <mergeCell ref="B65:H65"/>
    <mergeCell ref="I65:P65"/>
  </mergeCells>
  <conditionalFormatting sqref="E7:E18">
    <cfRule type="cellIs" dxfId="53" priority="4" operator="lessThan">
      <formula>$L$4</formula>
    </cfRule>
  </conditionalFormatting>
  <dataValidations count="1">
    <dataValidation type="list" allowBlank="1" showInputMessage="1" showErrorMessage="1" sqref="L5">
      <formula1>$O$4:$O$6</formula1>
    </dataValidation>
  </dataValidations>
  <pageMargins left="0.7" right="0.7" top="0.75" bottom="0.75" header="0.3" footer="0.3"/>
  <pageSetup orientation="portrait" r:id="rId1"/>
  <drawing r:id="rId2"/>
  <legacyDrawing r:id="rId3"/>
  <oleObjects>
    <oleObject progId="PowerPoint.Show.12" shapeId="6145" r:id="rId4"/>
  </oleObjec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N172"/>
  <sheetViews>
    <sheetView zoomScale="90" zoomScaleNormal="90" workbookViewId="0">
      <pane ySplit="14295" topLeftCell="A120"/>
      <selection activeCell="B21" sqref="B21"/>
      <selection pane="bottomLeft" activeCell="W124" sqref="S43:W124"/>
    </sheetView>
  </sheetViews>
  <sheetFormatPr defaultRowHeight="15"/>
  <cols>
    <col min="1" max="1" width="12" style="18" customWidth="1"/>
    <col min="2" max="2" width="9.140625" style="18" bestFit="1" customWidth="1"/>
    <col min="3" max="3" width="6.140625" style="18" bestFit="1" customWidth="1"/>
    <col min="4" max="4" width="9.7109375" style="18" bestFit="1" customWidth="1"/>
    <col min="5" max="5" width="11.5703125" style="18" bestFit="1" customWidth="1"/>
    <col min="6" max="6" width="7.28515625" style="18" bestFit="1" customWidth="1"/>
    <col min="7" max="7" width="6" style="18" bestFit="1" customWidth="1"/>
    <col min="8" max="17" width="7.7109375" style="18" customWidth="1"/>
    <col min="18" max="23" width="7.42578125" style="18" customWidth="1"/>
    <col min="24" max="40" width="7.7109375" style="18" customWidth="1"/>
    <col min="41" max="45" width="7.7109375" style="21" customWidth="1"/>
    <col min="46" max="49" width="7.7109375" style="6" customWidth="1"/>
    <col min="50" max="55" width="7.7109375" style="18" customWidth="1"/>
    <col min="56" max="16384" width="9.140625" style="18"/>
  </cols>
  <sheetData>
    <row r="1" spans="1:66">
      <c r="A1" s="21" t="str">
        <f>setCalcEnable(B1)</f>
        <v>Calc Enable=</v>
      </c>
      <c r="B1" s="18">
        <v>1</v>
      </c>
      <c r="X1" s="103" t="s">
        <v>26</v>
      </c>
      <c r="Y1" s="103"/>
      <c r="Z1" s="103"/>
      <c r="AA1" s="103"/>
      <c r="AB1" s="103"/>
      <c r="AC1" s="103"/>
      <c r="AD1" s="103"/>
      <c r="AE1" s="103"/>
      <c r="AF1" s="103" t="s">
        <v>27</v>
      </c>
      <c r="AG1" s="103"/>
      <c r="AH1" s="103"/>
      <c r="AI1" s="103"/>
      <c r="AJ1" s="103"/>
      <c r="AK1" s="103"/>
      <c r="AL1" s="103"/>
      <c r="AM1" s="103"/>
      <c r="AN1" s="103" t="s">
        <v>28</v>
      </c>
      <c r="AO1" s="103"/>
      <c r="AP1" s="103"/>
      <c r="AQ1" s="103"/>
      <c r="AR1" s="103"/>
      <c r="AS1" s="103"/>
      <c r="AT1" s="103"/>
      <c r="AU1" s="103"/>
      <c r="AV1" s="103" t="s">
        <v>29</v>
      </c>
      <c r="AW1" s="103"/>
      <c r="AX1" s="103"/>
      <c r="AY1" s="103"/>
      <c r="AZ1" s="103"/>
      <c r="BA1" s="103"/>
      <c r="BB1" s="103"/>
      <c r="BC1" s="103"/>
    </row>
    <row r="2" spans="1:66">
      <c r="A2" s="21" t="s">
        <v>2</v>
      </c>
      <c r="B2" s="21">
        <f>COUNT(data0!B2:AG2)</f>
        <v>0</v>
      </c>
      <c r="H2" s="103" t="s">
        <v>30</v>
      </c>
      <c r="I2" s="103"/>
      <c r="J2" s="103" t="str">
        <f>X1</f>
        <v>Cell 0</v>
      </c>
      <c r="K2" s="103"/>
      <c r="L2" s="103" t="str">
        <f>AF1</f>
        <v>Cell 1</v>
      </c>
      <c r="M2" s="103"/>
      <c r="N2" s="103" t="str">
        <f>AN1</f>
        <v>Cell 2</v>
      </c>
      <c r="O2" s="103"/>
      <c r="P2" s="103" t="str">
        <f>AV1</f>
        <v>Cell 3</v>
      </c>
      <c r="Q2" s="103"/>
      <c r="X2" s="18">
        <f>data0!B1</f>
        <v>0</v>
      </c>
      <c r="Y2" s="18">
        <f>data0!C1</f>
        <v>1</v>
      </c>
      <c r="Z2" s="18">
        <f>data0!D1</f>
        <v>2</v>
      </c>
      <c r="AA2" s="18">
        <f>data0!E1</f>
        <v>3</v>
      </c>
      <c r="AB2" s="18">
        <f>data0!F1</f>
        <v>4</v>
      </c>
      <c r="AC2" s="18">
        <f>data0!G1</f>
        <v>5</v>
      </c>
      <c r="AD2" s="18">
        <f>data0!H1</f>
        <v>6</v>
      </c>
      <c r="AE2" s="18">
        <f>data0!I1</f>
        <v>7</v>
      </c>
      <c r="AF2" s="18">
        <f>data0!J1</f>
        <v>8</v>
      </c>
      <c r="AG2" s="18">
        <f>data0!K1</f>
        <v>9</v>
      </c>
      <c r="AH2" s="18">
        <f>data0!L1</f>
        <v>10</v>
      </c>
      <c r="AI2" s="18">
        <f>data0!M1</f>
        <v>11</v>
      </c>
      <c r="AJ2" s="18">
        <f>data0!N1</f>
        <v>12</v>
      </c>
      <c r="AK2" s="18">
        <f>data0!O1</f>
        <v>13</v>
      </c>
      <c r="AL2" s="18">
        <f>data0!P1</f>
        <v>14</v>
      </c>
      <c r="AM2" s="18">
        <f>data0!Q1</f>
        <v>15</v>
      </c>
      <c r="AN2" s="18">
        <f>data0!R1</f>
        <v>16</v>
      </c>
      <c r="AO2" s="18">
        <f>data0!S1</f>
        <v>17</v>
      </c>
      <c r="AP2" s="18">
        <f>data0!T1</f>
        <v>18</v>
      </c>
      <c r="AQ2" s="18">
        <f>data0!U1</f>
        <v>19</v>
      </c>
      <c r="AR2" s="18">
        <f>data0!V1</f>
        <v>20</v>
      </c>
      <c r="AS2" s="18">
        <f>data0!W1</f>
        <v>21</v>
      </c>
      <c r="AT2" s="18">
        <f>data0!X1</f>
        <v>22</v>
      </c>
      <c r="AU2" s="18">
        <f>data0!Y1</f>
        <v>23</v>
      </c>
      <c r="AV2" s="18">
        <f>data0!Z1</f>
        <v>24</v>
      </c>
      <c r="AW2" s="18">
        <f>data0!AA1</f>
        <v>25</v>
      </c>
      <c r="AX2" s="18">
        <f>data0!AB1</f>
        <v>26</v>
      </c>
      <c r="AY2" s="18">
        <f>data0!AC1</f>
        <v>27</v>
      </c>
      <c r="AZ2" s="18">
        <f>data0!AD1</f>
        <v>28</v>
      </c>
      <c r="BA2" s="18">
        <f>data0!AE1</f>
        <v>29</v>
      </c>
      <c r="BB2" s="18">
        <f>data0!AF1</f>
        <v>30</v>
      </c>
      <c r="BC2" s="18">
        <f>data0!AG1</f>
        <v>31</v>
      </c>
    </row>
    <row r="3" spans="1:66">
      <c r="A3" s="21" t="s">
        <v>3</v>
      </c>
      <c r="B3" s="21">
        <f>Summary!L4</f>
        <v>1.6</v>
      </c>
      <c r="E3" s="18" t="s">
        <v>21</v>
      </c>
      <c r="H3" s="18" t="s">
        <v>6</v>
      </c>
      <c r="I3" s="18" t="s">
        <v>7</v>
      </c>
      <c r="J3" s="33" t="str">
        <f t="shared" ref="J3:Q3" si="0">H3</f>
        <v>Mean</v>
      </c>
      <c r="K3" s="33" t="str">
        <f t="shared" si="0"/>
        <v>Stdev</v>
      </c>
      <c r="L3" s="33" t="str">
        <f t="shared" si="0"/>
        <v>Mean</v>
      </c>
      <c r="M3" s="33" t="str">
        <f t="shared" si="0"/>
        <v>Stdev</v>
      </c>
      <c r="N3" s="33" t="str">
        <f t="shared" si="0"/>
        <v>Mean</v>
      </c>
      <c r="O3" s="33" t="str">
        <f t="shared" si="0"/>
        <v>Stdev</v>
      </c>
      <c r="P3" s="33" t="str">
        <f t="shared" si="0"/>
        <v>Mean</v>
      </c>
      <c r="Q3" s="33" t="str">
        <f t="shared" si="0"/>
        <v>Stdev</v>
      </c>
      <c r="AO3" s="18"/>
      <c r="AP3" s="18"/>
      <c r="AQ3" s="18"/>
      <c r="AR3" s="18"/>
      <c r="AS3" s="18"/>
      <c r="AT3" s="18"/>
      <c r="AU3" s="18"/>
      <c r="AV3" s="18"/>
      <c r="AW3" s="18"/>
    </row>
    <row r="4" spans="1:66">
      <c r="A4" s="21" t="s">
        <v>4</v>
      </c>
      <c r="B4" s="21">
        <f>PswpStep</f>
        <v>1</v>
      </c>
      <c r="E4" s="18" t="str">
        <f>D$42</f>
        <v>HI</v>
      </c>
      <c r="F4" s="51" t="s">
        <v>8</v>
      </c>
      <c r="G4" s="50">
        <v>0</v>
      </c>
      <c r="H4" s="52" t="e">
        <f t="shared" ref="H4:H5" si="1">AVERAGE(X4:BC4)</f>
        <v>#DIV/0!</v>
      </c>
      <c r="I4" s="52" t="e">
        <f t="shared" ref="I4:I5" si="2">STDEV(X4:BC4)</f>
        <v>#DIV/0!</v>
      </c>
      <c r="J4" s="52" t="e">
        <f>AVERAGE(X4:AE4)</f>
        <v>#DIV/0!</v>
      </c>
      <c r="K4" s="52" t="e">
        <f>STDEV(X4:AE4)</f>
        <v>#DIV/0!</v>
      </c>
      <c r="L4" s="52" t="e">
        <f>AVERAGE(AF4:AM4)</f>
        <v>#DIV/0!</v>
      </c>
      <c r="M4" s="52" t="e">
        <f>STDEV(AF4:AM4)</f>
        <v>#DIV/0!</v>
      </c>
      <c r="N4" s="52" t="e">
        <f>AVERAGE(AN4:AU4)</f>
        <v>#DIV/0!</v>
      </c>
      <c r="O4" s="52" t="e">
        <f>STDEV(AN4:AU4)</f>
        <v>#DIV/0!</v>
      </c>
      <c r="P4" s="52" t="e">
        <f>AVERAGE(AV4:BC4)</f>
        <v>#DIV/0!</v>
      </c>
      <c r="Q4" s="52" t="e">
        <f>STDEV(AV4:BC4)</f>
        <v>#DIV/0!</v>
      </c>
      <c r="R4" s="52"/>
      <c r="S4" s="52"/>
      <c r="T4" s="52"/>
      <c r="U4" s="52"/>
      <c r="V4" s="52"/>
      <c r="W4" s="52"/>
      <c r="X4" s="20" t="e">
        <f>AVERAGE(data0!B73:B82)</f>
        <v>#DIV/0!</v>
      </c>
      <c r="Y4" s="20" t="e">
        <f>AVERAGE(data0!C73:C82)</f>
        <v>#DIV/0!</v>
      </c>
      <c r="Z4" s="20" t="e">
        <f>AVERAGE(data0!D73:D82)</f>
        <v>#DIV/0!</v>
      </c>
      <c r="AA4" s="20" t="e">
        <f>AVERAGE(data0!E73:E82)</f>
        <v>#DIV/0!</v>
      </c>
      <c r="AB4" s="20" t="e">
        <f>AVERAGE(data0!F73:F82)</f>
        <v>#DIV/0!</v>
      </c>
      <c r="AC4" s="20" t="e">
        <f>AVERAGE(data0!G73:G82)</f>
        <v>#DIV/0!</v>
      </c>
      <c r="AD4" s="20" t="e">
        <f>AVERAGE(data0!H73:H82)</f>
        <v>#DIV/0!</v>
      </c>
      <c r="AE4" s="20" t="e">
        <f>AVERAGE(data0!I73:I82)</f>
        <v>#DIV/0!</v>
      </c>
      <c r="AF4" s="20" t="e">
        <f>AVERAGE(data0!J73:J82)</f>
        <v>#DIV/0!</v>
      </c>
      <c r="AG4" s="20" t="e">
        <f>AVERAGE(data0!K73:K82)</f>
        <v>#DIV/0!</v>
      </c>
      <c r="AH4" s="20" t="e">
        <f>AVERAGE(data0!L73:L82)</f>
        <v>#DIV/0!</v>
      </c>
      <c r="AI4" s="20" t="e">
        <f>AVERAGE(data0!M73:M82)</f>
        <v>#DIV/0!</v>
      </c>
      <c r="AJ4" s="20" t="e">
        <f>AVERAGE(data0!N73:N82)</f>
        <v>#DIV/0!</v>
      </c>
      <c r="AK4" s="20" t="e">
        <f>AVERAGE(data0!O73:O82)</f>
        <v>#DIV/0!</v>
      </c>
      <c r="AL4" s="20" t="e">
        <f>AVERAGE(data0!P73:P82)</f>
        <v>#DIV/0!</v>
      </c>
      <c r="AM4" s="20" t="e">
        <f>AVERAGE(data0!Q73:Q82)</f>
        <v>#DIV/0!</v>
      </c>
      <c r="AN4" s="20" t="e">
        <f>AVERAGE(data0!R73:R82)</f>
        <v>#DIV/0!</v>
      </c>
      <c r="AO4" s="20" t="e">
        <f>AVERAGE(data0!S73:S82)</f>
        <v>#DIV/0!</v>
      </c>
      <c r="AP4" s="20" t="e">
        <f>AVERAGE(data0!T73:T82)</f>
        <v>#DIV/0!</v>
      </c>
      <c r="AQ4" s="20" t="e">
        <f>AVERAGE(data0!U73:U82)</f>
        <v>#DIV/0!</v>
      </c>
      <c r="AR4" s="20" t="e">
        <f>AVERAGE(data0!V73:V82)</f>
        <v>#DIV/0!</v>
      </c>
      <c r="AS4" s="20" t="e">
        <f>AVERAGE(data0!W73:W82)</f>
        <v>#DIV/0!</v>
      </c>
      <c r="AT4" s="20" t="e">
        <f>AVERAGE(data0!X73:X82)</f>
        <v>#DIV/0!</v>
      </c>
      <c r="AU4" s="20" t="e">
        <f>AVERAGE(data0!Y73:Y82)</f>
        <v>#DIV/0!</v>
      </c>
      <c r="AV4" s="20" t="e">
        <f>AVERAGE(data0!Z73:Z82)</f>
        <v>#DIV/0!</v>
      </c>
      <c r="AW4" s="20" t="e">
        <f>AVERAGE(data0!AA73:AA82)</f>
        <v>#DIV/0!</v>
      </c>
      <c r="AX4" s="20" t="e">
        <f>AVERAGE(data0!AB73:AB82)</f>
        <v>#DIV/0!</v>
      </c>
      <c r="AY4" s="20" t="e">
        <f>AVERAGE(data0!AC73:AC82)</f>
        <v>#DIV/0!</v>
      </c>
      <c r="AZ4" s="20" t="e">
        <f>AVERAGE(data0!AD73:AD82)</f>
        <v>#DIV/0!</v>
      </c>
      <c r="BA4" s="20" t="e">
        <f>AVERAGE(data0!AE73:AE82)</f>
        <v>#DIV/0!</v>
      </c>
      <c r="BB4" s="20" t="e">
        <f>AVERAGE(data0!AF73:AF82)</f>
        <v>#DIV/0!</v>
      </c>
      <c r="BC4" s="20" t="e">
        <f>AVERAGE(data0!AG73:AG82)</f>
        <v>#DIV/0!</v>
      </c>
    </row>
    <row r="5" spans="1:66">
      <c r="A5" s="21" t="s">
        <v>22</v>
      </c>
      <c r="B5" s="21">
        <v>1</v>
      </c>
      <c r="E5" s="18" t="str">
        <f>J$42</f>
        <v>HI-MID</v>
      </c>
      <c r="F5" s="51" t="str">
        <f>F4</f>
        <v>data</v>
      </c>
      <c r="G5" s="50">
        <f>G4+1</f>
        <v>1</v>
      </c>
      <c r="H5" s="52" t="e">
        <f t="shared" si="1"/>
        <v>#DIV/0!</v>
      </c>
      <c r="I5" s="52" t="e">
        <f t="shared" si="2"/>
        <v>#DIV/0!</v>
      </c>
      <c r="J5" s="52" t="e">
        <f>AVERAGE(X5:AE5)</f>
        <v>#DIV/0!</v>
      </c>
      <c r="K5" s="52" t="e">
        <f>STDEV(X5:AE5)</f>
        <v>#DIV/0!</v>
      </c>
      <c r="L5" s="52" t="e">
        <f>AVERAGE(AF5:AM5)</f>
        <v>#DIV/0!</v>
      </c>
      <c r="M5" s="52" t="e">
        <f>STDEV(AF5:AM5)</f>
        <v>#DIV/0!</v>
      </c>
      <c r="N5" s="52" t="e">
        <f t="shared" ref="N5" si="3">AVERAGE(AN5:AU5)</f>
        <v>#DIV/0!</v>
      </c>
      <c r="O5" s="52" t="e">
        <f t="shared" ref="O5" si="4">STDEV(AN5:AU5)</f>
        <v>#DIV/0!</v>
      </c>
      <c r="P5" s="52" t="e">
        <f>AVERAGE(AV5:BC5)</f>
        <v>#DIV/0!</v>
      </c>
      <c r="Q5" s="52" t="e">
        <f>STDEV(AV5:BC5)</f>
        <v>#DIV/0!</v>
      </c>
      <c r="R5" s="52"/>
      <c r="S5" s="52"/>
      <c r="T5" s="52"/>
      <c r="U5" s="52"/>
      <c r="V5" s="52"/>
      <c r="W5" s="52"/>
      <c r="X5" s="20" t="e">
        <f>AVERAGE(data1!B73:B82)</f>
        <v>#DIV/0!</v>
      </c>
      <c r="Y5" s="20" t="e">
        <f>AVERAGE(data1!C73:C82)</f>
        <v>#DIV/0!</v>
      </c>
      <c r="Z5" s="20" t="e">
        <f>AVERAGE(data1!D73:D82)</f>
        <v>#DIV/0!</v>
      </c>
      <c r="AA5" s="20" t="e">
        <f>AVERAGE(data1!E73:E82)</f>
        <v>#DIV/0!</v>
      </c>
      <c r="AB5" s="20" t="e">
        <f>AVERAGE(data1!F73:F82)</f>
        <v>#DIV/0!</v>
      </c>
      <c r="AC5" s="20" t="e">
        <f>AVERAGE(data1!G73:G82)</f>
        <v>#DIV/0!</v>
      </c>
      <c r="AD5" s="20" t="e">
        <f>AVERAGE(data1!H73:H82)</f>
        <v>#DIV/0!</v>
      </c>
      <c r="AE5" s="20" t="e">
        <f>AVERAGE(data1!I73:I82)</f>
        <v>#DIV/0!</v>
      </c>
      <c r="AF5" s="20" t="e">
        <f>AVERAGE(data1!J73:J82)</f>
        <v>#DIV/0!</v>
      </c>
      <c r="AG5" s="20" t="e">
        <f>AVERAGE(data1!K73:K82)</f>
        <v>#DIV/0!</v>
      </c>
      <c r="AH5" s="20" t="e">
        <f>AVERAGE(data1!L73:L82)</f>
        <v>#DIV/0!</v>
      </c>
      <c r="AI5" s="20" t="e">
        <f>AVERAGE(data1!M73:M82)</f>
        <v>#DIV/0!</v>
      </c>
      <c r="AJ5" s="20" t="e">
        <f>AVERAGE(data1!N73:N82)</f>
        <v>#DIV/0!</v>
      </c>
      <c r="AK5" s="20" t="e">
        <f>AVERAGE(data1!O73:O82)</f>
        <v>#DIV/0!</v>
      </c>
      <c r="AL5" s="20" t="e">
        <f>AVERAGE(data1!P73:P82)</f>
        <v>#DIV/0!</v>
      </c>
      <c r="AM5" s="20" t="e">
        <f>AVERAGE(data1!Q73:Q82)</f>
        <v>#DIV/0!</v>
      </c>
      <c r="AN5" s="20" t="e">
        <f>AVERAGE(data1!R73:R82)</f>
        <v>#DIV/0!</v>
      </c>
      <c r="AO5" s="20" t="e">
        <f>AVERAGE(data1!S73:S82)</f>
        <v>#DIV/0!</v>
      </c>
      <c r="AP5" s="20" t="e">
        <f>AVERAGE(data1!T73:T82)</f>
        <v>#DIV/0!</v>
      </c>
      <c r="AQ5" s="20" t="e">
        <f>AVERAGE(data1!U73:U82)</f>
        <v>#DIV/0!</v>
      </c>
      <c r="AR5" s="20" t="e">
        <f>AVERAGE(data1!V73:V82)</f>
        <v>#DIV/0!</v>
      </c>
      <c r="AS5" s="20" t="e">
        <f>AVERAGE(data1!W73:W82)</f>
        <v>#DIV/0!</v>
      </c>
      <c r="AT5" s="20" t="e">
        <f>AVERAGE(data1!X73:X82)</f>
        <v>#DIV/0!</v>
      </c>
      <c r="AU5" s="20" t="e">
        <f>AVERAGE(data1!Y73:Y82)</f>
        <v>#DIV/0!</v>
      </c>
      <c r="AV5" s="20" t="e">
        <f>AVERAGE(data1!Z73:Z82)</f>
        <v>#DIV/0!</v>
      </c>
      <c r="AW5" s="20" t="e">
        <f>AVERAGE(data1!AA73:AA82)</f>
        <v>#DIV/0!</v>
      </c>
      <c r="AX5" s="20" t="e">
        <f>AVERAGE(data1!AB73:AB82)</f>
        <v>#DIV/0!</v>
      </c>
      <c r="AY5" s="20" t="e">
        <f>AVERAGE(data1!AC73:AC82)</f>
        <v>#DIV/0!</v>
      </c>
      <c r="AZ5" s="20" t="e">
        <f>AVERAGE(data1!AD73:AD82)</f>
        <v>#DIV/0!</v>
      </c>
      <c r="BA5" s="20" t="e">
        <f>AVERAGE(data1!AE73:AE82)</f>
        <v>#DIV/0!</v>
      </c>
      <c r="BB5" s="20" t="e">
        <f>AVERAGE(data1!AF73:AF82)</f>
        <v>#DIV/0!</v>
      </c>
      <c r="BC5" s="20" t="e">
        <f>AVERAGE(data1!AG73:AG82)</f>
        <v>#DIV/0!</v>
      </c>
    </row>
    <row r="6" spans="1:66">
      <c r="E6" s="18" t="str">
        <f>L42</f>
        <v>LO-MID</v>
      </c>
      <c r="F6" s="51" t="str">
        <f t="shared" ref="F6:F7" si="5">F5</f>
        <v>data</v>
      </c>
      <c r="G6" s="50">
        <f t="shared" ref="G6:G7" si="6">G5+1</f>
        <v>2</v>
      </c>
      <c r="H6" s="52" t="e">
        <f t="shared" ref="H6:H7" si="7">AVERAGE(X6:BC6)</f>
        <v>#DIV/0!</v>
      </c>
      <c r="I6" s="52" t="e">
        <f t="shared" ref="I6:I7" si="8">STDEV(X6:BC6)</f>
        <v>#DIV/0!</v>
      </c>
      <c r="J6" s="52" t="e">
        <f t="shared" ref="J6:J7" si="9">AVERAGE(X6:AE6)</f>
        <v>#DIV/0!</v>
      </c>
      <c r="K6" s="52" t="e">
        <f t="shared" ref="K6:K7" si="10">STDEV(X6:AE6)</f>
        <v>#DIV/0!</v>
      </c>
      <c r="L6" s="52" t="e">
        <f t="shared" ref="L6:L7" si="11">AVERAGE(AF6:AM6)</f>
        <v>#DIV/0!</v>
      </c>
      <c r="M6" s="52" t="e">
        <f t="shared" ref="M6:M7" si="12">STDEV(AF6:AM6)</f>
        <v>#DIV/0!</v>
      </c>
      <c r="N6" s="52" t="e">
        <f t="shared" ref="N6:N7" si="13">AVERAGE(AN6:AU6)</f>
        <v>#DIV/0!</v>
      </c>
      <c r="O6" s="52" t="e">
        <f t="shared" ref="O6:O7" si="14">STDEV(AN6:AU6)</f>
        <v>#DIV/0!</v>
      </c>
      <c r="P6" s="52" t="e">
        <f t="shared" ref="P6:P7" si="15">AVERAGE(AV6:BC6)</f>
        <v>#DIV/0!</v>
      </c>
      <c r="Q6" s="52" t="e">
        <f t="shared" ref="Q6:Q7" si="16">STDEV(AV6:BC6)</f>
        <v>#DIV/0!</v>
      </c>
      <c r="R6" s="52"/>
      <c r="S6" s="52"/>
      <c r="T6" s="52"/>
      <c r="U6" s="52"/>
      <c r="V6" s="52"/>
      <c r="W6" s="52"/>
      <c r="X6" s="20" t="e">
        <f>AVERAGE(data2!B73:B82)</f>
        <v>#DIV/0!</v>
      </c>
      <c r="Y6" s="20" t="e">
        <f>AVERAGE(data2!C73:C82)</f>
        <v>#DIV/0!</v>
      </c>
      <c r="Z6" s="20" t="e">
        <f>AVERAGE(data2!D73:D82)</f>
        <v>#DIV/0!</v>
      </c>
      <c r="AA6" s="20" t="e">
        <f>AVERAGE(data2!E73:E82)</f>
        <v>#DIV/0!</v>
      </c>
      <c r="AB6" s="20" t="e">
        <f>AVERAGE(data2!F73:F82)</f>
        <v>#DIV/0!</v>
      </c>
      <c r="AC6" s="20" t="e">
        <f>AVERAGE(data2!G73:G82)</f>
        <v>#DIV/0!</v>
      </c>
      <c r="AD6" s="20" t="e">
        <f>AVERAGE(data2!H73:H82)</f>
        <v>#DIV/0!</v>
      </c>
      <c r="AE6" s="20" t="e">
        <f>AVERAGE(data2!I73:I82)</f>
        <v>#DIV/0!</v>
      </c>
      <c r="AF6" s="20" t="e">
        <f>AVERAGE(data2!J73:J82)</f>
        <v>#DIV/0!</v>
      </c>
      <c r="AG6" s="20" t="e">
        <f>AVERAGE(data2!K73:K82)</f>
        <v>#DIV/0!</v>
      </c>
      <c r="AH6" s="20" t="e">
        <f>AVERAGE(data2!L73:L82)</f>
        <v>#DIV/0!</v>
      </c>
      <c r="AI6" s="20" t="e">
        <f>AVERAGE(data2!M73:M82)</f>
        <v>#DIV/0!</v>
      </c>
      <c r="AJ6" s="20" t="e">
        <f>AVERAGE(data2!N73:N82)</f>
        <v>#DIV/0!</v>
      </c>
      <c r="AK6" s="20" t="e">
        <f>AVERAGE(data2!O73:O82)</f>
        <v>#DIV/0!</v>
      </c>
      <c r="AL6" s="20" t="e">
        <f>AVERAGE(data2!P73:P82)</f>
        <v>#DIV/0!</v>
      </c>
      <c r="AM6" s="20" t="e">
        <f>AVERAGE(data2!Q73:Q82)</f>
        <v>#DIV/0!</v>
      </c>
      <c r="AN6" s="20" t="e">
        <f>AVERAGE(data2!R73:R82)</f>
        <v>#DIV/0!</v>
      </c>
      <c r="AO6" s="20" t="e">
        <f>AVERAGE(data2!S73:S82)</f>
        <v>#DIV/0!</v>
      </c>
      <c r="AP6" s="20" t="e">
        <f>AVERAGE(data2!T73:T82)</f>
        <v>#DIV/0!</v>
      </c>
      <c r="AQ6" s="20" t="e">
        <f>AVERAGE(data2!U73:U82)</f>
        <v>#DIV/0!</v>
      </c>
      <c r="AR6" s="20" t="e">
        <f>AVERAGE(data2!V73:V82)</f>
        <v>#DIV/0!</v>
      </c>
      <c r="AS6" s="20" t="e">
        <f>AVERAGE(data2!W73:W82)</f>
        <v>#DIV/0!</v>
      </c>
      <c r="AT6" s="20" t="e">
        <f>AVERAGE(data2!X73:X82)</f>
        <v>#DIV/0!</v>
      </c>
      <c r="AU6" s="20" t="e">
        <f>AVERAGE(data2!Y73:Y82)</f>
        <v>#DIV/0!</v>
      </c>
      <c r="AV6" s="20" t="e">
        <f>AVERAGE(data2!Z73:Z82)</f>
        <v>#DIV/0!</v>
      </c>
      <c r="AW6" s="20" t="e">
        <f>AVERAGE(data2!AA73:AA82)</f>
        <v>#DIV/0!</v>
      </c>
      <c r="AX6" s="20" t="e">
        <f>AVERAGE(data2!AB73:AB82)</f>
        <v>#DIV/0!</v>
      </c>
      <c r="AY6" s="20" t="e">
        <f>AVERAGE(data2!AC73:AC82)</f>
        <v>#DIV/0!</v>
      </c>
      <c r="AZ6" s="20" t="e">
        <f>AVERAGE(data2!AD73:AD82)</f>
        <v>#DIV/0!</v>
      </c>
      <c r="BA6" s="20" t="e">
        <f>AVERAGE(data2!AE73:AE82)</f>
        <v>#DIV/0!</v>
      </c>
      <c r="BB6" s="20" t="e">
        <f>AVERAGE(data2!AF73:AF82)</f>
        <v>#DIV/0!</v>
      </c>
      <c r="BC6" s="20" t="e">
        <f>AVERAGE(data2!AG73:AG82)</f>
        <v>#DIV/0!</v>
      </c>
    </row>
    <row r="7" spans="1:66">
      <c r="A7" s="21"/>
      <c r="B7" s="21"/>
      <c r="E7" s="18" t="str">
        <f>N42</f>
        <v>LO</v>
      </c>
      <c r="F7" s="51" t="str">
        <f t="shared" si="5"/>
        <v>data</v>
      </c>
      <c r="G7" s="50">
        <f t="shared" si="6"/>
        <v>3</v>
      </c>
      <c r="H7" s="52" t="e">
        <f t="shared" si="7"/>
        <v>#DIV/0!</v>
      </c>
      <c r="I7" s="52" t="e">
        <f t="shared" si="8"/>
        <v>#DIV/0!</v>
      </c>
      <c r="J7" s="52" t="e">
        <f t="shared" si="9"/>
        <v>#DIV/0!</v>
      </c>
      <c r="K7" s="52" t="e">
        <f t="shared" si="10"/>
        <v>#DIV/0!</v>
      </c>
      <c r="L7" s="52" t="e">
        <f t="shared" si="11"/>
        <v>#DIV/0!</v>
      </c>
      <c r="M7" s="52" t="e">
        <f t="shared" si="12"/>
        <v>#DIV/0!</v>
      </c>
      <c r="N7" s="52" t="e">
        <f t="shared" si="13"/>
        <v>#DIV/0!</v>
      </c>
      <c r="O7" s="52" t="e">
        <f t="shared" si="14"/>
        <v>#DIV/0!</v>
      </c>
      <c r="P7" s="52" t="e">
        <f t="shared" si="15"/>
        <v>#DIV/0!</v>
      </c>
      <c r="Q7" s="52" t="e">
        <f t="shared" si="16"/>
        <v>#DIV/0!</v>
      </c>
      <c r="R7" s="52"/>
      <c r="S7" s="52"/>
      <c r="T7" s="52"/>
      <c r="U7" s="52"/>
      <c r="V7" s="52"/>
      <c r="W7" s="52"/>
      <c r="X7" s="20" t="e">
        <f>AVERAGE(data3!B73:B82)</f>
        <v>#DIV/0!</v>
      </c>
      <c r="Y7" s="20" t="e">
        <f>AVERAGE(data3!C73:C82)</f>
        <v>#DIV/0!</v>
      </c>
      <c r="Z7" s="20" t="e">
        <f>AVERAGE(data3!D73:D82)</f>
        <v>#DIV/0!</v>
      </c>
      <c r="AA7" s="20" t="e">
        <f>AVERAGE(data3!E73:E82)</f>
        <v>#DIV/0!</v>
      </c>
      <c r="AB7" s="20" t="e">
        <f>AVERAGE(data3!F73:F82)</f>
        <v>#DIV/0!</v>
      </c>
      <c r="AC7" s="20" t="e">
        <f>AVERAGE(data3!G73:G82)</f>
        <v>#DIV/0!</v>
      </c>
      <c r="AD7" s="20" t="e">
        <f>AVERAGE(data3!H73:H82)</f>
        <v>#DIV/0!</v>
      </c>
      <c r="AE7" s="20" t="e">
        <f>AVERAGE(data3!I73:I82)</f>
        <v>#DIV/0!</v>
      </c>
      <c r="AF7" s="20" t="e">
        <f>AVERAGE(data3!J73:J82)</f>
        <v>#DIV/0!</v>
      </c>
      <c r="AG7" s="20" t="e">
        <f>AVERAGE(data3!K73:K82)</f>
        <v>#DIV/0!</v>
      </c>
      <c r="AH7" s="20" t="e">
        <f>AVERAGE(data3!L73:L82)</f>
        <v>#DIV/0!</v>
      </c>
      <c r="AI7" s="20" t="e">
        <f>AVERAGE(data3!M73:M82)</f>
        <v>#DIV/0!</v>
      </c>
      <c r="AJ7" s="20" t="e">
        <f>AVERAGE(data3!N73:N82)</f>
        <v>#DIV/0!</v>
      </c>
      <c r="AK7" s="20" t="e">
        <f>AVERAGE(data3!O73:O82)</f>
        <v>#DIV/0!</v>
      </c>
      <c r="AL7" s="20" t="e">
        <f>AVERAGE(data3!P73:P82)</f>
        <v>#DIV/0!</v>
      </c>
      <c r="AM7" s="20" t="e">
        <f>AVERAGE(data3!Q73:Q82)</f>
        <v>#DIV/0!</v>
      </c>
      <c r="AN7" s="20" t="e">
        <f>AVERAGE(data3!R73:R82)</f>
        <v>#DIV/0!</v>
      </c>
      <c r="AO7" s="20" t="e">
        <f>AVERAGE(data3!S73:S82)</f>
        <v>#DIV/0!</v>
      </c>
      <c r="AP7" s="20" t="e">
        <f>AVERAGE(data3!T73:T82)</f>
        <v>#DIV/0!</v>
      </c>
      <c r="AQ7" s="20" t="e">
        <f>AVERAGE(data3!U73:U82)</f>
        <v>#DIV/0!</v>
      </c>
      <c r="AR7" s="20" t="e">
        <f>AVERAGE(data3!V73:V82)</f>
        <v>#DIV/0!</v>
      </c>
      <c r="AS7" s="20" t="e">
        <f>AVERAGE(data3!W73:W82)</f>
        <v>#DIV/0!</v>
      </c>
      <c r="AT7" s="20" t="e">
        <f>AVERAGE(data3!X73:X82)</f>
        <v>#DIV/0!</v>
      </c>
      <c r="AU7" s="20" t="e">
        <f>AVERAGE(data3!Y73:Y82)</f>
        <v>#DIV/0!</v>
      </c>
      <c r="AV7" s="20" t="e">
        <f>AVERAGE(data3!Z73:Z82)</f>
        <v>#DIV/0!</v>
      </c>
      <c r="AW7" s="20" t="e">
        <f>AVERAGE(data3!AA73:AA82)</f>
        <v>#DIV/0!</v>
      </c>
      <c r="AX7" s="20" t="e">
        <f>AVERAGE(data3!AB73:AB82)</f>
        <v>#DIV/0!</v>
      </c>
      <c r="AY7" s="20" t="e">
        <f>AVERAGE(data3!AC73:AC82)</f>
        <v>#DIV/0!</v>
      </c>
      <c r="AZ7" s="20" t="e">
        <f>AVERAGE(data3!AD73:AD82)</f>
        <v>#DIV/0!</v>
      </c>
      <c r="BA7" s="20" t="e">
        <f>AVERAGE(data3!AE73:AE82)</f>
        <v>#DIV/0!</v>
      </c>
      <c r="BB7" s="20" t="e">
        <f>AVERAGE(data3!AF73:AF82)</f>
        <v>#DIV/0!</v>
      </c>
      <c r="BC7" s="20" t="e">
        <f>AVERAGE(data3!AG73:AG82)</f>
        <v>#DIV/0!</v>
      </c>
    </row>
    <row r="8" spans="1:66">
      <c r="A8" s="21"/>
      <c r="B8" s="21"/>
      <c r="F8" s="51"/>
      <c r="G8" s="50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</row>
    <row r="9" spans="1:66">
      <c r="A9" s="21"/>
      <c r="B9" s="21"/>
      <c r="E9" s="18" t="s">
        <v>45</v>
      </c>
      <c r="F9" s="51" t="s">
        <v>46</v>
      </c>
      <c r="H9" s="52" t="e">
        <f>AVERAGE(X9:BC9)</f>
        <v>#DIV/0!</v>
      </c>
      <c r="I9" s="52" t="e">
        <f t="shared" ref="I9:I13" si="17">STDEV(X9:BC9)</f>
        <v>#DIV/0!</v>
      </c>
      <c r="J9" s="52" t="e">
        <f t="shared" ref="J9:J13" si="18">AVERAGE(X9:AE9)</f>
        <v>#DIV/0!</v>
      </c>
      <c r="K9" s="52" t="e">
        <f t="shared" ref="K9:K13" si="19">STDEV(X9:AE9)</f>
        <v>#DIV/0!</v>
      </c>
      <c r="L9" s="52" t="e">
        <f t="shared" ref="L9:L13" si="20">AVERAGE(AF9:AM9)</f>
        <v>#DIV/0!</v>
      </c>
      <c r="M9" s="52" t="e">
        <f t="shared" ref="M9:M13" si="21">STDEV(AF9:AM9)</f>
        <v>#DIV/0!</v>
      </c>
      <c r="N9" s="52" t="e">
        <f t="shared" ref="N9:N13" si="22">AVERAGE(AN9:AU9)</f>
        <v>#DIV/0!</v>
      </c>
      <c r="O9" s="52" t="e">
        <f t="shared" ref="O9:O13" si="23">STDEV(AN9:AU9)</f>
        <v>#DIV/0!</v>
      </c>
      <c r="P9" s="52" t="e">
        <f t="shared" ref="P9:P13" si="24">AVERAGE(AV9:BC9)</f>
        <v>#DIV/0!</v>
      </c>
      <c r="Q9" s="52" t="e">
        <f t="shared" ref="Q9:Q13" si="25">STDEV(AV9:BC9)</f>
        <v>#DIV/0!</v>
      </c>
      <c r="R9" s="52"/>
      <c r="S9" s="52"/>
      <c r="T9" s="52"/>
      <c r="U9" s="52"/>
      <c r="V9" s="52"/>
      <c r="W9" s="52"/>
      <c r="X9" s="20" t="e">
        <f>data0!B89</f>
        <v>#DIV/0!</v>
      </c>
      <c r="Y9" s="20" t="e">
        <f>data0!C89</f>
        <v>#DIV/0!</v>
      </c>
      <c r="Z9" s="20" t="e">
        <f>data0!D89</f>
        <v>#DIV/0!</v>
      </c>
      <c r="AA9" s="20" t="e">
        <f>data0!E89</f>
        <v>#DIV/0!</v>
      </c>
      <c r="AB9" s="20" t="e">
        <f>data0!F89</f>
        <v>#DIV/0!</v>
      </c>
      <c r="AC9" s="20" t="e">
        <f>data0!G89</f>
        <v>#DIV/0!</v>
      </c>
      <c r="AD9" s="20" t="e">
        <f>data0!H89</f>
        <v>#DIV/0!</v>
      </c>
      <c r="AE9" s="20" t="e">
        <f>data0!I89</f>
        <v>#DIV/0!</v>
      </c>
      <c r="AF9" s="20" t="e">
        <f>data0!J89</f>
        <v>#DIV/0!</v>
      </c>
      <c r="AG9" s="20" t="e">
        <f>data0!K89</f>
        <v>#DIV/0!</v>
      </c>
      <c r="AH9" s="20" t="e">
        <f>data0!L89</f>
        <v>#DIV/0!</v>
      </c>
      <c r="AI9" s="20" t="e">
        <f>data0!M89</f>
        <v>#DIV/0!</v>
      </c>
      <c r="AJ9" s="20" t="e">
        <f>data0!N89</f>
        <v>#DIV/0!</v>
      </c>
      <c r="AK9" s="20" t="e">
        <f>data0!O89</f>
        <v>#DIV/0!</v>
      </c>
      <c r="AL9" s="20" t="e">
        <f>data0!P89</f>
        <v>#DIV/0!</v>
      </c>
      <c r="AM9" s="20" t="e">
        <f>data0!Q89</f>
        <v>#DIV/0!</v>
      </c>
      <c r="AN9" s="20" t="e">
        <f>data0!R89</f>
        <v>#DIV/0!</v>
      </c>
      <c r="AO9" s="20" t="e">
        <f>data0!S89</f>
        <v>#DIV/0!</v>
      </c>
      <c r="AP9" s="20" t="e">
        <f>data0!T89</f>
        <v>#DIV/0!</v>
      </c>
      <c r="AQ9" s="20" t="e">
        <f>data0!U89</f>
        <v>#DIV/0!</v>
      </c>
      <c r="AR9" s="20" t="e">
        <f>data0!V89</f>
        <v>#DIV/0!</v>
      </c>
      <c r="AS9" s="20" t="e">
        <f>data0!W89</f>
        <v>#DIV/0!</v>
      </c>
      <c r="AT9" s="20" t="e">
        <f>data0!X89</f>
        <v>#DIV/0!</v>
      </c>
      <c r="AU9" s="20" t="e">
        <f>data0!Y89</f>
        <v>#DIV/0!</v>
      </c>
      <c r="AV9" s="20" t="e">
        <f>data0!Z89</f>
        <v>#DIV/0!</v>
      </c>
      <c r="AW9" s="20" t="e">
        <f>data0!AA89</f>
        <v>#DIV/0!</v>
      </c>
      <c r="AX9" s="20" t="e">
        <f>data0!AB89</f>
        <v>#DIV/0!</v>
      </c>
      <c r="AY9" s="20" t="e">
        <f>data0!AC89</f>
        <v>#DIV/0!</v>
      </c>
      <c r="AZ9" s="20" t="e">
        <f>data0!AD89</f>
        <v>#DIV/0!</v>
      </c>
      <c r="BA9" s="20" t="e">
        <f>data0!AE89</f>
        <v>#DIV/0!</v>
      </c>
      <c r="BB9" s="20" t="e">
        <f>data0!AF89</f>
        <v>#DIV/0!</v>
      </c>
      <c r="BC9" s="20" t="e">
        <f>data0!AG89</f>
        <v>#DIV/0!</v>
      </c>
    </row>
    <row r="10" spans="1:66">
      <c r="A10" s="21"/>
      <c r="B10" s="21"/>
      <c r="E10" s="105" t="s">
        <v>47</v>
      </c>
      <c r="F10" s="51" t="str">
        <f t="shared" ref="F10:G13" si="26">F4</f>
        <v>data</v>
      </c>
      <c r="G10" s="50">
        <f t="shared" si="26"/>
        <v>0</v>
      </c>
      <c r="H10" s="52" t="e">
        <f t="shared" ref="H10:H13" si="27">AVERAGE(X10:BC10)</f>
        <v>#DIV/0!</v>
      </c>
      <c r="I10" s="52" t="e">
        <f t="shared" si="17"/>
        <v>#DIV/0!</v>
      </c>
      <c r="J10" s="52" t="e">
        <f t="shared" si="18"/>
        <v>#DIV/0!</v>
      </c>
      <c r="K10" s="52" t="e">
        <f t="shared" si="19"/>
        <v>#DIV/0!</v>
      </c>
      <c r="L10" s="52" t="e">
        <f t="shared" si="20"/>
        <v>#DIV/0!</v>
      </c>
      <c r="M10" s="52" t="e">
        <f t="shared" si="21"/>
        <v>#DIV/0!</v>
      </c>
      <c r="N10" s="52" t="e">
        <f t="shared" si="22"/>
        <v>#DIV/0!</v>
      </c>
      <c r="O10" s="52" t="e">
        <f t="shared" si="23"/>
        <v>#DIV/0!</v>
      </c>
      <c r="P10" s="52" t="e">
        <f t="shared" si="24"/>
        <v>#DIV/0!</v>
      </c>
      <c r="Q10" s="52" t="e">
        <f t="shared" si="25"/>
        <v>#DIV/0!</v>
      </c>
      <c r="R10" s="52"/>
      <c r="S10" s="52"/>
      <c r="T10" s="52"/>
      <c r="U10" s="52"/>
      <c r="V10" s="52"/>
      <c r="W10" s="52"/>
      <c r="X10" s="20" t="e">
        <f>data0!B$85*1000*X$9</f>
        <v>#DIV/0!</v>
      </c>
      <c r="Y10" s="20" t="e">
        <f>data0!C$85*1000*Y$9</f>
        <v>#DIV/0!</v>
      </c>
      <c r="Z10" s="20" t="e">
        <f>data0!D$85*1000*Z$9</f>
        <v>#DIV/0!</v>
      </c>
      <c r="AA10" s="20" t="e">
        <f>data0!E$85*1000*AA$9</f>
        <v>#DIV/0!</v>
      </c>
      <c r="AB10" s="20" t="e">
        <f>data0!F$85*1000*AB$9</f>
        <v>#DIV/0!</v>
      </c>
      <c r="AC10" s="20" t="e">
        <f>data0!G$85*1000*AC$9</f>
        <v>#DIV/0!</v>
      </c>
      <c r="AD10" s="20" t="e">
        <f>data0!H$85*1000*AD$9</f>
        <v>#DIV/0!</v>
      </c>
      <c r="AE10" s="20" t="e">
        <f>data0!I$85*1000*AE$9</f>
        <v>#DIV/0!</v>
      </c>
      <c r="AF10" s="20" t="e">
        <f>data0!J$85*1000*AF$9</f>
        <v>#DIV/0!</v>
      </c>
      <c r="AG10" s="20" t="e">
        <f>data0!K$85*1000*AG$9</f>
        <v>#DIV/0!</v>
      </c>
      <c r="AH10" s="20" t="e">
        <f>data0!L$85*1000*AH$9</f>
        <v>#DIV/0!</v>
      </c>
      <c r="AI10" s="20" t="e">
        <f>data0!M$85*1000*AI$9</f>
        <v>#DIV/0!</v>
      </c>
      <c r="AJ10" s="20" t="e">
        <f>data0!N$85*1000*AJ$9</f>
        <v>#DIV/0!</v>
      </c>
      <c r="AK10" s="20" t="e">
        <f>data0!O$85*1000*AK$9</f>
        <v>#DIV/0!</v>
      </c>
      <c r="AL10" s="20" t="e">
        <f>data0!P$85*1000*AL$9</f>
        <v>#DIV/0!</v>
      </c>
      <c r="AM10" s="20" t="e">
        <f>data0!Q$85*1000*AM$9</f>
        <v>#DIV/0!</v>
      </c>
      <c r="AN10" s="20" t="e">
        <f>data0!R$85*1000*AN$9</f>
        <v>#DIV/0!</v>
      </c>
      <c r="AO10" s="20" t="e">
        <f>data0!S$85*1000*AO$9</f>
        <v>#DIV/0!</v>
      </c>
      <c r="AP10" s="20" t="e">
        <f>data0!T$85*1000*AP$9</f>
        <v>#DIV/0!</v>
      </c>
      <c r="AQ10" s="20" t="e">
        <f>data0!U$85*1000*AQ$9</f>
        <v>#DIV/0!</v>
      </c>
      <c r="AR10" s="20" t="e">
        <f>data0!V$85*1000*AR$9</f>
        <v>#DIV/0!</v>
      </c>
      <c r="AS10" s="20" t="e">
        <f>data0!W$85*1000*AS$9</f>
        <v>#DIV/0!</v>
      </c>
      <c r="AT10" s="20" t="e">
        <f>data0!X$85*1000*AT$9</f>
        <v>#DIV/0!</v>
      </c>
      <c r="AU10" s="20" t="e">
        <f>data0!Y$85*1000*AU$9</f>
        <v>#DIV/0!</v>
      </c>
      <c r="AV10" s="20" t="e">
        <f>data0!Z$85*1000*AV$9</f>
        <v>#DIV/0!</v>
      </c>
      <c r="AW10" s="20" t="e">
        <f>data0!AA$85*1000*AW$9</f>
        <v>#DIV/0!</v>
      </c>
      <c r="AX10" s="20" t="e">
        <f>data0!AB$85*1000*AX$9</f>
        <v>#DIV/0!</v>
      </c>
      <c r="AY10" s="20" t="e">
        <f>data0!AC$85*1000*AY$9</f>
        <v>#DIV/0!</v>
      </c>
      <c r="AZ10" s="20" t="e">
        <f>data0!AD$85*1000*AZ$9</f>
        <v>#DIV/0!</v>
      </c>
      <c r="BA10" s="20" t="e">
        <f>data0!AE$85*1000*BA$9</f>
        <v>#DIV/0!</v>
      </c>
      <c r="BB10" s="20" t="e">
        <f>data0!AF$85*1000*BB$9</f>
        <v>#DIV/0!</v>
      </c>
      <c r="BC10" s="20" t="e">
        <f>data0!AG$85*1000*BC$9</f>
        <v>#DIV/0!</v>
      </c>
    </row>
    <row r="11" spans="1:66">
      <c r="A11" s="21"/>
      <c r="B11" s="21"/>
      <c r="E11" s="105"/>
      <c r="F11" s="51" t="str">
        <f t="shared" si="26"/>
        <v>data</v>
      </c>
      <c r="G11" s="50">
        <f t="shared" si="26"/>
        <v>1</v>
      </c>
      <c r="H11" s="52" t="e">
        <f t="shared" si="27"/>
        <v>#DIV/0!</v>
      </c>
      <c r="I11" s="52" t="e">
        <f t="shared" si="17"/>
        <v>#DIV/0!</v>
      </c>
      <c r="J11" s="52" t="e">
        <f t="shared" si="18"/>
        <v>#DIV/0!</v>
      </c>
      <c r="K11" s="52" t="e">
        <f t="shared" si="19"/>
        <v>#DIV/0!</v>
      </c>
      <c r="L11" s="52" t="e">
        <f t="shared" si="20"/>
        <v>#DIV/0!</v>
      </c>
      <c r="M11" s="52" t="e">
        <f t="shared" si="21"/>
        <v>#DIV/0!</v>
      </c>
      <c r="N11" s="52" t="e">
        <f t="shared" si="22"/>
        <v>#DIV/0!</v>
      </c>
      <c r="O11" s="52" t="e">
        <f t="shared" si="23"/>
        <v>#DIV/0!</v>
      </c>
      <c r="P11" s="52" t="e">
        <f t="shared" si="24"/>
        <v>#DIV/0!</v>
      </c>
      <c r="Q11" s="52" t="e">
        <f t="shared" si="25"/>
        <v>#DIV/0!</v>
      </c>
      <c r="R11" s="52"/>
      <c r="S11" s="52"/>
      <c r="T11" s="52"/>
      <c r="U11" s="52"/>
      <c r="V11" s="52"/>
      <c r="W11" s="52"/>
      <c r="X11" s="20" t="e">
        <f>data1!B$85*1000*X$9</f>
        <v>#DIV/0!</v>
      </c>
      <c r="Y11" s="20" t="e">
        <f>data1!C$85*1000*Y$9</f>
        <v>#DIV/0!</v>
      </c>
      <c r="Z11" s="20" t="e">
        <f>data1!D$85*1000*Z$9</f>
        <v>#DIV/0!</v>
      </c>
      <c r="AA11" s="20" t="e">
        <f>data1!E$85*1000*AA$9</f>
        <v>#DIV/0!</v>
      </c>
      <c r="AB11" s="20" t="e">
        <f>data1!F$85*1000*AB$9</f>
        <v>#DIV/0!</v>
      </c>
      <c r="AC11" s="20" t="e">
        <f>data1!G$85*1000*AC$9</f>
        <v>#DIV/0!</v>
      </c>
      <c r="AD11" s="20" t="e">
        <f>data1!H$85*1000*AD$9</f>
        <v>#DIV/0!</v>
      </c>
      <c r="AE11" s="20" t="e">
        <f>data1!I$85*1000*AE$9</f>
        <v>#DIV/0!</v>
      </c>
      <c r="AF11" s="20" t="e">
        <f>data1!J$85*1000*AF$9</f>
        <v>#DIV/0!</v>
      </c>
      <c r="AG11" s="20" t="e">
        <f>data1!K$85*1000*AG$9</f>
        <v>#DIV/0!</v>
      </c>
      <c r="AH11" s="20" t="e">
        <f>data1!L$85*1000*AH$9</f>
        <v>#DIV/0!</v>
      </c>
      <c r="AI11" s="20" t="e">
        <f>data1!M$85*1000*AI$9</f>
        <v>#DIV/0!</v>
      </c>
      <c r="AJ11" s="20" t="e">
        <f>data1!N$85*1000*AJ$9</f>
        <v>#DIV/0!</v>
      </c>
      <c r="AK11" s="20" t="e">
        <f>data1!O$85*1000*AK$9</f>
        <v>#DIV/0!</v>
      </c>
      <c r="AL11" s="20" t="e">
        <f>data1!P$85*1000*AL$9</f>
        <v>#DIV/0!</v>
      </c>
      <c r="AM11" s="20" t="e">
        <f>data1!Q$85*1000*AM$9</f>
        <v>#DIV/0!</v>
      </c>
      <c r="AN11" s="20" t="e">
        <f>data1!R$85*1000*AN$9</f>
        <v>#DIV/0!</v>
      </c>
      <c r="AO11" s="20" t="e">
        <f>data1!S$85*1000*AO$9</f>
        <v>#DIV/0!</v>
      </c>
      <c r="AP11" s="20" t="e">
        <f>data1!T$85*1000*AP$9</f>
        <v>#DIV/0!</v>
      </c>
      <c r="AQ11" s="20" t="e">
        <f>data1!U$85*1000*AQ$9</f>
        <v>#DIV/0!</v>
      </c>
      <c r="AR11" s="20" t="e">
        <f>data1!V$85*1000*AR$9</f>
        <v>#DIV/0!</v>
      </c>
      <c r="AS11" s="20" t="e">
        <f>data1!W$85*1000*AS$9</f>
        <v>#DIV/0!</v>
      </c>
      <c r="AT11" s="20" t="e">
        <f>data1!X$85*1000*AT$9</f>
        <v>#DIV/0!</v>
      </c>
      <c r="AU11" s="20" t="e">
        <f>data1!Y$85*1000*AU$9</f>
        <v>#DIV/0!</v>
      </c>
      <c r="AV11" s="20" t="e">
        <f>data1!Z$85*1000*AV$9</f>
        <v>#DIV/0!</v>
      </c>
      <c r="AW11" s="20" t="e">
        <f>data1!AA$85*1000*AW$9</f>
        <v>#DIV/0!</v>
      </c>
      <c r="AX11" s="20" t="e">
        <f>data1!AB$85*1000*AX$9</f>
        <v>#DIV/0!</v>
      </c>
      <c r="AY11" s="20" t="e">
        <f>data1!AC$85*1000*AY$9</f>
        <v>#DIV/0!</v>
      </c>
      <c r="AZ11" s="20" t="e">
        <f>data1!AD$85*1000*AZ$9</f>
        <v>#DIV/0!</v>
      </c>
      <c r="BA11" s="20" t="e">
        <f>data1!AE$85*1000*BA$9</f>
        <v>#DIV/0!</v>
      </c>
      <c r="BB11" s="20" t="e">
        <f>data1!AF$85*1000*BB$9</f>
        <v>#DIV/0!</v>
      </c>
      <c r="BC11" s="20" t="e">
        <f>data1!AG$85*1000*BC$9</f>
        <v>#DIV/0!</v>
      </c>
    </row>
    <row r="12" spans="1:66">
      <c r="A12" s="21"/>
      <c r="B12" s="21"/>
      <c r="E12" s="105"/>
      <c r="F12" s="51" t="str">
        <f t="shared" si="26"/>
        <v>data</v>
      </c>
      <c r="G12" s="50">
        <f t="shared" si="26"/>
        <v>2</v>
      </c>
      <c r="H12" s="52" t="e">
        <f t="shared" si="27"/>
        <v>#DIV/0!</v>
      </c>
      <c r="I12" s="52" t="e">
        <f t="shared" si="17"/>
        <v>#DIV/0!</v>
      </c>
      <c r="J12" s="52" t="e">
        <f t="shared" si="18"/>
        <v>#DIV/0!</v>
      </c>
      <c r="K12" s="52" t="e">
        <f t="shared" si="19"/>
        <v>#DIV/0!</v>
      </c>
      <c r="L12" s="52" t="e">
        <f t="shared" si="20"/>
        <v>#DIV/0!</v>
      </c>
      <c r="M12" s="52" t="e">
        <f t="shared" si="21"/>
        <v>#DIV/0!</v>
      </c>
      <c r="N12" s="52" t="e">
        <f t="shared" si="22"/>
        <v>#DIV/0!</v>
      </c>
      <c r="O12" s="52" t="e">
        <f t="shared" si="23"/>
        <v>#DIV/0!</v>
      </c>
      <c r="P12" s="52" t="e">
        <f t="shared" si="24"/>
        <v>#DIV/0!</v>
      </c>
      <c r="Q12" s="52" t="e">
        <f t="shared" si="25"/>
        <v>#DIV/0!</v>
      </c>
      <c r="X12" s="20" t="e">
        <f>data2!B$85*1000*X$9</f>
        <v>#DIV/0!</v>
      </c>
      <c r="Y12" s="20" t="e">
        <f>data2!C$85*1000*Y$9</f>
        <v>#DIV/0!</v>
      </c>
      <c r="Z12" s="20" t="e">
        <f>data2!D$85*1000*Z$9</f>
        <v>#DIV/0!</v>
      </c>
      <c r="AA12" s="20" t="e">
        <f>data2!E$85*1000*AA$9</f>
        <v>#DIV/0!</v>
      </c>
      <c r="AB12" s="20" t="e">
        <f>data2!F$85*1000*AB$9</f>
        <v>#DIV/0!</v>
      </c>
      <c r="AC12" s="20" t="e">
        <f>data2!G$85*1000*AC$9</f>
        <v>#DIV/0!</v>
      </c>
      <c r="AD12" s="20" t="e">
        <f>data2!H$85*1000*AD$9</f>
        <v>#DIV/0!</v>
      </c>
      <c r="AE12" s="20" t="e">
        <f>data2!I$85*1000*AE$9</f>
        <v>#DIV/0!</v>
      </c>
      <c r="AF12" s="20" t="e">
        <f>data2!J$85*1000*AF$9</f>
        <v>#DIV/0!</v>
      </c>
      <c r="AG12" s="20" t="e">
        <f>data2!K$85*1000*AG$9</f>
        <v>#DIV/0!</v>
      </c>
      <c r="AH12" s="20" t="e">
        <f>data2!L$85*1000*AH$9</f>
        <v>#DIV/0!</v>
      </c>
      <c r="AI12" s="20" t="e">
        <f>data2!M$85*1000*AI$9</f>
        <v>#DIV/0!</v>
      </c>
      <c r="AJ12" s="20" t="e">
        <f>data2!N$85*1000*AJ$9</f>
        <v>#DIV/0!</v>
      </c>
      <c r="AK12" s="20" t="e">
        <f>data2!O$85*1000*AK$9</f>
        <v>#DIV/0!</v>
      </c>
      <c r="AL12" s="20" t="e">
        <f>data2!P$85*1000*AL$9</f>
        <v>#DIV/0!</v>
      </c>
      <c r="AM12" s="20" t="e">
        <f>data2!Q$85*1000*AM$9</f>
        <v>#DIV/0!</v>
      </c>
      <c r="AN12" s="20" t="e">
        <f>data2!R$85*1000*AN$9</f>
        <v>#DIV/0!</v>
      </c>
      <c r="AO12" s="20" t="e">
        <f>data2!S$85*1000*AO$9</f>
        <v>#DIV/0!</v>
      </c>
      <c r="AP12" s="20" t="e">
        <f>data2!T$85*1000*AP$9</f>
        <v>#DIV/0!</v>
      </c>
      <c r="AQ12" s="20" t="e">
        <f>data2!U$85*1000*AQ$9</f>
        <v>#DIV/0!</v>
      </c>
      <c r="AR12" s="20" t="e">
        <f>data2!V$85*1000*AR$9</f>
        <v>#DIV/0!</v>
      </c>
      <c r="AS12" s="20" t="e">
        <f>data2!W$85*1000*AS$9</f>
        <v>#DIV/0!</v>
      </c>
      <c r="AT12" s="20" t="e">
        <f>data2!X$85*1000*AT$9</f>
        <v>#DIV/0!</v>
      </c>
      <c r="AU12" s="20" t="e">
        <f>data2!Y$85*1000*AU$9</f>
        <v>#DIV/0!</v>
      </c>
      <c r="AV12" s="20" t="e">
        <f>data2!Z$85*1000*AV$9</f>
        <v>#DIV/0!</v>
      </c>
      <c r="AW12" s="20" t="e">
        <f>data2!AA$85*1000*AW$9</f>
        <v>#DIV/0!</v>
      </c>
      <c r="AX12" s="20" t="e">
        <f>data2!AB$85*1000*AX$9</f>
        <v>#DIV/0!</v>
      </c>
      <c r="AY12" s="20" t="e">
        <f>data2!AC$85*1000*AY$9</f>
        <v>#DIV/0!</v>
      </c>
      <c r="AZ12" s="20" t="e">
        <f>data2!AD$85*1000*AZ$9</f>
        <v>#DIV/0!</v>
      </c>
      <c r="BA12" s="20" t="e">
        <f>data2!AE$85*1000*BA$9</f>
        <v>#DIV/0!</v>
      </c>
      <c r="BB12" s="20" t="e">
        <f>data2!AF$85*1000*BB$9</f>
        <v>#DIV/0!</v>
      </c>
      <c r="BC12" s="20" t="e">
        <f>data2!AG$85*1000*BC$9</f>
        <v>#DIV/0!</v>
      </c>
    </row>
    <row r="13" spans="1:66">
      <c r="A13" s="21"/>
      <c r="B13" s="21"/>
      <c r="E13" s="105"/>
      <c r="F13" s="51" t="str">
        <f t="shared" si="26"/>
        <v>data</v>
      </c>
      <c r="G13" s="50">
        <f t="shared" si="26"/>
        <v>3</v>
      </c>
      <c r="H13" s="52" t="e">
        <f t="shared" si="27"/>
        <v>#DIV/0!</v>
      </c>
      <c r="I13" s="52" t="e">
        <f t="shared" si="17"/>
        <v>#DIV/0!</v>
      </c>
      <c r="J13" s="52" t="e">
        <f t="shared" si="18"/>
        <v>#DIV/0!</v>
      </c>
      <c r="K13" s="52" t="e">
        <f t="shared" si="19"/>
        <v>#DIV/0!</v>
      </c>
      <c r="L13" s="52" t="e">
        <f t="shared" si="20"/>
        <v>#DIV/0!</v>
      </c>
      <c r="M13" s="52" t="e">
        <f t="shared" si="21"/>
        <v>#DIV/0!</v>
      </c>
      <c r="N13" s="52" t="e">
        <f t="shared" si="22"/>
        <v>#DIV/0!</v>
      </c>
      <c r="O13" s="52" t="e">
        <f t="shared" si="23"/>
        <v>#DIV/0!</v>
      </c>
      <c r="P13" s="52" t="e">
        <f t="shared" si="24"/>
        <v>#DIV/0!</v>
      </c>
      <c r="Q13" s="52" t="e">
        <f t="shared" si="25"/>
        <v>#DIV/0!</v>
      </c>
      <c r="X13" s="20" t="e">
        <f>data3!B$85*1000*X$9</f>
        <v>#DIV/0!</v>
      </c>
      <c r="Y13" s="20" t="e">
        <f>data3!C$85*1000*Y$9</f>
        <v>#DIV/0!</v>
      </c>
      <c r="Z13" s="20" t="e">
        <f>data3!D$85*1000*Z$9</f>
        <v>#DIV/0!</v>
      </c>
      <c r="AA13" s="20" t="e">
        <f>data3!E$85*1000*AA$9</f>
        <v>#DIV/0!</v>
      </c>
      <c r="AB13" s="20" t="e">
        <f>data3!F$85*1000*AB$9</f>
        <v>#DIV/0!</v>
      </c>
      <c r="AC13" s="20" t="e">
        <f>data3!G$85*1000*AC$9</f>
        <v>#DIV/0!</v>
      </c>
      <c r="AD13" s="20" t="e">
        <f>data3!H$85*1000*AD$9</f>
        <v>#DIV/0!</v>
      </c>
      <c r="AE13" s="20" t="e">
        <f>data3!I$85*1000*AE$9</f>
        <v>#DIV/0!</v>
      </c>
      <c r="AF13" s="20" t="e">
        <f>data3!J$85*1000*AF$9</f>
        <v>#DIV/0!</v>
      </c>
      <c r="AG13" s="20" t="e">
        <f>data3!K$85*1000*AG$9</f>
        <v>#DIV/0!</v>
      </c>
      <c r="AH13" s="20" t="e">
        <f>data3!L$85*1000*AH$9</f>
        <v>#DIV/0!</v>
      </c>
      <c r="AI13" s="20" t="e">
        <f>data3!M$85*1000*AI$9</f>
        <v>#DIV/0!</v>
      </c>
      <c r="AJ13" s="20" t="e">
        <f>data3!N$85*1000*AJ$9</f>
        <v>#DIV/0!</v>
      </c>
      <c r="AK13" s="20" t="e">
        <f>data3!O$85*1000*AK$9</f>
        <v>#DIV/0!</v>
      </c>
      <c r="AL13" s="20" t="e">
        <f>data3!P$85*1000*AL$9</f>
        <v>#DIV/0!</v>
      </c>
      <c r="AM13" s="20" t="e">
        <f>data3!Q$85*1000*AM$9</f>
        <v>#DIV/0!</v>
      </c>
      <c r="AN13" s="20" t="e">
        <f>data3!R$85*1000*AN$9</f>
        <v>#DIV/0!</v>
      </c>
      <c r="AO13" s="20" t="e">
        <f>data3!S$85*1000*AO$9</f>
        <v>#DIV/0!</v>
      </c>
      <c r="AP13" s="20" t="e">
        <f>data3!T$85*1000*AP$9</f>
        <v>#DIV/0!</v>
      </c>
      <c r="AQ13" s="20" t="e">
        <f>data3!U$85*1000*AQ$9</f>
        <v>#DIV/0!</v>
      </c>
      <c r="AR13" s="20" t="e">
        <f>data3!V$85*1000*AR$9</f>
        <v>#DIV/0!</v>
      </c>
      <c r="AS13" s="20" t="e">
        <f>data3!W$85*1000*AS$9</f>
        <v>#DIV/0!</v>
      </c>
      <c r="AT13" s="20" t="e">
        <f>data3!X$85*1000*AT$9</f>
        <v>#DIV/0!</v>
      </c>
      <c r="AU13" s="20" t="e">
        <f>data3!Y$85*1000*AU$9</f>
        <v>#DIV/0!</v>
      </c>
      <c r="AV13" s="20" t="e">
        <f>data3!Z$85*1000*AV$9</f>
        <v>#DIV/0!</v>
      </c>
      <c r="AW13" s="20" t="e">
        <f>data3!AA$85*1000*AW$9</f>
        <v>#DIV/0!</v>
      </c>
      <c r="AX13" s="20" t="e">
        <f>data3!AB$85*1000*AX$9</f>
        <v>#DIV/0!</v>
      </c>
      <c r="AY13" s="20" t="e">
        <f>data3!AC$85*1000*AY$9</f>
        <v>#DIV/0!</v>
      </c>
      <c r="AZ13" s="20" t="e">
        <f>data3!AD$85*1000*AZ$9</f>
        <v>#DIV/0!</v>
      </c>
      <c r="BA13" s="20" t="e">
        <f>data3!AE$85*1000*BA$9</f>
        <v>#DIV/0!</v>
      </c>
      <c r="BB13" s="20" t="e">
        <f>data3!AF$85*1000*BB$9</f>
        <v>#DIV/0!</v>
      </c>
      <c r="BC13" s="20" t="e">
        <f>data3!AG$85*1000*BC$9</f>
        <v>#DIV/0!</v>
      </c>
    </row>
    <row r="14" spans="1:66">
      <c r="A14" s="21"/>
      <c r="B14" s="21"/>
      <c r="AO14" s="18"/>
      <c r="AP14" s="18"/>
      <c r="AQ14" s="18"/>
      <c r="AR14" s="18"/>
      <c r="AS14" s="18"/>
      <c r="AT14" s="18"/>
      <c r="AU14" s="18"/>
      <c r="AV14" s="18"/>
      <c r="AW14" s="18"/>
    </row>
    <row r="15" spans="1:66">
      <c r="AO15" s="18"/>
      <c r="AP15" s="18"/>
      <c r="AQ15" s="18"/>
      <c r="AR15" s="18"/>
      <c r="AS15" s="18"/>
      <c r="AT15" s="18"/>
      <c r="AU15" s="18"/>
      <c r="AV15" s="18"/>
      <c r="AW15" s="18"/>
      <c r="BF15" s="21"/>
      <c r="BG15" s="21"/>
      <c r="BH15" s="21"/>
      <c r="BI15" s="21"/>
      <c r="BJ15" s="21"/>
      <c r="BK15" s="21"/>
      <c r="BL15" s="21"/>
      <c r="BM15" s="21"/>
      <c r="BN15" s="21"/>
    </row>
    <row r="16" spans="1:66">
      <c r="D16" s="53"/>
      <c r="AO16" s="18"/>
      <c r="AP16" s="18"/>
      <c r="AQ16" s="18"/>
      <c r="AR16" s="18"/>
      <c r="AS16" s="18"/>
      <c r="AT16" s="18"/>
      <c r="AU16" s="18"/>
      <c r="AV16" s="18"/>
      <c r="AW16" s="18"/>
      <c r="BF16" s="21"/>
      <c r="BG16" s="21"/>
      <c r="BH16" s="21"/>
      <c r="BI16" s="21"/>
      <c r="BJ16" s="21"/>
      <c r="BK16" s="21"/>
      <c r="BL16" s="21"/>
      <c r="BM16" s="21"/>
      <c r="BN16" s="21"/>
    </row>
    <row r="17" spans="4:66">
      <c r="D17" s="53"/>
      <c r="E17" s="18" t="s">
        <v>5</v>
      </c>
      <c r="F17" s="23">
        <v>0.05</v>
      </c>
      <c r="H17" s="18" t="s">
        <v>6</v>
      </c>
      <c r="I17" s="18" t="s">
        <v>7</v>
      </c>
      <c r="J17" s="33" t="str">
        <f t="shared" ref="J17" si="28">H17</f>
        <v>Mean</v>
      </c>
      <c r="K17" s="33" t="str">
        <f t="shared" ref="K17" si="29">I17</f>
        <v>Stdev</v>
      </c>
      <c r="L17" s="33" t="str">
        <f t="shared" ref="L17" si="30">J17</f>
        <v>Mean</v>
      </c>
      <c r="M17" s="33" t="str">
        <f t="shared" ref="M17" si="31">K17</f>
        <v>Stdev</v>
      </c>
      <c r="N17" s="33" t="str">
        <f t="shared" ref="N17" si="32">L17</f>
        <v>Mean</v>
      </c>
      <c r="O17" s="33" t="str">
        <f t="shared" ref="O17" si="33">M17</f>
        <v>Stdev</v>
      </c>
      <c r="P17" s="33" t="str">
        <f t="shared" ref="P17" si="34">N17</f>
        <v>Mean</v>
      </c>
      <c r="Q17" s="33" t="str">
        <f t="shared" ref="Q17" si="35">O17</f>
        <v>Stdev</v>
      </c>
      <c r="AO17" s="18"/>
      <c r="AP17" s="18"/>
      <c r="AQ17" s="18"/>
      <c r="AR17" s="18"/>
      <c r="AS17" s="18"/>
      <c r="AT17" s="18"/>
      <c r="AU17" s="18"/>
      <c r="AV17" s="18"/>
      <c r="AW17" s="18"/>
      <c r="BF17" s="21"/>
      <c r="BG17" s="21"/>
      <c r="BH17" s="21"/>
      <c r="BI17" s="21"/>
      <c r="BJ17" s="21"/>
      <c r="BK17" s="21"/>
      <c r="BL17" s="21"/>
      <c r="BM17" s="21"/>
      <c r="BN17" s="21"/>
    </row>
    <row r="18" spans="4:66">
      <c r="D18" s="53"/>
      <c r="E18" s="18" t="str">
        <f>E4</f>
        <v>HI</v>
      </c>
      <c r="F18" s="51" t="s">
        <v>8</v>
      </c>
      <c r="G18" s="50">
        <v>0</v>
      </c>
      <c r="H18" s="12" t="e">
        <f>AVERAGE(X18:BC18)</f>
        <v>#VALUE!</v>
      </c>
      <c r="I18" s="12" t="e">
        <f>STDEV(X18:BC18)</f>
        <v>#VALUE!</v>
      </c>
      <c r="J18" s="12" t="e">
        <f>AVERAGE(X18:AE18)</f>
        <v>#VALUE!</v>
      </c>
      <c r="K18" s="12" t="e">
        <f>STDEV(X18:AE18)</f>
        <v>#VALUE!</v>
      </c>
      <c r="L18" s="12" t="e">
        <f>AVERAGE(AF18:AM18)</f>
        <v>#VALUE!</v>
      </c>
      <c r="M18" s="12" t="e">
        <f>STDEV(AF18:AM18)</f>
        <v>#VALUE!</v>
      </c>
      <c r="N18" s="12" t="e">
        <f>AVERAGE(AN18:AU18)</f>
        <v>#VALUE!</v>
      </c>
      <c r="O18" s="12" t="e">
        <f>STDEV(AN18:AU18)</f>
        <v>#VALUE!</v>
      </c>
      <c r="P18" s="12" t="e">
        <f>AVERAGE(AV18:BC18)</f>
        <v>#VALUE!</v>
      </c>
      <c r="Q18" s="12" t="e">
        <f>STDEV(AV18:BC18)</f>
        <v>#VALUE!</v>
      </c>
      <c r="R18" s="12"/>
      <c r="S18" s="12"/>
      <c r="T18" s="12"/>
      <c r="U18" s="12"/>
      <c r="V18" s="12"/>
      <c r="W18" s="12"/>
      <c r="X18" s="19" t="e">
        <f>transition(data0!$A$2:$A$82,data0!B$2:B$82,-(Calculations!$F17+relativePrx*X4))</f>
        <v>#VALUE!</v>
      </c>
      <c r="Y18" s="19" t="e">
        <f>transition(data0!$A$2:$A$82,data0!C$2:C$82,-(Calculations!$F17+relativePrx*Y4))</f>
        <v>#VALUE!</v>
      </c>
      <c r="Z18" s="19" t="e">
        <f>transition(data0!$A$2:$A$82,data0!D$2:D$82,-(Calculations!$F17+relativePrx*Z4))</f>
        <v>#VALUE!</v>
      </c>
      <c r="AA18" s="19" t="e">
        <f>transition(data0!$A$2:$A$82,data0!E$2:E$82,-(Calculations!$F17+relativePrx*AA4))</f>
        <v>#VALUE!</v>
      </c>
      <c r="AB18" s="19" t="e">
        <f>transition(data0!$A$2:$A$82,data0!F$2:F$82,-(Calculations!$F17+relativePrx*AB4))</f>
        <v>#VALUE!</v>
      </c>
      <c r="AC18" s="19" t="e">
        <f>transition(data0!$A$2:$A$82,data0!G$2:G$82,-(Calculations!$F17+relativePrx*AC4))</f>
        <v>#VALUE!</v>
      </c>
      <c r="AD18" s="19" t="e">
        <f>transition(data0!$A$2:$A$82,data0!H$2:H$82,-(Calculations!$F17+relativePrx*AD4))</f>
        <v>#VALUE!</v>
      </c>
      <c r="AE18" s="19" t="e">
        <f>transition(data0!$A$2:$A$82,data0!I$2:I$82,-(Calculations!$F17+relativePrx*AE4))</f>
        <v>#VALUE!</v>
      </c>
      <c r="AF18" s="19" t="e">
        <f>transition(data0!$A$2:$A$82,data0!J$2:J$82,-(Calculations!$F17+relativePrx*AF4))</f>
        <v>#VALUE!</v>
      </c>
      <c r="AG18" s="19" t="e">
        <f>transition(data0!$A$2:$A$82,data0!K$2:K$82,-(Calculations!$F17+relativePrx*AG4))</f>
        <v>#VALUE!</v>
      </c>
      <c r="AH18" s="19" t="e">
        <f>transition(data0!$A$2:$A$82,data0!L$2:L$82,-(Calculations!$F17+relativePrx*AH4))</f>
        <v>#VALUE!</v>
      </c>
      <c r="AI18" s="19" t="e">
        <f>transition(data0!$A$2:$A$82,data0!M$2:M$82,-(Calculations!$F17+relativePrx*AI4))</f>
        <v>#VALUE!</v>
      </c>
      <c r="AJ18" s="19" t="e">
        <f>transition(data0!$A$2:$A$82,data0!N$2:N$82,-(Calculations!$F17+relativePrx*AJ4))</f>
        <v>#VALUE!</v>
      </c>
      <c r="AK18" s="19" t="e">
        <f>transition(data0!$A$2:$A$82,data0!O$2:O$82,-(Calculations!$F17+relativePrx*AK4))</f>
        <v>#VALUE!</v>
      </c>
      <c r="AL18" s="19" t="e">
        <f>transition(data0!$A$2:$A$82,data0!P$2:P$82,-(Calculations!$F17+relativePrx*AL4))</f>
        <v>#VALUE!</v>
      </c>
      <c r="AM18" s="19" t="e">
        <f>transition(data0!$A$2:$A$82,data0!Q$2:Q$82,-(Calculations!$F17+relativePrx*AM4))</f>
        <v>#VALUE!</v>
      </c>
      <c r="AN18" s="19" t="e">
        <f>transition(data0!$A$2:$A$82,data0!R$2:R$82,-(Calculations!$F17+relativePrx*AN4))</f>
        <v>#VALUE!</v>
      </c>
      <c r="AO18" s="19" t="e">
        <f>transition(data0!$A$2:$A$82,data0!S$2:S$82,-(Calculations!$F17+relativePrx*AO4))</f>
        <v>#VALUE!</v>
      </c>
      <c r="AP18" s="19" t="e">
        <f>transition(data0!$A$2:$A$82,data0!T$2:T$82,-(Calculations!$F17+relativePrx*AP4))</f>
        <v>#VALUE!</v>
      </c>
      <c r="AQ18" s="19" t="e">
        <f>transition(data0!$A$2:$A$82,data0!U$2:U$82,-(Calculations!$F17+relativePrx*AQ4))</f>
        <v>#VALUE!</v>
      </c>
      <c r="AR18" s="19" t="e">
        <f>transition(data0!$A$2:$A$82,data0!V$2:V$82,-(Calculations!$F17+relativePrx*AR4))</f>
        <v>#VALUE!</v>
      </c>
      <c r="AS18" s="19" t="e">
        <f>transition(data0!$A$2:$A$82,data0!W$2:W$82,-(Calculations!$F17+relativePrx*AS4))</f>
        <v>#VALUE!</v>
      </c>
      <c r="AT18" s="19" t="e">
        <f>transition(data0!$A$2:$A$82,data0!X$2:X$82,-(Calculations!$F17+relativePrx*AT4))</f>
        <v>#VALUE!</v>
      </c>
      <c r="AU18" s="19" t="e">
        <f>transition(data0!$A$2:$A$82,data0!Y$2:Y$82,-(Calculations!$F17+relativePrx*AU4))</f>
        <v>#VALUE!</v>
      </c>
      <c r="AV18" s="19" t="e">
        <f>transition(data0!$A$2:$A$82,data0!Z$2:Z$82,-(Calculations!$F17+relativePrx*AV4))</f>
        <v>#VALUE!</v>
      </c>
      <c r="AW18" s="19" t="e">
        <f>transition(data0!$A$2:$A$82,data0!AA$2:AA$82,-(Calculations!$F17+relativePrx*AW4))</f>
        <v>#VALUE!</v>
      </c>
      <c r="AX18" s="19" t="e">
        <f>transition(data0!$A$2:$A$82,data0!AB$2:AB$82,-(Calculations!$F17+relativePrx*AX4))</f>
        <v>#VALUE!</v>
      </c>
      <c r="AY18" s="19" t="e">
        <f>transition(data0!$A$2:$A$82,data0!AC$2:AC$82,-(Calculations!$F17+relativePrx*AY4))</f>
        <v>#VALUE!</v>
      </c>
      <c r="AZ18" s="19" t="e">
        <f>transition(data0!$A$2:$A$82,data0!AD$2:AD$82,-(Calculations!$F17+relativePrx*AZ4))</f>
        <v>#VALUE!</v>
      </c>
      <c r="BA18" s="19" t="e">
        <f>transition(data0!$A$2:$A$82,data0!AE$2:AE$82,-(Calculations!$F17+relativePrx*BA4))</f>
        <v>#VALUE!</v>
      </c>
      <c r="BB18" s="19" t="e">
        <f>transition(data0!$A$2:$A$82,data0!AF$2:AF$82,-(Calculations!$F17+relativePrx*BB4))</f>
        <v>#VALUE!</v>
      </c>
      <c r="BC18" s="19" t="e">
        <f>transition(data0!$A$2:$A$82,data0!AG$2:AG$82,-(Calculations!$F17+relativePrx*BC4))</f>
        <v>#VALUE!</v>
      </c>
      <c r="BF18" s="21"/>
      <c r="BG18" s="21"/>
      <c r="BH18" s="21"/>
      <c r="BI18" s="21"/>
      <c r="BJ18" s="21"/>
      <c r="BK18" s="21"/>
      <c r="BL18" s="21"/>
      <c r="BM18" s="21"/>
      <c r="BN18" s="21"/>
    </row>
    <row r="19" spans="4:66">
      <c r="D19" s="53"/>
      <c r="E19" s="18" t="str">
        <f t="shared" ref="E19:E21" si="36">E5</f>
        <v>HI-MID</v>
      </c>
      <c r="F19" s="51" t="str">
        <f>F18</f>
        <v>data</v>
      </c>
      <c r="G19" s="50">
        <f>G18+1</f>
        <v>1</v>
      </c>
      <c r="H19" s="12" t="e">
        <f t="shared" ref="H19:H21" si="37">AVERAGE(X19:BC19)</f>
        <v>#VALUE!</v>
      </c>
      <c r="I19" s="12" t="e">
        <f t="shared" ref="I19:I21" si="38">STDEV(X19:BC19)</f>
        <v>#VALUE!</v>
      </c>
      <c r="J19" s="12" t="e">
        <f>AVERAGE(X19:AE19)</f>
        <v>#VALUE!</v>
      </c>
      <c r="K19" s="12" t="e">
        <f>STDEV(X19:AE19)</f>
        <v>#VALUE!</v>
      </c>
      <c r="L19" s="12" t="e">
        <f>AVERAGE(AF19:AM19)</f>
        <v>#VALUE!</v>
      </c>
      <c r="M19" s="12" t="e">
        <f>STDEV(AF19:AM19)</f>
        <v>#VALUE!</v>
      </c>
      <c r="N19" s="12" t="e">
        <f>AVERAGE(AN19:AU19)</f>
        <v>#VALUE!</v>
      </c>
      <c r="O19" s="12" t="e">
        <f>STDEV(AN19:AU19)</f>
        <v>#VALUE!</v>
      </c>
      <c r="P19" s="12" t="e">
        <f>AVERAGE(AV19:BC19)</f>
        <v>#VALUE!</v>
      </c>
      <c r="Q19" s="12" t="e">
        <f>STDEV(AV19:BC19)</f>
        <v>#VALUE!</v>
      </c>
      <c r="R19" s="12"/>
      <c r="S19" s="12"/>
      <c r="T19" s="12"/>
      <c r="U19" s="12"/>
      <c r="V19" s="12"/>
      <c r="W19" s="12"/>
      <c r="X19" s="19" t="e">
        <f>transition(data1!$A$2:$A$82,data1!B$2:B$182,-(Calculations!$F17+relativePrx*X5))</f>
        <v>#VALUE!</v>
      </c>
      <c r="Y19" s="19" t="e">
        <f>transition(data1!$A$2:$A$82,data1!C$2:C$182,-(Calculations!$F17+relativePrx*Y5))</f>
        <v>#VALUE!</v>
      </c>
      <c r="Z19" s="19" t="e">
        <f>transition(data1!$A$2:$A$82,data1!D$2:D$182,-(Calculations!$F17+relativePrx*Z5))</f>
        <v>#VALUE!</v>
      </c>
      <c r="AA19" s="19" t="e">
        <f>transition(data1!$A$2:$A$82,data1!E$2:E$182,-(Calculations!$F17+relativePrx*AA5))</f>
        <v>#VALUE!</v>
      </c>
      <c r="AB19" s="19" t="e">
        <f>transition(data1!$A$2:$A$82,data1!F$2:F$182,-(Calculations!$F17+relativePrx*AB5))</f>
        <v>#VALUE!</v>
      </c>
      <c r="AC19" s="19" t="e">
        <f>transition(data1!$A$2:$A$82,data1!G$2:G$182,-(Calculations!$F17+relativePrx*AC5))</f>
        <v>#VALUE!</v>
      </c>
      <c r="AD19" s="19" t="e">
        <f>transition(data1!$A$2:$A$82,data1!H$2:H$182,-(Calculations!$F17+relativePrx*AD5))</f>
        <v>#VALUE!</v>
      </c>
      <c r="AE19" s="19" t="e">
        <f>transition(data1!$A$2:$A$82,data1!I$2:I$182,-(Calculations!$F17+relativePrx*AE5))</f>
        <v>#VALUE!</v>
      </c>
      <c r="AF19" s="19" t="e">
        <f>transition(data1!$A$2:$A$82,data1!J$2:J$182,-(Calculations!$F17+relativePrx*AF5))</f>
        <v>#VALUE!</v>
      </c>
      <c r="AG19" s="19" t="e">
        <f>transition(data1!$A$2:$A$82,data1!K$2:K$182,-(Calculations!$F17+relativePrx*AG5))</f>
        <v>#VALUE!</v>
      </c>
      <c r="AH19" s="19" t="e">
        <f>transition(data1!$A$2:$A$82,data1!L$2:L$182,-(Calculations!$F17+relativePrx*AH5))</f>
        <v>#VALUE!</v>
      </c>
      <c r="AI19" s="19" t="e">
        <f>transition(data1!$A$2:$A$82,data1!M$2:M$182,-(Calculations!$F17+relativePrx*AI5))</f>
        <v>#VALUE!</v>
      </c>
      <c r="AJ19" s="19" t="e">
        <f>transition(data1!$A$2:$A$82,data1!N$2:N$182,-(Calculations!$F17+relativePrx*AJ5))</f>
        <v>#VALUE!</v>
      </c>
      <c r="AK19" s="19" t="e">
        <f>transition(data1!$A$2:$A$82,data1!O$2:O$182,-(Calculations!$F17+relativePrx*AK5))</f>
        <v>#VALUE!</v>
      </c>
      <c r="AL19" s="19" t="e">
        <f>transition(data1!$A$2:$A$82,data1!P$2:P$182,-(Calculations!$F17+relativePrx*AL5))</f>
        <v>#VALUE!</v>
      </c>
      <c r="AM19" s="19" t="e">
        <f>transition(data1!$A$2:$A$82,data1!Q$2:Q$182,-(Calculations!$F17+relativePrx*AM5))</f>
        <v>#VALUE!</v>
      </c>
      <c r="AN19" s="19" t="e">
        <f>transition(data1!$A$2:$A$82,data1!R$2:R$182,-(Calculations!$F17+relativePrx*AN5))</f>
        <v>#VALUE!</v>
      </c>
      <c r="AO19" s="19" t="e">
        <f>transition(data1!$A$2:$A$82,data1!S$2:S$182,-(Calculations!$F17+relativePrx*AO5))</f>
        <v>#VALUE!</v>
      </c>
      <c r="AP19" s="19" t="e">
        <f>transition(data1!$A$2:$A$82,data1!T$2:T$182,-(Calculations!$F17+relativePrx*AP5))</f>
        <v>#VALUE!</v>
      </c>
      <c r="AQ19" s="19" t="e">
        <f>transition(data1!$A$2:$A$82,data1!U$2:U$182,-(Calculations!$F17+relativePrx*AQ5))</f>
        <v>#VALUE!</v>
      </c>
      <c r="AR19" s="19" t="e">
        <f>transition(data1!$A$2:$A$82,data1!V$2:V$182,-(Calculations!$F17+relativePrx*AR5))</f>
        <v>#VALUE!</v>
      </c>
      <c r="AS19" s="19" t="e">
        <f>transition(data1!$A$2:$A$82,data1!W$2:W$182,-(Calculations!$F17+relativePrx*AS5))</f>
        <v>#VALUE!</v>
      </c>
      <c r="AT19" s="19" t="e">
        <f>transition(data1!$A$2:$A$82,data1!X$2:X$182,-(Calculations!$F17+relativePrx*AT5))</f>
        <v>#VALUE!</v>
      </c>
      <c r="AU19" s="19" t="e">
        <f>transition(data1!$A$2:$A$82,data1!Y$2:Y$182,-(Calculations!$F17+relativePrx*AU5))</f>
        <v>#VALUE!</v>
      </c>
      <c r="AV19" s="19" t="e">
        <f>transition(data1!$A$2:$A$82,data1!Z$2:Z$182,-(Calculations!$F17+relativePrx*AV5))</f>
        <v>#VALUE!</v>
      </c>
      <c r="AW19" s="19" t="e">
        <f>transition(data1!$A$2:$A$82,data1!AA$2:AA$182,-(Calculations!$F17+relativePrx*AW5))</f>
        <v>#VALUE!</v>
      </c>
      <c r="AX19" s="19" t="e">
        <f>transition(data1!$A$2:$A$82,data1!AB$2:AB$182,-(Calculations!$F17+relativePrx*AX5))</f>
        <v>#VALUE!</v>
      </c>
      <c r="AY19" s="19" t="e">
        <f>transition(data1!$A$2:$A$82,data1!AC$2:AC$182,-(Calculations!$F17+relativePrx*AY5))</f>
        <v>#VALUE!</v>
      </c>
      <c r="AZ19" s="19" t="e">
        <f>transition(data1!$A$2:$A$82,data1!AD$2:AD$182,-(Calculations!$F17+relativePrx*AZ5))</f>
        <v>#VALUE!</v>
      </c>
      <c r="BA19" s="19" t="e">
        <f>transition(data1!$A$2:$A$82,data1!AE$2:AE$182,-(Calculations!$F17+relativePrx*BA5))</f>
        <v>#VALUE!</v>
      </c>
      <c r="BB19" s="19" t="e">
        <f>transition(data1!$A$2:$A$82,data1!AF$2:AF$182,-(Calculations!$F17+relativePrx*BB5))</f>
        <v>#VALUE!</v>
      </c>
      <c r="BC19" s="19" t="e">
        <f>transition(data1!$A$2:$A$82,data1!AG$2:AG$182,-(Calculations!$F17+relativePrx*BC5))</f>
        <v>#VALUE!</v>
      </c>
      <c r="BF19" s="21"/>
      <c r="BG19" s="21"/>
      <c r="BH19" s="21"/>
      <c r="BI19" s="21"/>
      <c r="BJ19" s="21"/>
      <c r="BK19" s="21"/>
      <c r="BL19" s="21"/>
      <c r="BM19" s="21"/>
      <c r="BN19" s="21"/>
    </row>
    <row r="20" spans="4:66">
      <c r="D20" s="53"/>
      <c r="E20" s="18" t="str">
        <f t="shared" si="36"/>
        <v>LO-MID</v>
      </c>
      <c r="F20" s="51" t="str">
        <f t="shared" ref="F20:F21" si="39">F19</f>
        <v>data</v>
      </c>
      <c r="G20" s="50">
        <f t="shared" ref="G20:G21" si="40">G19+1</f>
        <v>2</v>
      </c>
      <c r="H20" s="12" t="e">
        <f t="shared" si="37"/>
        <v>#VALUE!</v>
      </c>
      <c r="I20" s="12" t="e">
        <f t="shared" si="38"/>
        <v>#VALUE!</v>
      </c>
      <c r="J20" s="12" t="e">
        <f t="shared" ref="J20:J21" si="41">AVERAGE(X20:AE20)</f>
        <v>#VALUE!</v>
      </c>
      <c r="K20" s="12" t="e">
        <f t="shared" ref="K20:K21" si="42">STDEV(X20:AE20)</f>
        <v>#VALUE!</v>
      </c>
      <c r="L20" s="12" t="e">
        <f t="shared" ref="L20:L21" si="43">AVERAGE(AF20:AM20)</f>
        <v>#VALUE!</v>
      </c>
      <c r="M20" s="12" t="e">
        <f t="shared" ref="M20:M21" si="44">STDEV(AF20:AM20)</f>
        <v>#VALUE!</v>
      </c>
      <c r="N20" s="12" t="e">
        <f t="shared" ref="N20:N21" si="45">AVERAGE(AN20:AU20)</f>
        <v>#VALUE!</v>
      </c>
      <c r="O20" s="12" t="e">
        <f t="shared" ref="O20:O21" si="46">STDEV(AN20:AU20)</f>
        <v>#VALUE!</v>
      </c>
      <c r="P20" s="12" t="e">
        <f t="shared" ref="P20:P21" si="47">AVERAGE(AV20:BC20)</f>
        <v>#VALUE!</v>
      </c>
      <c r="Q20" s="12" t="e">
        <f t="shared" ref="Q20:Q21" si="48">STDEV(AV20:BC20)</f>
        <v>#VALUE!</v>
      </c>
      <c r="R20" s="12"/>
      <c r="S20" s="12"/>
      <c r="T20" s="12"/>
      <c r="U20" s="12"/>
      <c r="V20" s="12"/>
      <c r="W20" s="12"/>
      <c r="X20" s="19" t="e">
        <f>transition(data2!$A$2:$A$82,data2!B$2:B$182,-(Calculations!$F17+relativePrx*X6))</f>
        <v>#VALUE!</v>
      </c>
      <c r="Y20" s="19" t="e">
        <f>transition(data2!$A$2:$A$82,data2!C$2:C$182,-(Calculations!$F17+relativePrx*Y6))</f>
        <v>#VALUE!</v>
      </c>
      <c r="Z20" s="19" t="e">
        <f>transition(data2!$A$2:$A$82,data2!D$2:D$182,-(Calculations!$F17+relativePrx*Z6))</f>
        <v>#VALUE!</v>
      </c>
      <c r="AA20" s="19" t="e">
        <f>transition(data2!$A$2:$A$82,data2!E$2:E$182,-(Calculations!$F17+relativePrx*AA6))</f>
        <v>#VALUE!</v>
      </c>
      <c r="AB20" s="19" t="e">
        <f>transition(data2!$A$2:$A$82,data2!F$2:F$182,-(Calculations!$F17+relativePrx*AB6))</f>
        <v>#VALUE!</v>
      </c>
      <c r="AC20" s="19" t="e">
        <f>transition(data2!$A$2:$A$82,data2!G$2:G$182,-(Calculations!$F17+relativePrx*AC6))</f>
        <v>#VALUE!</v>
      </c>
      <c r="AD20" s="19" t="e">
        <f>transition(data2!$A$2:$A$82,data2!H$2:H$182,-(Calculations!$F17+relativePrx*AD6))</f>
        <v>#VALUE!</v>
      </c>
      <c r="AE20" s="19" t="e">
        <f>transition(data2!$A$2:$A$82,data2!I$2:I$182,-(Calculations!$F17+relativePrx*AE6))</f>
        <v>#VALUE!</v>
      </c>
      <c r="AF20" s="19" t="e">
        <f>transition(data2!$A$2:$A$82,data2!J$2:J$182,-(Calculations!$F17+relativePrx*AF6))</f>
        <v>#VALUE!</v>
      </c>
      <c r="AG20" s="19" t="e">
        <f>transition(data2!$A$2:$A$82,data2!K$2:K$182,-(Calculations!$F17+relativePrx*AG6))</f>
        <v>#VALUE!</v>
      </c>
      <c r="AH20" s="19" t="e">
        <f>transition(data2!$A$2:$A$82,data2!L$2:L$182,-(Calculations!$F17+relativePrx*AH6))</f>
        <v>#VALUE!</v>
      </c>
      <c r="AI20" s="19" t="e">
        <f>transition(data2!$A$2:$A$82,data2!M$2:M$182,-(Calculations!$F17+relativePrx*AI6))</f>
        <v>#VALUE!</v>
      </c>
      <c r="AJ20" s="19" t="e">
        <f>transition(data2!$A$2:$A$82,data2!N$2:N$182,-(Calculations!$F17+relativePrx*AJ6))</f>
        <v>#VALUE!</v>
      </c>
      <c r="AK20" s="19" t="e">
        <f>transition(data2!$A$2:$A$82,data2!O$2:O$182,-(Calculations!$F17+relativePrx*AK6))</f>
        <v>#VALUE!</v>
      </c>
      <c r="AL20" s="19" t="e">
        <f>transition(data2!$A$2:$A$82,data2!P$2:P$182,-(Calculations!$F17+relativePrx*AL6))</f>
        <v>#VALUE!</v>
      </c>
      <c r="AM20" s="19" t="e">
        <f>transition(data2!$A$2:$A$82,data2!Q$2:Q$182,-(Calculations!$F17+relativePrx*AM6))</f>
        <v>#VALUE!</v>
      </c>
      <c r="AN20" s="19" t="e">
        <f>transition(data2!$A$2:$A$82,data2!R$2:R$182,-(Calculations!$F17+relativePrx*AN6))</f>
        <v>#VALUE!</v>
      </c>
      <c r="AO20" s="19" t="e">
        <f>transition(data2!$A$2:$A$82,data2!S$2:S$182,-(Calculations!$F17+relativePrx*AO6))</f>
        <v>#VALUE!</v>
      </c>
      <c r="AP20" s="19" t="e">
        <f>transition(data2!$A$2:$A$82,data2!T$2:T$182,-(Calculations!$F17+relativePrx*AP6))</f>
        <v>#VALUE!</v>
      </c>
      <c r="AQ20" s="19" t="e">
        <f>transition(data2!$A$2:$A$82,data2!U$2:U$182,-(Calculations!$F17+relativePrx*AQ6))</f>
        <v>#VALUE!</v>
      </c>
      <c r="AR20" s="19" t="e">
        <f>transition(data2!$A$2:$A$82,data2!V$2:V$182,-(Calculations!$F17+relativePrx*AR6))</f>
        <v>#VALUE!</v>
      </c>
      <c r="AS20" s="19" t="e">
        <f>transition(data2!$A$2:$A$82,data2!W$2:W$182,-(Calculations!$F17+relativePrx*AS6))</f>
        <v>#VALUE!</v>
      </c>
      <c r="AT20" s="19" t="e">
        <f>transition(data2!$A$2:$A$82,data2!X$2:X$182,-(Calculations!$F17+relativePrx*AT6))</f>
        <v>#VALUE!</v>
      </c>
      <c r="AU20" s="19" t="e">
        <f>transition(data2!$A$2:$A$82,data2!Y$2:Y$182,-(Calculations!$F17+relativePrx*AU6))</f>
        <v>#VALUE!</v>
      </c>
      <c r="AV20" s="19" t="e">
        <f>transition(data2!$A$2:$A$82,data2!Z$2:Z$182,-(Calculations!$F17+relativePrx*AV6))</f>
        <v>#VALUE!</v>
      </c>
      <c r="AW20" s="19" t="e">
        <f>transition(data2!$A$2:$A$82,data2!AA$2:AA$182,-(Calculations!$F17+relativePrx*AW6))</f>
        <v>#VALUE!</v>
      </c>
      <c r="AX20" s="19" t="e">
        <f>transition(data2!$A$2:$A$82,data2!AB$2:AB$182,-(Calculations!$F17+relativePrx*AX6))</f>
        <v>#VALUE!</v>
      </c>
      <c r="AY20" s="19" t="e">
        <f>transition(data2!$A$2:$A$82,data2!AC$2:AC$182,-(Calculations!$F17+relativePrx*AY6))</f>
        <v>#VALUE!</v>
      </c>
      <c r="AZ20" s="19" t="e">
        <f>transition(data2!$A$2:$A$82,data2!AD$2:AD$182,-(Calculations!$F17+relativePrx*AZ6))</f>
        <v>#VALUE!</v>
      </c>
      <c r="BA20" s="19" t="e">
        <f>transition(data2!$A$2:$A$82,data2!AE$2:AE$182,-(Calculations!$F17+relativePrx*BA6))</f>
        <v>#VALUE!</v>
      </c>
      <c r="BB20" s="19" t="e">
        <f>transition(data2!$A$2:$A$82,data2!AF$2:AF$182,-(Calculations!$F17+relativePrx*BB6))</f>
        <v>#VALUE!</v>
      </c>
      <c r="BC20" s="19" t="e">
        <f>transition(data2!$A$2:$A$82,data2!AG$2:AG$182,-(Calculations!$F17+relativePrx*BC6))</f>
        <v>#VALUE!</v>
      </c>
      <c r="BF20" s="21"/>
      <c r="BG20" s="21"/>
      <c r="BH20" s="21"/>
      <c r="BI20" s="21"/>
      <c r="BJ20" s="21"/>
      <c r="BK20" s="21"/>
      <c r="BL20" s="21"/>
      <c r="BM20" s="21"/>
      <c r="BN20" s="21"/>
    </row>
    <row r="21" spans="4:66">
      <c r="D21" s="53"/>
      <c r="E21" s="18" t="str">
        <f t="shared" si="36"/>
        <v>LO</v>
      </c>
      <c r="F21" s="51" t="str">
        <f t="shared" si="39"/>
        <v>data</v>
      </c>
      <c r="G21" s="50">
        <f t="shared" si="40"/>
        <v>3</v>
      </c>
      <c r="H21" s="12" t="e">
        <f t="shared" si="37"/>
        <v>#VALUE!</v>
      </c>
      <c r="I21" s="12" t="e">
        <f t="shared" si="38"/>
        <v>#VALUE!</v>
      </c>
      <c r="J21" s="12" t="e">
        <f t="shared" si="41"/>
        <v>#VALUE!</v>
      </c>
      <c r="K21" s="12" t="e">
        <f t="shared" si="42"/>
        <v>#VALUE!</v>
      </c>
      <c r="L21" s="12" t="e">
        <f t="shared" si="43"/>
        <v>#VALUE!</v>
      </c>
      <c r="M21" s="12" t="e">
        <f t="shared" si="44"/>
        <v>#VALUE!</v>
      </c>
      <c r="N21" s="12" t="e">
        <f t="shared" si="45"/>
        <v>#VALUE!</v>
      </c>
      <c r="O21" s="12" t="e">
        <f t="shared" si="46"/>
        <v>#VALUE!</v>
      </c>
      <c r="P21" s="12" t="e">
        <f t="shared" si="47"/>
        <v>#VALUE!</v>
      </c>
      <c r="Q21" s="12" t="e">
        <f t="shared" si="48"/>
        <v>#VALUE!</v>
      </c>
      <c r="R21" s="12"/>
      <c r="S21" s="12"/>
      <c r="T21" s="12"/>
      <c r="U21" s="12"/>
      <c r="V21" s="12"/>
      <c r="W21" s="12"/>
      <c r="X21" s="19" t="e">
        <f>transition(data3!$A$2:$A$82,data3!B$2:B$182,-(Calculations!$F17+relativePrx*X7))</f>
        <v>#VALUE!</v>
      </c>
      <c r="Y21" s="19" t="e">
        <f>transition(data3!$A$2:$A$82,data3!C$2:C$182,-(Calculations!$F17+relativePrx*Y7))</f>
        <v>#VALUE!</v>
      </c>
      <c r="Z21" s="19" t="e">
        <f>transition(data3!$A$2:$A$82,data3!D$2:D$182,-(Calculations!$F17+relativePrx*Z7))</f>
        <v>#VALUE!</v>
      </c>
      <c r="AA21" s="19" t="e">
        <f>transition(data3!$A$2:$A$82,data3!E$2:E$182,-(Calculations!$F17+relativePrx*AA7))</f>
        <v>#VALUE!</v>
      </c>
      <c r="AB21" s="19" t="e">
        <f>transition(data3!$A$2:$A$82,data3!F$2:F$182,-(Calculations!$F17+relativePrx*AB7))</f>
        <v>#VALUE!</v>
      </c>
      <c r="AC21" s="19" t="e">
        <f>transition(data3!$A$2:$A$82,data3!G$2:G$182,-(Calculations!$F17+relativePrx*AC7))</f>
        <v>#VALUE!</v>
      </c>
      <c r="AD21" s="19" t="e">
        <f>transition(data3!$A$2:$A$82,data3!H$2:H$182,-(Calculations!$F17+relativePrx*AD7))</f>
        <v>#VALUE!</v>
      </c>
      <c r="AE21" s="19" t="e">
        <f>transition(data3!$A$2:$A$82,data3!I$2:I$182,-(Calculations!$F17+relativePrx*AE7))</f>
        <v>#VALUE!</v>
      </c>
      <c r="AF21" s="19" t="e">
        <f>transition(data3!$A$2:$A$82,data3!J$2:J$182,-(Calculations!$F17+relativePrx*AF7))</f>
        <v>#VALUE!</v>
      </c>
      <c r="AG21" s="19" t="e">
        <f>transition(data3!$A$2:$A$82,data3!K$2:K$182,-(Calculations!$F17+relativePrx*AG7))</f>
        <v>#VALUE!</v>
      </c>
      <c r="AH21" s="19" t="e">
        <f>transition(data3!$A$2:$A$82,data3!L$2:L$182,-(Calculations!$F17+relativePrx*AH7))</f>
        <v>#VALUE!</v>
      </c>
      <c r="AI21" s="19" t="e">
        <f>transition(data3!$A$2:$A$82,data3!M$2:M$182,-(Calculations!$F17+relativePrx*AI7))</f>
        <v>#VALUE!</v>
      </c>
      <c r="AJ21" s="19" t="e">
        <f>transition(data3!$A$2:$A$82,data3!N$2:N$182,-(Calculations!$F17+relativePrx*AJ7))</f>
        <v>#VALUE!</v>
      </c>
      <c r="AK21" s="19" t="e">
        <f>transition(data3!$A$2:$A$82,data3!O$2:O$182,-(Calculations!$F17+relativePrx*AK7))</f>
        <v>#VALUE!</v>
      </c>
      <c r="AL21" s="19" t="e">
        <f>transition(data3!$A$2:$A$82,data3!P$2:P$182,-(Calculations!$F17+relativePrx*AL7))</f>
        <v>#VALUE!</v>
      </c>
      <c r="AM21" s="19" t="e">
        <f>transition(data3!$A$2:$A$82,data3!Q$2:Q$182,-(Calculations!$F17+relativePrx*AM7))</f>
        <v>#VALUE!</v>
      </c>
      <c r="AN21" s="19" t="e">
        <f>transition(data3!$A$2:$A$82,data3!R$2:R$182,-(Calculations!$F17+relativePrx*AN7))</f>
        <v>#VALUE!</v>
      </c>
      <c r="AO21" s="19" t="e">
        <f>transition(data3!$A$2:$A$82,data3!S$2:S$182,-(Calculations!$F17+relativePrx*AO7))</f>
        <v>#VALUE!</v>
      </c>
      <c r="AP21" s="19" t="e">
        <f>transition(data3!$A$2:$A$82,data3!T$2:T$182,-(Calculations!$F17+relativePrx*AP7))</f>
        <v>#VALUE!</v>
      </c>
      <c r="AQ21" s="19" t="e">
        <f>transition(data3!$A$2:$A$82,data3!U$2:U$182,-(Calculations!$F17+relativePrx*AQ7))</f>
        <v>#VALUE!</v>
      </c>
      <c r="AR21" s="19" t="e">
        <f>transition(data3!$A$2:$A$82,data3!V$2:V$182,-(Calculations!$F17+relativePrx*AR7))</f>
        <v>#VALUE!</v>
      </c>
      <c r="AS21" s="19" t="e">
        <f>transition(data3!$A$2:$A$82,data3!W$2:W$182,-(Calculations!$F17+relativePrx*AS7))</f>
        <v>#VALUE!</v>
      </c>
      <c r="AT21" s="19" t="e">
        <f>transition(data3!$A$2:$A$82,data3!X$2:X$182,-(Calculations!$F17+relativePrx*AT7))</f>
        <v>#VALUE!</v>
      </c>
      <c r="AU21" s="19" t="e">
        <f>transition(data3!$A$2:$A$82,data3!Y$2:Y$182,-(Calculations!$F17+relativePrx*AU7))</f>
        <v>#VALUE!</v>
      </c>
      <c r="AV21" s="19" t="e">
        <f>transition(data3!$A$2:$A$82,data3!Z$2:Z$182,-(Calculations!$F17+relativePrx*AV7))</f>
        <v>#VALUE!</v>
      </c>
      <c r="AW21" s="19" t="e">
        <f>transition(data3!$A$2:$A$82,data3!AA$2:AA$182,-(Calculations!$F17+relativePrx*AW7))</f>
        <v>#VALUE!</v>
      </c>
      <c r="AX21" s="19" t="e">
        <f>transition(data3!$A$2:$A$82,data3!AB$2:AB$182,-(Calculations!$F17+relativePrx*AX7))</f>
        <v>#VALUE!</v>
      </c>
      <c r="AY21" s="19" t="e">
        <f>transition(data3!$A$2:$A$82,data3!AC$2:AC$182,-(Calculations!$F17+relativePrx*AY7))</f>
        <v>#VALUE!</v>
      </c>
      <c r="AZ21" s="19" t="e">
        <f>transition(data3!$A$2:$A$82,data3!AD$2:AD$182,-(Calculations!$F17+relativePrx*AZ7))</f>
        <v>#VALUE!</v>
      </c>
      <c r="BA21" s="19" t="e">
        <f>transition(data3!$A$2:$A$82,data3!AE$2:AE$182,-(Calculations!$F17+relativePrx*BA7))</f>
        <v>#VALUE!</v>
      </c>
      <c r="BB21" s="19" t="e">
        <f>transition(data3!$A$2:$A$82,data3!AF$2:AF$182,-(Calculations!$F17+relativePrx*BB7))</f>
        <v>#VALUE!</v>
      </c>
      <c r="BC21" s="19" t="e">
        <f>transition(data3!$A$2:$A$82,data3!AG$2:AG$182,-(Calculations!$F17+relativePrx*BC7))</f>
        <v>#VALUE!</v>
      </c>
      <c r="BF21" s="21"/>
      <c r="BG21" s="21"/>
      <c r="BH21" s="21"/>
      <c r="BI21" s="21"/>
      <c r="BJ21" s="21"/>
      <c r="BK21" s="21"/>
      <c r="BL21" s="21"/>
      <c r="BM21" s="21"/>
      <c r="BN21" s="21"/>
    </row>
    <row r="22" spans="4:66">
      <c r="D22" s="53"/>
      <c r="AO22" s="18"/>
      <c r="AP22" s="18"/>
      <c r="AQ22" s="18"/>
      <c r="AR22" s="18"/>
      <c r="AS22" s="18"/>
      <c r="AT22" s="18"/>
      <c r="AU22" s="18"/>
      <c r="AV22" s="18"/>
      <c r="AW22" s="18"/>
      <c r="BF22" s="21"/>
      <c r="BG22" s="21"/>
      <c r="BH22" s="21"/>
      <c r="BI22" s="21"/>
      <c r="BJ22" s="21"/>
      <c r="BK22" s="21"/>
      <c r="BL22" s="21"/>
      <c r="BM22" s="21"/>
      <c r="BN22" s="21"/>
    </row>
    <row r="23" spans="4:66">
      <c r="D23" s="53"/>
      <c r="E23" s="18" t="s">
        <v>5</v>
      </c>
      <c r="F23" s="23">
        <f>F17*2</f>
        <v>0.1</v>
      </c>
      <c r="H23" s="18" t="s">
        <v>6</v>
      </c>
      <c r="I23" s="18" t="s">
        <v>7</v>
      </c>
      <c r="J23" s="33" t="str">
        <f t="shared" ref="J23:Q23" si="49">H23</f>
        <v>Mean</v>
      </c>
      <c r="K23" s="33" t="str">
        <f t="shared" si="49"/>
        <v>Stdev</v>
      </c>
      <c r="L23" s="33" t="str">
        <f t="shared" si="49"/>
        <v>Mean</v>
      </c>
      <c r="M23" s="33" t="str">
        <f t="shared" si="49"/>
        <v>Stdev</v>
      </c>
      <c r="N23" s="33" t="str">
        <f t="shared" si="49"/>
        <v>Mean</v>
      </c>
      <c r="O23" s="33" t="str">
        <f t="shared" si="49"/>
        <v>Stdev</v>
      </c>
      <c r="P23" s="33" t="str">
        <f t="shared" si="49"/>
        <v>Mean</v>
      </c>
      <c r="Q23" s="33" t="str">
        <f t="shared" si="49"/>
        <v>Stdev</v>
      </c>
      <c r="AO23" s="18"/>
      <c r="AP23" s="18"/>
      <c r="AQ23" s="18"/>
      <c r="AR23" s="18"/>
      <c r="AS23" s="18"/>
      <c r="AT23" s="18"/>
      <c r="AU23" s="18"/>
      <c r="AV23" s="18"/>
      <c r="AW23" s="18"/>
    </row>
    <row r="24" spans="4:66">
      <c r="D24" s="53"/>
      <c r="E24" s="18" t="str">
        <f>E4</f>
        <v>HI</v>
      </c>
      <c r="F24" s="51" t="s">
        <v>8</v>
      </c>
      <c r="G24" s="50">
        <v>0</v>
      </c>
      <c r="H24" s="12" t="e">
        <f>AVERAGE(X24:BC24)</f>
        <v>#VALUE!</v>
      </c>
      <c r="I24" s="12" t="e">
        <f>STDEV(X24:BC24)</f>
        <v>#VALUE!</v>
      </c>
      <c r="J24" s="12" t="e">
        <f>AVERAGE(X24:AE24)</f>
        <v>#VALUE!</v>
      </c>
      <c r="K24" s="12" t="e">
        <f>STDEV(X24:AE24)</f>
        <v>#VALUE!</v>
      </c>
      <c r="L24" s="12" t="e">
        <f>AVERAGE(AF24:AM24)</f>
        <v>#VALUE!</v>
      </c>
      <c r="M24" s="12" t="e">
        <f>STDEV(AF24:AM24)</f>
        <v>#VALUE!</v>
      </c>
      <c r="N24" s="12" t="e">
        <f>AVERAGE(AN24:AU24)</f>
        <v>#VALUE!</v>
      </c>
      <c r="O24" s="12" t="e">
        <f>STDEV(AN24:AU24)</f>
        <v>#VALUE!</v>
      </c>
      <c r="P24" s="12" t="e">
        <f>AVERAGE(AV24:BC24)</f>
        <v>#VALUE!</v>
      </c>
      <c r="Q24" s="12" t="e">
        <f>STDEV(AV24:BC24)</f>
        <v>#VALUE!</v>
      </c>
      <c r="R24" s="12"/>
      <c r="S24" s="12"/>
      <c r="T24" s="12"/>
      <c r="U24" s="12"/>
      <c r="V24" s="12"/>
      <c r="W24" s="12"/>
      <c r="X24" s="19" t="e">
        <f>transition(data0!$A$2:$A$82,data0!B$2:B$82,-(Calculations!$F23+relativePrx*X4))</f>
        <v>#VALUE!</v>
      </c>
      <c r="Y24" s="19" t="e">
        <f>transition(data0!$A$2:$A$82,data0!C$2:C$82,-(Calculations!$F23+relativePrx*Y4))</f>
        <v>#VALUE!</v>
      </c>
      <c r="Z24" s="19" t="e">
        <f>transition(data0!$A$2:$A$82,data0!D$2:D$82,-(Calculations!$F23+relativePrx*Z4))</f>
        <v>#VALUE!</v>
      </c>
      <c r="AA24" s="19" t="e">
        <f>transition(data0!$A$2:$A$82,data0!E$2:E$82,-(Calculations!$F23+relativePrx*AA4))</f>
        <v>#VALUE!</v>
      </c>
      <c r="AB24" s="19" t="e">
        <f>transition(data0!$A$2:$A$82,data0!F$2:F$82,-(Calculations!$F23+relativePrx*AB4))</f>
        <v>#VALUE!</v>
      </c>
      <c r="AC24" s="19" t="e">
        <f>transition(data0!$A$2:$A$82,data0!G$2:G$82,-(Calculations!$F23+relativePrx*AC4))</f>
        <v>#VALUE!</v>
      </c>
      <c r="AD24" s="19" t="e">
        <f>transition(data0!$A$2:$A$82,data0!H$2:H$82,-(Calculations!$F23+relativePrx*AD4))</f>
        <v>#VALUE!</v>
      </c>
      <c r="AE24" s="19" t="e">
        <f>transition(data0!$A$2:$A$82,data0!I$2:I$82,-(Calculations!$F23+relativePrx*AE4))</f>
        <v>#VALUE!</v>
      </c>
      <c r="AF24" s="19" t="e">
        <f>transition(data0!$A$2:$A$82,data0!J$2:J$82,-(Calculations!$F23+relativePrx*AF4))</f>
        <v>#VALUE!</v>
      </c>
      <c r="AG24" s="19" t="e">
        <f>transition(data0!$A$2:$A$82,data0!K$2:K$82,-(Calculations!$F23+relativePrx*AG4))</f>
        <v>#VALUE!</v>
      </c>
      <c r="AH24" s="19" t="e">
        <f>transition(data0!$A$2:$A$82,data0!L$2:L$82,-(Calculations!$F23+relativePrx*AH4))</f>
        <v>#VALUE!</v>
      </c>
      <c r="AI24" s="19" t="e">
        <f>transition(data0!$A$2:$A$82,data0!M$2:M$82,-(Calculations!$F23+relativePrx*AI4))</f>
        <v>#VALUE!</v>
      </c>
      <c r="AJ24" s="19" t="e">
        <f>transition(data0!$A$2:$A$82,data0!N$2:N$82,-(Calculations!$F23+relativePrx*AJ4))</f>
        <v>#VALUE!</v>
      </c>
      <c r="AK24" s="19" t="e">
        <f>transition(data0!$A$2:$A$82,data0!O$2:O$82,-(Calculations!$F23+relativePrx*AK4))</f>
        <v>#VALUE!</v>
      </c>
      <c r="AL24" s="19" t="e">
        <f>transition(data0!$A$2:$A$82,data0!P$2:P$82,-(Calculations!$F23+relativePrx*AL4))</f>
        <v>#VALUE!</v>
      </c>
      <c r="AM24" s="19" t="e">
        <f>transition(data0!$A$2:$A$82,data0!Q$2:Q$82,-(Calculations!$F23+relativePrx*AM4))</f>
        <v>#VALUE!</v>
      </c>
      <c r="AN24" s="19" t="e">
        <f>transition(data0!$A$2:$A$82,data0!R$2:R$82,-(Calculations!$F23+relativePrx*AN4))</f>
        <v>#VALUE!</v>
      </c>
      <c r="AO24" s="19" t="e">
        <f>transition(data0!$A$2:$A$82,data0!S$2:S$82,-(Calculations!$F23+relativePrx*AO4))</f>
        <v>#VALUE!</v>
      </c>
      <c r="AP24" s="19" t="e">
        <f>transition(data0!$A$2:$A$82,data0!T$2:T$82,-(Calculations!$F23+relativePrx*AP4))</f>
        <v>#VALUE!</v>
      </c>
      <c r="AQ24" s="19" t="e">
        <f>transition(data0!$A$2:$A$82,data0!U$2:U$82,-(Calculations!$F23+relativePrx*AQ4))</f>
        <v>#VALUE!</v>
      </c>
      <c r="AR24" s="19" t="e">
        <f>transition(data0!$A$2:$A$82,data0!V$2:V$82,-(Calculations!$F23+relativePrx*AR4))</f>
        <v>#VALUE!</v>
      </c>
      <c r="AS24" s="19" t="e">
        <f>transition(data0!$A$2:$A$82,data0!W$2:W$82,-(Calculations!$F23+relativePrx*AS4))</f>
        <v>#VALUE!</v>
      </c>
      <c r="AT24" s="19" t="e">
        <f>transition(data0!$A$2:$A$82,data0!X$2:X$82,-(Calculations!$F23+relativePrx*AT4))</f>
        <v>#VALUE!</v>
      </c>
      <c r="AU24" s="19" t="e">
        <f>transition(data0!$A$2:$A$82,data0!Y$2:Y$82,-(Calculations!$F23+relativePrx*AU4))</f>
        <v>#VALUE!</v>
      </c>
      <c r="AV24" s="19" t="e">
        <f>transition(data0!$A$2:$A$82,data0!Z$2:Z$82,-(Calculations!$F23+relativePrx*AV4))</f>
        <v>#VALUE!</v>
      </c>
      <c r="AW24" s="19" t="e">
        <f>transition(data0!$A$2:$A$82,data0!AA$2:AA$82,-(Calculations!$F23+relativePrx*AW4))</f>
        <v>#VALUE!</v>
      </c>
      <c r="AX24" s="19" t="e">
        <f>transition(data0!$A$2:$A$82,data0!AB$2:AB$82,-(Calculations!$F23+relativePrx*AX4))</f>
        <v>#VALUE!</v>
      </c>
      <c r="AY24" s="19" t="e">
        <f>transition(data0!$A$2:$A$82,data0!AC$2:AC$82,-(Calculations!$F23+relativePrx*AY4))</f>
        <v>#VALUE!</v>
      </c>
      <c r="AZ24" s="19" t="e">
        <f>transition(data0!$A$2:$A$82,data0!AD$2:AD$82,-(Calculations!$F23+relativePrx*AZ4))</f>
        <v>#VALUE!</v>
      </c>
      <c r="BA24" s="19" t="e">
        <f>transition(data0!$A$2:$A$82,data0!AE$2:AE$82,-(Calculations!$F23+relativePrx*BA4))</f>
        <v>#VALUE!</v>
      </c>
      <c r="BB24" s="19" t="e">
        <f>transition(data0!$A$2:$A$82,data0!AF$2:AF$82,-(Calculations!$F23+relativePrx*BB4))</f>
        <v>#VALUE!</v>
      </c>
      <c r="BC24" s="19" t="e">
        <f>transition(data0!$A$2:$A$82,data0!AG$2:AG$82,-(Calculations!$F23+relativePrx*BC4))</f>
        <v>#VALUE!</v>
      </c>
    </row>
    <row r="25" spans="4:66">
      <c r="D25" s="53"/>
      <c r="E25" s="18" t="str">
        <f t="shared" ref="E25:E27" si="50">E5</f>
        <v>HI-MID</v>
      </c>
      <c r="F25" s="51" t="str">
        <f>F24</f>
        <v>data</v>
      </c>
      <c r="G25" s="50">
        <f>G24+1</f>
        <v>1</v>
      </c>
      <c r="H25" s="12" t="e">
        <f t="shared" ref="H25" si="51">AVERAGE(X25:BC25)</f>
        <v>#VALUE!</v>
      </c>
      <c r="I25" s="12" t="e">
        <f t="shared" ref="I25" si="52">STDEV(X25:BC25)</f>
        <v>#VALUE!</v>
      </c>
      <c r="J25" s="12" t="e">
        <f>AVERAGE(X25:AE25)</f>
        <v>#VALUE!</v>
      </c>
      <c r="K25" s="12" t="e">
        <f>STDEV(X25:AE25)</f>
        <v>#VALUE!</v>
      </c>
      <c r="L25" s="12" t="e">
        <f>AVERAGE(AF25:AM25)</f>
        <v>#VALUE!</v>
      </c>
      <c r="M25" s="12" t="e">
        <f>STDEV(AF25:AM25)</f>
        <v>#VALUE!</v>
      </c>
      <c r="N25" s="12" t="e">
        <f>AVERAGE(AN25:AU25)</f>
        <v>#VALUE!</v>
      </c>
      <c r="O25" s="12" t="e">
        <f>STDEV(AN25:AU25)</f>
        <v>#VALUE!</v>
      </c>
      <c r="P25" s="12" t="e">
        <f>AVERAGE(AV25:BC25)</f>
        <v>#VALUE!</v>
      </c>
      <c r="Q25" s="12" t="e">
        <f>STDEV(AV25:BC25)</f>
        <v>#VALUE!</v>
      </c>
      <c r="R25" s="12"/>
      <c r="S25" s="12"/>
      <c r="T25" s="12"/>
      <c r="U25" s="12"/>
      <c r="V25" s="12"/>
      <c r="W25" s="12"/>
      <c r="X25" s="19" t="e">
        <f>transition(data1!$A$2:$A$82,data1!B$2:B$182,-(Calculations!$F23+relativePrx*X5))</f>
        <v>#VALUE!</v>
      </c>
      <c r="Y25" s="19" t="e">
        <f>transition(data1!$A$2:$A$82,data1!C$2:C$182,-(Calculations!$F23+relativePrx*Y5))</f>
        <v>#VALUE!</v>
      </c>
      <c r="Z25" s="19" t="e">
        <f>transition(data1!$A$2:$A$82,data1!D$2:D$182,-(Calculations!$F23+relativePrx*Z5))</f>
        <v>#VALUE!</v>
      </c>
      <c r="AA25" s="19" t="e">
        <f>transition(data1!$A$2:$A$82,data1!E$2:E$182,-(Calculations!$F23+relativePrx*AA5))</f>
        <v>#VALUE!</v>
      </c>
      <c r="AB25" s="19" t="e">
        <f>transition(data1!$A$2:$A$82,data1!F$2:F$182,-(Calculations!$F23+relativePrx*AB5))</f>
        <v>#VALUE!</v>
      </c>
      <c r="AC25" s="19" t="e">
        <f>transition(data1!$A$2:$A$82,data1!G$2:G$182,-(Calculations!$F23+relativePrx*AC5))</f>
        <v>#VALUE!</v>
      </c>
      <c r="AD25" s="19" t="e">
        <f>transition(data1!$A$2:$A$82,data1!H$2:H$182,-(Calculations!$F23+relativePrx*AD5))</f>
        <v>#VALUE!</v>
      </c>
      <c r="AE25" s="19" t="e">
        <f>transition(data1!$A$2:$A$82,data1!I$2:I$182,-(Calculations!$F23+relativePrx*AE5))</f>
        <v>#VALUE!</v>
      </c>
      <c r="AF25" s="19" t="e">
        <f>transition(data1!$A$2:$A$82,data1!J$2:J$182,-(Calculations!$F23+relativePrx*AF5))</f>
        <v>#VALUE!</v>
      </c>
      <c r="AG25" s="19" t="e">
        <f>transition(data1!$A$2:$A$82,data1!K$2:K$182,-(Calculations!$F23+relativePrx*AG5))</f>
        <v>#VALUE!</v>
      </c>
      <c r="AH25" s="19" t="e">
        <f>transition(data1!$A$2:$A$82,data1!L$2:L$182,-(Calculations!$F23+relativePrx*AH5))</f>
        <v>#VALUE!</v>
      </c>
      <c r="AI25" s="19" t="e">
        <f>transition(data1!$A$2:$A$82,data1!M$2:M$182,-(Calculations!$F23+relativePrx*AI5))</f>
        <v>#VALUE!</v>
      </c>
      <c r="AJ25" s="19" t="e">
        <f>transition(data1!$A$2:$A$82,data1!N$2:N$182,-(Calculations!$F23+relativePrx*AJ5))</f>
        <v>#VALUE!</v>
      </c>
      <c r="AK25" s="19" t="e">
        <f>transition(data1!$A$2:$A$82,data1!O$2:O$182,-(Calculations!$F23+relativePrx*AK5))</f>
        <v>#VALUE!</v>
      </c>
      <c r="AL25" s="19" t="e">
        <f>transition(data1!$A$2:$A$82,data1!P$2:P$182,-(Calculations!$F23+relativePrx*AL5))</f>
        <v>#VALUE!</v>
      </c>
      <c r="AM25" s="19" t="e">
        <f>transition(data1!$A$2:$A$82,data1!Q$2:Q$182,-(Calculations!$F23+relativePrx*AM5))</f>
        <v>#VALUE!</v>
      </c>
      <c r="AN25" s="19" t="e">
        <f>transition(data1!$A$2:$A$82,data1!R$2:R$182,-(Calculations!$F23+relativePrx*AN5))</f>
        <v>#VALUE!</v>
      </c>
      <c r="AO25" s="19" t="e">
        <f>transition(data1!$A$2:$A$82,data1!S$2:S$182,-(Calculations!$F23+relativePrx*AO5))</f>
        <v>#VALUE!</v>
      </c>
      <c r="AP25" s="19" t="e">
        <f>transition(data1!$A$2:$A$82,data1!T$2:T$182,-(Calculations!$F23+relativePrx*AP5))</f>
        <v>#VALUE!</v>
      </c>
      <c r="AQ25" s="19" t="e">
        <f>transition(data1!$A$2:$A$82,data1!U$2:U$182,-(Calculations!$F23+relativePrx*AQ5))</f>
        <v>#VALUE!</v>
      </c>
      <c r="AR25" s="19" t="e">
        <f>transition(data1!$A$2:$A$82,data1!V$2:V$182,-(Calculations!$F23+relativePrx*AR5))</f>
        <v>#VALUE!</v>
      </c>
      <c r="AS25" s="19" t="e">
        <f>transition(data1!$A$2:$A$82,data1!W$2:W$182,-(Calculations!$F23+relativePrx*AS5))</f>
        <v>#VALUE!</v>
      </c>
      <c r="AT25" s="19" t="e">
        <f>transition(data1!$A$2:$A$82,data1!X$2:X$182,-(Calculations!$F23+relativePrx*AT5))</f>
        <v>#VALUE!</v>
      </c>
      <c r="AU25" s="19" t="e">
        <f>transition(data1!$A$2:$A$82,data1!Y$2:Y$182,-(Calculations!$F23+relativePrx*AU5))</f>
        <v>#VALUE!</v>
      </c>
      <c r="AV25" s="19" t="e">
        <f>transition(data1!$A$2:$A$82,data1!Z$2:Z$182,-(Calculations!$F23+relativePrx*AV5))</f>
        <v>#VALUE!</v>
      </c>
      <c r="AW25" s="19" t="e">
        <f>transition(data1!$A$2:$A$82,data1!AA$2:AA$182,-(Calculations!$F23+relativePrx*AW5))</f>
        <v>#VALUE!</v>
      </c>
      <c r="AX25" s="19" t="e">
        <f>transition(data1!$A$2:$A$82,data1!AB$2:AB$182,-(Calculations!$F23+relativePrx*AX5))</f>
        <v>#VALUE!</v>
      </c>
      <c r="AY25" s="19" t="e">
        <f>transition(data1!$A$2:$A$82,data1!AC$2:AC$182,-(Calculations!$F23+relativePrx*AY5))</f>
        <v>#VALUE!</v>
      </c>
      <c r="AZ25" s="19" t="e">
        <f>transition(data1!$A$2:$A$82,data1!AD$2:AD$182,-(Calculations!$F23+relativePrx*AZ5))</f>
        <v>#VALUE!</v>
      </c>
      <c r="BA25" s="19" t="e">
        <f>transition(data1!$A$2:$A$82,data1!AE$2:AE$182,-(Calculations!$F23+relativePrx*BA5))</f>
        <v>#VALUE!</v>
      </c>
      <c r="BB25" s="19" t="e">
        <f>transition(data1!$A$2:$A$82,data1!AF$2:AF$182,-(Calculations!$F23+relativePrx*BB5))</f>
        <v>#VALUE!</v>
      </c>
      <c r="BC25" s="19" t="e">
        <f>transition(data1!$A$2:$A$82,data1!AG$2:AG$182,-(Calculations!$F23+relativePrx*BC5))</f>
        <v>#VALUE!</v>
      </c>
    </row>
    <row r="26" spans="4:66">
      <c r="E26" s="18" t="str">
        <f t="shared" si="50"/>
        <v>LO-MID</v>
      </c>
      <c r="F26" s="51" t="str">
        <f t="shared" ref="F26:F27" si="53">F25</f>
        <v>data</v>
      </c>
      <c r="G26" s="50">
        <f t="shared" ref="G26:G27" si="54">G25+1</f>
        <v>2</v>
      </c>
      <c r="H26" s="12" t="e">
        <f t="shared" ref="H26:H27" si="55">AVERAGE(X26:BC26)</f>
        <v>#VALUE!</v>
      </c>
      <c r="I26" s="12" t="e">
        <f t="shared" ref="I26:I27" si="56">STDEV(X26:BC26)</f>
        <v>#VALUE!</v>
      </c>
      <c r="J26" s="12" t="e">
        <f t="shared" ref="J26:J27" si="57">AVERAGE(X26:AE26)</f>
        <v>#VALUE!</v>
      </c>
      <c r="K26" s="12" t="e">
        <f t="shared" ref="K26:K27" si="58">STDEV(X26:AE26)</f>
        <v>#VALUE!</v>
      </c>
      <c r="L26" s="12" t="e">
        <f t="shared" ref="L26:L27" si="59">AVERAGE(AF26:AM26)</f>
        <v>#VALUE!</v>
      </c>
      <c r="M26" s="12" t="e">
        <f t="shared" ref="M26:M27" si="60">STDEV(AF26:AM26)</f>
        <v>#VALUE!</v>
      </c>
      <c r="N26" s="12" t="e">
        <f t="shared" ref="N26:N27" si="61">AVERAGE(AN26:AU26)</f>
        <v>#VALUE!</v>
      </c>
      <c r="O26" s="12" t="e">
        <f t="shared" ref="O26:O27" si="62">STDEV(AN26:AU26)</f>
        <v>#VALUE!</v>
      </c>
      <c r="P26" s="12" t="e">
        <f t="shared" ref="P26:P27" si="63">AVERAGE(AV26:BC26)</f>
        <v>#VALUE!</v>
      </c>
      <c r="Q26" s="12" t="e">
        <f t="shared" ref="Q26:Q27" si="64">STDEV(AV26:BC26)</f>
        <v>#VALUE!</v>
      </c>
      <c r="R26" s="12"/>
      <c r="S26" s="12"/>
      <c r="T26" s="12"/>
      <c r="U26" s="12"/>
      <c r="V26" s="12"/>
      <c r="W26" s="12"/>
      <c r="X26" s="19" t="e">
        <f>transition(data2!$A$2:$A$82,data2!B$2:B$182,-(Calculations!$F23+relativePrx*X6))</f>
        <v>#VALUE!</v>
      </c>
      <c r="Y26" s="19" t="e">
        <f>transition(data2!$A$2:$A$82,data2!C$2:C$182,-(Calculations!$F23+relativePrx*Y6))</f>
        <v>#VALUE!</v>
      </c>
      <c r="Z26" s="19" t="e">
        <f>transition(data2!$A$2:$A$82,data2!D$2:D$182,-(Calculations!$F23+relativePrx*Z6))</f>
        <v>#VALUE!</v>
      </c>
      <c r="AA26" s="19" t="e">
        <f>transition(data2!$A$2:$A$82,data2!E$2:E$182,-(Calculations!$F23+relativePrx*AA6))</f>
        <v>#VALUE!</v>
      </c>
      <c r="AB26" s="19" t="e">
        <f>transition(data2!$A$2:$A$82,data2!F$2:F$182,-(Calculations!$F23+relativePrx*AB6))</f>
        <v>#VALUE!</v>
      </c>
      <c r="AC26" s="19" t="e">
        <f>transition(data2!$A$2:$A$82,data2!G$2:G$182,-(Calculations!$F23+relativePrx*AC6))</f>
        <v>#VALUE!</v>
      </c>
      <c r="AD26" s="19" t="e">
        <f>transition(data2!$A$2:$A$82,data2!H$2:H$182,-(Calculations!$F23+relativePrx*AD6))</f>
        <v>#VALUE!</v>
      </c>
      <c r="AE26" s="19" t="e">
        <f>transition(data2!$A$2:$A$82,data2!I$2:I$182,-(Calculations!$F23+relativePrx*AE6))</f>
        <v>#VALUE!</v>
      </c>
      <c r="AF26" s="19" t="e">
        <f>transition(data2!$A$2:$A$82,data2!J$2:J$182,-(Calculations!$F23+relativePrx*AF6))</f>
        <v>#VALUE!</v>
      </c>
      <c r="AG26" s="19" t="e">
        <f>transition(data2!$A$2:$A$82,data2!K$2:K$182,-(Calculations!$F23+relativePrx*AG6))</f>
        <v>#VALUE!</v>
      </c>
      <c r="AH26" s="19" t="e">
        <f>transition(data2!$A$2:$A$82,data2!L$2:L$182,-(Calculations!$F23+relativePrx*AH6))</f>
        <v>#VALUE!</v>
      </c>
      <c r="AI26" s="19" t="e">
        <f>transition(data2!$A$2:$A$82,data2!M$2:M$182,-(Calculations!$F23+relativePrx*AI6))</f>
        <v>#VALUE!</v>
      </c>
      <c r="AJ26" s="19" t="e">
        <f>transition(data2!$A$2:$A$82,data2!N$2:N$182,-(Calculations!$F23+relativePrx*AJ6))</f>
        <v>#VALUE!</v>
      </c>
      <c r="AK26" s="19" t="e">
        <f>transition(data2!$A$2:$A$82,data2!O$2:O$182,-(Calculations!$F23+relativePrx*AK6))</f>
        <v>#VALUE!</v>
      </c>
      <c r="AL26" s="19" t="e">
        <f>transition(data2!$A$2:$A$82,data2!P$2:P$182,-(Calculations!$F23+relativePrx*AL6))</f>
        <v>#VALUE!</v>
      </c>
      <c r="AM26" s="19" t="e">
        <f>transition(data2!$A$2:$A$82,data2!Q$2:Q$182,-(Calculations!$F23+relativePrx*AM6))</f>
        <v>#VALUE!</v>
      </c>
      <c r="AN26" s="19" t="e">
        <f>transition(data2!$A$2:$A$82,data2!R$2:R$182,-(Calculations!$F23+relativePrx*AN6))</f>
        <v>#VALUE!</v>
      </c>
      <c r="AO26" s="19" t="e">
        <f>transition(data2!$A$2:$A$82,data2!S$2:S$182,-(Calculations!$F23+relativePrx*AO6))</f>
        <v>#VALUE!</v>
      </c>
      <c r="AP26" s="19" t="e">
        <f>transition(data2!$A$2:$A$82,data2!T$2:T$182,-(Calculations!$F23+relativePrx*AP6))</f>
        <v>#VALUE!</v>
      </c>
      <c r="AQ26" s="19" t="e">
        <f>transition(data2!$A$2:$A$82,data2!U$2:U$182,-(Calculations!$F23+relativePrx*AQ6))</f>
        <v>#VALUE!</v>
      </c>
      <c r="AR26" s="19" t="e">
        <f>transition(data2!$A$2:$A$82,data2!V$2:V$182,-(Calculations!$F23+relativePrx*AR6))</f>
        <v>#VALUE!</v>
      </c>
      <c r="AS26" s="19" t="e">
        <f>transition(data2!$A$2:$A$82,data2!W$2:W$182,-(Calculations!$F23+relativePrx*AS6))</f>
        <v>#VALUE!</v>
      </c>
      <c r="AT26" s="19" t="e">
        <f>transition(data2!$A$2:$A$82,data2!X$2:X$182,-(Calculations!$F23+relativePrx*AT6))</f>
        <v>#VALUE!</v>
      </c>
      <c r="AU26" s="19" t="e">
        <f>transition(data2!$A$2:$A$82,data2!Y$2:Y$182,-(Calculations!$F23+relativePrx*AU6))</f>
        <v>#VALUE!</v>
      </c>
      <c r="AV26" s="19" t="e">
        <f>transition(data2!$A$2:$A$82,data2!Z$2:Z$182,-(Calculations!$F23+relativePrx*AV6))</f>
        <v>#VALUE!</v>
      </c>
      <c r="AW26" s="19" t="e">
        <f>transition(data2!$A$2:$A$82,data2!AA$2:AA$182,-(Calculations!$F23+relativePrx*AW6))</f>
        <v>#VALUE!</v>
      </c>
      <c r="AX26" s="19" t="e">
        <f>transition(data2!$A$2:$A$82,data2!AB$2:AB$182,-(Calculations!$F23+relativePrx*AX6))</f>
        <v>#VALUE!</v>
      </c>
      <c r="AY26" s="19" t="e">
        <f>transition(data2!$A$2:$A$82,data2!AC$2:AC$182,-(Calculations!$F23+relativePrx*AY6))</f>
        <v>#VALUE!</v>
      </c>
      <c r="AZ26" s="19" t="e">
        <f>transition(data2!$A$2:$A$82,data2!AD$2:AD$182,-(Calculations!$F23+relativePrx*AZ6))</f>
        <v>#VALUE!</v>
      </c>
      <c r="BA26" s="19" t="e">
        <f>transition(data2!$A$2:$A$82,data2!AE$2:AE$182,-(Calculations!$F23+relativePrx*BA6))</f>
        <v>#VALUE!</v>
      </c>
      <c r="BB26" s="19" t="e">
        <f>transition(data2!$A$2:$A$82,data2!AF$2:AF$182,-(Calculations!$F23+relativePrx*BB6))</f>
        <v>#VALUE!</v>
      </c>
      <c r="BC26" s="19" t="e">
        <f>transition(data2!$A$2:$A$82,data2!AG$2:AG$182,-(Calculations!$F23+relativePrx*BC6))</f>
        <v>#VALUE!</v>
      </c>
    </row>
    <row r="27" spans="4:66">
      <c r="E27" s="18" t="str">
        <f t="shared" si="50"/>
        <v>LO</v>
      </c>
      <c r="F27" s="51" t="str">
        <f t="shared" si="53"/>
        <v>data</v>
      </c>
      <c r="G27" s="50">
        <f t="shared" si="54"/>
        <v>3</v>
      </c>
      <c r="H27" s="12" t="e">
        <f t="shared" si="55"/>
        <v>#VALUE!</v>
      </c>
      <c r="I27" s="12" t="e">
        <f t="shared" si="56"/>
        <v>#VALUE!</v>
      </c>
      <c r="J27" s="12" t="e">
        <f t="shared" si="57"/>
        <v>#VALUE!</v>
      </c>
      <c r="K27" s="12" t="e">
        <f t="shared" si="58"/>
        <v>#VALUE!</v>
      </c>
      <c r="L27" s="12" t="e">
        <f t="shared" si="59"/>
        <v>#VALUE!</v>
      </c>
      <c r="M27" s="12" t="e">
        <f t="shared" si="60"/>
        <v>#VALUE!</v>
      </c>
      <c r="N27" s="12" t="e">
        <f t="shared" si="61"/>
        <v>#VALUE!</v>
      </c>
      <c r="O27" s="12" t="e">
        <f t="shared" si="62"/>
        <v>#VALUE!</v>
      </c>
      <c r="P27" s="12" t="e">
        <f t="shared" si="63"/>
        <v>#VALUE!</v>
      </c>
      <c r="Q27" s="12" t="e">
        <f t="shared" si="64"/>
        <v>#VALUE!</v>
      </c>
      <c r="R27" s="12"/>
      <c r="S27" s="12"/>
      <c r="T27" s="12"/>
      <c r="U27" s="12"/>
      <c r="V27" s="12"/>
      <c r="W27" s="12"/>
      <c r="X27" s="19" t="e">
        <f>transition(data3!$A$2:$A$82,data3!B$2:B$182,-(Calculations!$F23+relativePrx*X7))</f>
        <v>#VALUE!</v>
      </c>
      <c r="Y27" s="19" t="e">
        <f>transition(data3!$A$2:$A$82,data3!C$2:C$182,-(Calculations!$F23+relativePrx*Y7))</f>
        <v>#VALUE!</v>
      </c>
      <c r="Z27" s="19" t="e">
        <f>transition(data3!$A$2:$A$82,data3!D$2:D$182,-(Calculations!$F23+relativePrx*Z7))</f>
        <v>#VALUE!</v>
      </c>
      <c r="AA27" s="19" t="e">
        <f>transition(data3!$A$2:$A$82,data3!E$2:E$182,-(Calculations!$F23+relativePrx*AA7))</f>
        <v>#VALUE!</v>
      </c>
      <c r="AB27" s="19" t="e">
        <f>transition(data3!$A$2:$A$82,data3!F$2:F$182,-(Calculations!$F23+relativePrx*AB7))</f>
        <v>#VALUE!</v>
      </c>
      <c r="AC27" s="19" t="e">
        <f>transition(data3!$A$2:$A$82,data3!G$2:G$182,-(Calculations!$F23+relativePrx*AC7))</f>
        <v>#VALUE!</v>
      </c>
      <c r="AD27" s="19" t="e">
        <f>transition(data3!$A$2:$A$82,data3!H$2:H$182,-(Calculations!$F23+relativePrx*AD7))</f>
        <v>#VALUE!</v>
      </c>
      <c r="AE27" s="19" t="e">
        <f>transition(data3!$A$2:$A$82,data3!I$2:I$182,-(Calculations!$F23+relativePrx*AE7))</f>
        <v>#VALUE!</v>
      </c>
      <c r="AF27" s="19" t="e">
        <f>transition(data3!$A$2:$A$82,data3!J$2:J$182,-(Calculations!$F23+relativePrx*AF7))</f>
        <v>#VALUE!</v>
      </c>
      <c r="AG27" s="19" t="e">
        <f>transition(data3!$A$2:$A$82,data3!K$2:K$182,-(Calculations!$F23+relativePrx*AG7))</f>
        <v>#VALUE!</v>
      </c>
      <c r="AH27" s="19" t="e">
        <f>transition(data3!$A$2:$A$82,data3!L$2:L$182,-(Calculations!$F23+relativePrx*AH7))</f>
        <v>#VALUE!</v>
      </c>
      <c r="AI27" s="19" t="e">
        <f>transition(data3!$A$2:$A$82,data3!M$2:M$182,-(Calculations!$F23+relativePrx*AI7))</f>
        <v>#VALUE!</v>
      </c>
      <c r="AJ27" s="19" t="e">
        <f>transition(data3!$A$2:$A$82,data3!N$2:N$182,-(Calculations!$F23+relativePrx*AJ7))</f>
        <v>#VALUE!</v>
      </c>
      <c r="AK27" s="19" t="e">
        <f>transition(data3!$A$2:$A$82,data3!O$2:O$182,-(Calculations!$F23+relativePrx*AK7))</f>
        <v>#VALUE!</v>
      </c>
      <c r="AL27" s="19" t="e">
        <f>transition(data3!$A$2:$A$82,data3!P$2:P$182,-(Calculations!$F23+relativePrx*AL7))</f>
        <v>#VALUE!</v>
      </c>
      <c r="AM27" s="19" t="e">
        <f>transition(data3!$A$2:$A$82,data3!Q$2:Q$182,-(Calculations!$F23+relativePrx*AM7))</f>
        <v>#VALUE!</v>
      </c>
      <c r="AN27" s="19" t="e">
        <f>transition(data3!$A$2:$A$82,data3!R$2:R$182,-(Calculations!$F23+relativePrx*AN7))</f>
        <v>#VALUE!</v>
      </c>
      <c r="AO27" s="19" t="e">
        <f>transition(data3!$A$2:$A$82,data3!S$2:S$182,-(Calculations!$F23+relativePrx*AO7))</f>
        <v>#VALUE!</v>
      </c>
      <c r="AP27" s="19" t="e">
        <f>transition(data3!$A$2:$A$82,data3!T$2:T$182,-(Calculations!$F23+relativePrx*AP7))</f>
        <v>#VALUE!</v>
      </c>
      <c r="AQ27" s="19" t="e">
        <f>transition(data3!$A$2:$A$82,data3!U$2:U$182,-(Calculations!$F23+relativePrx*AQ7))</f>
        <v>#VALUE!</v>
      </c>
      <c r="AR27" s="19" t="e">
        <f>transition(data3!$A$2:$A$82,data3!V$2:V$182,-(Calculations!$F23+relativePrx*AR7))</f>
        <v>#VALUE!</v>
      </c>
      <c r="AS27" s="19" t="e">
        <f>transition(data3!$A$2:$A$82,data3!W$2:W$182,-(Calculations!$F23+relativePrx*AS7))</f>
        <v>#VALUE!</v>
      </c>
      <c r="AT27" s="19" t="e">
        <f>transition(data3!$A$2:$A$82,data3!X$2:X$182,-(Calculations!$F23+relativePrx*AT7))</f>
        <v>#VALUE!</v>
      </c>
      <c r="AU27" s="19" t="e">
        <f>transition(data3!$A$2:$A$82,data3!Y$2:Y$182,-(Calculations!$F23+relativePrx*AU7))</f>
        <v>#VALUE!</v>
      </c>
      <c r="AV27" s="19" t="e">
        <f>transition(data3!$A$2:$A$82,data3!Z$2:Z$182,-(Calculations!$F23+relativePrx*AV7))</f>
        <v>#VALUE!</v>
      </c>
      <c r="AW27" s="19" t="e">
        <f>transition(data3!$A$2:$A$82,data3!AA$2:AA$182,-(Calculations!$F23+relativePrx*AW7))</f>
        <v>#VALUE!</v>
      </c>
      <c r="AX27" s="19" t="e">
        <f>transition(data3!$A$2:$A$82,data3!AB$2:AB$182,-(Calculations!$F23+relativePrx*AX7))</f>
        <v>#VALUE!</v>
      </c>
      <c r="AY27" s="19" t="e">
        <f>transition(data3!$A$2:$A$82,data3!AC$2:AC$182,-(Calculations!$F23+relativePrx*AY7))</f>
        <v>#VALUE!</v>
      </c>
      <c r="AZ27" s="19" t="e">
        <f>transition(data3!$A$2:$A$82,data3!AD$2:AD$182,-(Calculations!$F23+relativePrx*AZ7))</f>
        <v>#VALUE!</v>
      </c>
      <c r="BA27" s="19" t="e">
        <f>transition(data3!$A$2:$A$82,data3!AE$2:AE$182,-(Calculations!$F23+relativePrx*BA7))</f>
        <v>#VALUE!</v>
      </c>
      <c r="BB27" s="19" t="e">
        <f>transition(data3!$A$2:$A$82,data3!AF$2:AF$182,-(Calculations!$F23+relativePrx*BB7))</f>
        <v>#VALUE!</v>
      </c>
      <c r="BC27" s="19" t="e">
        <f>transition(data3!$A$2:$A$82,data3!AG$2:AG$182,-(Calculations!$F23+relativePrx*BC7))</f>
        <v>#VALUE!</v>
      </c>
    </row>
    <row r="28" spans="4:66">
      <c r="AO28" s="18"/>
      <c r="AP28" s="18"/>
      <c r="AQ28" s="18"/>
      <c r="AR28" s="18"/>
      <c r="AS28" s="18"/>
      <c r="AT28" s="18"/>
      <c r="AU28" s="18"/>
      <c r="AV28" s="18"/>
      <c r="AW28" s="18"/>
    </row>
    <row r="29" spans="4:66">
      <c r="E29" s="18" t="s">
        <v>5</v>
      </c>
      <c r="F29" s="23">
        <f>F23*2</f>
        <v>0.2</v>
      </c>
      <c r="H29" s="18" t="s">
        <v>6</v>
      </c>
      <c r="I29" s="18" t="s">
        <v>7</v>
      </c>
      <c r="J29" s="33" t="str">
        <f t="shared" ref="J29:Q29" si="65">H29</f>
        <v>Mean</v>
      </c>
      <c r="K29" s="33" t="str">
        <f t="shared" si="65"/>
        <v>Stdev</v>
      </c>
      <c r="L29" s="33" t="str">
        <f t="shared" si="65"/>
        <v>Mean</v>
      </c>
      <c r="M29" s="33" t="str">
        <f t="shared" si="65"/>
        <v>Stdev</v>
      </c>
      <c r="N29" s="33" t="str">
        <f t="shared" si="65"/>
        <v>Mean</v>
      </c>
      <c r="O29" s="33" t="str">
        <f t="shared" si="65"/>
        <v>Stdev</v>
      </c>
      <c r="P29" s="33" t="str">
        <f t="shared" si="65"/>
        <v>Mean</v>
      </c>
      <c r="Q29" s="33" t="str">
        <f t="shared" si="65"/>
        <v>Stdev</v>
      </c>
      <c r="AO29" s="18"/>
      <c r="AP29" s="18"/>
      <c r="AQ29" s="18"/>
      <c r="AR29" s="18"/>
      <c r="AS29" s="18"/>
      <c r="AT29" s="18"/>
      <c r="AU29" s="18"/>
      <c r="AV29" s="18"/>
      <c r="AW29" s="18"/>
    </row>
    <row r="30" spans="4:66">
      <c r="E30" s="18" t="str">
        <f>E24</f>
        <v>HI</v>
      </c>
      <c r="F30" s="51" t="s">
        <v>8</v>
      </c>
      <c r="G30" s="50">
        <v>0</v>
      </c>
      <c r="H30" s="12" t="e">
        <f t="shared" ref="H30:H31" si="66">AVERAGE(X30:BC30)</f>
        <v>#VALUE!</v>
      </c>
      <c r="I30" s="12" t="e">
        <f t="shared" ref="I30:I31" si="67">STDEV(X30:BC30)</f>
        <v>#VALUE!</v>
      </c>
      <c r="J30" s="12" t="e">
        <f>AVERAGE(X30:AE30)</f>
        <v>#VALUE!</v>
      </c>
      <c r="K30" s="12" t="e">
        <f>STDEV(X30:AE30)</f>
        <v>#VALUE!</v>
      </c>
      <c r="L30" s="12" t="e">
        <f>AVERAGE(AF30:AM30)</f>
        <v>#VALUE!</v>
      </c>
      <c r="M30" s="12" t="e">
        <f>STDEV(AF30:AM30)</f>
        <v>#VALUE!</v>
      </c>
      <c r="N30" s="12" t="e">
        <f>AVERAGE(AN30:AU30)</f>
        <v>#VALUE!</v>
      </c>
      <c r="O30" s="12" t="e">
        <f>STDEV(AN30:AU30)</f>
        <v>#VALUE!</v>
      </c>
      <c r="P30" s="12" t="e">
        <f>AVERAGE(AV30:BC30)</f>
        <v>#VALUE!</v>
      </c>
      <c r="Q30" s="12" t="e">
        <f>STDEV(AV30:BC30)</f>
        <v>#VALUE!</v>
      </c>
      <c r="R30" s="12"/>
      <c r="S30" s="12"/>
      <c r="T30" s="12"/>
      <c r="U30" s="12"/>
      <c r="V30" s="12"/>
      <c r="W30" s="12"/>
      <c r="X30" s="19" t="e">
        <f>transition(data0!$A$2:$A$82,data0!B$2:B$82,-(Calculations!$F29+relativePrx*X4))</f>
        <v>#VALUE!</v>
      </c>
      <c r="Y30" s="19" t="e">
        <f>transition(data0!$A$2:$A$82,data0!C$2:C$82,-(Calculations!$F29+relativePrx*Y4))</f>
        <v>#VALUE!</v>
      </c>
      <c r="Z30" s="19" t="e">
        <f>transition(data0!$A$2:$A$82,data0!D$2:D$82,-(Calculations!$F29+relativePrx*Z4))</f>
        <v>#VALUE!</v>
      </c>
      <c r="AA30" s="19" t="e">
        <f>transition(data0!$A$2:$A$82,data0!E$2:E$82,-(Calculations!$F29+relativePrx*AA4))</f>
        <v>#VALUE!</v>
      </c>
      <c r="AB30" s="19" t="e">
        <f>transition(data0!$A$2:$A$82,data0!F$2:F$82,-(Calculations!$F29+relativePrx*AB4))</f>
        <v>#VALUE!</v>
      </c>
      <c r="AC30" s="19" t="e">
        <f>transition(data0!$A$2:$A$82,data0!G$2:G$82,-(Calculations!$F29+relativePrx*AC4))</f>
        <v>#VALUE!</v>
      </c>
      <c r="AD30" s="19" t="e">
        <f>transition(data0!$A$2:$A$82,data0!H$2:H$82,-(Calculations!$F29+relativePrx*AD4))</f>
        <v>#VALUE!</v>
      </c>
      <c r="AE30" s="19" t="e">
        <f>transition(data0!$A$2:$A$82,data0!I$2:I$82,-(Calculations!$F29+relativePrx*AE4))</f>
        <v>#VALUE!</v>
      </c>
      <c r="AF30" s="19" t="e">
        <f>transition(data0!$A$2:$A$82,data0!J$2:J$82,-(Calculations!$F29+relativePrx*AF4))</f>
        <v>#VALUE!</v>
      </c>
      <c r="AG30" s="19" t="e">
        <f>transition(data0!$A$2:$A$82,data0!K$2:K$82,-(Calculations!$F29+relativePrx*AG4))</f>
        <v>#VALUE!</v>
      </c>
      <c r="AH30" s="19" t="e">
        <f>transition(data0!$A$2:$A$82,data0!L$2:L$82,-(Calculations!$F29+relativePrx*AH4))</f>
        <v>#VALUE!</v>
      </c>
      <c r="AI30" s="19" t="e">
        <f>transition(data0!$A$2:$A$82,data0!M$2:M$82,-(Calculations!$F29+relativePrx*AI4))</f>
        <v>#VALUE!</v>
      </c>
      <c r="AJ30" s="19" t="e">
        <f>transition(data0!$A$2:$A$82,data0!N$2:N$82,-(Calculations!$F29+relativePrx*AJ4))</f>
        <v>#VALUE!</v>
      </c>
      <c r="AK30" s="19" t="e">
        <f>transition(data0!$A$2:$A$82,data0!O$2:O$82,-(Calculations!$F29+relativePrx*AK4))</f>
        <v>#VALUE!</v>
      </c>
      <c r="AL30" s="19" t="e">
        <f>transition(data0!$A$2:$A$82,data0!P$2:P$82,-(Calculations!$F29+relativePrx*AL4))</f>
        <v>#VALUE!</v>
      </c>
      <c r="AM30" s="19" t="e">
        <f>transition(data0!$A$2:$A$82,data0!Q$2:Q$82,-(Calculations!$F29+relativePrx*AM4))</f>
        <v>#VALUE!</v>
      </c>
      <c r="AN30" s="19" t="e">
        <f>transition(data0!$A$2:$A$82,data0!R$2:R$82,-(Calculations!$F29+relativePrx*AN4))</f>
        <v>#VALUE!</v>
      </c>
      <c r="AO30" s="19" t="e">
        <f>transition(data0!$A$2:$A$82,data0!S$2:S$82,-(Calculations!$F29+relativePrx*AO4))</f>
        <v>#VALUE!</v>
      </c>
      <c r="AP30" s="19" t="e">
        <f>transition(data0!$A$2:$A$82,data0!T$2:T$82,-(Calculations!$F29+relativePrx*AP4))</f>
        <v>#VALUE!</v>
      </c>
      <c r="AQ30" s="19" t="e">
        <f>transition(data0!$A$2:$A$82,data0!U$2:U$82,-(Calculations!$F29+relativePrx*AQ4))</f>
        <v>#VALUE!</v>
      </c>
      <c r="AR30" s="19" t="e">
        <f>transition(data0!$A$2:$A$82,data0!V$2:V$82,-(Calculations!$F29+relativePrx*AR4))</f>
        <v>#VALUE!</v>
      </c>
      <c r="AS30" s="19" t="e">
        <f>transition(data0!$A$2:$A$82,data0!W$2:W$82,-(Calculations!$F29+relativePrx*AS4))</f>
        <v>#VALUE!</v>
      </c>
      <c r="AT30" s="19" t="e">
        <f>transition(data0!$A$2:$A$82,data0!X$2:X$82,-(Calculations!$F29+relativePrx*AT4))</f>
        <v>#VALUE!</v>
      </c>
      <c r="AU30" s="19" t="e">
        <f>transition(data0!$A$2:$A$82,data0!Y$2:Y$82,-(Calculations!$F29+relativePrx*AU4))</f>
        <v>#VALUE!</v>
      </c>
      <c r="AV30" s="19" t="e">
        <f>transition(data0!$A$2:$A$82,data0!Z$2:Z$82,-(Calculations!$F29+relativePrx*AV4))</f>
        <v>#VALUE!</v>
      </c>
      <c r="AW30" s="19" t="e">
        <f>transition(data0!$A$2:$A$82,data0!AA$2:AA$82,-(Calculations!$F29+relativePrx*AW4))</f>
        <v>#VALUE!</v>
      </c>
      <c r="AX30" s="19" t="e">
        <f>transition(data0!$A$2:$A$82,data0!AB$2:AB$82,-(Calculations!$F29+relativePrx*AX4))</f>
        <v>#VALUE!</v>
      </c>
      <c r="AY30" s="19" t="e">
        <f>transition(data0!$A$2:$A$82,data0!AC$2:AC$82,-(Calculations!$F29+relativePrx*AY4))</f>
        <v>#VALUE!</v>
      </c>
      <c r="AZ30" s="19" t="e">
        <f>transition(data0!$A$2:$A$82,data0!AD$2:AD$82,-(Calculations!$F29+relativePrx*AZ4))</f>
        <v>#VALUE!</v>
      </c>
      <c r="BA30" s="19" t="e">
        <f>transition(data0!$A$2:$A$82,data0!AE$2:AE$82,-(Calculations!$F29+relativePrx*BA4))</f>
        <v>#VALUE!</v>
      </c>
      <c r="BB30" s="19" t="e">
        <f>transition(data0!$A$2:$A$82,data0!AF$2:AF$82,-(Calculations!$F29+relativePrx*BB4))</f>
        <v>#VALUE!</v>
      </c>
      <c r="BC30" s="19" t="e">
        <f>transition(data0!$A$2:$A$82,data0!AG$2:AG$82,-(Calculations!$F29+relativePrx*BC4))</f>
        <v>#VALUE!</v>
      </c>
    </row>
    <row r="31" spans="4:66">
      <c r="E31" s="18" t="str">
        <f t="shared" ref="E31:E33" si="68">E25</f>
        <v>HI-MID</v>
      </c>
      <c r="F31" s="51" t="str">
        <f>F30</f>
        <v>data</v>
      </c>
      <c r="G31" s="50">
        <f>G30+1</f>
        <v>1</v>
      </c>
      <c r="H31" s="12" t="e">
        <f t="shared" si="66"/>
        <v>#VALUE!</v>
      </c>
      <c r="I31" s="12" t="e">
        <f t="shared" si="67"/>
        <v>#VALUE!</v>
      </c>
      <c r="J31" s="12" t="e">
        <f>AVERAGE(X31:AE31)</f>
        <v>#VALUE!</v>
      </c>
      <c r="K31" s="12" t="e">
        <f>STDEV(X31:AE31)</f>
        <v>#VALUE!</v>
      </c>
      <c r="L31" s="12" t="e">
        <f>AVERAGE(AF31:AM31)</f>
        <v>#VALUE!</v>
      </c>
      <c r="M31" s="12" t="e">
        <f>STDEV(AF31:AM31)</f>
        <v>#VALUE!</v>
      </c>
      <c r="N31" s="12" t="e">
        <f>AVERAGE(AN31:AU31)</f>
        <v>#VALUE!</v>
      </c>
      <c r="O31" s="12" t="e">
        <f>STDEV(AN31:AU31)</f>
        <v>#VALUE!</v>
      </c>
      <c r="P31" s="12" t="e">
        <f>AVERAGE(AV31:BC31)</f>
        <v>#VALUE!</v>
      </c>
      <c r="Q31" s="12" t="e">
        <f>STDEV(AV31:BC31)</f>
        <v>#VALUE!</v>
      </c>
      <c r="R31" s="12"/>
      <c r="S31" s="12"/>
      <c r="T31" s="12"/>
      <c r="U31" s="12"/>
      <c r="V31" s="12"/>
      <c r="W31" s="12"/>
      <c r="X31" s="19" t="e">
        <f>transition(data1!$A$2:$A$82,data1!B$2:B$82,-(Calculations!$F29+relativePrx*X5))</f>
        <v>#VALUE!</v>
      </c>
      <c r="Y31" s="19" t="e">
        <f>transition(data1!$A$2:$A$82,data1!C$2:C$82,-(Calculations!$F29+relativePrx*Y5))</f>
        <v>#VALUE!</v>
      </c>
      <c r="Z31" s="19" t="e">
        <f>transition(data1!$A$2:$A$82,data1!D$2:D$82,-(Calculations!$F29+relativePrx*Z5))</f>
        <v>#VALUE!</v>
      </c>
      <c r="AA31" s="19" t="e">
        <f>transition(data1!$A$2:$A$82,data1!E$2:E$82,-(Calculations!$F29+relativePrx*AA5))</f>
        <v>#VALUE!</v>
      </c>
      <c r="AB31" s="19" t="e">
        <f>transition(data1!$A$2:$A$82,data1!F$2:F$82,-(Calculations!$F29+relativePrx*AB5))</f>
        <v>#VALUE!</v>
      </c>
      <c r="AC31" s="19" t="e">
        <f>transition(data1!$A$2:$A$82,data1!G$2:G$82,-(Calculations!$F29+relativePrx*AC5))</f>
        <v>#VALUE!</v>
      </c>
      <c r="AD31" s="19" t="e">
        <f>transition(data1!$A$2:$A$82,data1!H$2:H$82,-(Calculations!$F29+relativePrx*AD5))</f>
        <v>#VALUE!</v>
      </c>
      <c r="AE31" s="19" t="e">
        <f>transition(data1!$A$2:$A$82,data1!I$2:I$82,-(Calculations!$F29+relativePrx*AE5))</f>
        <v>#VALUE!</v>
      </c>
      <c r="AF31" s="19" t="e">
        <f>transition(data1!$A$2:$A$82,data1!J$2:J$82,-(Calculations!$F29+relativePrx*AF5))</f>
        <v>#VALUE!</v>
      </c>
      <c r="AG31" s="19" t="e">
        <f>transition(data1!$A$2:$A$82,data1!K$2:K$82,-(Calculations!$F29+relativePrx*AG5))</f>
        <v>#VALUE!</v>
      </c>
      <c r="AH31" s="19" t="e">
        <f>transition(data1!$A$2:$A$82,data1!L$2:L$82,-(Calculations!$F29+relativePrx*AH5))</f>
        <v>#VALUE!</v>
      </c>
      <c r="AI31" s="19" t="e">
        <f>transition(data1!$A$2:$A$82,data1!M$2:M$82,-(Calculations!$F29+relativePrx*AI5))</f>
        <v>#VALUE!</v>
      </c>
      <c r="AJ31" s="19" t="e">
        <f>transition(data1!$A$2:$A$82,data1!N$2:N$82,-(Calculations!$F29+relativePrx*AJ5))</f>
        <v>#VALUE!</v>
      </c>
      <c r="AK31" s="19" t="e">
        <f>transition(data1!$A$2:$A$82,data1!O$2:O$82,-(Calculations!$F29+relativePrx*AK5))</f>
        <v>#VALUE!</v>
      </c>
      <c r="AL31" s="19" t="e">
        <f>transition(data1!$A$2:$A$82,data1!P$2:P$82,-(Calculations!$F29+relativePrx*AL5))</f>
        <v>#VALUE!</v>
      </c>
      <c r="AM31" s="19" t="e">
        <f>transition(data1!$A$2:$A$82,data1!Q$2:Q$82,-(Calculations!$F29+relativePrx*AM5))</f>
        <v>#VALUE!</v>
      </c>
      <c r="AN31" s="19" t="e">
        <f>transition(data1!$A$2:$A$82,data1!R$2:R$82,-(Calculations!$F29+relativePrx*AN5))</f>
        <v>#VALUE!</v>
      </c>
      <c r="AO31" s="19" t="e">
        <f>transition(data1!$A$2:$A$82,data1!S$2:S$82,-(Calculations!$F29+relativePrx*AO5))</f>
        <v>#VALUE!</v>
      </c>
      <c r="AP31" s="19" t="e">
        <f>transition(data1!$A$2:$A$82,data1!T$2:T$82,-(Calculations!$F29+relativePrx*AP5))</f>
        <v>#VALUE!</v>
      </c>
      <c r="AQ31" s="19" t="e">
        <f>transition(data1!$A$2:$A$82,data1!U$2:U$82,-(Calculations!$F29+relativePrx*AQ5))</f>
        <v>#VALUE!</v>
      </c>
      <c r="AR31" s="19" t="e">
        <f>transition(data1!$A$2:$A$82,data1!V$2:V$82,-(Calculations!$F29+relativePrx*AR5))</f>
        <v>#VALUE!</v>
      </c>
      <c r="AS31" s="19" t="e">
        <f>transition(data1!$A$2:$A$82,data1!W$2:W$82,-(Calculations!$F29+relativePrx*AS5))</f>
        <v>#VALUE!</v>
      </c>
      <c r="AT31" s="19" t="e">
        <f>transition(data1!$A$2:$A$82,data1!X$2:X$82,-(Calculations!$F29+relativePrx*AT5))</f>
        <v>#VALUE!</v>
      </c>
      <c r="AU31" s="19" t="e">
        <f>transition(data1!$A$2:$A$82,data1!Y$2:Y$82,-(Calculations!$F29+relativePrx*AU5))</f>
        <v>#VALUE!</v>
      </c>
      <c r="AV31" s="19" t="e">
        <f>transition(data1!$A$2:$A$82,data1!Z$2:Z$82,-(Calculations!$F29+relativePrx*AV5))</f>
        <v>#VALUE!</v>
      </c>
      <c r="AW31" s="19" t="e">
        <f>transition(data1!$A$2:$A$82,data1!AA$2:AA$82,-(Calculations!$F29+relativePrx*AW5))</f>
        <v>#VALUE!</v>
      </c>
      <c r="AX31" s="19" t="e">
        <f>transition(data1!$A$2:$A$82,data1!AB$2:AB$82,-(Calculations!$F29+relativePrx*AX5))</f>
        <v>#VALUE!</v>
      </c>
      <c r="AY31" s="19" t="e">
        <f>transition(data1!$A$2:$A$82,data1!AC$2:AC$82,-(Calculations!$F29+relativePrx*AY5))</f>
        <v>#VALUE!</v>
      </c>
      <c r="AZ31" s="19" t="e">
        <f>transition(data1!$A$2:$A$82,data1!AD$2:AD$82,-(Calculations!$F29+relativePrx*AZ5))</f>
        <v>#VALUE!</v>
      </c>
      <c r="BA31" s="19" t="e">
        <f>transition(data1!$A$2:$A$82,data1!AE$2:AE$82,-(Calculations!$F29+relativePrx*BA5))</f>
        <v>#VALUE!</v>
      </c>
      <c r="BB31" s="19" t="e">
        <f>transition(data1!$A$2:$A$82,data1!AF$2:AF$82,-(Calculations!$F29+relativePrx*BB5))</f>
        <v>#VALUE!</v>
      </c>
      <c r="BC31" s="19" t="e">
        <f>transition(data1!$A$2:$A$82,data1!AG$2:AG$82,-(Calculations!$F29+relativePrx*BC5))</f>
        <v>#VALUE!</v>
      </c>
    </row>
    <row r="32" spans="4:66">
      <c r="E32" s="18" t="str">
        <f t="shared" si="68"/>
        <v>LO-MID</v>
      </c>
      <c r="F32" s="51" t="str">
        <f t="shared" ref="F32:F33" si="69">F31</f>
        <v>data</v>
      </c>
      <c r="G32" s="50">
        <f t="shared" ref="G32:G33" si="70">G31+1</f>
        <v>2</v>
      </c>
      <c r="H32" s="12" t="e">
        <f t="shared" ref="H32:H33" si="71">AVERAGE(X32:BC32)</f>
        <v>#VALUE!</v>
      </c>
      <c r="I32" s="12" t="e">
        <f t="shared" ref="I32:I33" si="72">STDEV(X32:BC32)</f>
        <v>#VALUE!</v>
      </c>
      <c r="J32" s="12" t="e">
        <f t="shared" ref="J32:J33" si="73">AVERAGE(X32:AE32)</f>
        <v>#VALUE!</v>
      </c>
      <c r="K32" s="12" t="e">
        <f t="shared" ref="K32:K33" si="74">STDEV(X32:AE32)</f>
        <v>#VALUE!</v>
      </c>
      <c r="L32" s="12" t="e">
        <f t="shared" ref="L32:L33" si="75">AVERAGE(AF32:AM32)</f>
        <v>#VALUE!</v>
      </c>
      <c r="M32" s="12" t="e">
        <f t="shared" ref="M32:M33" si="76">STDEV(AF32:AM32)</f>
        <v>#VALUE!</v>
      </c>
      <c r="N32" s="12" t="e">
        <f t="shared" ref="N32:N33" si="77">AVERAGE(AN32:AU32)</f>
        <v>#VALUE!</v>
      </c>
      <c r="O32" s="12" t="e">
        <f t="shared" ref="O32:O33" si="78">STDEV(AN32:AU32)</f>
        <v>#VALUE!</v>
      </c>
      <c r="P32" s="12" t="e">
        <f t="shared" ref="P32:P33" si="79">AVERAGE(AV32:BC32)</f>
        <v>#VALUE!</v>
      </c>
      <c r="Q32" s="12" t="e">
        <f t="shared" ref="Q32:Q33" si="80">STDEV(AV32:BC32)</f>
        <v>#VALUE!</v>
      </c>
      <c r="R32" s="12"/>
      <c r="S32" s="12"/>
      <c r="T32" s="12"/>
      <c r="U32" s="12"/>
      <c r="V32" s="12"/>
      <c r="W32" s="12"/>
      <c r="X32" s="19" t="e">
        <f>transition(data2!$A$2:$A$82,data2!B$2:B$82,-(Calculations!$F29+relativePrx*X6))</f>
        <v>#VALUE!</v>
      </c>
      <c r="Y32" s="19" t="e">
        <f>transition(data2!$A$2:$A$82,data2!C$2:C$82,-(Calculations!$F29+relativePrx*Y6))</f>
        <v>#VALUE!</v>
      </c>
      <c r="Z32" s="19" t="e">
        <f>transition(data2!$A$2:$A$82,data2!D$2:D$82,-(Calculations!$F29+relativePrx*Z6))</f>
        <v>#VALUE!</v>
      </c>
      <c r="AA32" s="19" t="e">
        <f>transition(data2!$A$2:$A$82,data2!E$2:E$82,-(Calculations!$F29+relativePrx*AA6))</f>
        <v>#VALUE!</v>
      </c>
      <c r="AB32" s="19" t="e">
        <f>transition(data2!$A$2:$A$82,data2!F$2:F$82,-(Calculations!$F29+relativePrx*AB6))</f>
        <v>#VALUE!</v>
      </c>
      <c r="AC32" s="19" t="e">
        <f>transition(data2!$A$2:$A$82,data2!G$2:G$82,-(Calculations!$F29+relativePrx*AC6))</f>
        <v>#VALUE!</v>
      </c>
      <c r="AD32" s="19" t="e">
        <f>transition(data2!$A$2:$A$82,data2!H$2:H$82,-(Calculations!$F29+relativePrx*AD6))</f>
        <v>#VALUE!</v>
      </c>
      <c r="AE32" s="19" t="e">
        <f>transition(data2!$A$2:$A$82,data2!I$2:I$82,-(Calculations!$F29+relativePrx*AE6))</f>
        <v>#VALUE!</v>
      </c>
      <c r="AF32" s="19" t="e">
        <f>transition(data2!$A$2:$A$82,data2!J$2:J$82,-(Calculations!$F29+relativePrx*AF6))</f>
        <v>#VALUE!</v>
      </c>
      <c r="AG32" s="19" t="e">
        <f>transition(data2!$A$2:$A$82,data2!K$2:K$82,-(Calculations!$F29+relativePrx*AG6))</f>
        <v>#VALUE!</v>
      </c>
      <c r="AH32" s="19" t="e">
        <f>transition(data2!$A$2:$A$82,data2!L$2:L$82,-(Calculations!$F29+relativePrx*AH6))</f>
        <v>#VALUE!</v>
      </c>
      <c r="AI32" s="19" t="e">
        <f>transition(data2!$A$2:$A$82,data2!M$2:M$82,-(Calculations!$F29+relativePrx*AI6))</f>
        <v>#VALUE!</v>
      </c>
      <c r="AJ32" s="19" t="e">
        <f>transition(data2!$A$2:$A$82,data2!N$2:N$82,-(Calculations!$F29+relativePrx*AJ6))</f>
        <v>#VALUE!</v>
      </c>
      <c r="AK32" s="19" t="e">
        <f>transition(data2!$A$2:$A$82,data2!O$2:O$82,-(Calculations!$F29+relativePrx*AK6))</f>
        <v>#VALUE!</v>
      </c>
      <c r="AL32" s="19" t="e">
        <f>transition(data2!$A$2:$A$82,data2!P$2:P$82,-(Calculations!$F29+relativePrx*AL6))</f>
        <v>#VALUE!</v>
      </c>
      <c r="AM32" s="19" t="e">
        <f>transition(data2!$A$2:$A$82,data2!Q$2:Q$82,-(Calculations!$F29+relativePrx*AM6))</f>
        <v>#VALUE!</v>
      </c>
      <c r="AN32" s="19" t="e">
        <f>transition(data2!$A$2:$A$82,data2!R$2:R$82,-(Calculations!$F29+relativePrx*AN6))</f>
        <v>#VALUE!</v>
      </c>
      <c r="AO32" s="19" t="e">
        <f>transition(data2!$A$2:$A$82,data2!S$2:S$82,-(Calculations!$F29+relativePrx*AO6))</f>
        <v>#VALUE!</v>
      </c>
      <c r="AP32" s="19" t="e">
        <f>transition(data2!$A$2:$A$82,data2!T$2:T$82,-(Calculations!$F29+relativePrx*AP6))</f>
        <v>#VALUE!</v>
      </c>
      <c r="AQ32" s="19" t="e">
        <f>transition(data2!$A$2:$A$82,data2!U$2:U$82,-(Calculations!$F29+relativePrx*AQ6))</f>
        <v>#VALUE!</v>
      </c>
      <c r="AR32" s="19" t="e">
        <f>transition(data2!$A$2:$A$82,data2!V$2:V$82,-(Calculations!$F29+relativePrx*AR6))</f>
        <v>#VALUE!</v>
      </c>
      <c r="AS32" s="19" t="e">
        <f>transition(data2!$A$2:$A$82,data2!W$2:W$82,-(Calculations!$F29+relativePrx*AS6))</f>
        <v>#VALUE!</v>
      </c>
      <c r="AT32" s="19" t="e">
        <f>transition(data2!$A$2:$A$82,data2!X$2:X$82,-(Calculations!$F29+relativePrx*AT6))</f>
        <v>#VALUE!</v>
      </c>
      <c r="AU32" s="19" t="e">
        <f>transition(data2!$A$2:$A$82,data2!Y$2:Y$82,-(Calculations!$F29+relativePrx*AU6))</f>
        <v>#VALUE!</v>
      </c>
      <c r="AV32" s="19" t="e">
        <f>transition(data2!$A$2:$A$82,data2!Z$2:Z$82,-(Calculations!$F29+relativePrx*AV6))</f>
        <v>#VALUE!</v>
      </c>
      <c r="AW32" s="19" t="e">
        <f>transition(data2!$A$2:$A$82,data2!AA$2:AA$82,-(Calculations!$F29+relativePrx*AW6))</f>
        <v>#VALUE!</v>
      </c>
      <c r="AX32" s="19" t="e">
        <f>transition(data2!$A$2:$A$82,data2!AB$2:AB$82,-(Calculations!$F29+relativePrx*AX6))</f>
        <v>#VALUE!</v>
      </c>
      <c r="AY32" s="19" t="e">
        <f>transition(data2!$A$2:$A$82,data2!AC$2:AC$82,-(Calculations!$F29+relativePrx*AY6))</f>
        <v>#VALUE!</v>
      </c>
      <c r="AZ32" s="19" t="e">
        <f>transition(data2!$A$2:$A$82,data2!AD$2:AD$82,-(Calculations!$F29+relativePrx*AZ6))</f>
        <v>#VALUE!</v>
      </c>
      <c r="BA32" s="19" t="e">
        <f>transition(data2!$A$2:$A$82,data2!AE$2:AE$82,-(Calculations!$F29+relativePrx*BA6))</f>
        <v>#VALUE!</v>
      </c>
      <c r="BB32" s="19" t="e">
        <f>transition(data2!$A$2:$A$82,data2!AF$2:AF$82,-(Calculations!$F29+relativePrx*BB6))</f>
        <v>#VALUE!</v>
      </c>
      <c r="BC32" s="19" t="e">
        <f>transition(data2!$A$2:$A$82,data2!AG$2:AG$82,-(Calculations!$F29+relativePrx*BC6))</f>
        <v>#VALUE!</v>
      </c>
    </row>
    <row r="33" spans="1:55">
      <c r="E33" s="18" t="str">
        <f t="shared" si="68"/>
        <v>LO</v>
      </c>
      <c r="F33" s="51" t="str">
        <f t="shared" si="69"/>
        <v>data</v>
      </c>
      <c r="G33" s="50">
        <f t="shared" si="70"/>
        <v>3</v>
      </c>
      <c r="H33" s="12" t="e">
        <f t="shared" si="71"/>
        <v>#VALUE!</v>
      </c>
      <c r="I33" s="12" t="e">
        <f t="shared" si="72"/>
        <v>#VALUE!</v>
      </c>
      <c r="J33" s="12" t="e">
        <f t="shared" si="73"/>
        <v>#VALUE!</v>
      </c>
      <c r="K33" s="12" t="e">
        <f t="shared" si="74"/>
        <v>#VALUE!</v>
      </c>
      <c r="L33" s="12" t="e">
        <f t="shared" si="75"/>
        <v>#VALUE!</v>
      </c>
      <c r="M33" s="12" t="e">
        <f t="shared" si="76"/>
        <v>#VALUE!</v>
      </c>
      <c r="N33" s="12" t="e">
        <f t="shared" si="77"/>
        <v>#VALUE!</v>
      </c>
      <c r="O33" s="12" t="e">
        <f t="shared" si="78"/>
        <v>#VALUE!</v>
      </c>
      <c r="P33" s="12" t="e">
        <f t="shared" si="79"/>
        <v>#VALUE!</v>
      </c>
      <c r="Q33" s="12" t="e">
        <f t="shared" si="80"/>
        <v>#VALUE!</v>
      </c>
      <c r="R33" s="12"/>
      <c r="S33" s="12"/>
      <c r="T33" s="12"/>
      <c r="U33" s="12"/>
      <c r="V33" s="12"/>
      <c r="W33" s="12"/>
      <c r="X33" s="19" t="e">
        <f>transition(data3!$A$2:$A$82,data3!B$2:B$82,-(Calculations!$F29+relativePrx*X7))</f>
        <v>#VALUE!</v>
      </c>
      <c r="Y33" s="19" t="e">
        <f>transition(data3!$A$2:$A$82,data3!C$2:C$82,-(Calculations!$F29+relativePrx*Y7))</f>
        <v>#VALUE!</v>
      </c>
      <c r="Z33" s="19" t="e">
        <f>transition(data3!$A$2:$A$82,data3!D$2:D$82,-(Calculations!$F29+relativePrx*Z7))</f>
        <v>#VALUE!</v>
      </c>
      <c r="AA33" s="19" t="e">
        <f>transition(data3!$A$2:$A$82,data3!E$2:E$82,-(Calculations!$F29+relativePrx*AA7))</f>
        <v>#VALUE!</v>
      </c>
      <c r="AB33" s="19" t="e">
        <f>transition(data3!$A$2:$A$82,data3!F$2:F$82,-(Calculations!$F29+relativePrx*AB7))</f>
        <v>#VALUE!</v>
      </c>
      <c r="AC33" s="19" t="e">
        <f>transition(data3!$A$2:$A$82,data3!G$2:G$82,-(Calculations!$F29+relativePrx*AC7))</f>
        <v>#VALUE!</v>
      </c>
      <c r="AD33" s="19" t="e">
        <f>transition(data3!$A$2:$A$82,data3!H$2:H$82,-(Calculations!$F29+relativePrx*AD7))</f>
        <v>#VALUE!</v>
      </c>
      <c r="AE33" s="19" t="e">
        <f>transition(data3!$A$2:$A$82,data3!I$2:I$82,-(Calculations!$F29+relativePrx*AE7))</f>
        <v>#VALUE!</v>
      </c>
      <c r="AF33" s="19" t="e">
        <f>transition(data3!$A$2:$A$82,data3!J$2:J$82,-(Calculations!$F29+relativePrx*AF7))</f>
        <v>#VALUE!</v>
      </c>
      <c r="AG33" s="19" t="e">
        <f>transition(data3!$A$2:$A$82,data3!K$2:K$82,-(Calculations!$F29+relativePrx*AG7))</f>
        <v>#VALUE!</v>
      </c>
      <c r="AH33" s="19" t="e">
        <f>transition(data3!$A$2:$A$82,data3!L$2:L$82,-(Calculations!$F29+relativePrx*AH7))</f>
        <v>#VALUE!</v>
      </c>
      <c r="AI33" s="19" t="e">
        <f>transition(data3!$A$2:$A$82,data3!M$2:M$82,-(Calculations!$F29+relativePrx*AI7))</f>
        <v>#VALUE!</v>
      </c>
      <c r="AJ33" s="19" t="e">
        <f>transition(data3!$A$2:$A$82,data3!N$2:N$82,-(Calculations!$F29+relativePrx*AJ7))</f>
        <v>#VALUE!</v>
      </c>
      <c r="AK33" s="19" t="e">
        <f>transition(data3!$A$2:$A$82,data3!O$2:O$82,-(Calculations!$F29+relativePrx*AK7))</f>
        <v>#VALUE!</v>
      </c>
      <c r="AL33" s="19" t="e">
        <f>transition(data3!$A$2:$A$82,data3!P$2:P$82,-(Calculations!$F29+relativePrx*AL7))</f>
        <v>#VALUE!</v>
      </c>
      <c r="AM33" s="19" t="e">
        <f>transition(data3!$A$2:$A$82,data3!Q$2:Q$82,-(Calculations!$F29+relativePrx*AM7))</f>
        <v>#VALUE!</v>
      </c>
      <c r="AN33" s="19" t="e">
        <f>transition(data3!$A$2:$A$82,data3!R$2:R$82,-(Calculations!$F29+relativePrx*AN7))</f>
        <v>#VALUE!</v>
      </c>
      <c r="AO33" s="19" t="e">
        <f>transition(data3!$A$2:$A$82,data3!S$2:S$82,-(Calculations!$F29+relativePrx*AO7))</f>
        <v>#VALUE!</v>
      </c>
      <c r="AP33" s="19" t="e">
        <f>transition(data3!$A$2:$A$82,data3!T$2:T$82,-(Calculations!$F29+relativePrx*AP7))</f>
        <v>#VALUE!</v>
      </c>
      <c r="AQ33" s="19" t="e">
        <f>transition(data3!$A$2:$A$82,data3!U$2:U$82,-(Calculations!$F29+relativePrx*AQ7))</f>
        <v>#VALUE!</v>
      </c>
      <c r="AR33" s="19" t="e">
        <f>transition(data3!$A$2:$A$82,data3!V$2:V$82,-(Calculations!$F29+relativePrx*AR7))</f>
        <v>#VALUE!</v>
      </c>
      <c r="AS33" s="19" t="e">
        <f>transition(data3!$A$2:$A$82,data3!W$2:W$82,-(Calculations!$F29+relativePrx*AS7))</f>
        <v>#VALUE!</v>
      </c>
      <c r="AT33" s="19" t="e">
        <f>transition(data3!$A$2:$A$82,data3!X$2:X$82,-(Calculations!$F29+relativePrx*AT7))</f>
        <v>#VALUE!</v>
      </c>
      <c r="AU33" s="19" t="e">
        <f>transition(data3!$A$2:$A$82,data3!Y$2:Y$82,-(Calculations!$F29+relativePrx*AU7))</f>
        <v>#VALUE!</v>
      </c>
      <c r="AV33" s="19" t="e">
        <f>transition(data3!$A$2:$A$82,data3!Z$2:Z$82,-(Calculations!$F29+relativePrx*AV7))</f>
        <v>#VALUE!</v>
      </c>
      <c r="AW33" s="19" t="e">
        <f>transition(data3!$A$2:$A$82,data3!AA$2:AA$82,-(Calculations!$F29+relativePrx*AW7))</f>
        <v>#VALUE!</v>
      </c>
      <c r="AX33" s="19" t="e">
        <f>transition(data3!$A$2:$A$82,data3!AB$2:AB$82,-(Calculations!$F29+relativePrx*AX7))</f>
        <v>#VALUE!</v>
      </c>
      <c r="AY33" s="19" t="e">
        <f>transition(data3!$A$2:$A$82,data3!AC$2:AC$82,-(Calculations!$F29+relativePrx*AY7))</f>
        <v>#VALUE!</v>
      </c>
      <c r="AZ33" s="19" t="e">
        <f>transition(data3!$A$2:$A$82,data3!AD$2:AD$82,-(Calculations!$F29+relativePrx*AZ7))</f>
        <v>#VALUE!</v>
      </c>
      <c r="BA33" s="19" t="e">
        <f>transition(data3!$A$2:$A$82,data3!AE$2:AE$82,-(Calculations!$F29+relativePrx*BA7))</f>
        <v>#VALUE!</v>
      </c>
      <c r="BB33" s="19" t="e">
        <f>transition(data3!$A$2:$A$82,data3!AF$2:AF$82,-(Calculations!$F29+relativePrx*BB7))</f>
        <v>#VALUE!</v>
      </c>
      <c r="BC33" s="19" t="e">
        <f>transition(data3!$A$2:$A$82,data3!AG$2:AG$82,-(Calculations!$F29+relativePrx*BC7))</f>
        <v>#VALUE!</v>
      </c>
    </row>
    <row r="34" spans="1:55"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21"/>
      <c r="AI34" s="21"/>
      <c r="AJ34" s="21"/>
      <c r="AK34" s="21"/>
      <c r="AL34" s="21"/>
      <c r="AM34" s="21"/>
      <c r="AN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</row>
    <row r="35" spans="1:55">
      <c r="E35" s="18" t="s">
        <v>5</v>
      </c>
      <c r="F35" s="23">
        <f>F23*5</f>
        <v>0.5</v>
      </c>
      <c r="H35" s="18" t="s">
        <v>6</v>
      </c>
      <c r="I35" s="18" t="s">
        <v>7</v>
      </c>
      <c r="J35" s="33" t="str">
        <f t="shared" ref="J35:Q35" si="81">H35</f>
        <v>Mean</v>
      </c>
      <c r="K35" s="33" t="str">
        <f t="shared" si="81"/>
        <v>Stdev</v>
      </c>
      <c r="L35" s="33" t="str">
        <f t="shared" si="81"/>
        <v>Mean</v>
      </c>
      <c r="M35" s="33" t="str">
        <f t="shared" si="81"/>
        <v>Stdev</v>
      </c>
      <c r="N35" s="33" t="str">
        <f t="shared" si="81"/>
        <v>Mean</v>
      </c>
      <c r="O35" s="33" t="str">
        <f t="shared" si="81"/>
        <v>Stdev</v>
      </c>
      <c r="P35" s="33" t="str">
        <f t="shared" si="81"/>
        <v>Mean</v>
      </c>
      <c r="Q35" s="33" t="str">
        <f t="shared" si="81"/>
        <v>Stdev</v>
      </c>
      <c r="AO35" s="18"/>
      <c r="AP35" s="18"/>
      <c r="AQ35" s="18"/>
      <c r="AR35" s="18"/>
      <c r="AS35" s="18"/>
      <c r="AT35" s="18"/>
      <c r="AU35" s="18"/>
      <c r="AV35" s="18"/>
      <c r="AW35" s="18"/>
    </row>
    <row r="36" spans="1:55">
      <c r="E36" s="18" t="str">
        <f>E30</f>
        <v>HI</v>
      </c>
      <c r="F36" s="51" t="s">
        <v>8</v>
      </c>
      <c r="G36" s="50">
        <v>0</v>
      </c>
      <c r="H36" s="12" t="e">
        <f t="shared" ref="H36:H37" si="82">AVERAGE(X36:BC36)</f>
        <v>#VALUE!</v>
      </c>
      <c r="I36" s="12" t="e">
        <f t="shared" ref="I36:I37" si="83">STDEV(X36:BC36)</f>
        <v>#VALUE!</v>
      </c>
      <c r="J36" s="12" t="e">
        <f>AVERAGE(X36:AE36)</f>
        <v>#VALUE!</v>
      </c>
      <c r="K36" s="12" t="e">
        <f>STDEV(X36:AE36)</f>
        <v>#VALUE!</v>
      </c>
      <c r="L36" s="12" t="e">
        <f>AVERAGE(AF36:AM36)</f>
        <v>#VALUE!</v>
      </c>
      <c r="M36" s="12" t="e">
        <f>STDEV(AF36:AM36)</f>
        <v>#VALUE!</v>
      </c>
      <c r="N36" s="12" t="e">
        <f>AVERAGE(AN36:AU36)</f>
        <v>#VALUE!</v>
      </c>
      <c r="O36" s="12" t="e">
        <f>STDEV(AN36:AU36)</f>
        <v>#VALUE!</v>
      </c>
      <c r="P36" s="12" t="e">
        <f>AVERAGE(AV36:BC36)</f>
        <v>#VALUE!</v>
      </c>
      <c r="Q36" s="12" t="e">
        <f>STDEV(AV36:BC36)</f>
        <v>#VALUE!</v>
      </c>
      <c r="R36" s="12"/>
      <c r="S36" s="12"/>
      <c r="T36" s="12"/>
      <c r="U36" s="12"/>
      <c r="V36" s="12"/>
      <c r="W36" s="12"/>
      <c r="X36" s="19" t="e">
        <f>transition(data0!$A$2:$A$82,data0!B$2:B$82,-(Calculations!$F35+relativePrx*X4))</f>
        <v>#VALUE!</v>
      </c>
      <c r="Y36" s="19" t="e">
        <f>transition(data0!$A$2:$A$82,data0!C$2:C$82,-(Calculations!$F35+relativePrx*Y4))</f>
        <v>#VALUE!</v>
      </c>
      <c r="Z36" s="19" t="e">
        <f>transition(data0!$A$2:$A$82,data0!D$2:D$82,-(Calculations!$F35+relativePrx*Z4))</f>
        <v>#VALUE!</v>
      </c>
      <c r="AA36" s="19" t="e">
        <f>transition(data0!$A$2:$A$82,data0!E$2:E$82,-(Calculations!$F35+relativePrx*AA4))</f>
        <v>#VALUE!</v>
      </c>
      <c r="AB36" s="19" t="e">
        <f>transition(data0!$A$2:$A$82,data0!F$2:F$82,-(Calculations!$F35+relativePrx*AB4))</f>
        <v>#VALUE!</v>
      </c>
      <c r="AC36" s="19" t="e">
        <f>transition(data0!$A$2:$A$82,data0!G$2:G$82,-(Calculations!$F35+relativePrx*AC4))</f>
        <v>#VALUE!</v>
      </c>
      <c r="AD36" s="19" t="e">
        <f>transition(data0!$A$2:$A$82,data0!H$2:H$82,-(Calculations!$F35+relativePrx*AD4))</f>
        <v>#VALUE!</v>
      </c>
      <c r="AE36" s="19" t="e">
        <f>transition(data0!$A$2:$A$82,data0!I$2:I$82,-(Calculations!$F35+relativePrx*AE4))</f>
        <v>#VALUE!</v>
      </c>
      <c r="AF36" s="19" t="e">
        <f>transition(data0!$A$2:$A$82,data0!J$2:J$82,-(Calculations!$F35+relativePrx*AF4))</f>
        <v>#VALUE!</v>
      </c>
      <c r="AG36" s="19" t="e">
        <f>transition(data0!$A$2:$A$82,data0!K$2:K$82,-(Calculations!$F35+relativePrx*AG4))</f>
        <v>#VALUE!</v>
      </c>
      <c r="AH36" s="19" t="e">
        <f>transition(data0!$A$2:$A$82,data0!L$2:L$82,-(Calculations!$F35+relativePrx*AH4))</f>
        <v>#VALUE!</v>
      </c>
      <c r="AI36" s="19" t="e">
        <f>transition(data0!$A$2:$A$82,data0!M$2:M$82,-(Calculations!$F35+relativePrx*AI4))</f>
        <v>#VALUE!</v>
      </c>
      <c r="AJ36" s="19" t="e">
        <f>transition(data0!$A$2:$A$82,data0!N$2:N$82,-(Calculations!$F35+relativePrx*AJ4))</f>
        <v>#VALUE!</v>
      </c>
      <c r="AK36" s="19" t="e">
        <f>transition(data0!$A$2:$A$82,data0!O$2:O$82,-(Calculations!$F35+relativePrx*AK4))</f>
        <v>#VALUE!</v>
      </c>
      <c r="AL36" s="19" t="e">
        <f>transition(data0!$A$2:$A$82,data0!P$2:P$82,-(Calculations!$F35+relativePrx*AL4))</f>
        <v>#VALUE!</v>
      </c>
      <c r="AM36" s="19" t="e">
        <f>transition(data0!$A$2:$A$82,data0!Q$2:Q$82,-(Calculations!$F35+relativePrx*AM4))</f>
        <v>#VALUE!</v>
      </c>
      <c r="AN36" s="19" t="e">
        <f>transition(data0!$A$2:$A$82,data0!R$2:R$82,-(Calculations!$F35+relativePrx*AN4))</f>
        <v>#VALUE!</v>
      </c>
      <c r="AO36" s="19" t="e">
        <f>transition(data0!$A$2:$A$82,data0!S$2:S$82,-(Calculations!$F35+relativePrx*AO4))</f>
        <v>#VALUE!</v>
      </c>
      <c r="AP36" s="19" t="e">
        <f>transition(data0!$A$2:$A$82,data0!T$2:T$82,-(Calculations!$F35+relativePrx*AP4))</f>
        <v>#VALUE!</v>
      </c>
      <c r="AQ36" s="19" t="e">
        <f>transition(data0!$A$2:$A$82,data0!U$2:U$82,-(Calculations!$F35+relativePrx*AQ4))</f>
        <v>#VALUE!</v>
      </c>
      <c r="AR36" s="19" t="e">
        <f>transition(data0!$A$2:$A$82,data0!V$2:V$82,-(Calculations!$F35+relativePrx*AR4))</f>
        <v>#VALUE!</v>
      </c>
      <c r="AS36" s="19" t="e">
        <f>transition(data0!$A$2:$A$82,data0!W$2:W$82,-(Calculations!$F35+relativePrx*AS4))</f>
        <v>#VALUE!</v>
      </c>
      <c r="AT36" s="19" t="e">
        <f>transition(data0!$A$2:$A$82,data0!X$2:X$82,-(Calculations!$F35+relativePrx*AT4))</f>
        <v>#VALUE!</v>
      </c>
      <c r="AU36" s="19" t="e">
        <f>transition(data0!$A$2:$A$82,data0!Y$2:Y$82,-(Calculations!$F35+relativePrx*AU4))</f>
        <v>#VALUE!</v>
      </c>
      <c r="AV36" s="19" t="e">
        <f>transition(data0!$A$2:$A$82,data0!Z$2:Z$82,-(Calculations!$F35+relativePrx*AV4))</f>
        <v>#VALUE!</v>
      </c>
      <c r="AW36" s="19" t="e">
        <f>transition(data0!$A$2:$A$82,data0!AA$2:AA$82,-(Calculations!$F35+relativePrx*AW4))</f>
        <v>#VALUE!</v>
      </c>
      <c r="AX36" s="19" t="e">
        <f>transition(data0!$A$2:$A$82,data0!AB$2:AB$82,-(Calculations!$F35+relativePrx*AX4))</f>
        <v>#VALUE!</v>
      </c>
      <c r="AY36" s="19" t="e">
        <f>transition(data0!$A$2:$A$82,data0!AC$2:AC$82,-(Calculations!$F35+relativePrx*AY4))</f>
        <v>#VALUE!</v>
      </c>
      <c r="AZ36" s="19" t="e">
        <f>transition(data0!$A$2:$A$82,data0!AD$2:AD$82,-(Calculations!$F35+relativePrx*AZ4))</f>
        <v>#VALUE!</v>
      </c>
      <c r="BA36" s="19" t="e">
        <f>transition(data0!$A$2:$A$82,data0!AE$2:AE$82,-(Calculations!$F35+relativePrx*BA4))</f>
        <v>#VALUE!</v>
      </c>
      <c r="BB36" s="19" t="e">
        <f>transition(data0!$A$2:$A$82,data0!AF$2:AF$82,-(Calculations!$F35+relativePrx*BB4))</f>
        <v>#VALUE!</v>
      </c>
      <c r="BC36" s="19" t="e">
        <f>transition(data0!$A$2:$A$82,data0!AG$2:AG$82,-(Calculations!$F35+relativePrx*BC4))</f>
        <v>#VALUE!</v>
      </c>
    </row>
    <row r="37" spans="1:55">
      <c r="E37" s="18" t="str">
        <f t="shared" ref="E37:E39" si="84">E31</f>
        <v>HI-MID</v>
      </c>
      <c r="F37" s="51" t="str">
        <f>F36</f>
        <v>data</v>
      </c>
      <c r="G37" s="50">
        <f>G36+1</f>
        <v>1</v>
      </c>
      <c r="H37" s="12" t="e">
        <f t="shared" si="82"/>
        <v>#VALUE!</v>
      </c>
      <c r="I37" s="12" t="e">
        <f t="shared" si="83"/>
        <v>#VALUE!</v>
      </c>
      <c r="J37" s="12" t="e">
        <f>AVERAGE(X37:AE37)</f>
        <v>#VALUE!</v>
      </c>
      <c r="K37" s="12" t="e">
        <f>STDEV(X37:AE37)</f>
        <v>#VALUE!</v>
      </c>
      <c r="L37" s="12" t="e">
        <f>AVERAGE(AF37:AM37)</f>
        <v>#VALUE!</v>
      </c>
      <c r="M37" s="12" t="e">
        <f>STDEV(AF37:AM37)</f>
        <v>#VALUE!</v>
      </c>
      <c r="N37" s="12" t="e">
        <f>AVERAGE(AN37:AU37)</f>
        <v>#VALUE!</v>
      </c>
      <c r="O37" s="12" t="e">
        <f>STDEV(AN37:AU37)</f>
        <v>#VALUE!</v>
      </c>
      <c r="P37" s="12" t="e">
        <f>AVERAGE(AV37:BC37)</f>
        <v>#VALUE!</v>
      </c>
      <c r="Q37" s="12" t="e">
        <f>STDEV(AV37:BC37)</f>
        <v>#VALUE!</v>
      </c>
      <c r="R37" s="12"/>
      <c r="S37" s="12"/>
      <c r="T37" s="12"/>
      <c r="U37" s="12"/>
      <c r="V37" s="12"/>
      <c r="W37" s="12"/>
      <c r="X37" s="19" t="e">
        <f>transition(data1!$A$2:$A$82,data1!B$2:B$82,-(Calculations!$F35+relativePrx*X5))</f>
        <v>#VALUE!</v>
      </c>
      <c r="Y37" s="19" t="e">
        <f>transition(data1!$A$2:$A$82,data1!C$2:C$82,-(Calculations!$F35+relativePrx*Y5))</f>
        <v>#VALUE!</v>
      </c>
      <c r="Z37" s="19" t="e">
        <f>transition(data1!$A$2:$A$82,data1!D$2:D$82,-(Calculations!$F35+relativePrx*Z5))</f>
        <v>#VALUE!</v>
      </c>
      <c r="AA37" s="19" t="e">
        <f>transition(data1!$A$2:$A$82,data1!E$2:E$82,-(Calculations!$F35+relativePrx*AA5))</f>
        <v>#VALUE!</v>
      </c>
      <c r="AB37" s="19" t="e">
        <f>transition(data1!$A$2:$A$82,data1!F$2:F$82,-(Calculations!$F35+relativePrx*AB5))</f>
        <v>#VALUE!</v>
      </c>
      <c r="AC37" s="19" t="e">
        <f>transition(data1!$A$2:$A$82,data1!G$2:G$82,-(Calculations!$F35+relativePrx*AC5))</f>
        <v>#VALUE!</v>
      </c>
      <c r="AD37" s="19" t="e">
        <f>transition(data1!$A$2:$A$82,data1!H$2:H$82,-(Calculations!$F35+relativePrx*AD5))</f>
        <v>#VALUE!</v>
      </c>
      <c r="AE37" s="19" t="e">
        <f>transition(data1!$A$2:$A$82,data1!I$2:I$82,-(Calculations!$F35+relativePrx*AE5))</f>
        <v>#VALUE!</v>
      </c>
      <c r="AF37" s="19" t="e">
        <f>transition(data1!$A$2:$A$82,data1!J$2:J$82,-(Calculations!$F35+relativePrx*AF5))</f>
        <v>#VALUE!</v>
      </c>
      <c r="AG37" s="19" t="e">
        <f>transition(data1!$A$2:$A$82,data1!K$2:K$82,-(Calculations!$F35+relativePrx*AG5))</f>
        <v>#VALUE!</v>
      </c>
      <c r="AH37" s="19" t="e">
        <f>transition(data1!$A$2:$A$82,data1!L$2:L$82,-(Calculations!$F35+relativePrx*AH5))</f>
        <v>#VALUE!</v>
      </c>
      <c r="AI37" s="19" t="e">
        <f>transition(data1!$A$2:$A$82,data1!M$2:M$82,-(Calculations!$F35+relativePrx*AI5))</f>
        <v>#VALUE!</v>
      </c>
      <c r="AJ37" s="19" t="e">
        <f>transition(data1!$A$2:$A$82,data1!N$2:N$82,-(Calculations!$F35+relativePrx*AJ5))</f>
        <v>#VALUE!</v>
      </c>
      <c r="AK37" s="19" t="e">
        <f>transition(data1!$A$2:$A$82,data1!O$2:O$82,-(Calculations!$F35+relativePrx*AK5))</f>
        <v>#VALUE!</v>
      </c>
      <c r="AL37" s="19" t="e">
        <f>transition(data1!$A$2:$A$82,data1!P$2:P$82,-(Calculations!$F35+relativePrx*AL5))</f>
        <v>#VALUE!</v>
      </c>
      <c r="AM37" s="19" t="e">
        <f>transition(data1!$A$2:$A$82,data1!Q$2:Q$82,-(Calculations!$F35+relativePrx*AM5))</f>
        <v>#VALUE!</v>
      </c>
      <c r="AN37" s="19" t="e">
        <f>transition(data1!$A$2:$A$82,data1!R$2:R$82,-(Calculations!$F35+relativePrx*AN5))</f>
        <v>#VALUE!</v>
      </c>
      <c r="AO37" s="19" t="e">
        <f>transition(data1!$A$2:$A$82,data1!S$2:S$82,-(Calculations!$F35+relativePrx*AO5))</f>
        <v>#VALUE!</v>
      </c>
      <c r="AP37" s="19" t="e">
        <f>transition(data1!$A$2:$A$82,data1!T$2:T$82,-(Calculations!$F35+relativePrx*AP5))</f>
        <v>#VALUE!</v>
      </c>
      <c r="AQ37" s="19" t="e">
        <f>transition(data1!$A$2:$A$82,data1!U$2:U$82,-(Calculations!$F35+relativePrx*AQ5))</f>
        <v>#VALUE!</v>
      </c>
      <c r="AR37" s="19" t="e">
        <f>transition(data1!$A$2:$A$82,data1!V$2:V$82,-(Calculations!$F35+relativePrx*AR5))</f>
        <v>#VALUE!</v>
      </c>
      <c r="AS37" s="19" t="e">
        <f>transition(data1!$A$2:$A$82,data1!W$2:W$82,-(Calculations!$F35+relativePrx*AS5))</f>
        <v>#VALUE!</v>
      </c>
      <c r="AT37" s="19" t="e">
        <f>transition(data1!$A$2:$A$82,data1!X$2:X$82,-(Calculations!$F35+relativePrx*AT5))</f>
        <v>#VALUE!</v>
      </c>
      <c r="AU37" s="19" t="e">
        <f>transition(data1!$A$2:$A$82,data1!Y$2:Y$82,-(Calculations!$F35+relativePrx*AU5))</f>
        <v>#VALUE!</v>
      </c>
      <c r="AV37" s="19" t="e">
        <f>transition(data1!$A$2:$A$82,data1!Z$2:Z$82,-(Calculations!$F35+relativePrx*AV5))</f>
        <v>#VALUE!</v>
      </c>
      <c r="AW37" s="19" t="e">
        <f>transition(data1!$A$2:$A$82,data1!AA$2:AA$82,-(Calculations!$F35+relativePrx*AW5))</f>
        <v>#VALUE!</v>
      </c>
      <c r="AX37" s="19" t="e">
        <f>transition(data1!$A$2:$A$82,data1!AB$2:AB$82,-(Calculations!$F35+relativePrx*AX5))</f>
        <v>#VALUE!</v>
      </c>
      <c r="AY37" s="19" t="e">
        <f>transition(data1!$A$2:$A$82,data1!AC$2:AC$82,-(Calculations!$F35+relativePrx*AY5))</f>
        <v>#VALUE!</v>
      </c>
      <c r="AZ37" s="19" t="e">
        <f>transition(data1!$A$2:$A$82,data1!AD$2:AD$82,-(Calculations!$F35+relativePrx*AZ5))</f>
        <v>#VALUE!</v>
      </c>
      <c r="BA37" s="19" t="e">
        <f>transition(data1!$A$2:$A$82,data1!AE$2:AE$82,-(Calculations!$F35+relativePrx*BA5))</f>
        <v>#VALUE!</v>
      </c>
      <c r="BB37" s="19" t="e">
        <f>transition(data1!$A$2:$A$82,data1!AF$2:AF$82,-(Calculations!$F35+relativePrx*BB5))</f>
        <v>#VALUE!</v>
      </c>
      <c r="BC37" s="19" t="e">
        <f>transition(data1!$A$2:$A$82,data1!AG$2:AG$82,-(Calculations!$F35+relativePrx*BC5))</f>
        <v>#VALUE!</v>
      </c>
    </row>
    <row r="38" spans="1:55">
      <c r="E38" s="18" t="str">
        <f t="shared" si="84"/>
        <v>LO-MID</v>
      </c>
      <c r="F38" s="51" t="str">
        <f t="shared" ref="F38:F39" si="85">F37</f>
        <v>data</v>
      </c>
      <c r="G38" s="50">
        <f t="shared" ref="G38:G39" si="86">G37+1</f>
        <v>2</v>
      </c>
      <c r="H38" s="12" t="e">
        <f t="shared" ref="H38:H39" si="87">AVERAGE(X38:BC38)</f>
        <v>#VALUE!</v>
      </c>
      <c r="I38" s="12" t="e">
        <f t="shared" ref="I38:I39" si="88">STDEV(X38:BC38)</f>
        <v>#VALUE!</v>
      </c>
      <c r="J38" s="12" t="e">
        <f t="shared" ref="J38:J39" si="89">AVERAGE(X38:AE38)</f>
        <v>#VALUE!</v>
      </c>
      <c r="K38" s="12" t="e">
        <f t="shared" ref="K38:K39" si="90">STDEV(X38:AE38)</f>
        <v>#VALUE!</v>
      </c>
      <c r="L38" s="12" t="e">
        <f t="shared" ref="L38:L39" si="91">AVERAGE(AF38:AM38)</f>
        <v>#VALUE!</v>
      </c>
      <c r="M38" s="12" t="e">
        <f t="shared" ref="M38:M39" si="92">STDEV(AF38:AM38)</f>
        <v>#VALUE!</v>
      </c>
      <c r="N38" s="12" t="e">
        <f t="shared" ref="N38:N39" si="93">AVERAGE(AN38:AU38)</f>
        <v>#VALUE!</v>
      </c>
      <c r="O38" s="12" t="e">
        <f t="shared" ref="O38:O39" si="94">STDEV(AN38:AU38)</f>
        <v>#VALUE!</v>
      </c>
      <c r="P38" s="12" t="e">
        <f t="shared" ref="P38:P39" si="95">AVERAGE(AV38:BC38)</f>
        <v>#VALUE!</v>
      </c>
      <c r="Q38" s="12" t="e">
        <f t="shared" ref="Q38:Q39" si="96">STDEV(AV38:BC38)</f>
        <v>#VALUE!</v>
      </c>
      <c r="R38" s="12"/>
      <c r="S38" s="12"/>
      <c r="T38" s="12"/>
      <c r="U38" s="12"/>
      <c r="V38" s="12"/>
      <c r="W38" s="12"/>
      <c r="X38" s="19" t="e">
        <f>transition(data2!$A$2:$A$82,data2!B$2:B$82,-(Calculations!$F35+relativePrx*X6))</f>
        <v>#VALUE!</v>
      </c>
      <c r="Y38" s="19" t="e">
        <f>transition(data2!$A$2:$A$82,data2!C$2:C$82,-(Calculations!$F35+relativePrx*Y6))</f>
        <v>#VALUE!</v>
      </c>
      <c r="Z38" s="19" t="e">
        <f>transition(data2!$A$2:$A$82,data2!D$2:D$82,-(Calculations!$F35+relativePrx*Z6))</f>
        <v>#VALUE!</v>
      </c>
      <c r="AA38" s="19" t="e">
        <f>transition(data2!$A$2:$A$82,data2!E$2:E$82,-(Calculations!$F35+relativePrx*AA6))</f>
        <v>#VALUE!</v>
      </c>
      <c r="AB38" s="19" t="e">
        <f>transition(data2!$A$2:$A$82,data2!F$2:F$82,-(Calculations!$F35+relativePrx*AB6))</f>
        <v>#VALUE!</v>
      </c>
      <c r="AC38" s="19" t="e">
        <f>transition(data2!$A$2:$A$82,data2!G$2:G$82,-(Calculations!$F35+relativePrx*AC6))</f>
        <v>#VALUE!</v>
      </c>
      <c r="AD38" s="19" t="e">
        <f>transition(data2!$A$2:$A$82,data2!H$2:H$82,-(Calculations!$F35+relativePrx*AD6))</f>
        <v>#VALUE!</v>
      </c>
      <c r="AE38" s="19" t="e">
        <f>transition(data2!$A$2:$A$82,data2!I$2:I$82,-(Calculations!$F35+relativePrx*AE6))</f>
        <v>#VALUE!</v>
      </c>
      <c r="AF38" s="19" t="e">
        <f>transition(data2!$A$2:$A$82,data2!J$2:J$82,-(Calculations!$F35+relativePrx*AF6))</f>
        <v>#VALUE!</v>
      </c>
      <c r="AG38" s="19" t="e">
        <f>transition(data2!$A$2:$A$82,data2!K$2:K$82,-(Calculations!$F35+relativePrx*AG6))</f>
        <v>#VALUE!</v>
      </c>
      <c r="AH38" s="19" t="e">
        <f>transition(data2!$A$2:$A$82,data2!L$2:L$82,-(Calculations!$F35+relativePrx*AH6))</f>
        <v>#VALUE!</v>
      </c>
      <c r="AI38" s="19" t="e">
        <f>transition(data2!$A$2:$A$82,data2!M$2:M$82,-(Calculations!$F35+relativePrx*AI6))</f>
        <v>#VALUE!</v>
      </c>
      <c r="AJ38" s="19" t="e">
        <f>transition(data2!$A$2:$A$82,data2!N$2:N$82,-(Calculations!$F35+relativePrx*AJ6))</f>
        <v>#VALUE!</v>
      </c>
      <c r="AK38" s="19" t="e">
        <f>transition(data2!$A$2:$A$82,data2!O$2:O$82,-(Calculations!$F35+relativePrx*AK6))</f>
        <v>#VALUE!</v>
      </c>
      <c r="AL38" s="19" t="e">
        <f>transition(data2!$A$2:$A$82,data2!P$2:P$82,-(Calculations!$F35+relativePrx*AL6))</f>
        <v>#VALUE!</v>
      </c>
      <c r="AM38" s="19" t="e">
        <f>transition(data2!$A$2:$A$82,data2!Q$2:Q$82,-(Calculations!$F35+relativePrx*AM6))</f>
        <v>#VALUE!</v>
      </c>
      <c r="AN38" s="19" t="e">
        <f>transition(data2!$A$2:$A$82,data2!R$2:R$82,-(Calculations!$F35+relativePrx*AN6))</f>
        <v>#VALUE!</v>
      </c>
      <c r="AO38" s="19" t="e">
        <f>transition(data2!$A$2:$A$82,data2!S$2:S$82,-(Calculations!$F35+relativePrx*AO6))</f>
        <v>#VALUE!</v>
      </c>
      <c r="AP38" s="19" t="e">
        <f>transition(data2!$A$2:$A$82,data2!T$2:T$82,-(Calculations!$F35+relativePrx*AP6))</f>
        <v>#VALUE!</v>
      </c>
      <c r="AQ38" s="19" t="e">
        <f>transition(data2!$A$2:$A$82,data2!U$2:U$82,-(Calculations!$F35+relativePrx*AQ6))</f>
        <v>#VALUE!</v>
      </c>
      <c r="AR38" s="19" t="e">
        <f>transition(data2!$A$2:$A$82,data2!V$2:V$82,-(Calculations!$F35+relativePrx*AR6))</f>
        <v>#VALUE!</v>
      </c>
      <c r="AS38" s="19" t="e">
        <f>transition(data2!$A$2:$A$82,data2!W$2:W$82,-(Calculations!$F35+relativePrx*AS6))</f>
        <v>#VALUE!</v>
      </c>
      <c r="AT38" s="19" t="e">
        <f>transition(data2!$A$2:$A$82,data2!X$2:X$82,-(Calculations!$F35+relativePrx*AT6))</f>
        <v>#VALUE!</v>
      </c>
      <c r="AU38" s="19" t="e">
        <f>transition(data2!$A$2:$A$82,data2!Y$2:Y$82,-(Calculations!$F35+relativePrx*AU6))</f>
        <v>#VALUE!</v>
      </c>
      <c r="AV38" s="19" t="e">
        <f>transition(data2!$A$2:$A$82,data2!Z$2:Z$82,-(Calculations!$F35+relativePrx*AV6))</f>
        <v>#VALUE!</v>
      </c>
      <c r="AW38" s="19" t="e">
        <f>transition(data2!$A$2:$A$82,data2!AA$2:AA$82,-(Calculations!$F35+relativePrx*AW6))</f>
        <v>#VALUE!</v>
      </c>
      <c r="AX38" s="19" t="e">
        <f>transition(data2!$A$2:$A$82,data2!AB$2:AB$82,-(Calculations!$F35+relativePrx*AX6))</f>
        <v>#VALUE!</v>
      </c>
      <c r="AY38" s="19" t="e">
        <f>transition(data2!$A$2:$A$82,data2!AC$2:AC$82,-(Calculations!$F35+relativePrx*AY6))</f>
        <v>#VALUE!</v>
      </c>
      <c r="AZ38" s="19" t="e">
        <f>transition(data2!$A$2:$A$82,data2!AD$2:AD$82,-(Calculations!$F35+relativePrx*AZ6))</f>
        <v>#VALUE!</v>
      </c>
      <c r="BA38" s="19" t="e">
        <f>transition(data2!$A$2:$A$82,data2!AE$2:AE$82,-(Calculations!$F35+relativePrx*BA6))</f>
        <v>#VALUE!</v>
      </c>
      <c r="BB38" s="19" t="e">
        <f>transition(data2!$A$2:$A$82,data2!AF$2:AF$82,-(Calculations!$F35+relativePrx*BB6))</f>
        <v>#VALUE!</v>
      </c>
      <c r="BC38" s="19" t="e">
        <f>transition(data2!$A$2:$A$82,data2!AG$2:AG$82,-(Calculations!$F35+relativePrx*BC6))</f>
        <v>#VALUE!</v>
      </c>
    </row>
    <row r="39" spans="1:55">
      <c r="E39" s="18" t="str">
        <f t="shared" si="84"/>
        <v>LO</v>
      </c>
      <c r="F39" s="51" t="str">
        <f t="shared" si="85"/>
        <v>data</v>
      </c>
      <c r="G39" s="50">
        <f t="shared" si="86"/>
        <v>3</v>
      </c>
      <c r="H39" s="12" t="e">
        <f t="shared" si="87"/>
        <v>#VALUE!</v>
      </c>
      <c r="I39" s="12" t="e">
        <f t="shared" si="88"/>
        <v>#VALUE!</v>
      </c>
      <c r="J39" s="12" t="e">
        <f t="shared" si="89"/>
        <v>#VALUE!</v>
      </c>
      <c r="K39" s="12" t="e">
        <f t="shared" si="90"/>
        <v>#VALUE!</v>
      </c>
      <c r="L39" s="12" t="e">
        <f t="shared" si="91"/>
        <v>#VALUE!</v>
      </c>
      <c r="M39" s="12" t="e">
        <f t="shared" si="92"/>
        <v>#VALUE!</v>
      </c>
      <c r="N39" s="12" t="e">
        <f t="shared" si="93"/>
        <v>#VALUE!</v>
      </c>
      <c r="O39" s="12" t="e">
        <f t="shared" si="94"/>
        <v>#VALUE!</v>
      </c>
      <c r="P39" s="12" t="e">
        <f t="shared" si="95"/>
        <v>#VALUE!</v>
      </c>
      <c r="Q39" s="12" t="e">
        <f t="shared" si="96"/>
        <v>#VALUE!</v>
      </c>
      <c r="R39" s="12"/>
      <c r="S39" s="12"/>
      <c r="T39" s="12"/>
      <c r="U39" s="12"/>
      <c r="V39" s="12"/>
      <c r="W39" s="12"/>
      <c r="X39" s="19" t="e">
        <f>transition(data3!$A$2:$A$82,data3!B$2:B$82,-(Calculations!$F35+relativePrx*X7))</f>
        <v>#VALUE!</v>
      </c>
      <c r="Y39" s="19" t="e">
        <f>transition(data3!$A$2:$A$82,data3!C$2:C$82,-(Calculations!$F35+relativePrx*Y7))</f>
        <v>#VALUE!</v>
      </c>
      <c r="Z39" s="19" t="e">
        <f>transition(data3!$A$2:$A$82,data3!D$2:D$82,-(Calculations!$F35+relativePrx*Z7))</f>
        <v>#VALUE!</v>
      </c>
      <c r="AA39" s="19" t="e">
        <f>transition(data3!$A$2:$A$82,data3!E$2:E$82,-(Calculations!$F35+relativePrx*AA7))</f>
        <v>#VALUE!</v>
      </c>
      <c r="AB39" s="19" t="e">
        <f>transition(data3!$A$2:$A$82,data3!F$2:F$82,-(Calculations!$F35+relativePrx*AB7))</f>
        <v>#VALUE!</v>
      </c>
      <c r="AC39" s="19" t="e">
        <f>transition(data3!$A$2:$A$82,data3!G$2:G$82,-(Calculations!$F35+relativePrx*AC7))</f>
        <v>#VALUE!</v>
      </c>
      <c r="AD39" s="19" t="e">
        <f>transition(data3!$A$2:$A$82,data3!H$2:H$82,-(Calculations!$F35+relativePrx*AD7))</f>
        <v>#VALUE!</v>
      </c>
      <c r="AE39" s="19" t="e">
        <f>transition(data3!$A$2:$A$82,data3!I$2:I$82,-(Calculations!$F35+relativePrx*AE7))</f>
        <v>#VALUE!</v>
      </c>
      <c r="AF39" s="19" t="e">
        <f>transition(data3!$A$2:$A$82,data3!J$2:J$82,-(Calculations!$F35+relativePrx*AF7))</f>
        <v>#VALUE!</v>
      </c>
      <c r="AG39" s="19" t="e">
        <f>transition(data3!$A$2:$A$82,data3!K$2:K$82,-(Calculations!$F35+relativePrx*AG7))</f>
        <v>#VALUE!</v>
      </c>
      <c r="AH39" s="19" t="e">
        <f>transition(data3!$A$2:$A$82,data3!L$2:L$82,-(Calculations!$F35+relativePrx*AH7))</f>
        <v>#VALUE!</v>
      </c>
      <c r="AI39" s="19" t="e">
        <f>transition(data3!$A$2:$A$82,data3!M$2:M$82,-(Calculations!$F35+relativePrx*AI7))</f>
        <v>#VALUE!</v>
      </c>
      <c r="AJ39" s="19" t="e">
        <f>transition(data3!$A$2:$A$82,data3!N$2:N$82,-(Calculations!$F35+relativePrx*AJ7))</f>
        <v>#VALUE!</v>
      </c>
      <c r="AK39" s="19" t="e">
        <f>transition(data3!$A$2:$A$82,data3!O$2:O$82,-(Calculations!$F35+relativePrx*AK7))</f>
        <v>#VALUE!</v>
      </c>
      <c r="AL39" s="19" t="e">
        <f>transition(data3!$A$2:$A$82,data3!P$2:P$82,-(Calculations!$F35+relativePrx*AL7))</f>
        <v>#VALUE!</v>
      </c>
      <c r="AM39" s="19" t="e">
        <f>transition(data3!$A$2:$A$82,data3!Q$2:Q$82,-(Calculations!$F35+relativePrx*AM7))</f>
        <v>#VALUE!</v>
      </c>
      <c r="AN39" s="19" t="e">
        <f>transition(data3!$A$2:$A$82,data3!R$2:R$82,-(Calculations!$F35+relativePrx*AN7))</f>
        <v>#VALUE!</v>
      </c>
      <c r="AO39" s="19" t="e">
        <f>transition(data3!$A$2:$A$82,data3!S$2:S$82,-(Calculations!$F35+relativePrx*AO7))</f>
        <v>#VALUE!</v>
      </c>
      <c r="AP39" s="19" t="e">
        <f>transition(data3!$A$2:$A$82,data3!T$2:T$82,-(Calculations!$F35+relativePrx*AP7))</f>
        <v>#VALUE!</v>
      </c>
      <c r="AQ39" s="19" t="e">
        <f>transition(data3!$A$2:$A$82,data3!U$2:U$82,-(Calculations!$F35+relativePrx*AQ7))</f>
        <v>#VALUE!</v>
      </c>
      <c r="AR39" s="19" t="e">
        <f>transition(data3!$A$2:$A$82,data3!V$2:V$82,-(Calculations!$F35+relativePrx*AR7))</f>
        <v>#VALUE!</v>
      </c>
      <c r="AS39" s="19" t="e">
        <f>transition(data3!$A$2:$A$82,data3!W$2:W$82,-(Calculations!$F35+relativePrx*AS7))</f>
        <v>#VALUE!</v>
      </c>
      <c r="AT39" s="19" t="e">
        <f>transition(data3!$A$2:$A$82,data3!X$2:X$82,-(Calculations!$F35+relativePrx*AT7))</f>
        <v>#VALUE!</v>
      </c>
      <c r="AU39" s="19" t="e">
        <f>transition(data3!$A$2:$A$82,data3!Y$2:Y$82,-(Calculations!$F35+relativePrx*AU7))</f>
        <v>#VALUE!</v>
      </c>
      <c r="AV39" s="19" t="e">
        <f>transition(data3!$A$2:$A$82,data3!Z$2:Z$82,-(Calculations!$F35+relativePrx*AV7))</f>
        <v>#VALUE!</v>
      </c>
      <c r="AW39" s="19" t="e">
        <f>transition(data3!$A$2:$A$82,data3!AA$2:AA$82,-(Calculations!$F35+relativePrx*AW7))</f>
        <v>#VALUE!</v>
      </c>
      <c r="AX39" s="19" t="e">
        <f>transition(data3!$A$2:$A$82,data3!AB$2:AB$82,-(Calculations!$F35+relativePrx*AX7))</f>
        <v>#VALUE!</v>
      </c>
      <c r="AY39" s="19" t="e">
        <f>transition(data3!$A$2:$A$82,data3!AC$2:AC$82,-(Calculations!$F35+relativePrx*AY7))</f>
        <v>#VALUE!</v>
      </c>
      <c r="AZ39" s="19" t="e">
        <f>transition(data3!$A$2:$A$82,data3!AD$2:AD$82,-(Calculations!$F35+relativePrx*AZ7))</f>
        <v>#VALUE!</v>
      </c>
      <c r="BA39" s="19" t="e">
        <f>transition(data3!$A$2:$A$82,data3!AE$2:AE$82,-(Calculations!$F35+relativePrx*BA7))</f>
        <v>#VALUE!</v>
      </c>
      <c r="BB39" s="19" t="e">
        <f>transition(data3!$A$2:$A$82,data3!AF$2:AF$82,-(Calculations!$F35+relativePrx*BB7))</f>
        <v>#VALUE!</v>
      </c>
      <c r="BC39" s="19" t="e">
        <f>transition(data3!$A$2:$A$82,data3!AG$2:AG$82,-(Calculations!$F35+relativePrx*BC7))</f>
        <v>#VALUE!</v>
      </c>
    </row>
    <row r="41" spans="1:55"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</row>
    <row r="42" spans="1:55">
      <c r="D42" s="103" t="str">
        <f>data0!A1</f>
        <v>HI</v>
      </c>
      <c r="E42" s="103"/>
      <c r="F42" s="103"/>
      <c r="G42" s="103"/>
      <c r="H42" s="103"/>
      <c r="I42" s="103"/>
      <c r="J42" s="103" t="str">
        <f>data1!A1</f>
        <v>HI-MID</v>
      </c>
      <c r="K42" s="103"/>
      <c r="L42" s="108" t="str">
        <f>data2!A1</f>
        <v>LO-MID</v>
      </c>
      <c r="M42" s="108"/>
      <c r="N42" s="108" t="str">
        <f>data3!A1</f>
        <v>LO</v>
      </c>
      <c r="O42" s="108"/>
      <c r="P42" s="103" t="s">
        <v>19</v>
      </c>
      <c r="Q42" s="103"/>
      <c r="R42" s="103"/>
      <c r="S42" s="103" t="s">
        <v>75</v>
      </c>
      <c r="T42" s="103"/>
      <c r="U42" s="103"/>
      <c r="V42" s="103"/>
      <c r="W42" s="103"/>
      <c r="Z42" s="104" t="str">
        <f>Summary!B34</f>
        <v>29147 Proximity Sweep: 6% Reflector , 77% Xmit @ 850nm</v>
      </c>
      <c r="AA42" s="104"/>
      <c r="AB42" s="104"/>
      <c r="AC42" s="104"/>
      <c r="AD42" s="104"/>
      <c r="AE42" s="104"/>
      <c r="AF42" s="104"/>
      <c r="AG42" s="104"/>
      <c r="AH42" s="104"/>
      <c r="AI42" s="104" t="str">
        <f>Summary!I34</f>
        <v>29147 Range Distribution (10%): 6% Reflector , 77% Xmit @ 850nm</v>
      </c>
      <c r="AJ42" s="104"/>
      <c r="AK42" s="104"/>
      <c r="AL42" s="104"/>
      <c r="AM42" s="104"/>
      <c r="AN42" s="104"/>
      <c r="AO42" s="104"/>
      <c r="AP42" s="104"/>
    </row>
    <row r="43" spans="1:55">
      <c r="A43" s="106" t="s">
        <v>73</v>
      </c>
      <c r="B43" s="106"/>
      <c r="D43" s="66" t="s">
        <v>69</v>
      </c>
      <c r="E43" s="41" t="s">
        <v>0</v>
      </c>
      <c r="F43" s="66" t="s">
        <v>70</v>
      </c>
      <c r="G43" s="18" t="s">
        <v>71</v>
      </c>
      <c r="H43" s="41" t="s">
        <v>72</v>
      </c>
      <c r="I43" s="33" t="s">
        <v>1</v>
      </c>
      <c r="J43" s="33" t="str">
        <f>E43</f>
        <v>mean</v>
      </c>
      <c r="K43" s="33" t="str">
        <f t="shared" ref="K43:O43" si="97">I43</f>
        <v>stdev</v>
      </c>
      <c r="L43" s="33" t="str">
        <f t="shared" si="97"/>
        <v>mean</v>
      </c>
      <c r="M43" s="33" t="str">
        <f t="shared" si="97"/>
        <v>stdev</v>
      </c>
      <c r="N43" s="33" t="str">
        <f t="shared" si="97"/>
        <v>mean</v>
      </c>
      <c r="O43" s="33" t="str">
        <f t="shared" si="97"/>
        <v>stdev</v>
      </c>
      <c r="P43" s="33" t="str">
        <f>J42</f>
        <v>HI-MID</v>
      </c>
      <c r="Q43" s="33" t="str">
        <f>L42</f>
        <v>LO-MID</v>
      </c>
      <c r="R43" s="33" t="str">
        <f>N42</f>
        <v>LO</v>
      </c>
      <c r="S43" s="41"/>
      <c r="T43" s="41" t="str">
        <f>D43</f>
        <v>-1.5σ</v>
      </c>
      <c r="U43" s="41" t="str">
        <f>E43</f>
        <v>mean</v>
      </c>
      <c r="V43" s="41" t="str">
        <f>F43</f>
        <v>+1.5σ</v>
      </c>
      <c r="W43" s="41" t="s">
        <v>76</v>
      </c>
      <c r="AR43" s="103" t="s">
        <v>18</v>
      </c>
      <c r="AS43" s="103"/>
      <c r="AT43" s="103"/>
    </row>
    <row r="44" spans="1:55" ht="15.75">
      <c r="A44" s="107" t="s">
        <v>74</v>
      </c>
      <c r="B44" s="107"/>
      <c r="C44" s="54">
        <f>B3</f>
        <v>1.6</v>
      </c>
      <c r="D44" s="27" t="e">
        <f t="shared" ref="D44:D75" si="98">E44-1.5*I44</f>
        <v>#DIV/0!</v>
      </c>
      <c r="E44" s="55" t="e">
        <f>AVERAGE(data0!B2:AG2)</f>
        <v>#DIV/0!</v>
      </c>
      <c r="F44" s="27" t="e">
        <f t="shared" ref="F44:F75" si="99">E44+1.5*I44</f>
        <v>#DIV/0!</v>
      </c>
      <c r="G44" s="18">
        <f>MAX(data0!B2:AG2)</f>
        <v>0</v>
      </c>
      <c r="H44" s="27" t="e">
        <f t="shared" ref="H44:H75" si="100">E44-H$4</f>
        <v>#DIV/0!</v>
      </c>
      <c r="I44" s="55" t="e">
        <f>STDEV(data0!B2:AG2)</f>
        <v>#DIV/0!</v>
      </c>
      <c r="J44" s="55" t="e">
        <f>AVERAGE(data1!B2:AG2)</f>
        <v>#DIV/0!</v>
      </c>
      <c r="K44" s="55" t="e">
        <f>STDEV(data1!B2:AG2)</f>
        <v>#DIV/0!</v>
      </c>
      <c r="L44" s="56" t="e">
        <f>AVERAGE(data2!B2:AG2)</f>
        <v>#DIV/0!</v>
      </c>
      <c r="M44" s="56" t="e">
        <f>STDEV(data2!B2:AG2)</f>
        <v>#DIV/0!</v>
      </c>
      <c r="N44" s="56" t="e">
        <f>AVERAGE(data3!B2:AG2)</f>
        <v>#DIV/0!</v>
      </c>
      <c r="O44" s="56" t="e">
        <f>STDEV(data3!B2:AG2)</f>
        <v>#DIV/0!</v>
      </c>
      <c r="P44" s="18" t="e">
        <f t="shared" ref="P44:P75" si="101">(E44-relativePrx*$H$4)/(J44-relativePrx*$H$5)</f>
        <v>#DIV/0!</v>
      </c>
      <c r="Q44" s="18" t="e">
        <f t="shared" ref="Q44:Q75" si="102">(J44-relativePrx*$H$5)/(L44-relativePrx*$H$6)</f>
        <v>#DIV/0!</v>
      </c>
      <c r="R44" s="18" t="e">
        <f t="shared" ref="R44:R75" si="103">(L44-relativePrx*$H$6)/(N44-relativePrx*$H$7)</f>
        <v>#DIV/0!</v>
      </c>
      <c r="S44" s="19">
        <f>C44</f>
        <v>1.6</v>
      </c>
      <c r="T44" s="27" t="e">
        <f>D44-$H$4</f>
        <v>#DIV/0!</v>
      </c>
      <c r="U44" s="27" t="e">
        <f>H44</f>
        <v>#DIV/0!</v>
      </c>
      <c r="V44" s="27" t="e">
        <f>F44-$H$4</f>
        <v>#DIV/0!</v>
      </c>
      <c r="W44" s="27" t="e">
        <f>MAX(A$45*C44^B$45-$H$4,0)</f>
        <v>#DIV/0!</v>
      </c>
      <c r="AR44" s="18" t="s">
        <v>14</v>
      </c>
      <c r="AS44" s="18" t="e">
        <f>(AS53-AS45)/8</f>
        <v>#VALUE!</v>
      </c>
      <c r="AT44" s="18" t="s">
        <v>17</v>
      </c>
    </row>
    <row r="45" spans="1:55">
      <c r="A45" s="67">
        <v>5.9867999999999997</v>
      </c>
      <c r="B45" s="67">
        <v>-1.1910000000000001</v>
      </c>
      <c r="C45" s="54">
        <f t="shared" ref="C45:C76" si="104">C44+$B$4</f>
        <v>2.6</v>
      </c>
      <c r="D45" s="27" t="e">
        <f t="shared" si="98"/>
        <v>#DIV/0!</v>
      </c>
      <c r="E45" s="55" t="e">
        <f>AVERAGE(data0!B3:AG3)</f>
        <v>#DIV/0!</v>
      </c>
      <c r="F45" s="27" t="e">
        <f t="shared" si="99"/>
        <v>#DIV/0!</v>
      </c>
      <c r="G45" s="18">
        <f>MAX(data0!B3:AG3)</f>
        <v>0</v>
      </c>
      <c r="H45" s="27" t="e">
        <f t="shared" si="100"/>
        <v>#DIV/0!</v>
      </c>
      <c r="I45" s="55" t="e">
        <f>STDEV(data0!B3:AG3)</f>
        <v>#DIV/0!</v>
      </c>
      <c r="J45" s="55" t="e">
        <f>AVERAGE(data1!B3:AG3)</f>
        <v>#DIV/0!</v>
      </c>
      <c r="K45" s="55" t="e">
        <f>STDEV(data1!B3:AG3)</f>
        <v>#DIV/0!</v>
      </c>
      <c r="L45" s="56" t="e">
        <f>AVERAGE(data2!B3:AG3)</f>
        <v>#DIV/0!</v>
      </c>
      <c r="M45" s="56" t="e">
        <f>STDEV(data2!B3:AG3)</f>
        <v>#DIV/0!</v>
      </c>
      <c r="N45" s="56" t="e">
        <f>AVERAGE(data3!B3:AG3)</f>
        <v>#DIV/0!</v>
      </c>
      <c r="O45" s="56" t="e">
        <f>STDEV(data3!B3:AG3)</f>
        <v>#DIV/0!</v>
      </c>
      <c r="P45" s="18" t="e">
        <f t="shared" si="101"/>
        <v>#DIV/0!</v>
      </c>
      <c r="Q45" s="18" t="e">
        <f t="shared" si="102"/>
        <v>#DIV/0!</v>
      </c>
      <c r="R45" s="18" t="e">
        <f t="shared" si="103"/>
        <v>#DIV/0!</v>
      </c>
      <c r="S45" s="19">
        <f t="shared" ref="S45:S108" si="105">C45</f>
        <v>2.6</v>
      </c>
      <c r="T45" s="27" t="e">
        <f t="shared" ref="T45:T108" si="106">D45-$H$4</f>
        <v>#DIV/0!</v>
      </c>
      <c r="U45" s="27" t="e">
        <f t="shared" ref="U45:U108" si="107">H45</f>
        <v>#DIV/0!</v>
      </c>
      <c r="V45" s="27" t="e">
        <f t="shared" ref="V45:V108" si="108">F45-$H$4</f>
        <v>#DIV/0!</v>
      </c>
      <c r="W45" s="27" t="e">
        <f t="shared" ref="W45:W108" si="109">MAX(A$45*C45^B$45-$H$4,0)</f>
        <v>#DIV/0!</v>
      </c>
      <c r="AR45" s="19" t="s">
        <v>15</v>
      </c>
      <c r="AS45" s="12" t="e">
        <f>MIN(X24:BC24)</f>
        <v>#VALUE!</v>
      </c>
      <c r="AT45" s="41" t="e">
        <f t="shared" ref="AT45:AT53" si="110">HISTOGRAM(X$24:BC$24,AS$45:AS$53,AS45)</f>
        <v>#VALUE!</v>
      </c>
    </row>
    <row r="46" spans="1:55">
      <c r="A46" s="103" t="e">
        <f>"Y="&amp;A45&amp;"X^"&amp;B45&amp;" - "&amp;INT(H4*1000)/1000</f>
        <v>#DIV/0!</v>
      </c>
      <c r="B46" s="103"/>
      <c r="C46" s="54">
        <f t="shared" si="104"/>
        <v>3.6</v>
      </c>
      <c r="D46" s="27" t="e">
        <f t="shared" si="98"/>
        <v>#DIV/0!</v>
      </c>
      <c r="E46" s="55" t="e">
        <f>AVERAGE(data0!B4:AG4)</f>
        <v>#DIV/0!</v>
      </c>
      <c r="F46" s="27" t="e">
        <f t="shared" si="99"/>
        <v>#DIV/0!</v>
      </c>
      <c r="G46" s="18">
        <f>MAX(data0!B4:AG4)</f>
        <v>0</v>
      </c>
      <c r="H46" s="27" t="e">
        <f t="shared" si="100"/>
        <v>#DIV/0!</v>
      </c>
      <c r="I46" s="55" t="e">
        <f>STDEV(data0!B4:AG4)</f>
        <v>#DIV/0!</v>
      </c>
      <c r="J46" s="55" t="e">
        <f>AVERAGE(data1!B4:AG4)</f>
        <v>#DIV/0!</v>
      </c>
      <c r="K46" s="55" t="e">
        <f>STDEV(data1!B4:AG4)</f>
        <v>#DIV/0!</v>
      </c>
      <c r="L46" s="56" t="e">
        <f>AVERAGE(data2!B4:AG4)</f>
        <v>#DIV/0!</v>
      </c>
      <c r="M46" s="56" t="e">
        <f>STDEV(data2!B4:AG4)</f>
        <v>#DIV/0!</v>
      </c>
      <c r="N46" s="56" t="e">
        <f>AVERAGE(data3!B4:AG4)</f>
        <v>#DIV/0!</v>
      </c>
      <c r="O46" s="56" t="e">
        <f>STDEV(data3!B4:AG4)</f>
        <v>#DIV/0!</v>
      </c>
      <c r="P46" s="18" t="e">
        <f t="shared" si="101"/>
        <v>#DIV/0!</v>
      </c>
      <c r="Q46" s="18" t="e">
        <f t="shared" si="102"/>
        <v>#DIV/0!</v>
      </c>
      <c r="R46" s="18" t="e">
        <f t="shared" si="103"/>
        <v>#DIV/0!</v>
      </c>
      <c r="S46" s="19">
        <f t="shared" si="105"/>
        <v>3.6</v>
      </c>
      <c r="T46" s="27" t="e">
        <f t="shared" si="106"/>
        <v>#DIV/0!</v>
      </c>
      <c r="U46" s="27" t="e">
        <f t="shared" si="107"/>
        <v>#DIV/0!</v>
      </c>
      <c r="V46" s="27" t="e">
        <f t="shared" si="108"/>
        <v>#DIV/0!</v>
      </c>
      <c r="W46" s="27" t="e">
        <f t="shared" si="109"/>
        <v>#DIV/0!</v>
      </c>
      <c r="AR46" s="19"/>
      <c r="AS46" s="12" t="e">
        <f t="shared" ref="AS46:AS52" si="111">AS45+AS$44</f>
        <v>#VALUE!</v>
      </c>
      <c r="AT46" s="41" t="e">
        <f t="shared" si="110"/>
        <v>#VALUE!</v>
      </c>
    </row>
    <row r="47" spans="1:55">
      <c r="C47" s="54">
        <f t="shared" si="104"/>
        <v>4.5999999999999996</v>
      </c>
      <c r="D47" s="27" t="e">
        <f t="shared" si="98"/>
        <v>#DIV/0!</v>
      </c>
      <c r="E47" s="55" t="e">
        <f>AVERAGE(data0!B5:AG5)</f>
        <v>#DIV/0!</v>
      </c>
      <c r="F47" s="27" t="e">
        <f t="shared" si="99"/>
        <v>#DIV/0!</v>
      </c>
      <c r="G47" s="18">
        <f>MAX(data0!B5:AG5)</f>
        <v>0</v>
      </c>
      <c r="H47" s="27" t="e">
        <f t="shared" si="100"/>
        <v>#DIV/0!</v>
      </c>
      <c r="I47" s="55" t="e">
        <f>STDEV(data0!B5:AG5)</f>
        <v>#DIV/0!</v>
      </c>
      <c r="J47" s="55" t="e">
        <f>AVERAGE(data1!B5:AG5)</f>
        <v>#DIV/0!</v>
      </c>
      <c r="K47" s="55" t="e">
        <f>STDEV(data1!B5:AG5)</f>
        <v>#DIV/0!</v>
      </c>
      <c r="L47" s="56" t="e">
        <f>AVERAGE(data2!B5:AG5)</f>
        <v>#DIV/0!</v>
      </c>
      <c r="M47" s="56" t="e">
        <f>STDEV(data2!B5:AG5)</f>
        <v>#DIV/0!</v>
      </c>
      <c r="N47" s="56" t="e">
        <f>AVERAGE(data3!B5:AG5)</f>
        <v>#DIV/0!</v>
      </c>
      <c r="O47" s="56" t="e">
        <f>STDEV(data3!B5:AG5)</f>
        <v>#DIV/0!</v>
      </c>
      <c r="P47" s="18" t="e">
        <f t="shared" si="101"/>
        <v>#DIV/0!</v>
      </c>
      <c r="Q47" s="18" t="e">
        <f t="shared" si="102"/>
        <v>#DIV/0!</v>
      </c>
      <c r="R47" s="18" t="e">
        <f t="shared" si="103"/>
        <v>#DIV/0!</v>
      </c>
      <c r="S47" s="19">
        <f t="shared" si="105"/>
        <v>4.5999999999999996</v>
      </c>
      <c r="T47" s="27" t="e">
        <f t="shared" si="106"/>
        <v>#DIV/0!</v>
      </c>
      <c r="U47" s="27" t="e">
        <f t="shared" si="107"/>
        <v>#DIV/0!</v>
      </c>
      <c r="V47" s="27" t="e">
        <f t="shared" si="108"/>
        <v>#DIV/0!</v>
      </c>
      <c r="W47" s="27" t="e">
        <f t="shared" si="109"/>
        <v>#DIV/0!</v>
      </c>
      <c r="AR47" s="19"/>
      <c r="AS47" s="12" t="e">
        <f t="shared" si="111"/>
        <v>#VALUE!</v>
      </c>
      <c r="AT47" s="41" t="e">
        <f t="shared" si="110"/>
        <v>#VALUE!</v>
      </c>
    </row>
    <row r="48" spans="1:55">
      <c r="C48" s="54">
        <f t="shared" si="104"/>
        <v>5.6</v>
      </c>
      <c r="D48" s="27" t="e">
        <f t="shared" si="98"/>
        <v>#DIV/0!</v>
      </c>
      <c r="E48" s="55" t="e">
        <f>AVERAGE(data0!B6:AG6)</f>
        <v>#DIV/0!</v>
      </c>
      <c r="F48" s="27" t="e">
        <f t="shared" si="99"/>
        <v>#DIV/0!</v>
      </c>
      <c r="G48" s="18">
        <f>MAX(data0!B6:AG6)</f>
        <v>0</v>
      </c>
      <c r="H48" s="27" t="e">
        <f t="shared" si="100"/>
        <v>#DIV/0!</v>
      </c>
      <c r="I48" s="55" t="e">
        <f>STDEV(data0!B6:AG6)</f>
        <v>#DIV/0!</v>
      </c>
      <c r="J48" s="55" t="e">
        <f>AVERAGE(data1!B6:AG6)</f>
        <v>#DIV/0!</v>
      </c>
      <c r="K48" s="55" t="e">
        <f>STDEV(data1!B6:AG6)</f>
        <v>#DIV/0!</v>
      </c>
      <c r="L48" s="56" t="e">
        <f>AVERAGE(data2!B6:AG6)</f>
        <v>#DIV/0!</v>
      </c>
      <c r="M48" s="56" t="e">
        <f>STDEV(data2!B6:AG6)</f>
        <v>#DIV/0!</v>
      </c>
      <c r="N48" s="56" t="e">
        <f>AVERAGE(data3!B6:AG6)</f>
        <v>#DIV/0!</v>
      </c>
      <c r="O48" s="56" t="e">
        <f>STDEV(data3!B6:AG6)</f>
        <v>#DIV/0!</v>
      </c>
      <c r="P48" s="18" t="e">
        <f t="shared" si="101"/>
        <v>#DIV/0!</v>
      </c>
      <c r="Q48" s="18" t="e">
        <f t="shared" si="102"/>
        <v>#DIV/0!</v>
      </c>
      <c r="R48" s="18" t="e">
        <f t="shared" si="103"/>
        <v>#DIV/0!</v>
      </c>
      <c r="S48" s="19">
        <f t="shared" si="105"/>
        <v>5.6</v>
      </c>
      <c r="T48" s="27" t="e">
        <f t="shared" si="106"/>
        <v>#DIV/0!</v>
      </c>
      <c r="U48" s="27" t="e">
        <f t="shared" si="107"/>
        <v>#DIV/0!</v>
      </c>
      <c r="V48" s="27" t="e">
        <f t="shared" si="108"/>
        <v>#DIV/0!</v>
      </c>
      <c r="W48" s="27" t="e">
        <f t="shared" si="109"/>
        <v>#DIV/0!</v>
      </c>
      <c r="AR48" s="19"/>
      <c r="AS48" s="12" t="e">
        <f t="shared" si="111"/>
        <v>#VALUE!</v>
      </c>
      <c r="AT48" s="41" t="e">
        <f t="shared" si="110"/>
        <v>#VALUE!</v>
      </c>
    </row>
    <row r="49" spans="3:46">
      <c r="C49" s="54">
        <f t="shared" si="104"/>
        <v>6.6</v>
      </c>
      <c r="D49" s="27" t="e">
        <f t="shared" si="98"/>
        <v>#DIV/0!</v>
      </c>
      <c r="E49" s="55" t="e">
        <f>AVERAGE(data0!B7:AG7)</f>
        <v>#DIV/0!</v>
      </c>
      <c r="F49" s="27" t="e">
        <f t="shared" si="99"/>
        <v>#DIV/0!</v>
      </c>
      <c r="G49" s="18">
        <f>MAX(data0!B7:AG7)</f>
        <v>0</v>
      </c>
      <c r="H49" s="27" t="e">
        <f t="shared" si="100"/>
        <v>#DIV/0!</v>
      </c>
      <c r="I49" s="55" t="e">
        <f>STDEV(data0!B7:AG7)</f>
        <v>#DIV/0!</v>
      </c>
      <c r="J49" s="55" t="e">
        <f>AVERAGE(data1!B7:AG7)</f>
        <v>#DIV/0!</v>
      </c>
      <c r="K49" s="55" t="e">
        <f>STDEV(data1!B7:AG7)</f>
        <v>#DIV/0!</v>
      </c>
      <c r="L49" s="56" t="e">
        <f>AVERAGE(data2!B7:AG7)</f>
        <v>#DIV/0!</v>
      </c>
      <c r="M49" s="56" t="e">
        <f>STDEV(data2!B7:AG7)</f>
        <v>#DIV/0!</v>
      </c>
      <c r="N49" s="56" t="e">
        <f>AVERAGE(data3!B7:AG7)</f>
        <v>#DIV/0!</v>
      </c>
      <c r="O49" s="56" t="e">
        <f>STDEV(data3!B7:AG7)</f>
        <v>#DIV/0!</v>
      </c>
      <c r="P49" s="18" t="e">
        <f t="shared" si="101"/>
        <v>#DIV/0!</v>
      </c>
      <c r="Q49" s="18" t="e">
        <f t="shared" si="102"/>
        <v>#DIV/0!</v>
      </c>
      <c r="R49" s="18" t="e">
        <f t="shared" si="103"/>
        <v>#DIV/0!</v>
      </c>
      <c r="S49" s="19">
        <f t="shared" si="105"/>
        <v>6.6</v>
      </c>
      <c r="T49" s="27" t="e">
        <f t="shared" si="106"/>
        <v>#DIV/0!</v>
      </c>
      <c r="U49" s="27" t="e">
        <f t="shared" si="107"/>
        <v>#DIV/0!</v>
      </c>
      <c r="V49" s="27" t="e">
        <f t="shared" si="108"/>
        <v>#DIV/0!</v>
      </c>
      <c r="W49" s="27" t="e">
        <f t="shared" si="109"/>
        <v>#DIV/0!</v>
      </c>
      <c r="AR49" s="19"/>
      <c r="AS49" s="12" t="e">
        <f t="shared" si="111"/>
        <v>#VALUE!</v>
      </c>
      <c r="AT49" s="41" t="e">
        <f t="shared" si="110"/>
        <v>#VALUE!</v>
      </c>
    </row>
    <row r="50" spans="3:46">
      <c r="C50" s="54">
        <f t="shared" si="104"/>
        <v>7.6</v>
      </c>
      <c r="D50" s="27" t="e">
        <f t="shared" si="98"/>
        <v>#DIV/0!</v>
      </c>
      <c r="E50" s="55" t="e">
        <f>AVERAGE(data0!B8:AG8)</f>
        <v>#DIV/0!</v>
      </c>
      <c r="F50" s="27" t="e">
        <f t="shared" si="99"/>
        <v>#DIV/0!</v>
      </c>
      <c r="G50" s="18">
        <f>MAX(data0!B8:AG8)</f>
        <v>0</v>
      </c>
      <c r="H50" s="27" t="e">
        <f t="shared" si="100"/>
        <v>#DIV/0!</v>
      </c>
      <c r="I50" s="55" t="e">
        <f>STDEV(data0!B8:AG8)</f>
        <v>#DIV/0!</v>
      </c>
      <c r="J50" s="55" t="e">
        <f>AVERAGE(data1!B8:AG8)</f>
        <v>#DIV/0!</v>
      </c>
      <c r="K50" s="55" t="e">
        <f>STDEV(data1!B8:AG8)</f>
        <v>#DIV/0!</v>
      </c>
      <c r="L50" s="56" t="e">
        <f>AVERAGE(data2!B8:AG8)</f>
        <v>#DIV/0!</v>
      </c>
      <c r="M50" s="56" t="e">
        <f>STDEV(data2!B8:AG8)</f>
        <v>#DIV/0!</v>
      </c>
      <c r="N50" s="56" t="e">
        <f>AVERAGE(data3!B8:AG8)</f>
        <v>#DIV/0!</v>
      </c>
      <c r="O50" s="56" t="e">
        <f>STDEV(data3!B8:AG8)</f>
        <v>#DIV/0!</v>
      </c>
      <c r="P50" s="18" t="e">
        <f t="shared" si="101"/>
        <v>#DIV/0!</v>
      </c>
      <c r="Q50" s="18" t="e">
        <f t="shared" si="102"/>
        <v>#DIV/0!</v>
      </c>
      <c r="R50" s="18" t="e">
        <f t="shared" si="103"/>
        <v>#DIV/0!</v>
      </c>
      <c r="S50" s="19">
        <f t="shared" si="105"/>
        <v>7.6</v>
      </c>
      <c r="T50" s="27" t="e">
        <f t="shared" si="106"/>
        <v>#DIV/0!</v>
      </c>
      <c r="U50" s="27" t="e">
        <f t="shared" si="107"/>
        <v>#DIV/0!</v>
      </c>
      <c r="V50" s="27" t="e">
        <f t="shared" si="108"/>
        <v>#DIV/0!</v>
      </c>
      <c r="W50" s="27" t="e">
        <f t="shared" si="109"/>
        <v>#DIV/0!</v>
      </c>
      <c r="AR50" s="19"/>
      <c r="AS50" s="12" t="e">
        <f t="shared" si="111"/>
        <v>#VALUE!</v>
      </c>
      <c r="AT50" s="41" t="e">
        <f t="shared" si="110"/>
        <v>#VALUE!</v>
      </c>
    </row>
    <row r="51" spans="3:46">
      <c r="C51" s="54">
        <f t="shared" si="104"/>
        <v>8.6</v>
      </c>
      <c r="D51" s="27" t="e">
        <f t="shared" si="98"/>
        <v>#DIV/0!</v>
      </c>
      <c r="E51" s="55" t="e">
        <f>AVERAGE(data0!B9:AG9)</f>
        <v>#DIV/0!</v>
      </c>
      <c r="F51" s="27" t="e">
        <f t="shared" si="99"/>
        <v>#DIV/0!</v>
      </c>
      <c r="G51" s="18">
        <f>MAX(data0!B9:AG9)</f>
        <v>0</v>
      </c>
      <c r="H51" s="27" t="e">
        <f t="shared" si="100"/>
        <v>#DIV/0!</v>
      </c>
      <c r="I51" s="55" t="e">
        <f>STDEV(data0!B9:AG9)</f>
        <v>#DIV/0!</v>
      </c>
      <c r="J51" s="55" t="e">
        <f>AVERAGE(data1!B9:AG9)</f>
        <v>#DIV/0!</v>
      </c>
      <c r="K51" s="55" t="e">
        <f>STDEV(data1!B9:AG9)</f>
        <v>#DIV/0!</v>
      </c>
      <c r="L51" s="56" t="e">
        <f>AVERAGE(data2!B9:AG9)</f>
        <v>#DIV/0!</v>
      </c>
      <c r="M51" s="56" t="e">
        <f>STDEV(data2!B9:AG9)</f>
        <v>#DIV/0!</v>
      </c>
      <c r="N51" s="56" t="e">
        <f>AVERAGE(data3!B9:AG9)</f>
        <v>#DIV/0!</v>
      </c>
      <c r="O51" s="56" t="e">
        <f>STDEV(data3!B9:AG9)</f>
        <v>#DIV/0!</v>
      </c>
      <c r="P51" s="18" t="e">
        <f t="shared" si="101"/>
        <v>#DIV/0!</v>
      </c>
      <c r="Q51" s="18" t="e">
        <f t="shared" si="102"/>
        <v>#DIV/0!</v>
      </c>
      <c r="R51" s="18" t="e">
        <f t="shared" si="103"/>
        <v>#DIV/0!</v>
      </c>
      <c r="S51" s="19">
        <f t="shared" si="105"/>
        <v>8.6</v>
      </c>
      <c r="T51" s="27" t="e">
        <f t="shared" si="106"/>
        <v>#DIV/0!</v>
      </c>
      <c r="U51" s="27" t="e">
        <f t="shared" si="107"/>
        <v>#DIV/0!</v>
      </c>
      <c r="V51" s="27" t="e">
        <f t="shared" si="108"/>
        <v>#DIV/0!</v>
      </c>
      <c r="W51" s="27" t="e">
        <f t="shared" si="109"/>
        <v>#DIV/0!</v>
      </c>
      <c r="AR51" s="19"/>
      <c r="AS51" s="12" t="e">
        <f t="shared" si="111"/>
        <v>#VALUE!</v>
      </c>
      <c r="AT51" s="41" t="e">
        <f t="shared" si="110"/>
        <v>#VALUE!</v>
      </c>
    </row>
    <row r="52" spans="3:46">
      <c r="C52" s="54">
        <f t="shared" si="104"/>
        <v>9.6</v>
      </c>
      <c r="D52" s="27" t="e">
        <f t="shared" si="98"/>
        <v>#DIV/0!</v>
      </c>
      <c r="E52" s="55" t="e">
        <f>AVERAGE(data0!B10:AG10)</f>
        <v>#DIV/0!</v>
      </c>
      <c r="F52" s="27" t="e">
        <f t="shared" si="99"/>
        <v>#DIV/0!</v>
      </c>
      <c r="G52" s="18">
        <f>MAX(data0!B10:AG10)</f>
        <v>0</v>
      </c>
      <c r="H52" s="27" t="e">
        <f t="shared" si="100"/>
        <v>#DIV/0!</v>
      </c>
      <c r="I52" s="55" t="e">
        <f>STDEV(data0!B10:AG10)</f>
        <v>#DIV/0!</v>
      </c>
      <c r="J52" s="55" t="e">
        <f>AVERAGE(data1!B10:AG10)</f>
        <v>#DIV/0!</v>
      </c>
      <c r="K52" s="55" t="e">
        <f>STDEV(data1!B10:AG10)</f>
        <v>#DIV/0!</v>
      </c>
      <c r="L52" s="56" t="e">
        <f>AVERAGE(data2!B10:AG10)</f>
        <v>#DIV/0!</v>
      </c>
      <c r="M52" s="56" t="e">
        <f>STDEV(data2!B10:AG10)</f>
        <v>#DIV/0!</v>
      </c>
      <c r="N52" s="56" t="e">
        <f>AVERAGE(data3!B10:AG10)</f>
        <v>#DIV/0!</v>
      </c>
      <c r="O52" s="56" t="e">
        <f>STDEV(data3!B10:AG10)</f>
        <v>#DIV/0!</v>
      </c>
      <c r="P52" s="18" t="e">
        <f t="shared" si="101"/>
        <v>#DIV/0!</v>
      </c>
      <c r="Q52" s="18" t="e">
        <f t="shared" si="102"/>
        <v>#DIV/0!</v>
      </c>
      <c r="R52" s="18" t="e">
        <f t="shared" si="103"/>
        <v>#DIV/0!</v>
      </c>
      <c r="S52" s="19">
        <f t="shared" si="105"/>
        <v>9.6</v>
      </c>
      <c r="T52" s="27" t="e">
        <f t="shared" si="106"/>
        <v>#DIV/0!</v>
      </c>
      <c r="U52" s="27" t="e">
        <f t="shared" si="107"/>
        <v>#DIV/0!</v>
      </c>
      <c r="V52" s="27" t="e">
        <f t="shared" si="108"/>
        <v>#DIV/0!</v>
      </c>
      <c r="W52" s="27" t="e">
        <f t="shared" si="109"/>
        <v>#DIV/0!</v>
      </c>
      <c r="AR52" s="19"/>
      <c r="AS52" s="12" t="e">
        <f t="shared" si="111"/>
        <v>#VALUE!</v>
      </c>
      <c r="AT52" s="41" t="e">
        <f t="shared" si="110"/>
        <v>#VALUE!</v>
      </c>
    </row>
    <row r="53" spans="3:46">
      <c r="C53" s="54">
        <f t="shared" si="104"/>
        <v>10.6</v>
      </c>
      <c r="D53" s="27" t="e">
        <f t="shared" si="98"/>
        <v>#DIV/0!</v>
      </c>
      <c r="E53" s="55" t="e">
        <f>AVERAGE(data0!B11:AG11)</f>
        <v>#DIV/0!</v>
      </c>
      <c r="F53" s="27" t="e">
        <f t="shared" si="99"/>
        <v>#DIV/0!</v>
      </c>
      <c r="G53" s="18">
        <f>MAX(data0!B11:AG11)</f>
        <v>0</v>
      </c>
      <c r="H53" s="27" t="e">
        <f t="shared" si="100"/>
        <v>#DIV/0!</v>
      </c>
      <c r="I53" s="55" t="e">
        <f>STDEV(data0!B11:AG11)</f>
        <v>#DIV/0!</v>
      </c>
      <c r="J53" s="55" t="e">
        <f>AVERAGE(data1!B11:AG11)</f>
        <v>#DIV/0!</v>
      </c>
      <c r="K53" s="55" t="e">
        <f>STDEV(data1!B11:AG11)</f>
        <v>#DIV/0!</v>
      </c>
      <c r="L53" s="56" t="e">
        <f>AVERAGE(data2!B11:AG11)</f>
        <v>#DIV/0!</v>
      </c>
      <c r="M53" s="56" t="e">
        <f>STDEV(data2!B11:AG11)</f>
        <v>#DIV/0!</v>
      </c>
      <c r="N53" s="56" t="e">
        <f>AVERAGE(data3!B11:AG11)</f>
        <v>#DIV/0!</v>
      </c>
      <c r="O53" s="56" t="e">
        <f>STDEV(data3!B11:AG11)</f>
        <v>#DIV/0!</v>
      </c>
      <c r="P53" s="18" t="e">
        <f t="shared" si="101"/>
        <v>#DIV/0!</v>
      </c>
      <c r="Q53" s="18" t="e">
        <f t="shared" si="102"/>
        <v>#DIV/0!</v>
      </c>
      <c r="R53" s="18" t="e">
        <f t="shared" si="103"/>
        <v>#DIV/0!</v>
      </c>
      <c r="S53" s="19">
        <f t="shared" si="105"/>
        <v>10.6</v>
      </c>
      <c r="T53" s="27" t="e">
        <f t="shared" si="106"/>
        <v>#DIV/0!</v>
      </c>
      <c r="U53" s="27" t="e">
        <f t="shared" si="107"/>
        <v>#DIV/0!</v>
      </c>
      <c r="V53" s="27" t="e">
        <f t="shared" si="108"/>
        <v>#DIV/0!</v>
      </c>
      <c r="W53" s="27" t="e">
        <f t="shared" si="109"/>
        <v>#DIV/0!</v>
      </c>
      <c r="AR53" s="19" t="s">
        <v>16</v>
      </c>
      <c r="AS53" s="12" t="e">
        <f>MAX(X24:BC24)</f>
        <v>#VALUE!</v>
      </c>
      <c r="AT53" s="41" t="e">
        <f t="shared" si="110"/>
        <v>#VALUE!</v>
      </c>
    </row>
    <row r="54" spans="3:46">
      <c r="C54" s="54">
        <f t="shared" si="104"/>
        <v>11.6</v>
      </c>
      <c r="D54" s="27" t="e">
        <f t="shared" si="98"/>
        <v>#DIV/0!</v>
      </c>
      <c r="E54" s="55" t="e">
        <f>AVERAGE(data0!B12:AG12)</f>
        <v>#DIV/0!</v>
      </c>
      <c r="F54" s="27" t="e">
        <f t="shared" si="99"/>
        <v>#DIV/0!</v>
      </c>
      <c r="G54" s="18">
        <f>MAX(data0!B12:AG12)</f>
        <v>0</v>
      </c>
      <c r="H54" s="27" t="e">
        <f t="shared" si="100"/>
        <v>#DIV/0!</v>
      </c>
      <c r="I54" s="55" t="e">
        <f>STDEV(data0!B12:AG12)</f>
        <v>#DIV/0!</v>
      </c>
      <c r="J54" s="55" t="e">
        <f>AVERAGE(data1!B12:AG12)</f>
        <v>#DIV/0!</v>
      </c>
      <c r="K54" s="55" t="e">
        <f>STDEV(data1!B12:AG12)</f>
        <v>#DIV/0!</v>
      </c>
      <c r="L54" s="56" t="e">
        <f>AVERAGE(data2!B12:AG12)</f>
        <v>#DIV/0!</v>
      </c>
      <c r="M54" s="56" t="e">
        <f>STDEV(data2!B12:AG12)</f>
        <v>#DIV/0!</v>
      </c>
      <c r="N54" s="56" t="e">
        <f>AVERAGE(data3!B12:AG12)</f>
        <v>#DIV/0!</v>
      </c>
      <c r="O54" s="56" t="e">
        <f>STDEV(data3!B12:AG12)</f>
        <v>#DIV/0!</v>
      </c>
      <c r="P54" s="18" t="e">
        <f t="shared" si="101"/>
        <v>#DIV/0!</v>
      </c>
      <c r="Q54" s="18" t="e">
        <f t="shared" si="102"/>
        <v>#DIV/0!</v>
      </c>
      <c r="R54" s="18" t="e">
        <f t="shared" si="103"/>
        <v>#DIV/0!</v>
      </c>
      <c r="S54" s="19">
        <f t="shared" si="105"/>
        <v>11.6</v>
      </c>
      <c r="T54" s="27" t="e">
        <f t="shared" si="106"/>
        <v>#DIV/0!</v>
      </c>
      <c r="U54" s="27" t="e">
        <f t="shared" si="107"/>
        <v>#DIV/0!</v>
      </c>
      <c r="V54" s="27" t="e">
        <f t="shared" si="108"/>
        <v>#DIV/0!</v>
      </c>
      <c r="W54" s="27" t="e">
        <f t="shared" si="109"/>
        <v>#DIV/0!</v>
      </c>
    </row>
    <row r="55" spans="3:46">
      <c r="C55" s="54">
        <f t="shared" si="104"/>
        <v>12.6</v>
      </c>
      <c r="D55" s="27" t="e">
        <f t="shared" si="98"/>
        <v>#DIV/0!</v>
      </c>
      <c r="E55" s="55" t="e">
        <f>AVERAGE(data0!B13:AG13)</f>
        <v>#DIV/0!</v>
      </c>
      <c r="F55" s="27" t="e">
        <f t="shared" si="99"/>
        <v>#DIV/0!</v>
      </c>
      <c r="G55" s="18">
        <f>MAX(data0!B13:AG13)</f>
        <v>0</v>
      </c>
      <c r="H55" s="27" t="e">
        <f t="shared" si="100"/>
        <v>#DIV/0!</v>
      </c>
      <c r="I55" s="55" t="e">
        <f>STDEV(data0!B13:AG13)</f>
        <v>#DIV/0!</v>
      </c>
      <c r="J55" s="55" t="e">
        <f>AVERAGE(data1!B13:AG13)</f>
        <v>#DIV/0!</v>
      </c>
      <c r="K55" s="55" t="e">
        <f>STDEV(data1!B13:AG13)</f>
        <v>#DIV/0!</v>
      </c>
      <c r="L55" s="56" t="e">
        <f>AVERAGE(data2!B13:AG13)</f>
        <v>#DIV/0!</v>
      </c>
      <c r="M55" s="56" t="e">
        <f>STDEV(data2!B13:AG13)</f>
        <v>#DIV/0!</v>
      </c>
      <c r="N55" s="56" t="e">
        <f>AVERAGE(data3!B13:AG13)</f>
        <v>#DIV/0!</v>
      </c>
      <c r="O55" s="56" t="e">
        <f>STDEV(data3!B13:AG13)</f>
        <v>#DIV/0!</v>
      </c>
      <c r="P55" s="18" t="e">
        <f t="shared" si="101"/>
        <v>#DIV/0!</v>
      </c>
      <c r="Q55" s="18" t="e">
        <f t="shared" si="102"/>
        <v>#DIV/0!</v>
      </c>
      <c r="R55" s="18" t="e">
        <f t="shared" si="103"/>
        <v>#DIV/0!</v>
      </c>
      <c r="S55" s="19">
        <f t="shared" si="105"/>
        <v>12.6</v>
      </c>
      <c r="T55" s="27" t="e">
        <f t="shared" si="106"/>
        <v>#DIV/0!</v>
      </c>
      <c r="U55" s="27" t="e">
        <f t="shared" si="107"/>
        <v>#DIV/0!</v>
      </c>
      <c r="V55" s="27" t="e">
        <f t="shared" si="108"/>
        <v>#DIV/0!</v>
      </c>
      <c r="W55" s="27" t="e">
        <f t="shared" si="109"/>
        <v>#DIV/0!</v>
      </c>
    </row>
    <row r="56" spans="3:46">
      <c r="C56" s="54">
        <f t="shared" si="104"/>
        <v>13.6</v>
      </c>
      <c r="D56" s="27" t="e">
        <f t="shared" si="98"/>
        <v>#DIV/0!</v>
      </c>
      <c r="E56" s="55" t="e">
        <f>AVERAGE(data0!B14:AG14)</f>
        <v>#DIV/0!</v>
      </c>
      <c r="F56" s="27" t="e">
        <f t="shared" si="99"/>
        <v>#DIV/0!</v>
      </c>
      <c r="G56" s="18">
        <f>MAX(data0!B14:AG14)</f>
        <v>0</v>
      </c>
      <c r="H56" s="27" t="e">
        <f t="shared" si="100"/>
        <v>#DIV/0!</v>
      </c>
      <c r="I56" s="55" t="e">
        <f>STDEV(data0!B14:AG14)</f>
        <v>#DIV/0!</v>
      </c>
      <c r="J56" s="55" t="e">
        <f>AVERAGE(data1!B14:AG14)</f>
        <v>#DIV/0!</v>
      </c>
      <c r="K56" s="55" t="e">
        <f>STDEV(data1!B14:AG14)</f>
        <v>#DIV/0!</v>
      </c>
      <c r="L56" s="56" t="e">
        <f>AVERAGE(data2!B14:AG14)</f>
        <v>#DIV/0!</v>
      </c>
      <c r="M56" s="56" t="e">
        <f>STDEV(data2!B14:AG14)</f>
        <v>#DIV/0!</v>
      </c>
      <c r="N56" s="56" t="e">
        <f>AVERAGE(data3!B14:AG14)</f>
        <v>#DIV/0!</v>
      </c>
      <c r="O56" s="56" t="e">
        <f>STDEV(data3!B14:AG14)</f>
        <v>#DIV/0!</v>
      </c>
      <c r="P56" s="18" t="e">
        <f t="shared" si="101"/>
        <v>#DIV/0!</v>
      </c>
      <c r="Q56" s="18" t="e">
        <f t="shared" si="102"/>
        <v>#DIV/0!</v>
      </c>
      <c r="R56" s="18" t="e">
        <f t="shared" si="103"/>
        <v>#DIV/0!</v>
      </c>
      <c r="S56" s="19">
        <f t="shared" si="105"/>
        <v>13.6</v>
      </c>
      <c r="T56" s="27" t="e">
        <f t="shared" si="106"/>
        <v>#DIV/0!</v>
      </c>
      <c r="U56" s="27" t="e">
        <f t="shared" si="107"/>
        <v>#DIV/0!</v>
      </c>
      <c r="V56" s="27" t="e">
        <f t="shared" si="108"/>
        <v>#DIV/0!</v>
      </c>
      <c r="W56" s="27" t="e">
        <f t="shared" si="109"/>
        <v>#DIV/0!</v>
      </c>
    </row>
    <row r="57" spans="3:46">
      <c r="C57" s="54">
        <f t="shared" si="104"/>
        <v>14.6</v>
      </c>
      <c r="D57" s="27" t="e">
        <f t="shared" si="98"/>
        <v>#DIV/0!</v>
      </c>
      <c r="E57" s="55" t="e">
        <f>AVERAGE(data0!B15:AG15)</f>
        <v>#DIV/0!</v>
      </c>
      <c r="F57" s="27" t="e">
        <f t="shared" si="99"/>
        <v>#DIV/0!</v>
      </c>
      <c r="G57" s="18">
        <f>MAX(data0!B15:AG15)</f>
        <v>0</v>
      </c>
      <c r="H57" s="27" t="e">
        <f t="shared" si="100"/>
        <v>#DIV/0!</v>
      </c>
      <c r="I57" s="55" t="e">
        <f>STDEV(data0!B15:AG15)</f>
        <v>#DIV/0!</v>
      </c>
      <c r="J57" s="55" t="e">
        <f>AVERAGE(data1!B15:AG15)</f>
        <v>#DIV/0!</v>
      </c>
      <c r="K57" s="55" t="e">
        <f>STDEV(data1!B15:AG15)</f>
        <v>#DIV/0!</v>
      </c>
      <c r="L57" s="56" t="e">
        <f>AVERAGE(data2!B15:AG15)</f>
        <v>#DIV/0!</v>
      </c>
      <c r="M57" s="56" t="e">
        <f>STDEV(data2!B15:AG15)</f>
        <v>#DIV/0!</v>
      </c>
      <c r="N57" s="56" t="e">
        <f>AVERAGE(data3!B15:AG15)</f>
        <v>#DIV/0!</v>
      </c>
      <c r="O57" s="56" t="e">
        <f>STDEV(data3!B15:AG15)</f>
        <v>#DIV/0!</v>
      </c>
      <c r="P57" s="18" t="e">
        <f t="shared" si="101"/>
        <v>#DIV/0!</v>
      </c>
      <c r="Q57" s="18" t="e">
        <f t="shared" si="102"/>
        <v>#DIV/0!</v>
      </c>
      <c r="R57" s="18" t="e">
        <f t="shared" si="103"/>
        <v>#DIV/0!</v>
      </c>
      <c r="S57" s="19">
        <f t="shared" si="105"/>
        <v>14.6</v>
      </c>
      <c r="T57" s="27" t="e">
        <f t="shared" si="106"/>
        <v>#DIV/0!</v>
      </c>
      <c r="U57" s="27" t="e">
        <f t="shared" si="107"/>
        <v>#DIV/0!</v>
      </c>
      <c r="V57" s="27" t="e">
        <f t="shared" si="108"/>
        <v>#DIV/0!</v>
      </c>
      <c r="W57" s="27" t="e">
        <f t="shared" si="109"/>
        <v>#DIV/0!</v>
      </c>
    </row>
    <row r="58" spans="3:46">
      <c r="C58" s="54">
        <f t="shared" si="104"/>
        <v>15.6</v>
      </c>
      <c r="D58" s="27" t="e">
        <f t="shared" si="98"/>
        <v>#DIV/0!</v>
      </c>
      <c r="E58" s="55" t="e">
        <f>AVERAGE(data0!B16:AG16)</f>
        <v>#DIV/0!</v>
      </c>
      <c r="F58" s="27" t="e">
        <f t="shared" si="99"/>
        <v>#DIV/0!</v>
      </c>
      <c r="G58" s="18">
        <f>MAX(data0!B16:AG16)</f>
        <v>0</v>
      </c>
      <c r="H58" s="27" t="e">
        <f t="shared" si="100"/>
        <v>#DIV/0!</v>
      </c>
      <c r="I58" s="55" t="e">
        <f>STDEV(data0!B16:AG16)</f>
        <v>#DIV/0!</v>
      </c>
      <c r="J58" s="55" t="e">
        <f>AVERAGE(data1!B16:AG16)</f>
        <v>#DIV/0!</v>
      </c>
      <c r="K58" s="55" t="e">
        <f>STDEV(data1!B16:AG16)</f>
        <v>#DIV/0!</v>
      </c>
      <c r="L58" s="56" t="e">
        <f>AVERAGE(data2!B16:AG16)</f>
        <v>#DIV/0!</v>
      </c>
      <c r="M58" s="56" t="e">
        <f>STDEV(data2!B16:AG16)</f>
        <v>#DIV/0!</v>
      </c>
      <c r="N58" s="56" t="e">
        <f>AVERAGE(data3!B16:AG16)</f>
        <v>#DIV/0!</v>
      </c>
      <c r="O58" s="56" t="e">
        <f>STDEV(data3!B16:AG16)</f>
        <v>#DIV/0!</v>
      </c>
      <c r="P58" s="18" t="e">
        <f t="shared" si="101"/>
        <v>#DIV/0!</v>
      </c>
      <c r="Q58" s="18" t="e">
        <f t="shared" si="102"/>
        <v>#DIV/0!</v>
      </c>
      <c r="R58" s="18" t="e">
        <f t="shared" si="103"/>
        <v>#DIV/0!</v>
      </c>
      <c r="S58" s="19">
        <f t="shared" si="105"/>
        <v>15.6</v>
      </c>
      <c r="T58" s="27" t="e">
        <f t="shared" si="106"/>
        <v>#DIV/0!</v>
      </c>
      <c r="U58" s="27" t="e">
        <f t="shared" si="107"/>
        <v>#DIV/0!</v>
      </c>
      <c r="V58" s="27" t="e">
        <f t="shared" si="108"/>
        <v>#DIV/0!</v>
      </c>
      <c r="W58" s="27" t="e">
        <f t="shared" si="109"/>
        <v>#DIV/0!</v>
      </c>
    </row>
    <row r="59" spans="3:46">
      <c r="C59" s="54">
        <f t="shared" si="104"/>
        <v>16.600000000000001</v>
      </c>
      <c r="D59" s="27" t="e">
        <f t="shared" si="98"/>
        <v>#DIV/0!</v>
      </c>
      <c r="E59" s="55" t="e">
        <f>AVERAGE(data0!B17:AG17)</f>
        <v>#DIV/0!</v>
      </c>
      <c r="F59" s="27" t="e">
        <f t="shared" si="99"/>
        <v>#DIV/0!</v>
      </c>
      <c r="G59" s="18">
        <f>MAX(data0!B17:AG17)</f>
        <v>0</v>
      </c>
      <c r="H59" s="27" t="e">
        <f t="shared" si="100"/>
        <v>#DIV/0!</v>
      </c>
      <c r="I59" s="55" t="e">
        <f>STDEV(data0!B17:AG17)</f>
        <v>#DIV/0!</v>
      </c>
      <c r="J59" s="55" t="e">
        <f>AVERAGE(data1!B17:AG17)</f>
        <v>#DIV/0!</v>
      </c>
      <c r="K59" s="55" t="e">
        <f>STDEV(data1!B17:AG17)</f>
        <v>#DIV/0!</v>
      </c>
      <c r="L59" s="56" t="e">
        <f>AVERAGE(data2!B17:AG17)</f>
        <v>#DIV/0!</v>
      </c>
      <c r="M59" s="56" t="e">
        <f>STDEV(data2!B17:AG17)</f>
        <v>#DIV/0!</v>
      </c>
      <c r="N59" s="56" t="e">
        <f>AVERAGE(data3!B17:AG17)</f>
        <v>#DIV/0!</v>
      </c>
      <c r="O59" s="56" t="e">
        <f>STDEV(data3!B17:AG17)</f>
        <v>#DIV/0!</v>
      </c>
      <c r="P59" s="18" t="e">
        <f t="shared" si="101"/>
        <v>#DIV/0!</v>
      </c>
      <c r="Q59" s="18" t="e">
        <f t="shared" si="102"/>
        <v>#DIV/0!</v>
      </c>
      <c r="R59" s="18" t="e">
        <f t="shared" si="103"/>
        <v>#DIV/0!</v>
      </c>
      <c r="S59" s="19">
        <f t="shared" si="105"/>
        <v>16.600000000000001</v>
      </c>
      <c r="T59" s="27" t="e">
        <f t="shared" si="106"/>
        <v>#DIV/0!</v>
      </c>
      <c r="U59" s="27" t="e">
        <f t="shared" si="107"/>
        <v>#DIV/0!</v>
      </c>
      <c r="V59" s="27" t="e">
        <f t="shared" si="108"/>
        <v>#DIV/0!</v>
      </c>
      <c r="W59" s="27" t="e">
        <f t="shared" si="109"/>
        <v>#DIV/0!</v>
      </c>
    </row>
    <row r="60" spans="3:46">
      <c r="C60" s="54">
        <f t="shared" si="104"/>
        <v>17.600000000000001</v>
      </c>
      <c r="D60" s="27" t="e">
        <f t="shared" si="98"/>
        <v>#DIV/0!</v>
      </c>
      <c r="E60" s="55" t="e">
        <f>AVERAGE(data0!B18:AG18)</f>
        <v>#DIV/0!</v>
      </c>
      <c r="F60" s="27" t="e">
        <f t="shared" si="99"/>
        <v>#DIV/0!</v>
      </c>
      <c r="G60" s="18">
        <f>MAX(data0!B18:AG18)</f>
        <v>0</v>
      </c>
      <c r="H60" s="27" t="e">
        <f t="shared" si="100"/>
        <v>#DIV/0!</v>
      </c>
      <c r="I60" s="55" t="e">
        <f>STDEV(data0!B18:AG18)</f>
        <v>#DIV/0!</v>
      </c>
      <c r="J60" s="55" t="e">
        <f>AVERAGE(data1!B18:AG18)</f>
        <v>#DIV/0!</v>
      </c>
      <c r="K60" s="55" t="e">
        <f>STDEV(data1!B18:AG18)</f>
        <v>#DIV/0!</v>
      </c>
      <c r="L60" s="56" t="e">
        <f>AVERAGE(data2!B18:AG18)</f>
        <v>#DIV/0!</v>
      </c>
      <c r="M60" s="56" t="e">
        <f>STDEV(data2!B18:AG18)</f>
        <v>#DIV/0!</v>
      </c>
      <c r="N60" s="56" t="e">
        <f>AVERAGE(data3!B18:AG18)</f>
        <v>#DIV/0!</v>
      </c>
      <c r="O60" s="56" t="e">
        <f>STDEV(data3!B18:AG18)</f>
        <v>#DIV/0!</v>
      </c>
      <c r="P60" s="18" t="e">
        <f t="shared" si="101"/>
        <v>#DIV/0!</v>
      </c>
      <c r="Q60" s="18" t="e">
        <f t="shared" si="102"/>
        <v>#DIV/0!</v>
      </c>
      <c r="R60" s="18" t="e">
        <f t="shared" si="103"/>
        <v>#DIV/0!</v>
      </c>
      <c r="S60" s="19">
        <f t="shared" si="105"/>
        <v>17.600000000000001</v>
      </c>
      <c r="T60" s="27" t="e">
        <f t="shared" si="106"/>
        <v>#DIV/0!</v>
      </c>
      <c r="U60" s="27" t="e">
        <f t="shared" si="107"/>
        <v>#DIV/0!</v>
      </c>
      <c r="V60" s="27" t="e">
        <f t="shared" si="108"/>
        <v>#DIV/0!</v>
      </c>
      <c r="W60" s="27" t="e">
        <f t="shared" si="109"/>
        <v>#DIV/0!</v>
      </c>
    </row>
    <row r="61" spans="3:46">
      <c r="C61" s="54">
        <f t="shared" si="104"/>
        <v>18.600000000000001</v>
      </c>
      <c r="D61" s="27" t="e">
        <f t="shared" si="98"/>
        <v>#DIV/0!</v>
      </c>
      <c r="E61" s="55" t="e">
        <f>AVERAGE(data0!B19:AG19)</f>
        <v>#DIV/0!</v>
      </c>
      <c r="F61" s="27" t="e">
        <f t="shared" si="99"/>
        <v>#DIV/0!</v>
      </c>
      <c r="G61" s="18">
        <f>MAX(data0!B19:AG19)</f>
        <v>0</v>
      </c>
      <c r="H61" s="27" t="e">
        <f t="shared" si="100"/>
        <v>#DIV/0!</v>
      </c>
      <c r="I61" s="55" t="e">
        <f>STDEV(data0!B19:AG19)</f>
        <v>#DIV/0!</v>
      </c>
      <c r="J61" s="55" t="e">
        <f>AVERAGE(data1!B19:AG19)</f>
        <v>#DIV/0!</v>
      </c>
      <c r="K61" s="55" t="e">
        <f>STDEV(data1!B19:AG19)</f>
        <v>#DIV/0!</v>
      </c>
      <c r="L61" s="56" t="e">
        <f>AVERAGE(data2!B19:AG19)</f>
        <v>#DIV/0!</v>
      </c>
      <c r="M61" s="56" t="e">
        <f>STDEV(data2!B19:AG19)</f>
        <v>#DIV/0!</v>
      </c>
      <c r="N61" s="56" t="e">
        <f>AVERAGE(data3!B19:AG19)</f>
        <v>#DIV/0!</v>
      </c>
      <c r="O61" s="56" t="e">
        <f>STDEV(data3!B19:AG19)</f>
        <v>#DIV/0!</v>
      </c>
      <c r="P61" s="18" t="e">
        <f t="shared" si="101"/>
        <v>#DIV/0!</v>
      </c>
      <c r="Q61" s="18" t="e">
        <f t="shared" si="102"/>
        <v>#DIV/0!</v>
      </c>
      <c r="R61" s="18" t="e">
        <f t="shared" si="103"/>
        <v>#DIV/0!</v>
      </c>
      <c r="S61" s="19">
        <f t="shared" si="105"/>
        <v>18.600000000000001</v>
      </c>
      <c r="T61" s="27" t="e">
        <f t="shared" si="106"/>
        <v>#DIV/0!</v>
      </c>
      <c r="U61" s="27" t="e">
        <f t="shared" si="107"/>
        <v>#DIV/0!</v>
      </c>
      <c r="V61" s="27" t="e">
        <f t="shared" si="108"/>
        <v>#DIV/0!</v>
      </c>
      <c r="W61" s="27" t="e">
        <f t="shared" si="109"/>
        <v>#DIV/0!</v>
      </c>
    </row>
    <row r="62" spans="3:46">
      <c r="C62" s="54">
        <f t="shared" si="104"/>
        <v>19.600000000000001</v>
      </c>
      <c r="D62" s="27" t="e">
        <f t="shared" si="98"/>
        <v>#DIV/0!</v>
      </c>
      <c r="E62" s="55" t="e">
        <f>AVERAGE(data0!B20:AG20)</f>
        <v>#DIV/0!</v>
      </c>
      <c r="F62" s="27" t="e">
        <f t="shared" si="99"/>
        <v>#DIV/0!</v>
      </c>
      <c r="G62" s="18">
        <f>MAX(data0!B20:AG20)</f>
        <v>0</v>
      </c>
      <c r="H62" s="27" t="e">
        <f t="shared" si="100"/>
        <v>#DIV/0!</v>
      </c>
      <c r="I62" s="55" t="e">
        <f>STDEV(data0!B20:AG20)</f>
        <v>#DIV/0!</v>
      </c>
      <c r="J62" s="55" t="e">
        <f>AVERAGE(data1!B20:AG20)</f>
        <v>#DIV/0!</v>
      </c>
      <c r="K62" s="55" t="e">
        <f>STDEV(data1!B20:AG20)</f>
        <v>#DIV/0!</v>
      </c>
      <c r="L62" s="56" t="e">
        <f>AVERAGE(data2!B20:AG20)</f>
        <v>#DIV/0!</v>
      </c>
      <c r="M62" s="56" t="e">
        <f>STDEV(data2!B20:AG20)</f>
        <v>#DIV/0!</v>
      </c>
      <c r="N62" s="56" t="e">
        <f>AVERAGE(data3!B20:AG20)</f>
        <v>#DIV/0!</v>
      </c>
      <c r="O62" s="56" t="e">
        <f>STDEV(data3!B20:AG20)</f>
        <v>#DIV/0!</v>
      </c>
      <c r="P62" s="18" t="e">
        <f t="shared" si="101"/>
        <v>#DIV/0!</v>
      </c>
      <c r="Q62" s="18" t="e">
        <f t="shared" si="102"/>
        <v>#DIV/0!</v>
      </c>
      <c r="R62" s="18" t="e">
        <f t="shared" si="103"/>
        <v>#DIV/0!</v>
      </c>
      <c r="S62" s="19">
        <f t="shared" si="105"/>
        <v>19.600000000000001</v>
      </c>
      <c r="T62" s="27" t="e">
        <f t="shared" si="106"/>
        <v>#DIV/0!</v>
      </c>
      <c r="U62" s="27" t="e">
        <f t="shared" si="107"/>
        <v>#DIV/0!</v>
      </c>
      <c r="V62" s="27" t="e">
        <f t="shared" si="108"/>
        <v>#DIV/0!</v>
      </c>
      <c r="W62" s="27" t="e">
        <f t="shared" si="109"/>
        <v>#DIV/0!</v>
      </c>
    </row>
    <row r="63" spans="3:46">
      <c r="C63" s="54">
        <f t="shared" si="104"/>
        <v>20.6</v>
      </c>
      <c r="D63" s="27" t="e">
        <f t="shared" si="98"/>
        <v>#DIV/0!</v>
      </c>
      <c r="E63" s="55" t="e">
        <f>AVERAGE(data0!B21:AG21)</f>
        <v>#DIV/0!</v>
      </c>
      <c r="F63" s="27" t="e">
        <f t="shared" si="99"/>
        <v>#DIV/0!</v>
      </c>
      <c r="G63" s="18">
        <f>MAX(data0!B21:AG21)</f>
        <v>0</v>
      </c>
      <c r="H63" s="27" t="e">
        <f t="shared" si="100"/>
        <v>#DIV/0!</v>
      </c>
      <c r="I63" s="55" t="e">
        <f>STDEV(data0!B21:AG21)</f>
        <v>#DIV/0!</v>
      </c>
      <c r="J63" s="55" t="e">
        <f>AVERAGE(data1!B21:AG21)</f>
        <v>#DIV/0!</v>
      </c>
      <c r="K63" s="55" t="e">
        <f>STDEV(data1!B21:AG21)</f>
        <v>#DIV/0!</v>
      </c>
      <c r="L63" s="56" t="e">
        <f>AVERAGE(data2!B21:AG21)</f>
        <v>#DIV/0!</v>
      </c>
      <c r="M63" s="56" t="e">
        <f>STDEV(data2!B21:AG21)</f>
        <v>#DIV/0!</v>
      </c>
      <c r="N63" s="56" t="e">
        <f>AVERAGE(data3!B21:AG21)</f>
        <v>#DIV/0!</v>
      </c>
      <c r="O63" s="56" t="e">
        <f>STDEV(data3!B21:AG21)</f>
        <v>#DIV/0!</v>
      </c>
      <c r="P63" s="18" t="e">
        <f t="shared" si="101"/>
        <v>#DIV/0!</v>
      </c>
      <c r="Q63" s="18" t="e">
        <f t="shared" si="102"/>
        <v>#DIV/0!</v>
      </c>
      <c r="R63" s="18" t="e">
        <f t="shared" si="103"/>
        <v>#DIV/0!</v>
      </c>
      <c r="S63" s="19">
        <f t="shared" si="105"/>
        <v>20.6</v>
      </c>
      <c r="T63" s="27" t="e">
        <f t="shared" si="106"/>
        <v>#DIV/0!</v>
      </c>
      <c r="U63" s="27" t="e">
        <f t="shared" si="107"/>
        <v>#DIV/0!</v>
      </c>
      <c r="V63" s="27" t="e">
        <f t="shared" si="108"/>
        <v>#DIV/0!</v>
      </c>
      <c r="W63" s="27" t="e">
        <f t="shared" si="109"/>
        <v>#DIV/0!</v>
      </c>
    </row>
    <row r="64" spans="3:46">
      <c r="C64" s="54">
        <f t="shared" si="104"/>
        <v>21.6</v>
      </c>
      <c r="D64" s="27" t="e">
        <f t="shared" si="98"/>
        <v>#DIV/0!</v>
      </c>
      <c r="E64" s="55" t="e">
        <f>AVERAGE(data0!B22:AG22)</f>
        <v>#DIV/0!</v>
      </c>
      <c r="F64" s="27" t="e">
        <f t="shared" si="99"/>
        <v>#DIV/0!</v>
      </c>
      <c r="G64" s="18">
        <f>MAX(data0!B22:AG22)</f>
        <v>0</v>
      </c>
      <c r="H64" s="27" t="e">
        <f t="shared" si="100"/>
        <v>#DIV/0!</v>
      </c>
      <c r="I64" s="55" t="e">
        <f>STDEV(data0!B22:AG22)</f>
        <v>#DIV/0!</v>
      </c>
      <c r="J64" s="55" t="e">
        <f>AVERAGE(data1!B22:AG22)</f>
        <v>#DIV/0!</v>
      </c>
      <c r="K64" s="55" t="e">
        <f>STDEV(data1!B22:AG22)</f>
        <v>#DIV/0!</v>
      </c>
      <c r="L64" s="56" t="e">
        <f>AVERAGE(data2!B22:AG22)</f>
        <v>#DIV/0!</v>
      </c>
      <c r="M64" s="56" t="e">
        <f>STDEV(data2!B22:AG22)</f>
        <v>#DIV/0!</v>
      </c>
      <c r="N64" s="56" t="e">
        <f>AVERAGE(data3!B22:AG22)</f>
        <v>#DIV/0!</v>
      </c>
      <c r="O64" s="56" t="e">
        <f>STDEV(data3!B22:AG22)</f>
        <v>#DIV/0!</v>
      </c>
      <c r="P64" s="18" t="e">
        <f t="shared" si="101"/>
        <v>#DIV/0!</v>
      </c>
      <c r="Q64" s="18" t="e">
        <f t="shared" si="102"/>
        <v>#DIV/0!</v>
      </c>
      <c r="R64" s="18" t="e">
        <f t="shared" si="103"/>
        <v>#DIV/0!</v>
      </c>
      <c r="S64" s="19">
        <f t="shared" si="105"/>
        <v>21.6</v>
      </c>
      <c r="T64" s="27" t="e">
        <f t="shared" si="106"/>
        <v>#DIV/0!</v>
      </c>
      <c r="U64" s="27" t="e">
        <f t="shared" si="107"/>
        <v>#DIV/0!</v>
      </c>
      <c r="V64" s="27" t="e">
        <f t="shared" si="108"/>
        <v>#DIV/0!</v>
      </c>
      <c r="W64" s="27" t="e">
        <f t="shared" si="109"/>
        <v>#DIV/0!</v>
      </c>
    </row>
    <row r="65" spans="3:43">
      <c r="C65" s="54">
        <f t="shared" si="104"/>
        <v>22.6</v>
      </c>
      <c r="D65" s="27" t="e">
        <f t="shared" si="98"/>
        <v>#DIV/0!</v>
      </c>
      <c r="E65" s="55" t="e">
        <f>AVERAGE(data0!B23:AG23)</f>
        <v>#DIV/0!</v>
      </c>
      <c r="F65" s="27" t="e">
        <f t="shared" si="99"/>
        <v>#DIV/0!</v>
      </c>
      <c r="G65" s="18">
        <f>MAX(data0!B23:AG23)</f>
        <v>0</v>
      </c>
      <c r="H65" s="27" t="e">
        <f t="shared" si="100"/>
        <v>#DIV/0!</v>
      </c>
      <c r="I65" s="55" t="e">
        <f>STDEV(data0!B23:AG23)</f>
        <v>#DIV/0!</v>
      </c>
      <c r="J65" s="55" t="e">
        <f>AVERAGE(data1!B23:AG23)</f>
        <v>#DIV/0!</v>
      </c>
      <c r="K65" s="55" t="e">
        <f>STDEV(data1!B23:AG23)</f>
        <v>#DIV/0!</v>
      </c>
      <c r="L65" s="56" t="e">
        <f>AVERAGE(data2!B23:AG23)</f>
        <v>#DIV/0!</v>
      </c>
      <c r="M65" s="56" t="e">
        <f>STDEV(data2!B23:AG23)</f>
        <v>#DIV/0!</v>
      </c>
      <c r="N65" s="56" t="e">
        <f>AVERAGE(data3!B23:AG23)</f>
        <v>#DIV/0!</v>
      </c>
      <c r="O65" s="56" t="e">
        <f>STDEV(data3!B23:AG23)</f>
        <v>#DIV/0!</v>
      </c>
      <c r="P65" s="18" t="e">
        <f t="shared" si="101"/>
        <v>#DIV/0!</v>
      </c>
      <c r="Q65" s="18" t="e">
        <f t="shared" si="102"/>
        <v>#DIV/0!</v>
      </c>
      <c r="R65" s="18" t="e">
        <f t="shared" si="103"/>
        <v>#DIV/0!</v>
      </c>
      <c r="S65" s="19">
        <f t="shared" si="105"/>
        <v>22.6</v>
      </c>
      <c r="T65" s="27" t="e">
        <f t="shared" si="106"/>
        <v>#DIV/0!</v>
      </c>
      <c r="U65" s="27" t="e">
        <f t="shared" si="107"/>
        <v>#DIV/0!</v>
      </c>
      <c r="V65" s="27" t="e">
        <f t="shared" si="108"/>
        <v>#DIV/0!</v>
      </c>
      <c r="W65" s="27" t="e">
        <f t="shared" si="109"/>
        <v>#DIV/0!</v>
      </c>
    </row>
    <row r="66" spans="3:43">
      <c r="C66" s="54">
        <f t="shared" si="104"/>
        <v>23.6</v>
      </c>
      <c r="D66" s="27" t="e">
        <f t="shared" si="98"/>
        <v>#DIV/0!</v>
      </c>
      <c r="E66" s="55" t="e">
        <f>AVERAGE(data0!B24:AG24)</f>
        <v>#DIV/0!</v>
      </c>
      <c r="F66" s="27" t="e">
        <f t="shared" si="99"/>
        <v>#DIV/0!</v>
      </c>
      <c r="G66" s="18">
        <f>MAX(data0!B24:AG24)</f>
        <v>0</v>
      </c>
      <c r="H66" s="27" t="e">
        <f t="shared" si="100"/>
        <v>#DIV/0!</v>
      </c>
      <c r="I66" s="55" t="e">
        <f>STDEV(data0!B24:AG24)</f>
        <v>#DIV/0!</v>
      </c>
      <c r="J66" s="55" t="e">
        <f>AVERAGE(data1!B24:AG24)</f>
        <v>#DIV/0!</v>
      </c>
      <c r="K66" s="55" t="e">
        <f>STDEV(data1!B24:AG24)</f>
        <v>#DIV/0!</v>
      </c>
      <c r="L66" s="56" t="e">
        <f>AVERAGE(data2!B24:AG24)</f>
        <v>#DIV/0!</v>
      </c>
      <c r="M66" s="56" t="e">
        <f>STDEV(data2!B24:AG24)</f>
        <v>#DIV/0!</v>
      </c>
      <c r="N66" s="56" t="e">
        <f>AVERAGE(data3!B24:AG24)</f>
        <v>#DIV/0!</v>
      </c>
      <c r="O66" s="56" t="e">
        <f>STDEV(data3!B24:AG24)</f>
        <v>#DIV/0!</v>
      </c>
      <c r="P66" s="18" t="e">
        <f t="shared" si="101"/>
        <v>#DIV/0!</v>
      </c>
      <c r="Q66" s="18" t="e">
        <f t="shared" si="102"/>
        <v>#DIV/0!</v>
      </c>
      <c r="R66" s="18" t="e">
        <f t="shared" si="103"/>
        <v>#DIV/0!</v>
      </c>
      <c r="S66" s="19">
        <f t="shared" si="105"/>
        <v>23.6</v>
      </c>
      <c r="T66" s="27" t="e">
        <f t="shared" si="106"/>
        <v>#DIV/0!</v>
      </c>
      <c r="U66" s="27" t="e">
        <f t="shared" si="107"/>
        <v>#DIV/0!</v>
      </c>
      <c r="V66" s="27" t="e">
        <f t="shared" si="108"/>
        <v>#DIV/0!</v>
      </c>
      <c r="W66" s="27" t="e">
        <f t="shared" si="109"/>
        <v>#DIV/0!</v>
      </c>
    </row>
    <row r="67" spans="3:43">
      <c r="C67" s="54">
        <f t="shared" si="104"/>
        <v>24.6</v>
      </c>
      <c r="D67" s="27" t="e">
        <f t="shared" si="98"/>
        <v>#DIV/0!</v>
      </c>
      <c r="E67" s="55" t="e">
        <f>AVERAGE(data0!B25:AG25)</f>
        <v>#DIV/0!</v>
      </c>
      <c r="F67" s="27" t="e">
        <f t="shared" si="99"/>
        <v>#DIV/0!</v>
      </c>
      <c r="G67" s="18">
        <f>MAX(data0!B25:AG25)</f>
        <v>0</v>
      </c>
      <c r="H67" s="27" t="e">
        <f t="shared" si="100"/>
        <v>#DIV/0!</v>
      </c>
      <c r="I67" s="55" t="e">
        <f>STDEV(data0!B25:AG25)</f>
        <v>#DIV/0!</v>
      </c>
      <c r="J67" s="55" t="e">
        <f>AVERAGE(data1!B25:AG25)</f>
        <v>#DIV/0!</v>
      </c>
      <c r="K67" s="55" t="e">
        <f>STDEV(data1!B25:AG25)</f>
        <v>#DIV/0!</v>
      </c>
      <c r="L67" s="56" t="e">
        <f>AVERAGE(data2!B25:AG25)</f>
        <v>#DIV/0!</v>
      </c>
      <c r="M67" s="56" t="e">
        <f>STDEV(data2!B25:AG25)</f>
        <v>#DIV/0!</v>
      </c>
      <c r="N67" s="56" t="e">
        <f>AVERAGE(data3!B25:AG25)</f>
        <v>#DIV/0!</v>
      </c>
      <c r="O67" s="56" t="e">
        <f>STDEV(data3!B25:AG25)</f>
        <v>#DIV/0!</v>
      </c>
      <c r="P67" s="18" t="e">
        <f t="shared" si="101"/>
        <v>#DIV/0!</v>
      </c>
      <c r="Q67" s="18" t="e">
        <f t="shared" si="102"/>
        <v>#DIV/0!</v>
      </c>
      <c r="R67" s="18" t="e">
        <f t="shared" si="103"/>
        <v>#DIV/0!</v>
      </c>
      <c r="S67" s="19">
        <f t="shared" si="105"/>
        <v>24.6</v>
      </c>
      <c r="T67" s="27" t="e">
        <f t="shared" si="106"/>
        <v>#DIV/0!</v>
      </c>
      <c r="U67" s="27" t="e">
        <f t="shared" si="107"/>
        <v>#DIV/0!</v>
      </c>
      <c r="V67" s="27" t="e">
        <f t="shared" si="108"/>
        <v>#DIV/0!</v>
      </c>
      <c r="W67" s="27" t="e">
        <f t="shared" si="109"/>
        <v>#DIV/0!</v>
      </c>
    </row>
    <row r="68" spans="3:43">
      <c r="C68" s="54">
        <f t="shared" si="104"/>
        <v>25.6</v>
      </c>
      <c r="D68" s="27" t="e">
        <f t="shared" si="98"/>
        <v>#DIV/0!</v>
      </c>
      <c r="E68" s="55" t="e">
        <f>AVERAGE(data0!B26:AG26)</f>
        <v>#DIV/0!</v>
      </c>
      <c r="F68" s="27" t="e">
        <f t="shared" si="99"/>
        <v>#DIV/0!</v>
      </c>
      <c r="G68" s="18">
        <f>MAX(data0!B26:AG26)</f>
        <v>0</v>
      </c>
      <c r="H68" s="27" t="e">
        <f t="shared" si="100"/>
        <v>#DIV/0!</v>
      </c>
      <c r="I68" s="55" t="e">
        <f>STDEV(data0!B26:AG26)</f>
        <v>#DIV/0!</v>
      </c>
      <c r="J68" s="55" t="e">
        <f>AVERAGE(data1!B26:AG26)</f>
        <v>#DIV/0!</v>
      </c>
      <c r="K68" s="55" t="e">
        <f>STDEV(data1!B26:AG26)</f>
        <v>#DIV/0!</v>
      </c>
      <c r="L68" s="56" t="e">
        <f>AVERAGE(data2!B26:AG26)</f>
        <v>#DIV/0!</v>
      </c>
      <c r="M68" s="56" t="e">
        <f>STDEV(data2!B26:AG26)</f>
        <v>#DIV/0!</v>
      </c>
      <c r="N68" s="56" t="e">
        <f>AVERAGE(data3!B26:AG26)</f>
        <v>#DIV/0!</v>
      </c>
      <c r="O68" s="56" t="e">
        <f>STDEV(data3!B26:AG26)</f>
        <v>#DIV/0!</v>
      </c>
      <c r="P68" s="18" t="e">
        <f t="shared" si="101"/>
        <v>#DIV/0!</v>
      </c>
      <c r="Q68" s="18" t="e">
        <f t="shared" si="102"/>
        <v>#DIV/0!</v>
      </c>
      <c r="R68" s="18" t="e">
        <f t="shared" si="103"/>
        <v>#DIV/0!</v>
      </c>
      <c r="S68" s="19">
        <f t="shared" si="105"/>
        <v>25.6</v>
      </c>
      <c r="T68" s="27" t="e">
        <f t="shared" si="106"/>
        <v>#DIV/0!</v>
      </c>
      <c r="U68" s="27" t="e">
        <f t="shared" si="107"/>
        <v>#DIV/0!</v>
      </c>
      <c r="V68" s="27" t="e">
        <f t="shared" si="108"/>
        <v>#DIV/0!</v>
      </c>
      <c r="W68" s="27" t="e">
        <f t="shared" si="109"/>
        <v>#DIV/0!</v>
      </c>
    </row>
    <row r="69" spans="3:43">
      <c r="C69" s="54">
        <f t="shared" si="104"/>
        <v>26.6</v>
      </c>
      <c r="D69" s="27" t="e">
        <f t="shared" si="98"/>
        <v>#DIV/0!</v>
      </c>
      <c r="E69" s="55" t="e">
        <f>AVERAGE(data0!B27:AG27)</f>
        <v>#DIV/0!</v>
      </c>
      <c r="F69" s="27" t="e">
        <f t="shared" si="99"/>
        <v>#DIV/0!</v>
      </c>
      <c r="G69" s="18">
        <f>MAX(data0!B27:AG27)</f>
        <v>0</v>
      </c>
      <c r="H69" s="27" t="e">
        <f t="shared" si="100"/>
        <v>#DIV/0!</v>
      </c>
      <c r="I69" s="55" t="e">
        <f>STDEV(data0!B27:AG27)</f>
        <v>#DIV/0!</v>
      </c>
      <c r="J69" s="55" t="e">
        <f>AVERAGE(data1!B27:AG27)</f>
        <v>#DIV/0!</v>
      </c>
      <c r="K69" s="55" t="e">
        <f>STDEV(data1!B27:AG27)</f>
        <v>#DIV/0!</v>
      </c>
      <c r="L69" s="56" t="e">
        <f>AVERAGE(data2!B27:AG27)</f>
        <v>#DIV/0!</v>
      </c>
      <c r="M69" s="56" t="e">
        <f>STDEV(data2!B27:AG27)</f>
        <v>#DIV/0!</v>
      </c>
      <c r="N69" s="56" t="e">
        <f>AVERAGE(data3!B27:AG27)</f>
        <v>#DIV/0!</v>
      </c>
      <c r="O69" s="56" t="e">
        <f>STDEV(data3!B27:AG27)</f>
        <v>#DIV/0!</v>
      </c>
      <c r="P69" s="18" t="e">
        <f t="shared" si="101"/>
        <v>#DIV/0!</v>
      </c>
      <c r="Q69" s="18" t="e">
        <f t="shared" si="102"/>
        <v>#DIV/0!</v>
      </c>
      <c r="R69" s="18" t="e">
        <f t="shared" si="103"/>
        <v>#DIV/0!</v>
      </c>
      <c r="S69" s="19">
        <f t="shared" si="105"/>
        <v>26.6</v>
      </c>
      <c r="T69" s="27" t="e">
        <f t="shared" si="106"/>
        <v>#DIV/0!</v>
      </c>
      <c r="U69" s="27" t="e">
        <f t="shared" si="107"/>
        <v>#DIV/0!</v>
      </c>
      <c r="V69" s="27" t="e">
        <f t="shared" si="108"/>
        <v>#DIV/0!</v>
      </c>
      <c r="W69" s="27" t="e">
        <f t="shared" si="109"/>
        <v>#DIV/0!</v>
      </c>
    </row>
    <row r="70" spans="3:43">
      <c r="C70" s="54">
        <f t="shared" si="104"/>
        <v>27.6</v>
      </c>
      <c r="D70" s="27" t="e">
        <f t="shared" si="98"/>
        <v>#DIV/0!</v>
      </c>
      <c r="E70" s="55" t="e">
        <f>AVERAGE(data0!B28:AG28)</f>
        <v>#DIV/0!</v>
      </c>
      <c r="F70" s="27" t="e">
        <f t="shared" si="99"/>
        <v>#DIV/0!</v>
      </c>
      <c r="G70" s="18">
        <f>MAX(data0!B28:AG28)</f>
        <v>0</v>
      </c>
      <c r="H70" s="27" t="e">
        <f t="shared" si="100"/>
        <v>#DIV/0!</v>
      </c>
      <c r="I70" s="55" t="e">
        <f>STDEV(data0!B28:AG28)</f>
        <v>#DIV/0!</v>
      </c>
      <c r="J70" s="55" t="e">
        <f>AVERAGE(data1!B28:AG28)</f>
        <v>#DIV/0!</v>
      </c>
      <c r="K70" s="55" t="e">
        <f>STDEV(data1!B28:AG28)</f>
        <v>#DIV/0!</v>
      </c>
      <c r="L70" s="56" t="e">
        <f>AVERAGE(data2!B28:AG28)</f>
        <v>#DIV/0!</v>
      </c>
      <c r="M70" s="56" t="e">
        <f>STDEV(data2!B28:AG28)</f>
        <v>#DIV/0!</v>
      </c>
      <c r="N70" s="56" t="e">
        <f>AVERAGE(data3!B28:AG28)</f>
        <v>#DIV/0!</v>
      </c>
      <c r="O70" s="56" t="e">
        <f>STDEV(data3!B28:AG28)</f>
        <v>#DIV/0!</v>
      </c>
      <c r="P70" s="18" t="e">
        <f t="shared" si="101"/>
        <v>#DIV/0!</v>
      </c>
      <c r="Q70" s="18" t="e">
        <f t="shared" si="102"/>
        <v>#DIV/0!</v>
      </c>
      <c r="R70" s="18" t="e">
        <f t="shared" si="103"/>
        <v>#DIV/0!</v>
      </c>
      <c r="S70" s="19">
        <f t="shared" si="105"/>
        <v>27.6</v>
      </c>
      <c r="T70" s="27" t="e">
        <f t="shared" si="106"/>
        <v>#DIV/0!</v>
      </c>
      <c r="U70" s="27" t="e">
        <f t="shared" si="107"/>
        <v>#DIV/0!</v>
      </c>
      <c r="V70" s="27" t="e">
        <f t="shared" si="108"/>
        <v>#DIV/0!</v>
      </c>
      <c r="W70" s="27" t="e">
        <f t="shared" si="109"/>
        <v>#DIV/0!</v>
      </c>
    </row>
    <row r="71" spans="3:43">
      <c r="C71" s="54">
        <f t="shared" si="104"/>
        <v>28.6</v>
      </c>
      <c r="D71" s="27" t="e">
        <f t="shared" si="98"/>
        <v>#DIV/0!</v>
      </c>
      <c r="E71" s="55" t="e">
        <f>AVERAGE(data0!B29:AG29)</f>
        <v>#DIV/0!</v>
      </c>
      <c r="F71" s="27" t="e">
        <f t="shared" si="99"/>
        <v>#DIV/0!</v>
      </c>
      <c r="G71" s="18">
        <f>MAX(data0!B29:AG29)</f>
        <v>0</v>
      </c>
      <c r="H71" s="27" t="e">
        <f t="shared" si="100"/>
        <v>#DIV/0!</v>
      </c>
      <c r="I71" s="55" t="e">
        <f>STDEV(data0!B29:AG29)</f>
        <v>#DIV/0!</v>
      </c>
      <c r="J71" s="55" t="e">
        <f>AVERAGE(data1!B29:AG29)</f>
        <v>#DIV/0!</v>
      </c>
      <c r="K71" s="55" t="e">
        <f>STDEV(data1!B29:AG29)</f>
        <v>#DIV/0!</v>
      </c>
      <c r="L71" s="56" t="e">
        <f>AVERAGE(data2!B29:AG29)</f>
        <v>#DIV/0!</v>
      </c>
      <c r="M71" s="56" t="e">
        <f>STDEV(data2!B29:AG29)</f>
        <v>#DIV/0!</v>
      </c>
      <c r="N71" s="56" t="e">
        <f>AVERAGE(data3!B29:AG29)</f>
        <v>#DIV/0!</v>
      </c>
      <c r="O71" s="56" t="e">
        <f>STDEV(data3!B29:AG29)</f>
        <v>#DIV/0!</v>
      </c>
      <c r="P71" s="18" t="e">
        <f t="shared" si="101"/>
        <v>#DIV/0!</v>
      </c>
      <c r="Q71" s="18" t="e">
        <f t="shared" si="102"/>
        <v>#DIV/0!</v>
      </c>
      <c r="R71" s="18" t="e">
        <f t="shared" si="103"/>
        <v>#DIV/0!</v>
      </c>
      <c r="S71" s="19">
        <f t="shared" si="105"/>
        <v>28.6</v>
      </c>
      <c r="T71" s="27" t="e">
        <f t="shared" si="106"/>
        <v>#DIV/0!</v>
      </c>
      <c r="U71" s="27" t="e">
        <f t="shared" si="107"/>
        <v>#DIV/0!</v>
      </c>
      <c r="V71" s="27" t="e">
        <f t="shared" si="108"/>
        <v>#DIV/0!</v>
      </c>
      <c r="W71" s="27" t="e">
        <f t="shared" si="109"/>
        <v>#DIV/0!</v>
      </c>
    </row>
    <row r="72" spans="3:43">
      <c r="C72" s="54">
        <f t="shared" si="104"/>
        <v>29.6</v>
      </c>
      <c r="D72" s="27" t="e">
        <f t="shared" si="98"/>
        <v>#DIV/0!</v>
      </c>
      <c r="E72" s="55" t="e">
        <f>AVERAGE(data0!B30:AG30)</f>
        <v>#DIV/0!</v>
      </c>
      <c r="F72" s="27" t="e">
        <f t="shared" si="99"/>
        <v>#DIV/0!</v>
      </c>
      <c r="G72" s="18">
        <f>MAX(data0!B30:AG30)</f>
        <v>0</v>
      </c>
      <c r="H72" s="27" t="e">
        <f t="shared" si="100"/>
        <v>#DIV/0!</v>
      </c>
      <c r="I72" s="55" t="e">
        <f>STDEV(data0!B30:AG30)</f>
        <v>#DIV/0!</v>
      </c>
      <c r="J72" s="55" t="e">
        <f>AVERAGE(data1!B30:AG30)</f>
        <v>#DIV/0!</v>
      </c>
      <c r="K72" s="55" t="e">
        <f>STDEV(data1!B30:AG30)</f>
        <v>#DIV/0!</v>
      </c>
      <c r="L72" s="56" t="e">
        <f>AVERAGE(data2!B30:AG30)</f>
        <v>#DIV/0!</v>
      </c>
      <c r="M72" s="56" t="e">
        <f>STDEV(data2!B30:AG30)</f>
        <v>#DIV/0!</v>
      </c>
      <c r="N72" s="56" t="e">
        <f>AVERAGE(data3!B30:AG30)</f>
        <v>#DIV/0!</v>
      </c>
      <c r="O72" s="56" t="e">
        <f>STDEV(data3!B30:AG30)</f>
        <v>#DIV/0!</v>
      </c>
      <c r="P72" s="18" t="e">
        <f t="shared" si="101"/>
        <v>#DIV/0!</v>
      </c>
      <c r="Q72" s="18" t="e">
        <f t="shared" si="102"/>
        <v>#DIV/0!</v>
      </c>
      <c r="R72" s="18" t="e">
        <f t="shared" si="103"/>
        <v>#DIV/0!</v>
      </c>
      <c r="S72" s="19">
        <f t="shared" si="105"/>
        <v>29.6</v>
      </c>
      <c r="T72" s="27" t="e">
        <f t="shared" si="106"/>
        <v>#DIV/0!</v>
      </c>
      <c r="U72" s="27" t="e">
        <f t="shared" si="107"/>
        <v>#DIV/0!</v>
      </c>
      <c r="V72" s="27" t="e">
        <f t="shared" si="108"/>
        <v>#DIV/0!</v>
      </c>
      <c r="W72" s="27" t="e">
        <f t="shared" si="109"/>
        <v>#DIV/0!</v>
      </c>
      <c r="Z72" s="104" t="str">
        <f>Summary!B65</f>
        <v>29147 `Near' Detect Region: 6% Reflector , 77% Xmit @ 850nm</v>
      </c>
      <c r="AA72" s="104"/>
      <c r="AB72" s="104"/>
      <c r="AC72" s="104"/>
      <c r="AD72" s="104"/>
      <c r="AE72" s="104"/>
      <c r="AF72" s="104"/>
      <c r="AG72" s="104"/>
      <c r="AH72" s="104"/>
      <c r="AI72" s="104" t="str">
        <f>Summary!I65</f>
        <v>29147 `Far` Offset Region: 6% Reflector , 77% Xmit @ 850nm</v>
      </c>
      <c r="AJ72" s="104"/>
      <c r="AK72" s="104"/>
      <c r="AL72" s="104"/>
      <c r="AM72" s="104"/>
      <c r="AN72" s="104"/>
      <c r="AO72" s="104"/>
      <c r="AP72" s="104"/>
      <c r="AQ72" s="104"/>
    </row>
    <row r="73" spans="3:43">
      <c r="C73" s="54">
        <f t="shared" si="104"/>
        <v>30.6</v>
      </c>
      <c r="D73" s="27" t="e">
        <f t="shared" si="98"/>
        <v>#DIV/0!</v>
      </c>
      <c r="E73" s="55" t="e">
        <f>AVERAGE(data0!B31:AG31)</f>
        <v>#DIV/0!</v>
      </c>
      <c r="F73" s="27" t="e">
        <f t="shared" si="99"/>
        <v>#DIV/0!</v>
      </c>
      <c r="G73" s="18">
        <f>MAX(data0!B31:AG31)</f>
        <v>0</v>
      </c>
      <c r="H73" s="27" t="e">
        <f t="shared" si="100"/>
        <v>#DIV/0!</v>
      </c>
      <c r="I73" s="55" t="e">
        <f>STDEV(data0!B31:AG31)</f>
        <v>#DIV/0!</v>
      </c>
      <c r="J73" s="55" t="e">
        <f>AVERAGE(data1!B31:AG31)</f>
        <v>#DIV/0!</v>
      </c>
      <c r="K73" s="55" t="e">
        <f>STDEV(data1!B31:AG31)</f>
        <v>#DIV/0!</v>
      </c>
      <c r="L73" s="56" t="e">
        <f>AVERAGE(data2!B31:AG31)</f>
        <v>#DIV/0!</v>
      </c>
      <c r="M73" s="56" t="e">
        <f>STDEV(data2!B31:AG31)</f>
        <v>#DIV/0!</v>
      </c>
      <c r="N73" s="56" t="e">
        <f>AVERAGE(data3!B31:AG31)</f>
        <v>#DIV/0!</v>
      </c>
      <c r="O73" s="56" t="e">
        <f>STDEV(data3!B31:AG31)</f>
        <v>#DIV/0!</v>
      </c>
      <c r="P73" s="18" t="e">
        <f t="shared" si="101"/>
        <v>#DIV/0!</v>
      </c>
      <c r="Q73" s="18" t="e">
        <f t="shared" si="102"/>
        <v>#DIV/0!</v>
      </c>
      <c r="R73" s="18" t="e">
        <f t="shared" si="103"/>
        <v>#DIV/0!</v>
      </c>
      <c r="S73" s="19">
        <f t="shared" si="105"/>
        <v>30.6</v>
      </c>
      <c r="T73" s="27" t="e">
        <f t="shared" si="106"/>
        <v>#DIV/0!</v>
      </c>
      <c r="U73" s="27" t="e">
        <f t="shared" si="107"/>
        <v>#DIV/0!</v>
      </c>
      <c r="V73" s="27" t="e">
        <f t="shared" si="108"/>
        <v>#DIV/0!</v>
      </c>
      <c r="W73" s="27" t="e">
        <f t="shared" si="109"/>
        <v>#DIV/0!</v>
      </c>
    </row>
    <row r="74" spans="3:43">
      <c r="C74" s="54">
        <f t="shared" si="104"/>
        <v>31.6</v>
      </c>
      <c r="D74" s="27" t="e">
        <f t="shared" si="98"/>
        <v>#DIV/0!</v>
      </c>
      <c r="E74" s="55" t="e">
        <f>AVERAGE(data0!B32:AG32)</f>
        <v>#DIV/0!</v>
      </c>
      <c r="F74" s="27" t="e">
        <f t="shared" si="99"/>
        <v>#DIV/0!</v>
      </c>
      <c r="G74" s="18">
        <f>MAX(data0!B32:AG32)</f>
        <v>0</v>
      </c>
      <c r="H74" s="27" t="e">
        <f t="shared" si="100"/>
        <v>#DIV/0!</v>
      </c>
      <c r="I74" s="55" t="e">
        <f>STDEV(data0!B32:AG32)</f>
        <v>#DIV/0!</v>
      </c>
      <c r="J74" s="55" t="e">
        <f>AVERAGE(data1!B32:AG32)</f>
        <v>#DIV/0!</v>
      </c>
      <c r="K74" s="55" t="e">
        <f>STDEV(data1!B32:AG32)</f>
        <v>#DIV/0!</v>
      </c>
      <c r="L74" s="56" t="e">
        <f>AVERAGE(data2!B32:AG32)</f>
        <v>#DIV/0!</v>
      </c>
      <c r="M74" s="56" t="e">
        <f>STDEV(data2!B32:AG32)</f>
        <v>#DIV/0!</v>
      </c>
      <c r="N74" s="56" t="e">
        <f>AVERAGE(data3!B32:AG32)</f>
        <v>#DIV/0!</v>
      </c>
      <c r="O74" s="56" t="e">
        <f>STDEV(data3!B32:AG32)</f>
        <v>#DIV/0!</v>
      </c>
      <c r="P74" s="18" t="e">
        <f t="shared" si="101"/>
        <v>#DIV/0!</v>
      </c>
      <c r="Q74" s="18" t="e">
        <f t="shared" si="102"/>
        <v>#DIV/0!</v>
      </c>
      <c r="R74" s="18" t="e">
        <f t="shared" si="103"/>
        <v>#DIV/0!</v>
      </c>
      <c r="S74" s="19">
        <f t="shared" si="105"/>
        <v>31.6</v>
      </c>
      <c r="T74" s="27" t="e">
        <f t="shared" si="106"/>
        <v>#DIV/0!</v>
      </c>
      <c r="U74" s="27" t="e">
        <f t="shared" si="107"/>
        <v>#DIV/0!</v>
      </c>
      <c r="V74" s="27" t="e">
        <f t="shared" si="108"/>
        <v>#DIV/0!</v>
      </c>
      <c r="W74" s="27" t="e">
        <f t="shared" si="109"/>
        <v>#DIV/0!</v>
      </c>
    </row>
    <row r="75" spans="3:43">
      <c r="C75" s="54">
        <f t="shared" si="104"/>
        <v>32.6</v>
      </c>
      <c r="D75" s="27" t="e">
        <f t="shared" si="98"/>
        <v>#DIV/0!</v>
      </c>
      <c r="E75" s="55" t="e">
        <f>AVERAGE(data0!B33:AG33)</f>
        <v>#DIV/0!</v>
      </c>
      <c r="F75" s="27" t="e">
        <f t="shared" si="99"/>
        <v>#DIV/0!</v>
      </c>
      <c r="G75" s="18">
        <f>MAX(data0!B33:AG33)</f>
        <v>0</v>
      </c>
      <c r="H75" s="27" t="e">
        <f t="shared" si="100"/>
        <v>#DIV/0!</v>
      </c>
      <c r="I75" s="55" t="e">
        <f>STDEV(data0!B33:AG33)</f>
        <v>#DIV/0!</v>
      </c>
      <c r="J75" s="55" t="e">
        <f>AVERAGE(data1!B33:AG33)</f>
        <v>#DIV/0!</v>
      </c>
      <c r="K75" s="55" t="e">
        <f>STDEV(data1!B33:AG33)</f>
        <v>#DIV/0!</v>
      </c>
      <c r="L75" s="56" t="e">
        <f>AVERAGE(data2!B33:AG33)</f>
        <v>#DIV/0!</v>
      </c>
      <c r="M75" s="56" t="e">
        <f>STDEV(data2!B33:AG33)</f>
        <v>#DIV/0!</v>
      </c>
      <c r="N75" s="56" t="e">
        <f>AVERAGE(data3!B33:AG33)</f>
        <v>#DIV/0!</v>
      </c>
      <c r="O75" s="56" t="e">
        <f>STDEV(data3!B33:AG33)</f>
        <v>#DIV/0!</v>
      </c>
      <c r="P75" s="18" t="e">
        <f t="shared" si="101"/>
        <v>#DIV/0!</v>
      </c>
      <c r="Q75" s="18" t="e">
        <f t="shared" si="102"/>
        <v>#DIV/0!</v>
      </c>
      <c r="R75" s="18" t="e">
        <f t="shared" si="103"/>
        <v>#DIV/0!</v>
      </c>
      <c r="S75" s="19">
        <f t="shared" si="105"/>
        <v>32.6</v>
      </c>
      <c r="T75" s="27" t="e">
        <f t="shared" si="106"/>
        <v>#DIV/0!</v>
      </c>
      <c r="U75" s="27" t="e">
        <f t="shared" si="107"/>
        <v>#DIV/0!</v>
      </c>
      <c r="V75" s="27" t="e">
        <f t="shared" si="108"/>
        <v>#DIV/0!</v>
      </c>
      <c r="W75" s="27" t="e">
        <f t="shared" si="109"/>
        <v>#DIV/0!</v>
      </c>
    </row>
    <row r="76" spans="3:43">
      <c r="C76" s="54">
        <f t="shared" si="104"/>
        <v>33.6</v>
      </c>
      <c r="D76" s="27" t="e">
        <f t="shared" ref="D76:D107" si="112">E76-1.5*I76</f>
        <v>#DIV/0!</v>
      </c>
      <c r="E76" s="55" t="e">
        <f>AVERAGE(data0!B34:AG34)</f>
        <v>#DIV/0!</v>
      </c>
      <c r="F76" s="27" t="e">
        <f t="shared" ref="F76:F107" si="113">E76+1.5*I76</f>
        <v>#DIV/0!</v>
      </c>
      <c r="G76" s="18">
        <f>MAX(data0!B34:AG34)</f>
        <v>0</v>
      </c>
      <c r="H76" s="27" t="e">
        <f t="shared" ref="H76:H107" si="114">E76-H$4</f>
        <v>#DIV/0!</v>
      </c>
      <c r="I76" s="55" t="e">
        <f>STDEV(data0!B34:AG34)</f>
        <v>#DIV/0!</v>
      </c>
      <c r="J76" s="55" t="e">
        <f>AVERAGE(data1!B34:AG34)</f>
        <v>#DIV/0!</v>
      </c>
      <c r="K76" s="55" t="e">
        <f>STDEV(data1!B34:AG34)</f>
        <v>#DIV/0!</v>
      </c>
      <c r="L76" s="56" t="e">
        <f>AVERAGE(data2!B34:AG34)</f>
        <v>#DIV/0!</v>
      </c>
      <c r="M76" s="56" t="e">
        <f>STDEV(data2!B34:AG34)</f>
        <v>#DIV/0!</v>
      </c>
      <c r="N76" s="56" t="e">
        <f>AVERAGE(data3!B34:AG34)</f>
        <v>#DIV/0!</v>
      </c>
      <c r="O76" s="56" t="e">
        <f>STDEV(data3!B34:AG34)</f>
        <v>#DIV/0!</v>
      </c>
      <c r="P76" s="18" t="e">
        <f t="shared" ref="P76:P107" si="115">(E76-relativePrx*$H$4)/(J76-relativePrx*$H$5)</f>
        <v>#DIV/0!</v>
      </c>
      <c r="Q76" s="18" t="e">
        <f t="shared" ref="Q76:Q107" si="116">(J76-relativePrx*$H$5)/(L76-relativePrx*$H$6)</f>
        <v>#DIV/0!</v>
      </c>
      <c r="R76" s="18" t="e">
        <f t="shared" ref="R76:R107" si="117">(L76-relativePrx*$H$6)/(N76-relativePrx*$H$7)</f>
        <v>#DIV/0!</v>
      </c>
      <c r="S76" s="19">
        <f t="shared" si="105"/>
        <v>33.6</v>
      </c>
      <c r="T76" s="27" t="e">
        <f t="shared" si="106"/>
        <v>#DIV/0!</v>
      </c>
      <c r="U76" s="27" t="e">
        <f t="shared" si="107"/>
        <v>#DIV/0!</v>
      </c>
      <c r="V76" s="27" t="e">
        <f t="shared" si="108"/>
        <v>#DIV/0!</v>
      </c>
      <c r="W76" s="27" t="e">
        <f t="shared" si="109"/>
        <v>#DIV/0!</v>
      </c>
    </row>
    <row r="77" spans="3:43">
      <c r="C77" s="54">
        <f t="shared" ref="C77:C108" si="118">C76+$B$4</f>
        <v>34.6</v>
      </c>
      <c r="D77" s="27" t="e">
        <f t="shared" si="112"/>
        <v>#DIV/0!</v>
      </c>
      <c r="E77" s="55" t="e">
        <f>AVERAGE(data0!B35:AG35)</f>
        <v>#DIV/0!</v>
      </c>
      <c r="F77" s="27" t="e">
        <f t="shared" si="113"/>
        <v>#DIV/0!</v>
      </c>
      <c r="G77" s="18">
        <f>MAX(data0!B35:AG35)</f>
        <v>0</v>
      </c>
      <c r="H77" s="27" t="e">
        <f t="shared" si="114"/>
        <v>#DIV/0!</v>
      </c>
      <c r="I77" s="55" t="e">
        <f>STDEV(data0!B35:AG35)</f>
        <v>#DIV/0!</v>
      </c>
      <c r="J77" s="55" t="e">
        <f>AVERAGE(data1!B35:AG35)</f>
        <v>#DIV/0!</v>
      </c>
      <c r="K77" s="55" t="e">
        <f>STDEV(data1!B35:AG35)</f>
        <v>#DIV/0!</v>
      </c>
      <c r="L77" s="56" t="e">
        <f>AVERAGE(data2!B35:AG35)</f>
        <v>#DIV/0!</v>
      </c>
      <c r="M77" s="56" t="e">
        <f>STDEV(data2!B35:AG35)</f>
        <v>#DIV/0!</v>
      </c>
      <c r="N77" s="56" t="e">
        <f>AVERAGE(data3!B35:AG35)</f>
        <v>#DIV/0!</v>
      </c>
      <c r="O77" s="56" t="e">
        <f>STDEV(data3!B35:AG35)</f>
        <v>#DIV/0!</v>
      </c>
      <c r="P77" s="18" t="e">
        <f t="shared" si="115"/>
        <v>#DIV/0!</v>
      </c>
      <c r="Q77" s="18" t="e">
        <f t="shared" si="116"/>
        <v>#DIV/0!</v>
      </c>
      <c r="R77" s="18" t="e">
        <f t="shared" si="117"/>
        <v>#DIV/0!</v>
      </c>
      <c r="S77" s="19">
        <f t="shared" si="105"/>
        <v>34.6</v>
      </c>
      <c r="T77" s="27" t="e">
        <f t="shared" si="106"/>
        <v>#DIV/0!</v>
      </c>
      <c r="U77" s="27" t="e">
        <f t="shared" si="107"/>
        <v>#DIV/0!</v>
      </c>
      <c r="V77" s="27" t="e">
        <f t="shared" si="108"/>
        <v>#DIV/0!</v>
      </c>
      <c r="W77" s="27" t="e">
        <f t="shared" si="109"/>
        <v>#DIV/0!</v>
      </c>
    </row>
    <row r="78" spans="3:43">
      <c r="C78" s="54">
        <f t="shared" si="118"/>
        <v>35.6</v>
      </c>
      <c r="D78" s="27" t="e">
        <f t="shared" si="112"/>
        <v>#DIV/0!</v>
      </c>
      <c r="E78" s="55" t="e">
        <f>AVERAGE(data0!B36:AG36)</f>
        <v>#DIV/0!</v>
      </c>
      <c r="F78" s="27" t="e">
        <f t="shared" si="113"/>
        <v>#DIV/0!</v>
      </c>
      <c r="G78" s="18">
        <f>MAX(data0!B36:AG36)</f>
        <v>0</v>
      </c>
      <c r="H78" s="27" t="e">
        <f t="shared" si="114"/>
        <v>#DIV/0!</v>
      </c>
      <c r="I78" s="55" t="e">
        <f>STDEV(data0!B36:AG36)</f>
        <v>#DIV/0!</v>
      </c>
      <c r="J78" s="55" t="e">
        <f>AVERAGE(data1!B36:AG36)</f>
        <v>#DIV/0!</v>
      </c>
      <c r="K78" s="55" t="e">
        <f>STDEV(data1!B36:AG36)</f>
        <v>#DIV/0!</v>
      </c>
      <c r="L78" s="56" t="e">
        <f>AVERAGE(data2!B36:AG36)</f>
        <v>#DIV/0!</v>
      </c>
      <c r="M78" s="56" t="e">
        <f>STDEV(data2!B36:AG36)</f>
        <v>#DIV/0!</v>
      </c>
      <c r="N78" s="56" t="e">
        <f>AVERAGE(data3!B36:AG36)</f>
        <v>#DIV/0!</v>
      </c>
      <c r="O78" s="56" t="e">
        <f>STDEV(data3!B36:AG36)</f>
        <v>#DIV/0!</v>
      </c>
      <c r="P78" s="18" t="e">
        <f t="shared" si="115"/>
        <v>#DIV/0!</v>
      </c>
      <c r="Q78" s="18" t="e">
        <f t="shared" si="116"/>
        <v>#DIV/0!</v>
      </c>
      <c r="R78" s="18" t="e">
        <f t="shared" si="117"/>
        <v>#DIV/0!</v>
      </c>
      <c r="S78" s="19">
        <f t="shared" si="105"/>
        <v>35.6</v>
      </c>
      <c r="T78" s="27" t="e">
        <f t="shared" si="106"/>
        <v>#DIV/0!</v>
      </c>
      <c r="U78" s="27" t="e">
        <f t="shared" si="107"/>
        <v>#DIV/0!</v>
      </c>
      <c r="V78" s="27" t="e">
        <f t="shared" si="108"/>
        <v>#DIV/0!</v>
      </c>
      <c r="W78" s="27" t="e">
        <f t="shared" si="109"/>
        <v>#DIV/0!</v>
      </c>
    </row>
    <row r="79" spans="3:43">
      <c r="C79" s="54">
        <f t="shared" si="118"/>
        <v>36.6</v>
      </c>
      <c r="D79" s="27" t="e">
        <f t="shared" si="112"/>
        <v>#DIV/0!</v>
      </c>
      <c r="E79" s="55" t="e">
        <f>AVERAGE(data0!B37:AG37)</f>
        <v>#DIV/0!</v>
      </c>
      <c r="F79" s="27" t="e">
        <f t="shared" si="113"/>
        <v>#DIV/0!</v>
      </c>
      <c r="G79" s="18">
        <f>MAX(data0!B37:AG37)</f>
        <v>0</v>
      </c>
      <c r="H79" s="27" t="e">
        <f t="shared" si="114"/>
        <v>#DIV/0!</v>
      </c>
      <c r="I79" s="55" t="e">
        <f>STDEV(data0!B37:AG37)</f>
        <v>#DIV/0!</v>
      </c>
      <c r="J79" s="55" t="e">
        <f>AVERAGE(data1!B37:AG37)</f>
        <v>#DIV/0!</v>
      </c>
      <c r="K79" s="55" t="e">
        <f>STDEV(data1!B37:AG37)</f>
        <v>#DIV/0!</v>
      </c>
      <c r="L79" s="56" t="e">
        <f>AVERAGE(data2!B37:AG37)</f>
        <v>#DIV/0!</v>
      </c>
      <c r="M79" s="56" t="e">
        <f>STDEV(data2!B37:AG37)</f>
        <v>#DIV/0!</v>
      </c>
      <c r="N79" s="56" t="e">
        <f>AVERAGE(data3!B37:AG37)</f>
        <v>#DIV/0!</v>
      </c>
      <c r="O79" s="56" t="e">
        <f>STDEV(data3!B37:AG37)</f>
        <v>#DIV/0!</v>
      </c>
      <c r="P79" s="18" t="e">
        <f t="shared" si="115"/>
        <v>#DIV/0!</v>
      </c>
      <c r="Q79" s="18" t="e">
        <f t="shared" si="116"/>
        <v>#DIV/0!</v>
      </c>
      <c r="R79" s="18" t="e">
        <f t="shared" si="117"/>
        <v>#DIV/0!</v>
      </c>
      <c r="S79" s="19">
        <f t="shared" si="105"/>
        <v>36.6</v>
      </c>
      <c r="T79" s="27" t="e">
        <f t="shared" si="106"/>
        <v>#DIV/0!</v>
      </c>
      <c r="U79" s="27" t="e">
        <f t="shared" si="107"/>
        <v>#DIV/0!</v>
      </c>
      <c r="V79" s="27" t="e">
        <f t="shared" si="108"/>
        <v>#DIV/0!</v>
      </c>
      <c r="W79" s="27" t="e">
        <f t="shared" si="109"/>
        <v>#DIV/0!</v>
      </c>
    </row>
    <row r="80" spans="3:43">
      <c r="C80" s="54">
        <f t="shared" si="118"/>
        <v>37.6</v>
      </c>
      <c r="D80" s="27" t="e">
        <f t="shared" si="112"/>
        <v>#DIV/0!</v>
      </c>
      <c r="E80" s="55" t="e">
        <f>AVERAGE(data0!B38:AG38)</f>
        <v>#DIV/0!</v>
      </c>
      <c r="F80" s="27" t="e">
        <f t="shared" si="113"/>
        <v>#DIV/0!</v>
      </c>
      <c r="G80" s="18">
        <f>MAX(data0!B38:AG38)</f>
        <v>0</v>
      </c>
      <c r="H80" s="27" t="e">
        <f t="shared" si="114"/>
        <v>#DIV/0!</v>
      </c>
      <c r="I80" s="55" t="e">
        <f>STDEV(data0!B38:AG38)</f>
        <v>#DIV/0!</v>
      </c>
      <c r="J80" s="55" t="e">
        <f>AVERAGE(data1!B38:AG38)</f>
        <v>#DIV/0!</v>
      </c>
      <c r="K80" s="55" t="e">
        <f>STDEV(data1!B38:AG38)</f>
        <v>#DIV/0!</v>
      </c>
      <c r="L80" s="56" t="e">
        <f>AVERAGE(data2!B38:AG38)</f>
        <v>#DIV/0!</v>
      </c>
      <c r="M80" s="56" t="e">
        <f>STDEV(data2!B38:AG38)</f>
        <v>#DIV/0!</v>
      </c>
      <c r="N80" s="56" t="e">
        <f>AVERAGE(data3!B38:AG38)</f>
        <v>#DIV/0!</v>
      </c>
      <c r="O80" s="56" t="e">
        <f>STDEV(data3!B38:AG38)</f>
        <v>#DIV/0!</v>
      </c>
      <c r="P80" s="18" t="e">
        <f t="shared" si="115"/>
        <v>#DIV/0!</v>
      </c>
      <c r="Q80" s="18" t="e">
        <f t="shared" si="116"/>
        <v>#DIV/0!</v>
      </c>
      <c r="R80" s="18" t="e">
        <f t="shared" si="117"/>
        <v>#DIV/0!</v>
      </c>
      <c r="S80" s="19">
        <f t="shared" si="105"/>
        <v>37.6</v>
      </c>
      <c r="T80" s="27" t="e">
        <f t="shared" si="106"/>
        <v>#DIV/0!</v>
      </c>
      <c r="U80" s="27" t="e">
        <f t="shared" si="107"/>
        <v>#DIV/0!</v>
      </c>
      <c r="V80" s="27" t="e">
        <f t="shared" si="108"/>
        <v>#DIV/0!</v>
      </c>
      <c r="W80" s="27" t="e">
        <f t="shared" si="109"/>
        <v>#DIV/0!</v>
      </c>
    </row>
    <row r="81" spans="3:66">
      <c r="C81" s="54">
        <f t="shared" si="118"/>
        <v>38.6</v>
      </c>
      <c r="D81" s="27" t="e">
        <f t="shared" si="112"/>
        <v>#DIV/0!</v>
      </c>
      <c r="E81" s="55" t="e">
        <f>AVERAGE(data0!B39:AG39)</f>
        <v>#DIV/0!</v>
      </c>
      <c r="F81" s="27" t="e">
        <f t="shared" si="113"/>
        <v>#DIV/0!</v>
      </c>
      <c r="G81" s="18">
        <f>MAX(data0!B39:AG39)</f>
        <v>0</v>
      </c>
      <c r="H81" s="27" t="e">
        <f t="shared" si="114"/>
        <v>#DIV/0!</v>
      </c>
      <c r="I81" s="55" t="e">
        <f>STDEV(data0!B39:AG39)</f>
        <v>#DIV/0!</v>
      </c>
      <c r="J81" s="55" t="e">
        <f>AVERAGE(data1!B39:AG39)</f>
        <v>#DIV/0!</v>
      </c>
      <c r="K81" s="55" t="e">
        <f>STDEV(data1!B39:AG39)</f>
        <v>#DIV/0!</v>
      </c>
      <c r="L81" s="56" t="e">
        <f>AVERAGE(data2!B39:AG39)</f>
        <v>#DIV/0!</v>
      </c>
      <c r="M81" s="56" t="e">
        <f>STDEV(data2!B39:AG39)</f>
        <v>#DIV/0!</v>
      </c>
      <c r="N81" s="56" t="e">
        <f>AVERAGE(data3!B39:AG39)</f>
        <v>#DIV/0!</v>
      </c>
      <c r="O81" s="56" t="e">
        <f>STDEV(data3!B39:AG39)</f>
        <v>#DIV/0!</v>
      </c>
      <c r="P81" s="18" t="e">
        <f t="shared" si="115"/>
        <v>#DIV/0!</v>
      </c>
      <c r="Q81" s="18" t="e">
        <f t="shared" si="116"/>
        <v>#DIV/0!</v>
      </c>
      <c r="R81" s="18" t="e">
        <f t="shared" si="117"/>
        <v>#DIV/0!</v>
      </c>
      <c r="S81" s="19">
        <f t="shared" si="105"/>
        <v>38.6</v>
      </c>
      <c r="T81" s="27" t="e">
        <f t="shared" si="106"/>
        <v>#DIV/0!</v>
      </c>
      <c r="U81" s="27" t="e">
        <f t="shared" si="107"/>
        <v>#DIV/0!</v>
      </c>
      <c r="V81" s="27" t="e">
        <f t="shared" si="108"/>
        <v>#DIV/0!</v>
      </c>
      <c r="W81" s="27" t="e">
        <f t="shared" si="109"/>
        <v>#DIV/0!</v>
      </c>
    </row>
    <row r="82" spans="3:66">
      <c r="C82" s="54">
        <f t="shared" si="118"/>
        <v>39.6</v>
      </c>
      <c r="D82" s="27" t="e">
        <f t="shared" si="112"/>
        <v>#DIV/0!</v>
      </c>
      <c r="E82" s="55" t="e">
        <f>AVERAGE(data0!B40:AG40)</f>
        <v>#DIV/0!</v>
      </c>
      <c r="F82" s="27" t="e">
        <f t="shared" si="113"/>
        <v>#DIV/0!</v>
      </c>
      <c r="G82" s="18">
        <f>MAX(data0!B40:AG40)</f>
        <v>0</v>
      </c>
      <c r="H82" s="27" t="e">
        <f t="shared" si="114"/>
        <v>#DIV/0!</v>
      </c>
      <c r="I82" s="55" t="e">
        <f>STDEV(data0!B40:AG40)</f>
        <v>#DIV/0!</v>
      </c>
      <c r="J82" s="55" t="e">
        <f>AVERAGE(data1!B40:AG40)</f>
        <v>#DIV/0!</v>
      </c>
      <c r="K82" s="55" t="e">
        <f>STDEV(data1!B40:AG40)</f>
        <v>#DIV/0!</v>
      </c>
      <c r="L82" s="56" t="e">
        <f>AVERAGE(data2!B40:AG40)</f>
        <v>#DIV/0!</v>
      </c>
      <c r="M82" s="56" t="e">
        <f>STDEV(data2!B40:AG40)</f>
        <v>#DIV/0!</v>
      </c>
      <c r="N82" s="56" t="e">
        <f>AVERAGE(data3!B40:AG40)</f>
        <v>#DIV/0!</v>
      </c>
      <c r="O82" s="56" t="e">
        <f>STDEV(data3!B40:AG40)</f>
        <v>#DIV/0!</v>
      </c>
      <c r="P82" s="18" t="e">
        <f t="shared" si="115"/>
        <v>#DIV/0!</v>
      </c>
      <c r="Q82" s="18" t="e">
        <f t="shared" si="116"/>
        <v>#DIV/0!</v>
      </c>
      <c r="R82" s="18" t="e">
        <f t="shared" si="117"/>
        <v>#DIV/0!</v>
      </c>
      <c r="S82" s="19">
        <f t="shared" si="105"/>
        <v>39.6</v>
      </c>
      <c r="T82" s="27" t="e">
        <f t="shared" si="106"/>
        <v>#DIV/0!</v>
      </c>
      <c r="U82" s="27" t="e">
        <f t="shared" si="107"/>
        <v>#DIV/0!</v>
      </c>
      <c r="V82" s="27" t="e">
        <f t="shared" si="108"/>
        <v>#DIV/0!</v>
      </c>
      <c r="W82" s="27" t="e">
        <f t="shared" si="109"/>
        <v>#DIV/0!</v>
      </c>
    </row>
    <row r="83" spans="3:66">
      <c r="C83" s="54">
        <f t="shared" si="118"/>
        <v>40.6</v>
      </c>
      <c r="D83" s="27" t="e">
        <f t="shared" si="112"/>
        <v>#DIV/0!</v>
      </c>
      <c r="E83" s="55" t="e">
        <f>AVERAGE(data0!B41:AG41)</f>
        <v>#DIV/0!</v>
      </c>
      <c r="F83" s="27" t="e">
        <f t="shared" si="113"/>
        <v>#DIV/0!</v>
      </c>
      <c r="G83" s="18">
        <f>MAX(data0!B41:AG41)</f>
        <v>0</v>
      </c>
      <c r="H83" s="27" t="e">
        <f t="shared" si="114"/>
        <v>#DIV/0!</v>
      </c>
      <c r="I83" s="55" t="e">
        <f>STDEV(data0!B41:AG41)</f>
        <v>#DIV/0!</v>
      </c>
      <c r="J83" s="55" t="e">
        <f>AVERAGE(data1!B41:AG41)</f>
        <v>#DIV/0!</v>
      </c>
      <c r="K83" s="55" t="e">
        <f>STDEV(data1!B41:AG41)</f>
        <v>#DIV/0!</v>
      </c>
      <c r="L83" s="56" t="e">
        <f>AVERAGE(data2!B41:AG41)</f>
        <v>#DIV/0!</v>
      </c>
      <c r="M83" s="56" t="e">
        <f>STDEV(data2!B41:AG41)</f>
        <v>#DIV/0!</v>
      </c>
      <c r="N83" s="56" t="e">
        <f>AVERAGE(data3!B41:AG41)</f>
        <v>#DIV/0!</v>
      </c>
      <c r="O83" s="56" t="e">
        <f>STDEV(data3!B41:AG41)</f>
        <v>#DIV/0!</v>
      </c>
      <c r="P83" s="18" t="e">
        <f t="shared" si="115"/>
        <v>#DIV/0!</v>
      </c>
      <c r="Q83" s="18" t="e">
        <f t="shared" si="116"/>
        <v>#DIV/0!</v>
      </c>
      <c r="R83" s="18" t="e">
        <f t="shared" si="117"/>
        <v>#DIV/0!</v>
      </c>
      <c r="S83" s="19">
        <f t="shared" si="105"/>
        <v>40.6</v>
      </c>
      <c r="T83" s="27" t="e">
        <f t="shared" si="106"/>
        <v>#DIV/0!</v>
      </c>
      <c r="U83" s="27" t="e">
        <f t="shared" si="107"/>
        <v>#DIV/0!</v>
      </c>
      <c r="V83" s="27" t="e">
        <f t="shared" si="108"/>
        <v>#DIV/0!</v>
      </c>
      <c r="W83" s="27" t="e">
        <f t="shared" si="109"/>
        <v>#DIV/0!</v>
      </c>
    </row>
    <row r="84" spans="3:66">
      <c r="C84" s="54">
        <f t="shared" si="118"/>
        <v>41.6</v>
      </c>
      <c r="D84" s="27" t="e">
        <f t="shared" si="112"/>
        <v>#DIV/0!</v>
      </c>
      <c r="E84" s="55" t="e">
        <f>AVERAGE(data0!B42:AG42)</f>
        <v>#DIV/0!</v>
      </c>
      <c r="F84" s="27" t="e">
        <f t="shared" si="113"/>
        <v>#DIV/0!</v>
      </c>
      <c r="G84" s="18">
        <f>MAX(data0!B42:AG42)</f>
        <v>0</v>
      </c>
      <c r="H84" s="27" t="e">
        <f t="shared" si="114"/>
        <v>#DIV/0!</v>
      </c>
      <c r="I84" s="55" t="e">
        <f>STDEV(data0!B42:AG42)</f>
        <v>#DIV/0!</v>
      </c>
      <c r="J84" s="55" t="e">
        <f>AVERAGE(data1!B42:AG42)</f>
        <v>#DIV/0!</v>
      </c>
      <c r="K84" s="55" t="e">
        <f>STDEV(data1!B42:AG42)</f>
        <v>#DIV/0!</v>
      </c>
      <c r="L84" s="56" t="e">
        <f>AVERAGE(data2!B42:AG42)</f>
        <v>#DIV/0!</v>
      </c>
      <c r="M84" s="56" t="e">
        <f>STDEV(data2!B42:AG42)</f>
        <v>#DIV/0!</v>
      </c>
      <c r="N84" s="56" t="e">
        <f>AVERAGE(data3!B42:AG42)</f>
        <v>#DIV/0!</v>
      </c>
      <c r="O84" s="56" t="e">
        <f>STDEV(data3!B42:AG42)</f>
        <v>#DIV/0!</v>
      </c>
      <c r="P84" s="18" t="e">
        <f t="shared" si="115"/>
        <v>#DIV/0!</v>
      </c>
      <c r="Q84" s="18" t="e">
        <f t="shared" si="116"/>
        <v>#DIV/0!</v>
      </c>
      <c r="R84" s="18" t="e">
        <f t="shared" si="117"/>
        <v>#DIV/0!</v>
      </c>
      <c r="S84" s="19">
        <f t="shared" si="105"/>
        <v>41.6</v>
      </c>
      <c r="T84" s="27" t="e">
        <f t="shared" si="106"/>
        <v>#DIV/0!</v>
      </c>
      <c r="U84" s="27" t="e">
        <f t="shared" si="107"/>
        <v>#DIV/0!</v>
      </c>
      <c r="V84" s="27" t="e">
        <f t="shared" si="108"/>
        <v>#DIV/0!</v>
      </c>
      <c r="W84" s="27" t="e">
        <f t="shared" si="109"/>
        <v>#DIV/0!</v>
      </c>
    </row>
    <row r="85" spans="3:66">
      <c r="C85" s="54">
        <f t="shared" si="118"/>
        <v>42.6</v>
      </c>
      <c r="D85" s="27" t="e">
        <f t="shared" si="112"/>
        <v>#DIV/0!</v>
      </c>
      <c r="E85" s="55" t="e">
        <f>AVERAGE(data0!B43:AG43)</f>
        <v>#DIV/0!</v>
      </c>
      <c r="F85" s="27" t="e">
        <f t="shared" si="113"/>
        <v>#DIV/0!</v>
      </c>
      <c r="G85" s="18">
        <f>MAX(data0!B43:AG43)</f>
        <v>0</v>
      </c>
      <c r="H85" s="27" t="e">
        <f t="shared" si="114"/>
        <v>#DIV/0!</v>
      </c>
      <c r="I85" s="55" t="e">
        <f>STDEV(data0!B43:AG43)</f>
        <v>#DIV/0!</v>
      </c>
      <c r="J85" s="55" t="e">
        <f>AVERAGE(data1!B43:AG43)</f>
        <v>#DIV/0!</v>
      </c>
      <c r="K85" s="55" t="e">
        <f>STDEV(data1!B43:AG43)</f>
        <v>#DIV/0!</v>
      </c>
      <c r="L85" s="56" t="e">
        <f>AVERAGE(data2!B43:AG43)</f>
        <v>#DIV/0!</v>
      </c>
      <c r="M85" s="56" t="e">
        <f>STDEV(data2!B43:AG43)</f>
        <v>#DIV/0!</v>
      </c>
      <c r="N85" s="56" t="e">
        <f>AVERAGE(data3!B43:AG43)</f>
        <v>#DIV/0!</v>
      </c>
      <c r="O85" s="56" t="e">
        <f>STDEV(data3!B43:AG43)</f>
        <v>#DIV/0!</v>
      </c>
      <c r="P85" s="18" t="e">
        <f t="shared" si="115"/>
        <v>#DIV/0!</v>
      </c>
      <c r="Q85" s="18" t="e">
        <f t="shared" si="116"/>
        <v>#DIV/0!</v>
      </c>
      <c r="R85" s="18" t="e">
        <f t="shared" si="117"/>
        <v>#DIV/0!</v>
      </c>
      <c r="S85" s="19">
        <f t="shared" si="105"/>
        <v>42.6</v>
      </c>
      <c r="T85" s="27" t="e">
        <f t="shared" si="106"/>
        <v>#DIV/0!</v>
      </c>
      <c r="U85" s="27" t="e">
        <f t="shared" si="107"/>
        <v>#DIV/0!</v>
      </c>
      <c r="V85" s="27" t="e">
        <f t="shared" si="108"/>
        <v>#DIV/0!</v>
      </c>
      <c r="W85" s="27" t="e">
        <f t="shared" si="109"/>
        <v>#DIV/0!</v>
      </c>
    </row>
    <row r="86" spans="3:66">
      <c r="C86" s="54">
        <f t="shared" si="118"/>
        <v>43.6</v>
      </c>
      <c r="D86" s="27" t="e">
        <f t="shared" si="112"/>
        <v>#DIV/0!</v>
      </c>
      <c r="E86" s="55" t="e">
        <f>AVERAGE(data0!B44:AG44)</f>
        <v>#DIV/0!</v>
      </c>
      <c r="F86" s="27" t="e">
        <f t="shared" si="113"/>
        <v>#DIV/0!</v>
      </c>
      <c r="G86" s="18">
        <f>MAX(data0!B44:AG44)</f>
        <v>0</v>
      </c>
      <c r="H86" s="27" t="e">
        <f t="shared" si="114"/>
        <v>#DIV/0!</v>
      </c>
      <c r="I86" s="55" t="e">
        <f>STDEV(data0!B44:AG44)</f>
        <v>#DIV/0!</v>
      </c>
      <c r="J86" s="55" t="e">
        <f>AVERAGE(data1!B44:AG44)</f>
        <v>#DIV/0!</v>
      </c>
      <c r="K86" s="55" t="e">
        <f>STDEV(data1!B44:AG44)</f>
        <v>#DIV/0!</v>
      </c>
      <c r="L86" s="56" t="e">
        <f>AVERAGE(data2!B44:AG44)</f>
        <v>#DIV/0!</v>
      </c>
      <c r="M86" s="56" t="e">
        <f>STDEV(data2!B44:AG44)</f>
        <v>#DIV/0!</v>
      </c>
      <c r="N86" s="56" t="e">
        <f>AVERAGE(data3!B44:AG44)</f>
        <v>#DIV/0!</v>
      </c>
      <c r="O86" s="56" t="e">
        <f>STDEV(data3!B44:AG44)</f>
        <v>#DIV/0!</v>
      </c>
      <c r="P86" s="18" t="e">
        <f t="shared" si="115"/>
        <v>#DIV/0!</v>
      </c>
      <c r="Q86" s="18" t="e">
        <f t="shared" si="116"/>
        <v>#DIV/0!</v>
      </c>
      <c r="R86" s="18" t="e">
        <f t="shared" si="117"/>
        <v>#DIV/0!</v>
      </c>
      <c r="S86" s="19">
        <f t="shared" si="105"/>
        <v>43.6</v>
      </c>
      <c r="T86" s="27" t="e">
        <f t="shared" si="106"/>
        <v>#DIV/0!</v>
      </c>
      <c r="U86" s="27" t="e">
        <f t="shared" si="107"/>
        <v>#DIV/0!</v>
      </c>
      <c r="V86" s="27" t="e">
        <f t="shared" si="108"/>
        <v>#DIV/0!</v>
      </c>
      <c r="W86" s="27" t="e">
        <f t="shared" si="109"/>
        <v>#DIV/0!</v>
      </c>
    </row>
    <row r="87" spans="3:66">
      <c r="C87" s="54">
        <f t="shared" si="118"/>
        <v>44.6</v>
      </c>
      <c r="D87" s="27" t="e">
        <f t="shared" si="112"/>
        <v>#DIV/0!</v>
      </c>
      <c r="E87" s="55" t="e">
        <f>AVERAGE(data0!B45:AG45)</f>
        <v>#DIV/0!</v>
      </c>
      <c r="F87" s="27" t="e">
        <f t="shared" si="113"/>
        <v>#DIV/0!</v>
      </c>
      <c r="G87" s="18">
        <f>MAX(data0!B45:AG45)</f>
        <v>0</v>
      </c>
      <c r="H87" s="27" t="e">
        <f t="shared" si="114"/>
        <v>#DIV/0!</v>
      </c>
      <c r="I87" s="55" t="e">
        <f>STDEV(data0!B45:AG45)</f>
        <v>#DIV/0!</v>
      </c>
      <c r="J87" s="55" t="e">
        <f>AVERAGE(data1!B45:AG45)</f>
        <v>#DIV/0!</v>
      </c>
      <c r="K87" s="55" t="e">
        <f>STDEV(data1!B45:AG45)</f>
        <v>#DIV/0!</v>
      </c>
      <c r="L87" s="56" t="e">
        <f>AVERAGE(data2!B45:AG45)</f>
        <v>#DIV/0!</v>
      </c>
      <c r="M87" s="56" t="e">
        <f>STDEV(data2!B45:AG45)</f>
        <v>#DIV/0!</v>
      </c>
      <c r="N87" s="56" t="e">
        <f>AVERAGE(data3!B45:AG45)</f>
        <v>#DIV/0!</v>
      </c>
      <c r="O87" s="56" t="e">
        <f>STDEV(data3!B45:AG45)</f>
        <v>#DIV/0!</v>
      </c>
      <c r="P87" s="18" t="e">
        <f t="shared" si="115"/>
        <v>#DIV/0!</v>
      </c>
      <c r="Q87" s="18" t="e">
        <f t="shared" si="116"/>
        <v>#DIV/0!</v>
      </c>
      <c r="R87" s="18" t="e">
        <f t="shared" si="117"/>
        <v>#DIV/0!</v>
      </c>
      <c r="S87" s="19">
        <f t="shared" si="105"/>
        <v>44.6</v>
      </c>
      <c r="T87" s="27" t="e">
        <f t="shared" si="106"/>
        <v>#DIV/0!</v>
      </c>
      <c r="U87" s="27" t="e">
        <f t="shared" si="107"/>
        <v>#DIV/0!</v>
      </c>
      <c r="V87" s="27" t="e">
        <f t="shared" si="108"/>
        <v>#DIV/0!</v>
      </c>
      <c r="W87" s="27" t="e">
        <f t="shared" si="109"/>
        <v>#DIV/0!</v>
      </c>
    </row>
    <row r="88" spans="3:66">
      <c r="C88" s="54">
        <f t="shared" si="118"/>
        <v>45.6</v>
      </c>
      <c r="D88" s="27" t="e">
        <f t="shared" si="112"/>
        <v>#DIV/0!</v>
      </c>
      <c r="E88" s="55" t="e">
        <f>AVERAGE(data0!B46:AG46)</f>
        <v>#DIV/0!</v>
      </c>
      <c r="F88" s="27" t="e">
        <f t="shared" si="113"/>
        <v>#DIV/0!</v>
      </c>
      <c r="G88" s="18">
        <f>MAX(data0!B46:AG46)</f>
        <v>0</v>
      </c>
      <c r="H88" s="27" t="e">
        <f t="shared" si="114"/>
        <v>#DIV/0!</v>
      </c>
      <c r="I88" s="55" t="e">
        <f>STDEV(data0!B46:AG46)</f>
        <v>#DIV/0!</v>
      </c>
      <c r="J88" s="55" t="e">
        <f>AVERAGE(data1!B46:AG46)</f>
        <v>#DIV/0!</v>
      </c>
      <c r="K88" s="55" t="e">
        <f>STDEV(data1!B46:AG46)</f>
        <v>#DIV/0!</v>
      </c>
      <c r="L88" s="56" t="e">
        <f>AVERAGE(data2!B46:AG46)</f>
        <v>#DIV/0!</v>
      </c>
      <c r="M88" s="56" t="e">
        <f>STDEV(data2!B46:AG46)</f>
        <v>#DIV/0!</v>
      </c>
      <c r="N88" s="56" t="e">
        <f>AVERAGE(data3!B46:AG46)</f>
        <v>#DIV/0!</v>
      </c>
      <c r="O88" s="56" t="e">
        <f>STDEV(data3!B46:AG46)</f>
        <v>#DIV/0!</v>
      </c>
      <c r="P88" s="18" t="e">
        <f t="shared" si="115"/>
        <v>#DIV/0!</v>
      </c>
      <c r="Q88" s="18" t="e">
        <f t="shared" si="116"/>
        <v>#DIV/0!</v>
      </c>
      <c r="R88" s="18" t="e">
        <f t="shared" si="117"/>
        <v>#DIV/0!</v>
      </c>
      <c r="S88" s="19">
        <f t="shared" si="105"/>
        <v>45.6</v>
      </c>
      <c r="T88" s="27" t="e">
        <f t="shared" si="106"/>
        <v>#DIV/0!</v>
      </c>
      <c r="U88" s="27" t="e">
        <f t="shared" si="107"/>
        <v>#DIV/0!</v>
      </c>
      <c r="V88" s="27" t="e">
        <f t="shared" si="108"/>
        <v>#DIV/0!</v>
      </c>
      <c r="W88" s="27" t="e">
        <f t="shared" si="109"/>
        <v>#DIV/0!</v>
      </c>
    </row>
    <row r="89" spans="3:66">
      <c r="C89" s="54">
        <f t="shared" si="118"/>
        <v>46.6</v>
      </c>
      <c r="D89" s="27" t="e">
        <f t="shared" si="112"/>
        <v>#DIV/0!</v>
      </c>
      <c r="E89" s="55" t="e">
        <f>AVERAGE(data0!B47:AG47)</f>
        <v>#DIV/0!</v>
      </c>
      <c r="F89" s="27" t="e">
        <f t="shared" si="113"/>
        <v>#DIV/0!</v>
      </c>
      <c r="G89" s="18">
        <f>MAX(data0!B47:AG47)</f>
        <v>0</v>
      </c>
      <c r="H89" s="27" t="e">
        <f t="shared" si="114"/>
        <v>#DIV/0!</v>
      </c>
      <c r="I89" s="55" t="e">
        <f>STDEV(data0!B47:AG47)</f>
        <v>#DIV/0!</v>
      </c>
      <c r="J89" s="55" t="e">
        <f>AVERAGE(data1!B47:AG47)</f>
        <v>#DIV/0!</v>
      </c>
      <c r="K89" s="55" t="e">
        <f>STDEV(data1!B47:AG47)</f>
        <v>#DIV/0!</v>
      </c>
      <c r="L89" s="56" t="e">
        <f>AVERAGE(data2!B47:AG47)</f>
        <v>#DIV/0!</v>
      </c>
      <c r="M89" s="56" t="e">
        <f>STDEV(data2!B47:AG47)</f>
        <v>#DIV/0!</v>
      </c>
      <c r="N89" s="56" t="e">
        <f>AVERAGE(data3!B47:AG47)</f>
        <v>#DIV/0!</v>
      </c>
      <c r="O89" s="56" t="e">
        <f>STDEV(data3!B47:AG47)</f>
        <v>#DIV/0!</v>
      </c>
      <c r="P89" s="18" t="e">
        <f t="shared" si="115"/>
        <v>#DIV/0!</v>
      </c>
      <c r="Q89" s="18" t="e">
        <f t="shared" si="116"/>
        <v>#DIV/0!</v>
      </c>
      <c r="R89" s="18" t="e">
        <f t="shared" si="117"/>
        <v>#DIV/0!</v>
      </c>
      <c r="S89" s="19">
        <f t="shared" si="105"/>
        <v>46.6</v>
      </c>
      <c r="T89" s="27" t="e">
        <f t="shared" si="106"/>
        <v>#DIV/0!</v>
      </c>
      <c r="U89" s="27" t="e">
        <f t="shared" si="107"/>
        <v>#DIV/0!</v>
      </c>
      <c r="V89" s="27" t="e">
        <f t="shared" si="108"/>
        <v>#DIV/0!</v>
      </c>
      <c r="W89" s="27" t="e">
        <f t="shared" si="109"/>
        <v>#DIV/0!</v>
      </c>
      <c r="Z89" s="104" t="str">
        <f>Summary!B86</f>
        <v>29147 System Curve: 6% Reflector , 77% Xmit @ 850nm</v>
      </c>
      <c r="AA89" s="104"/>
      <c r="AB89" s="104"/>
      <c r="AC89" s="104"/>
      <c r="AD89" s="104"/>
      <c r="AE89" s="104"/>
      <c r="AF89" s="104"/>
      <c r="AG89" s="104"/>
      <c r="AH89" s="104"/>
      <c r="AI89" s="104" t="str">
        <f>Summary!B68</f>
        <v>29147 IRDR Range Ratio: 6% Reflector , 77% Xmit @ 850nm</v>
      </c>
      <c r="AJ89" s="104"/>
      <c r="AK89" s="104"/>
      <c r="AL89" s="104"/>
      <c r="AM89" s="104"/>
      <c r="AN89" s="104"/>
      <c r="AO89" s="104"/>
      <c r="AP89" s="104"/>
      <c r="AQ89" s="104"/>
    </row>
    <row r="90" spans="3:66">
      <c r="C90" s="54">
        <f t="shared" si="118"/>
        <v>47.6</v>
      </c>
      <c r="D90" s="27" t="e">
        <f t="shared" si="112"/>
        <v>#DIV/0!</v>
      </c>
      <c r="E90" s="55" t="e">
        <f>AVERAGE(data0!B48:AG48)</f>
        <v>#DIV/0!</v>
      </c>
      <c r="F90" s="27" t="e">
        <f t="shared" si="113"/>
        <v>#DIV/0!</v>
      </c>
      <c r="G90" s="18">
        <f>MAX(data0!B48:AG48)</f>
        <v>0</v>
      </c>
      <c r="H90" s="27" t="e">
        <f t="shared" si="114"/>
        <v>#DIV/0!</v>
      </c>
      <c r="I90" s="55" t="e">
        <f>STDEV(data0!B48:AG48)</f>
        <v>#DIV/0!</v>
      </c>
      <c r="J90" s="55" t="e">
        <f>AVERAGE(data1!B48:AG48)</f>
        <v>#DIV/0!</v>
      </c>
      <c r="K90" s="55" t="e">
        <f>STDEV(data1!B48:AG48)</f>
        <v>#DIV/0!</v>
      </c>
      <c r="L90" s="56" t="e">
        <f>AVERAGE(data2!B48:AG48)</f>
        <v>#DIV/0!</v>
      </c>
      <c r="M90" s="56" t="e">
        <f>STDEV(data2!B48:AG48)</f>
        <v>#DIV/0!</v>
      </c>
      <c r="N90" s="56" t="e">
        <f>AVERAGE(data3!B48:AG48)</f>
        <v>#DIV/0!</v>
      </c>
      <c r="O90" s="56" t="e">
        <f>STDEV(data3!B48:AG48)</f>
        <v>#DIV/0!</v>
      </c>
      <c r="P90" s="18" t="e">
        <f t="shared" si="115"/>
        <v>#DIV/0!</v>
      </c>
      <c r="Q90" s="18" t="e">
        <f t="shared" si="116"/>
        <v>#DIV/0!</v>
      </c>
      <c r="R90" s="18" t="e">
        <f t="shared" si="117"/>
        <v>#DIV/0!</v>
      </c>
      <c r="S90" s="19">
        <f t="shared" si="105"/>
        <v>47.6</v>
      </c>
      <c r="T90" s="27" t="e">
        <f t="shared" si="106"/>
        <v>#DIV/0!</v>
      </c>
      <c r="U90" s="27" t="e">
        <f t="shared" si="107"/>
        <v>#DIV/0!</v>
      </c>
      <c r="V90" s="27" t="e">
        <f t="shared" si="108"/>
        <v>#DIV/0!</v>
      </c>
      <c r="W90" s="27" t="e">
        <f t="shared" si="109"/>
        <v>#DIV/0!</v>
      </c>
    </row>
    <row r="91" spans="3:66">
      <c r="C91" s="54">
        <f t="shared" si="118"/>
        <v>48.6</v>
      </c>
      <c r="D91" s="27" t="e">
        <f t="shared" si="112"/>
        <v>#DIV/0!</v>
      </c>
      <c r="E91" s="55" t="e">
        <f>AVERAGE(data0!B49:AG49)</f>
        <v>#DIV/0!</v>
      </c>
      <c r="F91" s="27" t="e">
        <f t="shared" si="113"/>
        <v>#DIV/0!</v>
      </c>
      <c r="G91" s="18">
        <f>MAX(data0!B49:AG49)</f>
        <v>0</v>
      </c>
      <c r="H91" s="27" t="e">
        <f t="shared" si="114"/>
        <v>#DIV/0!</v>
      </c>
      <c r="I91" s="55" t="e">
        <f>STDEV(data0!B49:AG49)</f>
        <v>#DIV/0!</v>
      </c>
      <c r="J91" s="55" t="e">
        <f>AVERAGE(data1!B49:AG49)</f>
        <v>#DIV/0!</v>
      </c>
      <c r="K91" s="55" t="e">
        <f>STDEV(data1!B49:AG49)</f>
        <v>#DIV/0!</v>
      </c>
      <c r="L91" s="56" t="e">
        <f>AVERAGE(data2!B49:AG49)</f>
        <v>#DIV/0!</v>
      </c>
      <c r="M91" s="56" t="e">
        <f>STDEV(data2!B49:AG49)</f>
        <v>#DIV/0!</v>
      </c>
      <c r="N91" s="56" t="e">
        <f>AVERAGE(data3!B49:AG49)</f>
        <v>#DIV/0!</v>
      </c>
      <c r="O91" s="56" t="e">
        <f>STDEV(data3!B49:AG49)</f>
        <v>#DIV/0!</v>
      </c>
      <c r="P91" s="18" t="e">
        <f t="shared" si="115"/>
        <v>#DIV/0!</v>
      </c>
      <c r="Q91" s="18" t="e">
        <f t="shared" si="116"/>
        <v>#DIV/0!</v>
      </c>
      <c r="R91" s="18" t="e">
        <f t="shared" si="117"/>
        <v>#DIV/0!</v>
      </c>
      <c r="S91" s="19">
        <f t="shared" si="105"/>
        <v>48.6</v>
      </c>
      <c r="T91" s="27" t="e">
        <f t="shared" si="106"/>
        <v>#DIV/0!</v>
      </c>
      <c r="U91" s="27" t="e">
        <f t="shared" si="107"/>
        <v>#DIV/0!</v>
      </c>
      <c r="V91" s="27" t="e">
        <f t="shared" si="108"/>
        <v>#DIV/0!</v>
      </c>
      <c r="W91" s="27" t="e">
        <f t="shared" si="109"/>
        <v>#DIV/0!</v>
      </c>
      <c r="BF91" s="54"/>
      <c r="BG91" s="55"/>
      <c r="BH91" s="55"/>
      <c r="BI91" s="55"/>
      <c r="BJ91" s="55"/>
      <c r="BK91" s="56"/>
      <c r="BL91" s="56"/>
      <c r="BM91" s="56"/>
      <c r="BN91" s="56"/>
    </row>
    <row r="92" spans="3:66">
      <c r="C92" s="54">
        <f t="shared" si="118"/>
        <v>49.6</v>
      </c>
      <c r="D92" s="27" t="e">
        <f t="shared" si="112"/>
        <v>#DIV/0!</v>
      </c>
      <c r="E92" s="55" t="e">
        <f>AVERAGE(data0!B50:AG50)</f>
        <v>#DIV/0!</v>
      </c>
      <c r="F92" s="27" t="e">
        <f t="shared" si="113"/>
        <v>#DIV/0!</v>
      </c>
      <c r="G92" s="18">
        <f>MAX(data0!B50:AG50)</f>
        <v>0</v>
      </c>
      <c r="H92" s="27" t="e">
        <f t="shared" si="114"/>
        <v>#DIV/0!</v>
      </c>
      <c r="I92" s="55" t="e">
        <f>STDEV(data0!B50:AG50)</f>
        <v>#DIV/0!</v>
      </c>
      <c r="J92" s="55" t="e">
        <f>AVERAGE(data1!B50:AG50)</f>
        <v>#DIV/0!</v>
      </c>
      <c r="K92" s="55" t="e">
        <f>STDEV(data1!B50:AG50)</f>
        <v>#DIV/0!</v>
      </c>
      <c r="L92" s="56" t="e">
        <f>AVERAGE(data2!B50:AG50)</f>
        <v>#DIV/0!</v>
      </c>
      <c r="M92" s="56" t="e">
        <f>STDEV(data2!B50:AG50)</f>
        <v>#DIV/0!</v>
      </c>
      <c r="N92" s="56" t="e">
        <f>AVERAGE(data3!B50:AG50)</f>
        <v>#DIV/0!</v>
      </c>
      <c r="O92" s="56" t="e">
        <f>STDEV(data3!B50:AG50)</f>
        <v>#DIV/0!</v>
      </c>
      <c r="P92" s="18" t="e">
        <f t="shared" si="115"/>
        <v>#DIV/0!</v>
      </c>
      <c r="Q92" s="18" t="e">
        <f t="shared" si="116"/>
        <v>#DIV/0!</v>
      </c>
      <c r="R92" s="18" t="e">
        <f t="shared" si="117"/>
        <v>#DIV/0!</v>
      </c>
      <c r="S92" s="19">
        <f t="shared" si="105"/>
        <v>49.6</v>
      </c>
      <c r="T92" s="27" t="e">
        <f t="shared" si="106"/>
        <v>#DIV/0!</v>
      </c>
      <c r="U92" s="27" t="e">
        <f t="shared" si="107"/>
        <v>#DIV/0!</v>
      </c>
      <c r="V92" s="27" t="e">
        <f t="shared" si="108"/>
        <v>#DIV/0!</v>
      </c>
      <c r="W92" s="27" t="e">
        <f t="shared" si="109"/>
        <v>#DIV/0!</v>
      </c>
      <c r="BF92" s="54"/>
      <c r="BG92" s="55"/>
      <c r="BH92" s="55"/>
      <c r="BI92" s="55"/>
      <c r="BJ92" s="55"/>
      <c r="BK92" s="56"/>
      <c r="BL92" s="56"/>
      <c r="BM92" s="56"/>
      <c r="BN92" s="56"/>
    </row>
    <row r="93" spans="3:66">
      <c r="C93" s="54">
        <f t="shared" si="118"/>
        <v>50.6</v>
      </c>
      <c r="D93" s="27" t="e">
        <f t="shared" si="112"/>
        <v>#DIV/0!</v>
      </c>
      <c r="E93" s="55" t="e">
        <f>AVERAGE(data0!B51:AG51)</f>
        <v>#DIV/0!</v>
      </c>
      <c r="F93" s="27" t="e">
        <f t="shared" si="113"/>
        <v>#DIV/0!</v>
      </c>
      <c r="G93" s="18">
        <f>MAX(data0!B51:AG51)</f>
        <v>0</v>
      </c>
      <c r="H93" s="27" t="e">
        <f t="shared" si="114"/>
        <v>#DIV/0!</v>
      </c>
      <c r="I93" s="55" t="e">
        <f>STDEV(data0!B51:AG51)</f>
        <v>#DIV/0!</v>
      </c>
      <c r="J93" s="55" t="e">
        <f>AVERAGE(data1!B51:AG51)</f>
        <v>#DIV/0!</v>
      </c>
      <c r="K93" s="55" t="e">
        <f>STDEV(data1!B51:AG51)</f>
        <v>#DIV/0!</v>
      </c>
      <c r="L93" s="56" t="e">
        <f>AVERAGE(data2!B51:AG51)</f>
        <v>#DIV/0!</v>
      </c>
      <c r="M93" s="56" t="e">
        <f>STDEV(data2!B51:AG51)</f>
        <v>#DIV/0!</v>
      </c>
      <c r="N93" s="56" t="e">
        <f>AVERAGE(data3!B51:AG51)</f>
        <v>#DIV/0!</v>
      </c>
      <c r="O93" s="56" t="e">
        <f>STDEV(data3!B51:AG51)</f>
        <v>#DIV/0!</v>
      </c>
      <c r="P93" s="18" t="e">
        <f t="shared" si="115"/>
        <v>#DIV/0!</v>
      </c>
      <c r="Q93" s="18" t="e">
        <f t="shared" si="116"/>
        <v>#DIV/0!</v>
      </c>
      <c r="R93" s="18" t="e">
        <f t="shared" si="117"/>
        <v>#DIV/0!</v>
      </c>
      <c r="S93" s="19">
        <f t="shared" si="105"/>
        <v>50.6</v>
      </c>
      <c r="T93" s="27" t="e">
        <f t="shared" si="106"/>
        <v>#DIV/0!</v>
      </c>
      <c r="U93" s="27" t="e">
        <f t="shared" si="107"/>
        <v>#DIV/0!</v>
      </c>
      <c r="V93" s="27" t="e">
        <f t="shared" si="108"/>
        <v>#DIV/0!</v>
      </c>
      <c r="W93" s="27" t="e">
        <f t="shared" si="109"/>
        <v>#DIV/0!</v>
      </c>
      <c r="BF93" s="54"/>
      <c r="BG93" s="55"/>
      <c r="BH93" s="55"/>
      <c r="BI93" s="55"/>
      <c r="BJ93" s="55"/>
      <c r="BK93" s="56"/>
      <c r="BL93" s="56"/>
      <c r="BM93" s="56"/>
      <c r="BN93" s="56"/>
    </row>
    <row r="94" spans="3:66">
      <c r="C94" s="54">
        <f t="shared" si="118"/>
        <v>51.6</v>
      </c>
      <c r="D94" s="27" t="e">
        <f t="shared" si="112"/>
        <v>#DIV/0!</v>
      </c>
      <c r="E94" s="55" t="e">
        <f>AVERAGE(data0!B52:AG52)</f>
        <v>#DIV/0!</v>
      </c>
      <c r="F94" s="27" t="e">
        <f t="shared" si="113"/>
        <v>#DIV/0!</v>
      </c>
      <c r="G94" s="18">
        <f>MAX(data0!B52:AG52)</f>
        <v>0</v>
      </c>
      <c r="H94" s="27" t="e">
        <f t="shared" si="114"/>
        <v>#DIV/0!</v>
      </c>
      <c r="I94" s="55" t="e">
        <f>STDEV(data0!B52:AG52)</f>
        <v>#DIV/0!</v>
      </c>
      <c r="J94" s="55" t="e">
        <f>AVERAGE(data1!B52:AG52)</f>
        <v>#DIV/0!</v>
      </c>
      <c r="K94" s="55" t="e">
        <f>STDEV(data1!B52:AG52)</f>
        <v>#DIV/0!</v>
      </c>
      <c r="L94" s="56" t="e">
        <f>AVERAGE(data2!B52:AG52)</f>
        <v>#DIV/0!</v>
      </c>
      <c r="M94" s="56" t="e">
        <f>STDEV(data2!B52:AG52)</f>
        <v>#DIV/0!</v>
      </c>
      <c r="N94" s="56" t="e">
        <f>AVERAGE(data3!B52:AG52)</f>
        <v>#DIV/0!</v>
      </c>
      <c r="O94" s="56" t="e">
        <f>STDEV(data3!B52:AG52)</f>
        <v>#DIV/0!</v>
      </c>
      <c r="P94" s="18" t="e">
        <f t="shared" si="115"/>
        <v>#DIV/0!</v>
      </c>
      <c r="Q94" s="18" t="e">
        <f t="shared" si="116"/>
        <v>#DIV/0!</v>
      </c>
      <c r="R94" s="18" t="e">
        <f t="shared" si="117"/>
        <v>#DIV/0!</v>
      </c>
      <c r="S94" s="19">
        <f t="shared" si="105"/>
        <v>51.6</v>
      </c>
      <c r="T94" s="27" t="e">
        <f t="shared" si="106"/>
        <v>#DIV/0!</v>
      </c>
      <c r="U94" s="27" t="e">
        <f t="shared" si="107"/>
        <v>#DIV/0!</v>
      </c>
      <c r="V94" s="27" t="e">
        <f t="shared" si="108"/>
        <v>#DIV/0!</v>
      </c>
      <c r="W94" s="27" t="e">
        <f t="shared" si="109"/>
        <v>#DIV/0!</v>
      </c>
      <c r="BF94" s="54"/>
      <c r="BG94" s="55"/>
      <c r="BH94" s="55"/>
      <c r="BI94" s="55"/>
      <c r="BJ94" s="55"/>
      <c r="BK94" s="56"/>
      <c r="BL94" s="56"/>
      <c r="BM94" s="56"/>
      <c r="BN94" s="56"/>
    </row>
    <row r="95" spans="3:66">
      <c r="C95" s="54">
        <f t="shared" si="118"/>
        <v>52.6</v>
      </c>
      <c r="D95" s="27" t="e">
        <f t="shared" si="112"/>
        <v>#DIV/0!</v>
      </c>
      <c r="E95" s="55" t="e">
        <f>AVERAGE(data0!B53:AG53)</f>
        <v>#DIV/0!</v>
      </c>
      <c r="F95" s="27" t="e">
        <f t="shared" si="113"/>
        <v>#DIV/0!</v>
      </c>
      <c r="G95" s="18">
        <f>MAX(data0!B53:AG53)</f>
        <v>0</v>
      </c>
      <c r="H95" s="27" t="e">
        <f t="shared" si="114"/>
        <v>#DIV/0!</v>
      </c>
      <c r="I95" s="55" t="e">
        <f>STDEV(data0!B53:AG53)</f>
        <v>#DIV/0!</v>
      </c>
      <c r="J95" s="55" t="e">
        <f>AVERAGE(data1!B53:AG53)</f>
        <v>#DIV/0!</v>
      </c>
      <c r="K95" s="55" t="e">
        <f>STDEV(data1!B53:AG53)</f>
        <v>#DIV/0!</v>
      </c>
      <c r="L95" s="56" t="e">
        <f>AVERAGE(data2!B53:AG53)</f>
        <v>#DIV/0!</v>
      </c>
      <c r="M95" s="56" t="e">
        <f>STDEV(data2!B53:AG53)</f>
        <v>#DIV/0!</v>
      </c>
      <c r="N95" s="56" t="e">
        <f>AVERAGE(data3!B53:AG53)</f>
        <v>#DIV/0!</v>
      </c>
      <c r="O95" s="56" t="e">
        <f>STDEV(data3!B53:AG53)</f>
        <v>#DIV/0!</v>
      </c>
      <c r="P95" s="18" t="e">
        <f t="shared" si="115"/>
        <v>#DIV/0!</v>
      </c>
      <c r="Q95" s="18" t="e">
        <f t="shared" si="116"/>
        <v>#DIV/0!</v>
      </c>
      <c r="R95" s="18" t="e">
        <f t="shared" si="117"/>
        <v>#DIV/0!</v>
      </c>
      <c r="S95" s="19">
        <f t="shared" si="105"/>
        <v>52.6</v>
      </c>
      <c r="T95" s="27" t="e">
        <f t="shared" si="106"/>
        <v>#DIV/0!</v>
      </c>
      <c r="U95" s="27" t="e">
        <f t="shared" si="107"/>
        <v>#DIV/0!</v>
      </c>
      <c r="V95" s="27" t="e">
        <f t="shared" si="108"/>
        <v>#DIV/0!</v>
      </c>
      <c r="W95" s="27" t="e">
        <f t="shared" si="109"/>
        <v>#DIV/0!</v>
      </c>
      <c r="BF95" s="54"/>
      <c r="BG95" s="55"/>
      <c r="BH95" s="55"/>
      <c r="BI95" s="55"/>
      <c r="BJ95" s="55"/>
      <c r="BK95" s="56"/>
      <c r="BL95" s="56"/>
      <c r="BM95" s="56"/>
      <c r="BN95" s="56"/>
    </row>
    <row r="96" spans="3:66">
      <c r="C96" s="54">
        <f t="shared" si="118"/>
        <v>53.6</v>
      </c>
      <c r="D96" s="27" t="e">
        <f t="shared" si="112"/>
        <v>#DIV/0!</v>
      </c>
      <c r="E96" s="55" t="e">
        <f>AVERAGE(data0!B54:AG54)</f>
        <v>#DIV/0!</v>
      </c>
      <c r="F96" s="27" t="e">
        <f t="shared" si="113"/>
        <v>#DIV/0!</v>
      </c>
      <c r="G96" s="18">
        <f>MAX(data0!B54:AG54)</f>
        <v>0</v>
      </c>
      <c r="H96" s="27" t="e">
        <f t="shared" si="114"/>
        <v>#DIV/0!</v>
      </c>
      <c r="I96" s="55" t="e">
        <f>STDEV(data0!B54:AG54)</f>
        <v>#DIV/0!</v>
      </c>
      <c r="J96" s="55" t="e">
        <f>AVERAGE(data1!B54:AG54)</f>
        <v>#DIV/0!</v>
      </c>
      <c r="K96" s="55" t="e">
        <f>STDEV(data1!B54:AG54)</f>
        <v>#DIV/0!</v>
      </c>
      <c r="L96" s="56" t="e">
        <f>AVERAGE(data2!B54:AG54)</f>
        <v>#DIV/0!</v>
      </c>
      <c r="M96" s="56" t="e">
        <f>STDEV(data2!B54:AG54)</f>
        <v>#DIV/0!</v>
      </c>
      <c r="N96" s="56" t="e">
        <f>AVERAGE(data3!B54:AG54)</f>
        <v>#DIV/0!</v>
      </c>
      <c r="O96" s="56" t="e">
        <f>STDEV(data3!B54:AG54)</f>
        <v>#DIV/0!</v>
      </c>
      <c r="P96" s="18" t="e">
        <f t="shared" si="115"/>
        <v>#DIV/0!</v>
      </c>
      <c r="Q96" s="18" t="e">
        <f t="shared" si="116"/>
        <v>#DIV/0!</v>
      </c>
      <c r="R96" s="18" t="e">
        <f t="shared" si="117"/>
        <v>#DIV/0!</v>
      </c>
      <c r="S96" s="19">
        <f t="shared" si="105"/>
        <v>53.6</v>
      </c>
      <c r="T96" s="27" t="e">
        <f t="shared" si="106"/>
        <v>#DIV/0!</v>
      </c>
      <c r="U96" s="27" t="e">
        <f t="shared" si="107"/>
        <v>#DIV/0!</v>
      </c>
      <c r="V96" s="27" t="e">
        <f t="shared" si="108"/>
        <v>#DIV/0!</v>
      </c>
      <c r="W96" s="27" t="e">
        <f t="shared" si="109"/>
        <v>#DIV/0!</v>
      </c>
      <c r="BF96" s="54"/>
      <c r="BG96" s="55"/>
      <c r="BH96" s="55"/>
      <c r="BI96" s="55"/>
      <c r="BJ96" s="55"/>
      <c r="BK96" s="56"/>
      <c r="BL96" s="56"/>
      <c r="BM96" s="56"/>
      <c r="BN96" s="56"/>
    </row>
    <row r="97" spans="3:66">
      <c r="C97" s="54">
        <f t="shared" si="118"/>
        <v>54.6</v>
      </c>
      <c r="D97" s="27" t="e">
        <f t="shared" si="112"/>
        <v>#DIV/0!</v>
      </c>
      <c r="E97" s="55" t="e">
        <f>AVERAGE(data0!B55:AG55)</f>
        <v>#DIV/0!</v>
      </c>
      <c r="F97" s="27" t="e">
        <f t="shared" si="113"/>
        <v>#DIV/0!</v>
      </c>
      <c r="G97" s="18">
        <f>MAX(data0!B55:AG55)</f>
        <v>0</v>
      </c>
      <c r="H97" s="27" t="e">
        <f t="shared" si="114"/>
        <v>#DIV/0!</v>
      </c>
      <c r="I97" s="55" t="e">
        <f>STDEV(data0!B55:AG55)</f>
        <v>#DIV/0!</v>
      </c>
      <c r="J97" s="55" t="e">
        <f>AVERAGE(data1!B55:AG55)</f>
        <v>#DIV/0!</v>
      </c>
      <c r="K97" s="55" t="e">
        <f>STDEV(data1!B55:AG55)</f>
        <v>#DIV/0!</v>
      </c>
      <c r="L97" s="56" t="e">
        <f>AVERAGE(data2!B55:AG55)</f>
        <v>#DIV/0!</v>
      </c>
      <c r="M97" s="56" t="e">
        <f>STDEV(data2!B55:AG55)</f>
        <v>#DIV/0!</v>
      </c>
      <c r="N97" s="56" t="e">
        <f>AVERAGE(data3!B55:AG55)</f>
        <v>#DIV/0!</v>
      </c>
      <c r="O97" s="56" t="e">
        <f>STDEV(data3!B55:AG55)</f>
        <v>#DIV/0!</v>
      </c>
      <c r="P97" s="18" t="e">
        <f t="shared" si="115"/>
        <v>#DIV/0!</v>
      </c>
      <c r="Q97" s="18" t="e">
        <f t="shared" si="116"/>
        <v>#DIV/0!</v>
      </c>
      <c r="R97" s="18" t="e">
        <f t="shared" si="117"/>
        <v>#DIV/0!</v>
      </c>
      <c r="S97" s="19">
        <f t="shared" si="105"/>
        <v>54.6</v>
      </c>
      <c r="T97" s="27" t="e">
        <f t="shared" si="106"/>
        <v>#DIV/0!</v>
      </c>
      <c r="U97" s="27" t="e">
        <f t="shared" si="107"/>
        <v>#DIV/0!</v>
      </c>
      <c r="V97" s="27" t="e">
        <f t="shared" si="108"/>
        <v>#DIV/0!</v>
      </c>
      <c r="W97" s="27" t="e">
        <f t="shared" si="109"/>
        <v>#DIV/0!</v>
      </c>
      <c r="BF97" s="54"/>
      <c r="BG97" s="55"/>
      <c r="BH97" s="55"/>
      <c r="BI97" s="55"/>
      <c r="BJ97" s="55"/>
      <c r="BK97" s="56"/>
      <c r="BL97" s="56"/>
      <c r="BM97" s="56"/>
      <c r="BN97" s="56"/>
    </row>
    <row r="98" spans="3:66">
      <c r="C98" s="54">
        <f t="shared" si="118"/>
        <v>55.6</v>
      </c>
      <c r="D98" s="27" t="e">
        <f t="shared" si="112"/>
        <v>#DIV/0!</v>
      </c>
      <c r="E98" s="55" t="e">
        <f>AVERAGE(data0!B56:AG56)</f>
        <v>#DIV/0!</v>
      </c>
      <c r="F98" s="27" t="e">
        <f t="shared" si="113"/>
        <v>#DIV/0!</v>
      </c>
      <c r="G98" s="18">
        <f>MAX(data0!B56:AG56)</f>
        <v>0</v>
      </c>
      <c r="H98" s="27" t="e">
        <f t="shared" si="114"/>
        <v>#DIV/0!</v>
      </c>
      <c r="I98" s="55" t="e">
        <f>STDEV(data0!B56:AG56)</f>
        <v>#DIV/0!</v>
      </c>
      <c r="J98" s="55" t="e">
        <f>AVERAGE(data1!B56:AG56)</f>
        <v>#DIV/0!</v>
      </c>
      <c r="K98" s="55" t="e">
        <f>STDEV(data1!B56:AG56)</f>
        <v>#DIV/0!</v>
      </c>
      <c r="L98" s="56" t="e">
        <f>AVERAGE(data2!B56:AG56)</f>
        <v>#DIV/0!</v>
      </c>
      <c r="M98" s="56" t="e">
        <f>STDEV(data2!B56:AG56)</f>
        <v>#DIV/0!</v>
      </c>
      <c r="N98" s="56" t="e">
        <f>AVERAGE(data3!B56:AG56)</f>
        <v>#DIV/0!</v>
      </c>
      <c r="O98" s="56" t="e">
        <f>STDEV(data3!B56:AG56)</f>
        <v>#DIV/0!</v>
      </c>
      <c r="P98" s="18" t="e">
        <f t="shared" si="115"/>
        <v>#DIV/0!</v>
      </c>
      <c r="Q98" s="18" t="e">
        <f t="shared" si="116"/>
        <v>#DIV/0!</v>
      </c>
      <c r="R98" s="18" t="e">
        <f t="shared" si="117"/>
        <v>#DIV/0!</v>
      </c>
      <c r="S98" s="19">
        <f t="shared" si="105"/>
        <v>55.6</v>
      </c>
      <c r="T98" s="27" t="e">
        <f t="shared" si="106"/>
        <v>#DIV/0!</v>
      </c>
      <c r="U98" s="27" t="e">
        <f t="shared" si="107"/>
        <v>#DIV/0!</v>
      </c>
      <c r="V98" s="27" t="e">
        <f t="shared" si="108"/>
        <v>#DIV/0!</v>
      </c>
      <c r="W98" s="27" t="e">
        <f t="shared" si="109"/>
        <v>#DIV/0!</v>
      </c>
      <c r="BF98" s="54"/>
      <c r="BG98" s="55"/>
      <c r="BH98" s="55"/>
      <c r="BI98" s="55"/>
      <c r="BJ98" s="55"/>
      <c r="BK98" s="56"/>
      <c r="BL98" s="56"/>
      <c r="BM98" s="56"/>
      <c r="BN98" s="56"/>
    </row>
    <row r="99" spans="3:66">
      <c r="C99" s="54">
        <f t="shared" si="118"/>
        <v>56.6</v>
      </c>
      <c r="D99" s="27" t="e">
        <f t="shared" si="112"/>
        <v>#DIV/0!</v>
      </c>
      <c r="E99" s="55" t="e">
        <f>AVERAGE(data0!B57:AG57)</f>
        <v>#DIV/0!</v>
      </c>
      <c r="F99" s="27" t="e">
        <f t="shared" si="113"/>
        <v>#DIV/0!</v>
      </c>
      <c r="G99" s="18">
        <f>MAX(data0!B57:AG57)</f>
        <v>0</v>
      </c>
      <c r="H99" s="27" t="e">
        <f t="shared" si="114"/>
        <v>#DIV/0!</v>
      </c>
      <c r="I99" s="55" t="e">
        <f>STDEV(data0!B57:AG57)</f>
        <v>#DIV/0!</v>
      </c>
      <c r="J99" s="55" t="e">
        <f>AVERAGE(data1!B57:AG57)</f>
        <v>#DIV/0!</v>
      </c>
      <c r="K99" s="55" t="e">
        <f>STDEV(data1!B57:AG57)</f>
        <v>#DIV/0!</v>
      </c>
      <c r="L99" s="56" t="e">
        <f>AVERAGE(data2!B57:AG57)</f>
        <v>#DIV/0!</v>
      </c>
      <c r="M99" s="56" t="e">
        <f>STDEV(data2!B57:AG57)</f>
        <v>#DIV/0!</v>
      </c>
      <c r="N99" s="56" t="e">
        <f>AVERAGE(data3!B57:AG57)</f>
        <v>#DIV/0!</v>
      </c>
      <c r="O99" s="56" t="e">
        <f>STDEV(data3!B57:AG57)</f>
        <v>#DIV/0!</v>
      </c>
      <c r="P99" s="18" t="e">
        <f t="shared" si="115"/>
        <v>#DIV/0!</v>
      </c>
      <c r="Q99" s="18" t="e">
        <f t="shared" si="116"/>
        <v>#DIV/0!</v>
      </c>
      <c r="R99" s="18" t="e">
        <f t="shared" si="117"/>
        <v>#DIV/0!</v>
      </c>
      <c r="S99" s="19">
        <f t="shared" si="105"/>
        <v>56.6</v>
      </c>
      <c r="T99" s="27" t="e">
        <f t="shared" si="106"/>
        <v>#DIV/0!</v>
      </c>
      <c r="U99" s="27" t="e">
        <f t="shared" si="107"/>
        <v>#DIV/0!</v>
      </c>
      <c r="V99" s="27" t="e">
        <f t="shared" si="108"/>
        <v>#DIV/0!</v>
      </c>
      <c r="W99" s="27" t="e">
        <f t="shared" si="109"/>
        <v>#DIV/0!</v>
      </c>
      <c r="BF99" s="54"/>
      <c r="BG99" s="55"/>
      <c r="BH99" s="55"/>
      <c r="BI99" s="55"/>
      <c r="BJ99" s="55"/>
      <c r="BK99" s="56"/>
      <c r="BL99" s="56"/>
      <c r="BM99" s="56"/>
      <c r="BN99" s="56"/>
    </row>
    <row r="100" spans="3:66">
      <c r="C100" s="54">
        <f t="shared" si="118"/>
        <v>57.6</v>
      </c>
      <c r="D100" s="27" t="e">
        <f t="shared" si="112"/>
        <v>#DIV/0!</v>
      </c>
      <c r="E100" s="55" t="e">
        <f>AVERAGE(data0!B58:AG58)</f>
        <v>#DIV/0!</v>
      </c>
      <c r="F100" s="27" t="e">
        <f t="shared" si="113"/>
        <v>#DIV/0!</v>
      </c>
      <c r="G100" s="18">
        <f>MAX(data0!B58:AG58)</f>
        <v>0</v>
      </c>
      <c r="H100" s="27" t="e">
        <f t="shared" si="114"/>
        <v>#DIV/0!</v>
      </c>
      <c r="I100" s="55" t="e">
        <f>STDEV(data0!B58:AG58)</f>
        <v>#DIV/0!</v>
      </c>
      <c r="J100" s="55" t="e">
        <f>AVERAGE(data1!B58:AG58)</f>
        <v>#DIV/0!</v>
      </c>
      <c r="K100" s="55" t="e">
        <f>STDEV(data1!B58:AG58)</f>
        <v>#DIV/0!</v>
      </c>
      <c r="L100" s="56" t="e">
        <f>AVERAGE(data2!B58:AG58)</f>
        <v>#DIV/0!</v>
      </c>
      <c r="M100" s="56" t="e">
        <f>STDEV(data2!B58:AG58)</f>
        <v>#DIV/0!</v>
      </c>
      <c r="N100" s="56" t="e">
        <f>AVERAGE(data3!B58:AG58)</f>
        <v>#DIV/0!</v>
      </c>
      <c r="O100" s="56" t="e">
        <f>STDEV(data3!B58:AG58)</f>
        <v>#DIV/0!</v>
      </c>
      <c r="P100" s="18" t="e">
        <f t="shared" si="115"/>
        <v>#DIV/0!</v>
      </c>
      <c r="Q100" s="18" t="e">
        <f t="shared" si="116"/>
        <v>#DIV/0!</v>
      </c>
      <c r="R100" s="18" t="e">
        <f t="shared" si="117"/>
        <v>#DIV/0!</v>
      </c>
      <c r="S100" s="19">
        <f t="shared" si="105"/>
        <v>57.6</v>
      </c>
      <c r="T100" s="27" t="e">
        <f t="shared" si="106"/>
        <v>#DIV/0!</v>
      </c>
      <c r="U100" s="27" t="e">
        <f t="shared" si="107"/>
        <v>#DIV/0!</v>
      </c>
      <c r="V100" s="27" t="e">
        <f t="shared" si="108"/>
        <v>#DIV/0!</v>
      </c>
      <c r="W100" s="27" t="e">
        <f t="shared" si="109"/>
        <v>#DIV/0!</v>
      </c>
      <c r="BF100" s="54"/>
      <c r="BG100" s="55"/>
      <c r="BH100" s="55"/>
      <c r="BI100" s="55"/>
      <c r="BJ100" s="55"/>
      <c r="BK100" s="56"/>
      <c r="BL100" s="56"/>
      <c r="BM100" s="56"/>
      <c r="BN100" s="56"/>
    </row>
    <row r="101" spans="3:66">
      <c r="C101" s="54">
        <f t="shared" si="118"/>
        <v>58.6</v>
      </c>
      <c r="D101" s="27" t="e">
        <f t="shared" si="112"/>
        <v>#DIV/0!</v>
      </c>
      <c r="E101" s="55" t="e">
        <f>AVERAGE(data0!B59:AG59)</f>
        <v>#DIV/0!</v>
      </c>
      <c r="F101" s="27" t="e">
        <f t="shared" si="113"/>
        <v>#DIV/0!</v>
      </c>
      <c r="G101" s="18">
        <f>MAX(data0!B59:AG59)</f>
        <v>0</v>
      </c>
      <c r="H101" s="27" t="e">
        <f t="shared" si="114"/>
        <v>#DIV/0!</v>
      </c>
      <c r="I101" s="55" t="e">
        <f>STDEV(data0!B59:AG59)</f>
        <v>#DIV/0!</v>
      </c>
      <c r="J101" s="55" t="e">
        <f>AVERAGE(data1!B59:AG59)</f>
        <v>#DIV/0!</v>
      </c>
      <c r="K101" s="55" t="e">
        <f>STDEV(data1!B59:AG59)</f>
        <v>#DIV/0!</v>
      </c>
      <c r="L101" s="56" t="e">
        <f>AVERAGE(data2!B59:AG59)</f>
        <v>#DIV/0!</v>
      </c>
      <c r="M101" s="56" t="e">
        <f>STDEV(data2!B59:AG59)</f>
        <v>#DIV/0!</v>
      </c>
      <c r="N101" s="56" t="e">
        <f>AVERAGE(data3!B59:AG59)</f>
        <v>#DIV/0!</v>
      </c>
      <c r="O101" s="56" t="e">
        <f>STDEV(data3!B59:AG59)</f>
        <v>#DIV/0!</v>
      </c>
      <c r="P101" s="18" t="e">
        <f t="shared" si="115"/>
        <v>#DIV/0!</v>
      </c>
      <c r="Q101" s="18" t="e">
        <f t="shared" si="116"/>
        <v>#DIV/0!</v>
      </c>
      <c r="R101" s="18" t="e">
        <f t="shared" si="117"/>
        <v>#DIV/0!</v>
      </c>
      <c r="S101" s="19">
        <f t="shared" si="105"/>
        <v>58.6</v>
      </c>
      <c r="T101" s="27" t="e">
        <f t="shared" si="106"/>
        <v>#DIV/0!</v>
      </c>
      <c r="U101" s="27" t="e">
        <f t="shared" si="107"/>
        <v>#DIV/0!</v>
      </c>
      <c r="V101" s="27" t="e">
        <f t="shared" si="108"/>
        <v>#DIV/0!</v>
      </c>
      <c r="W101" s="27" t="e">
        <f t="shared" si="109"/>
        <v>#DIV/0!</v>
      </c>
      <c r="BF101" s="54"/>
      <c r="BG101" s="55"/>
      <c r="BH101" s="55"/>
      <c r="BI101" s="55"/>
      <c r="BJ101" s="55"/>
      <c r="BK101" s="56"/>
      <c r="BL101" s="56"/>
      <c r="BM101" s="56"/>
      <c r="BN101" s="56"/>
    </row>
    <row r="102" spans="3:66">
      <c r="C102" s="54">
        <f t="shared" si="118"/>
        <v>59.6</v>
      </c>
      <c r="D102" s="27" t="e">
        <f t="shared" si="112"/>
        <v>#DIV/0!</v>
      </c>
      <c r="E102" s="55" t="e">
        <f>AVERAGE(data0!B60:AG60)</f>
        <v>#DIV/0!</v>
      </c>
      <c r="F102" s="27" t="e">
        <f t="shared" si="113"/>
        <v>#DIV/0!</v>
      </c>
      <c r="G102" s="18">
        <f>MAX(data0!B60:AG60)</f>
        <v>0</v>
      </c>
      <c r="H102" s="27" t="e">
        <f t="shared" si="114"/>
        <v>#DIV/0!</v>
      </c>
      <c r="I102" s="55" t="e">
        <f>STDEV(data0!B60:AG60)</f>
        <v>#DIV/0!</v>
      </c>
      <c r="J102" s="55" t="e">
        <f>AVERAGE(data1!B60:AG60)</f>
        <v>#DIV/0!</v>
      </c>
      <c r="K102" s="55" t="e">
        <f>STDEV(data1!B60:AG60)</f>
        <v>#DIV/0!</v>
      </c>
      <c r="L102" s="56" t="e">
        <f>AVERAGE(data2!B60:AG60)</f>
        <v>#DIV/0!</v>
      </c>
      <c r="M102" s="56" t="e">
        <f>STDEV(data2!B60:AG60)</f>
        <v>#DIV/0!</v>
      </c>
      <c r="N102" s="56" t="e">
        <f>AVERAGE(data3!B60:AG60)</f>
        <v>#DIV/0!</v>
      </c>
      <c r="O102" s="56" t="e">
        <f>STDEV(data3!B60:AG60)</f>
        <v>#DIV/0!</v>
      </c>
      <c r="P102" s="18" t="e">
        <f t="shared" si="115"/>
        <v>#DIV/0!</v>
      </c>
      <c r="Q102" s="18" t="e">
        <f t="shared" si="116"/>
        <v>#DIV/0!</v>
      </c>
      <c r="R102" s="18" t="e">
        <f t="shared" si="117"/>
        <v>#DIV/0!</v>
      </c>
      <c r="S102" s="19">
        <f t="shared" si="105"/>
        <v>59.6</v>
      </c>
      <c r="T102" s="27" t="e">
        <f t="shared" si="106"/>
        <v>#DIV/0!</v>
      </c>
      <c r="U102" s="27" t="e">
        <f t="shared" si="107"/>
        <v>#DIV/0!</v>
      </c>
      <c r="V102" s="27" t="e">
        <f t="shared" si="108"/>
        <v>#DIV/0!</v>
      </c>
      <c r="W102" s="27" t="e">
        <f t="shared" si="109"/>
        <v>#DIV/0!</v>
      </c>
      <c r="BF102" s="54"/>
      <c r="BG102" s="55"/>
      <c r="BH102" s="55"/>
      <c r="BI102" s="55"/>
      <c r="BJ102" s="55"/>
      <c r="BK102" s="56"/>
      <c r="BL102" s="56"/>
      <c r="BM102" s="56"/>
      <c r="BN102" s="56"/>
    </row>
    <row r="103" spans="3:66">
      <c r="C103" s="54">
        <f t="shared" si="118"/>
        <v>60.6</v>
      </c>
      <c r="D103" s="27" t="e">
        <f t="shared" si="112"/>
        <v>#DIV/0!</v>
      </c>
      <c r="E103" s="55" t="e">
        <f>AVERAGE(data0!B61:AG61)</f>
        <v>#DIV/0!</v>
      </c>
      <c r="F103" s="27" t="e">
        <f t="shared" si="113"/>
        <v>#DIV/0!</v>
      </c>
      <c r="G103" s="18">
        <f>MAX(data0!B61:AG61)</f>
        <v>0</v>
      </c>
      <c r="H103" s="27" t="e">
        <f t="shared" si="114"/>
        <v>#DIV/0!</v>
      </c>
      <c r="I103" s="55" t="e">
        <f>STDEV(data0!B61:AG61)</f>
        <v>#DIV/0!</v>
      </c>
      <c r="J103" s="55" t="e">
        <f>AVERAGE(data1!B61:AG61)</f>
        <v>#DIV/0!</v>
      </c>
      <c r="K103" s="55" t="e">
        <f>STDEV(data1!B61:AG61)</f>
        <v>#DIV/0!</v>
      </c>
      <c r="L103" s="56" t="e">
        <f>AVERAGE(data2!B61:AG61)</f>
        <v>#DIV/0!</v>
      </c>
      <c r="M103" s="56" t="e">
        <f>STDEV(data2!B61:AG61)</f>
        <v>#DIV/0!</v>
      </c>
      <c r="N103" s="56" t="e">
        <f>AVERAGE(data3!B61:AG61)</f>
        <v>#DIV/0!</v>
      </c>
      <c r="O103" s="56" t="e">
        <f>STDEV(data3!B61:AG61)</f>
        <v>#DIV/0!</v>
      </c>
      <c r="P103" s="18" t="e">
        <f t="shared" si="115"/>
        <v>#DIV/0!</v>
      </c>
      <c r="Q103" s="18" t="e">
        <f t="shared" si="116"/>
        <v>#DIV/0!</v>
      </c>
      <c r="R103" s="18" t="e">
        <f t="shared" si="117"/>
        <v>#DIV/0!</v>
      </c>
      <c r="S103" s="19">
        <f t="shared" si="105"/>
        <v>60.6</v>
      </c>
      <c r="T103" s="27" t="e">
        <f t="shared" si="106"/>
        <v>#DIV/0!</v>
      </c>
      <c r="U103" s="27" t="e">
        <f t="shared" si="107"/>
        <v>#DIV/0!</v>
      </c>
      <c r="V103" s="27" t="e">
        <f t="shared" si="108"/>
        <v>#DIV/0!</v>
      </c>
      <c r="W103" s="27" t="e">
        <f t="shared" si="109"/>
        <v>#DIV/0!</v>
      </c>
      <c r="BF103" s="54"/>
      <c r="BG103" s="55"/>
      <c r="BH103" s="55"/>
      <c r="BI103" s="55"/>
      <c r="BJ103" s="55"/>
      <c r="BK103" s="56"/>
      <c r="BL103" s="56"/>
      <c r="BM103" s="56"/>
      <c r="BN103" s="56"/>
    </row>
    <row r="104" spans="3:66">
      <c r="C104" s="54">
        <f t="shared" si="118"/>
        <v>61.6</v>
      </c>
      <c r="D104" s="27" t="e">
        <f t="shared" si="112"/>
        <v>#DIV/0!</v>
      </c>
      <c r="E104" s="55" t="e">
        <f>AVERAGE(data0!B62:AG62)</f>
        <v>#DIV/0!</v>
      </c>
      <c r="F104" s="27" t="e">
        <f t="shared" si="113"/>
        <v>#DIV/0!</v>
      </c>
      <c r="G104" s="18">
        <f>MAX(data0!B62:AG62)</f>
        <v>0</v>
      </c>
      <c r="H104" s="27" t="e">
        <f t="shared" si="114"/>
        <v>#DIV/0!</v>
      </c>
      <c r="I104" s="55" t="e">
        <f>STDEV(data0!B62:AG62)</f>
        <v>#DIV/0!</v>
      </c>
      <c r="J104" s="55" t="e">
        <f>AVERAGE(data1!B62:AG62)</f>
        <v>#DIV/0!</v>
      </c>
      <c r="K104" s="55" t="e">
        <f>STDEV(data1!B62:AG62)</f>
        <v>#DIV/0!</v>
      </c>
      <c r="L104" s="56" t="e">
        <f>AVERAGE(data2!B62:AG62)</f>
        <v>#DIV/0!</v>
      </c>
      <c r="M104" s="56" t="e">
        <f>STDEV(data2!B62:AG62)</f>
        <v>#DIV/0!</v>
      </c>
      <c r="N104" s="56" t="e">
        <f>AVERAGE(data3!B62:AG62)</f>
        <v>#DIV/0!</v>
      </c>
      <c r="O104" s="56" t="e">
        <f>STDEV(data3!B62:AG62)</f>
        <v>#DIV/0!</v>
      </c>
      <c r="P104" s="18" t="e">
        <f t="shared" si="115"/>
        <v>#DIV/0!</v>
      </c>
      <c r="Q104" s="18" t="e">
        <f t="shared" si="116"/>
        <v>#DIV/0!</v>
      </c>
      <c r="R104" s="18" t="e">
        <f t="shared" si="117"/>
        <v>#DIV/0!</v>
      </c>
      <c r="S104" s="19">
        <f t="shared" si="105"/>
        <v>61.6</v>
      </c>
      <c r="T104" s="27" t="e">
        <f t="shared" si="106"/>
        <v>#DIV/0!</v>
      </c>
      <c r="U104" s="27" t="e">
        <f t="shared" si="107"/>
        <v>#DIV/0!</v>
      </c>
      <c r="V104" s="27" t="e">
        <f t="shared" si="108"/>
        <v>#DIV/0!</v>
      </c>
      <c r="W104" s="27" t="e">
        <f t="shared" si="109"/>
        <v>#DIV/0!</v>
      </c>
      <c r="BF104" s="54"/>
      <c r="BG104" s="55"/>
      <c r="BH104" s="55"/>
      <c r="BI104" s="55"/>
      <c r="BJ104" s="55"/>
      <c r="BK104" s="56"/>
      <c r="BL104" s="56"/>
      <c r="BM104" s="56"/>
      <c r="BN104" s="56"/>
    </row>
    <row r="105" spans="3:66">
      <c r="C105" s="54">
        <f t="shared" si="118"/>
        <v>62.6</v>
      </c>
      <c r="D105" s="27" t="e">
        <f t="shared" si="112"/>
        <v>#DIV/0!</v>
      </c>
      <c r="E105" s="55" t="e">
        <f>AVERAGE(data0!B63:AG63)</f>
        <v>#DIV/0!</v>
      </c>
      <c r="F105" s="27" t="e">
        <f t="shared" si="113"/>
        <v>#DIV/0!</v>
      </c>
      <c r="G105" s="18">
        <f>MAX(data0!B63:AG63)</f>
        <v>0</v>
      </c>
      <c r="H105" s="27" t="e">
        <f t="shared" si="114"/>
        <v>#DIV/0!</v>
      </c>
      <c r="I105" s="55" t="e">
        <f>STDEV(data0!B63:AG63)</f>
        <v>#DIV/0!</v>
      </c>
      <c r="J105" s="55" t="e">
        <f>AVERAGE(data1!B63:AG63)</f>
        <v>#DIV/0!</v>
      </c>
      <c r="K105" s="55" t="e">
        <f>STDEV(data1!B63:AG63)</f>
        <v>#DIV/0!</v>
      </c>
      <c r="L105" s="56" t="e">
        <f>AVERAGE(data2!B63:AG63)</f>
        <v>#DIV/0!</v>
      </c>
      <c r="M105" s="56" t="e">
        <f>STDEV(data2!B63:AG63)</f>
        <v>#DIV/0!</v>
      </c>
      <c r="N105" s="56" t="e">
        <f>AVERAGE(data3!B63:AG63)</f>
        <v>#DIV/0!</v>
      </c>
      <c r="O105" s="56" t="e">
        <f>STDEV(data3!B63:AG63)</f>
        <v>#DIV/0!</v>
      </c>
      <c r="P105" s="18" t="e">
        <f t="shared" si="115"/>
        <v>#DIV/0!</v>
      </c>
      <c r="Q105" s="18" t="e">
        <f t="shared" si="116"/>
        <v>#DIV/0!</v>
      </c>
      <c r="R105" s="18" t="e">
        <f t="shared" si="117"/>
        <v>#DIV/0!</v>
      </c>
      <c r="S105" s="19">
        <f t="shared" si="105"/>
        <v>62.6</v>
      </c>
      <c r="T105" s="27" t="e">
        <f t="shared" si="106"/>
        <v>#DIV/0!</v>
      </c>
      <c r="U105" s="27" t="e">
        <f t="shared" si="107"/>
        <v>#DIV/0!</v>
      </c>
      <c r="V105" s="27" t="e">
        <f t="shared" si="108"/>
        <v>#DIV/0!</v>
      </c>
      <c r="W105" s="27" t="e">
        <f t="shared" si="109"/>
        <v>#DIV/0!</v>
      </c>
      <c r="BF105" s="54"/>
      <c r="BG105" s="55"/>
      <c r="BH105" s="55"/>
      <c r="BI105" s="55"/>
      <c r="BJ105" s="55"/>
      <c r="BK105" s="56"/>
      <c r="BL105" s="56"/>
      <c r="BM105" s="56"/>
      <c r="BN105" s="56"/>
    </row>
    <row r="106" spans="3:66">
      <c r="C106" s="54">
        <f t="shared" si="118"/>
        <v>63.6</v>
      </c>
      <c r="D106" s="27" t="e">
        <f t="shared" si="112"/>
        <v>#DIV/0!</v>
      </c>
      <c r="E106" s="55" t="e">
        <f>AVERAGE(data0!B64:AG64)</f>
        <v>#DIV/0!</v>
      </c>
      <c r="F106" s="27" t="e">
        <f t="shared" si="113"/>
        <v>#DIV/0!</v>
      </c>
      <c r="G106" s="18">
        <f>MAX(data0!B64:AG64)</f>
        <v>0</v>
      </c>
      <c r="H106" s="27" t="e">
        <f t="shared" si="114"/>
        <v>#DIV/0!</v>
      </c>
      <c r="I106" s="55" t="e">
        <f>STDEV(data0!B64:AG64)</f>
        <v>#DIV/0!</v>
      </c>
      <c r="J106" s="55" t="e">
        <f>AVERAGE(data1!B64:AG64)</f>
        <v>#DIV/0!</v>
      </c>
      <c r="K106" s="55" t="e">
        <f>STDEV(data1!B64:AG64)</f>
        <v>#DIV/0!</v>
      </c>
      <c r="L106" s="56" t="e">
        <f>AVERAGE(data2!B64:AG64)</f>
        <v>#DIV/0!</v>
      </c>
      <c r="M106" s="56" t="e">
        <f>STDEV(data2!B64:AG64)</f>
        <v>#DIV/0!</v>
      </c>
      <c r="N106" s="56" t="e">
        <f>AVERAGE(data3!B64:AG64)</f>
        <v>#DIV/0!</v>
      </c>
      <c r="O106" s="56" t="e">
        <f>STDEV(data3!B64:AG64)</f>
        <v>#DIV/0!</v>
      </c>
      <c r="P106" s="18" t="e">
        <f t="shared" si="115"/>
        <v>#DIV/0!</v>
      </c>
      <c r="Q106" s="18" t="e">
        <f t="shared" si="116"/>
        <v>#DIV/0!</v>
      </c>
      <c r="R106" s="18" t="e">
        <f t="shared" si="117"/>
        <v>#DIV/0!</v>
      </c>
      <c r="S106" s="19">
        <f t="shared" si="105"/>
        <v>63.6</v>
      </c>
      <c r="T106" s="27" t="e">
        <f t="shared" si="106"/>
        <v>#DIV/0!</v>
      </c>
      <c r="U106" s="27" t="e">
        <f t="shared" si="107"/>
        <v>#DIV/0!</v>
      </c>
      <c r="V106" s="27" t="e">
        <f t="shared" si="108"/>
        <v>#DIV/0!</v>
      </c>
      <c r="W106" s="27" t="e">
        <f t="shared" si="109"/>
        <v>#DIV/0!</v>
      </c>
      <c r="BF106" s="54"/>
      <c r="BG106" s="55"/>
      <c r="BH106" s="55"/>
      <c r="BI106" s="55"/>
      <c r="BJ106" s="55"/>
      <c r="BK106" s="56"/>
      <c r="BL106" s="56"/>
      <c r="BM106" s="56"/>
      <c r="BN106" s="56"/>
    </row>
    <row r="107" spans="3:66">
      <c r="C107" s="54">
        <f t="shared" si="118"/>
        <v>64.599999999999994</v>
      </c>
      <c r="D107" s="27" t="e">
        <f t="shared" si="112"/>
        <v>#DIV/0!</v>
      </c>
      <c r="E107" s="55" t="e">
        <f>AVERAGE(data0!B65:AG65)</f>
        <v>#DIV/0!</v>
      </c>
      <c r="F107" s="27" t="e">
        <f t="shared" si="113"/>
        <v>#DIV/0!</v>
      </c>
      <c r="G107" s="18">
        <f>MAX(data0!B65:AG65)</f>
        <v>0</v>
      </c>
      <c r="H107" s="27" t="e">
        <f t="shared" si="114"/>
        <v>#DIV/0!</v>
      </c>
      <c r="I107" s="55" t="e">
        <f>STDEV(data0!B65:AG65)</f>
        <v>#DIV/0!</v>
      </c>
      <c r="J107" s="55" t="e">
        <f>AVERAGE(data1!B65:AG65)</f>
        <v>#DIV/0!</v>
      </c>
      <c r="K107" s="55" t="e">
        <f>STDEV(data1!B65:AG65)</f>
        <v>#DIV/0!</v>
      </c>
      <c r="L107" s="56" t="e">
        <f>AVERAGE(data2!B65:AG65)</f>
        <v>#DIV/0!</v>
      </c>
      <c r="M107" s="56" t="e">
        <f>STDEV(data2!B65:AG65)</f>
        <v>#DIV/0!</v>
      </c>
      <c r="N107" s="56" t="e">
        <f>AVERAGE(data3!B65:AG65)</f>
        <v>#DIV/0!</v>
      </c>
      <c r="O107" s="56" t="e">
        <f>STDEV(data3!B65:AG65)</f>
        <v>#DIV/0!</v>
      </c>
      <c r="P107" s="18" t="e">
        <f t="shared" si="115"/>
        <v>#DIV/0!</v>
      </c>
      <c r="Q107" s="18" t="e">
        <f t="shared" si="116"/>
        <v>#DIV/0!</v>
      </c>
      <c r="R107" s="18" t="e">
        <f t="shared" si="117"/>
        <v>#DIV/0!</v>
      </c>
      <c r="S107" s="19">
        <f t="shared" si="105"/>
        <v>64.599999999999994</v>
      </c>
      <c r="T107" s="27" t="e">
        <f t="shared" si="106"/>
        <v>#DIV/0!</v>
      </c>
      <c r="U107" s="27" t="e">
        <f t="shared" si="107"/>
        <v>#DIV/0!</v>
      </c>
      <c r="V107" s="27" t="e">
        <f t="shared" si="108"/>
        <v>#DIV/0!</v>
      </c>
      <c r="W107" s="27" t="e">
        <f t="shared" si="109"/>
        <v>#DIV/0!</v>
      </c>
      <c r="BF107" s="54"/>
      <c r="BG107" s="55"/>
      <c r="BH107" s="55"/>
      <c r="BI107" s="55"/>
      <c r="BJ107" s="55"/>
      <c r="BK107" s="56"/>
      <c r="BL107" s="56"/>
      <c r="BM107" s="56"/>
      <c r="BN107" s="56"/>
    </row>
    <row r="108" spans="3:66">
      <c r="C108" s="54">
        <f t="shared" si="118"/>
        <v>65.599999999999994</v>
      </c>
      <c r="D108" s="27" t="e">
        <f t="shared" ref="D108:D124" si="119">E108-1.5*I108</f>
        <v>#DIV/0!</v>
      </c>
      <c r="E108" s="55" t="e">
        <f>AVERAGE(data0!B66:AG66)</f>
        <v>#DIV/0!</v>
      </c>
      <c r="F108" s="27" t="e">
        <f t="shared" ref="F108:F124" si="120">E108+1.5*I108</f>
        <v>#DIV/0!</v>
      </c>
      <c r="G108" s="18">
        <f>MAX(data0!B66:AG66)</f>
        <v>0</v>
      </c>
      <c r="H108" s="27" t="e">
        <f t="shared" ref="H108:H124" si="121">E108-H$4</f>
        <v>#DIV/0!</v>
      </c>
      <c r="I108" s="55" t="e">
        <f>STDEV(data0!B66:AG66)</f>
        <v>#DIV/0!</v>
      </c>
      <c r="J108" s="55" t="e">
        <f>AVERAGE(data1!B66:AG66)</f>
        <v>#DIV/0!</v>
      </c>
      <c r="K108" s="55" t="e">
        <f>STDEV(data1!B66:AG66)</f>
        <v>#DIV/0!</v>
      </c>
      <c r="L108" s="56" t="e">
        <f>AVERAGE(data2!B66:AG66)</f>
        <v>#DIV/0!</v>
      </c>
      <c r="M108" s="56" t="e">
        <f>STDEV(data2!B66:AG66)</f>
        <v>#DIV/0!</v>
      </c>
      <c r="N108" s="56" t="e">
        <f>AVERAGE(data3!B66:AG66)</f>
        <v>#DIV/0!</v>
      </c>
      <c r="O108" s="56" t="e">
        <f>STDEV(data3!B66:AG66)</f>
        <v>#DIV/0!</v>
      </c>
      <c r="P108" s="18" t="e">
        <f t="shared" ref="P108:P124" si="122">(E108-relativePrx*$H$4)/(J108-relativePrx*$H$5)</f>
        <v>#DIV/0!</v>
      </c>
      <c r="Q108" s="18" t="e">
        <f t="shared" ref="Q108:Q124" si="123">(J108-relativePrx*$H$5)/(L108-relativePrx*$H$6)</f>
        <v>#DIV/0!</v>
      </c>
      <c r="R108" s="18" t="e">
        <f t="shared" ref="R108:R124" si="124">(L108-relativePrx*$H$6)/(N108-relativePrx*$H$7)</f>
        <v>#DIV/0!</v>
      </c>
      <c r="S108" s="19">
        <f t="shared" si="105"/>
        <v>65.599999999999994</v>
      </c>
      <c r="T108" s="27" t="e">
        <f t="shared" si="106"/>
        <v>#DIV/0!</v>
      </c>
      <c r="U108" s="27" t="e">
        <f t="shared" si="107"/>
        <v>#DIV/0!</v>
      </c>
      <c r="V108" s="27" t="e">
        <f t="shared" si="108"/>
        <v>#DIV/0!</v>
      </c>
      <c r="W108" s="27" t="e">
        <f t="shared" si="109"/>
        <v>#DIV/0!</v>
      </c>
      <c r="BF108" s="54"/>
      <c r="BG108" s="55"/>
      <c r="BH108" s="55"/>
      <c r="BI108" s="55"/>
      <c r="BJ108" s="55"/>
      <c r="BK108" s="56"/>
      <c r="BL108" s="56"/>
      <c r="BM108" s="56"/>
      <c r="BN108" s="56"/>
    </row>
    <row r="109" spans="3:66">
      <c r="C109" s="54">
        <f t="shared" ref="C109:C124" si="125">C108+$B$4</f>
        <v>66.599999999999994</v>
      </c>
      <c r="D109" s="27" t="e">
        <f t="shared" si="119"/>
        <v>#DIV/0!</v>
      </c>
      <c r="E109" s="55" t="e">
        <f>AVERAGE(data0!B67:AG67)</f>
        <v>#DIV/0!</v>
      </c>
      <c r="F109" s="27" t="e">
        <f t="shared" si="120"/>
        <v>#DIV/0!</v>
      </c>
      <c r="G109" s="18">
        <f>MAX(data0!B67:AG67)</f>
        <v>0</v>
      </c>
      <c r="H109" s="27" t="e">
        <f t="shared" si="121"/>
        <v>#DIV/0!</v>
      </c>
      <c r="I109" s="55" t="e">
        <f>STDEV(data0!B67:AG67)</f>
        <v>#DIV/0!</v>
      </c>
      <c r="J109" s="55" t="e">
        <f>AVERAGE(data1!B67:AG67)</f>
        <v>#DIV/0!</v>
      </c>
      <c r="K109" s="55" t="e">
        <f>STDEV(data1!B67:AG67)</f>
        <v>#DIV/0!</v>
      </c>
      <c r="L109" s="56" t="e">
        <f>AVERAGE(data2!B67:AG67)</f>
        <v>#DIV/0!</v>
      </c>
      <c r="M109" s="56" t="e">
        <f>STDEV(data2!B67:AG67)</f>
        <v>#DIV/0!</v>
      </c>
      <c r="N109" s="56" t="e">
        <f>AVERAGE(data3!B67:AG67)</f>
        <v>#DIV/0!</v>
      </c>
      <c r="O109" s="56" t="e">
        <f>STDEV(data3!B67:AG67)</f>
        <v>#DIV/0!</v>
      </c>
      <c r="P109" s="18" t="e">
        <f t="shared" si="122"/>
        <v>#DIV/0!</v>
      </c>
      <c r="Q109" s="18" t="e">
        <f t="shared" si="123"/>
        <v>#DIV/0!</v>
      </c>
      <c r="R109" s="18" t="e">
        <f t="shared" si="124"/>
        <v>#DIV/0!</v>
      </c>
      <c r="S109" s="19">
        <f t="shared" ref="S109:S124" si="126">C109</f>
        <v>66.599999999999994</v>
      </c>
      <c r="T109" s="27" t="e">
        <f t="shared" ref="T109:T124" si="127">D109-$H$4</f>
        <v>#DIV/0!</v>
      </c>
      <c r="U109" s="27" t="e">
        <f t="shared" ref="U109:U124" si="128">H109</f>
        <v>#DIV/0!</v>
      </c>
      <c r="V109" s="27" t="e">
        <f t="shared" ref="V109:V124" si="129">F109-$H$4</f>
        <v>#DIV/0!</v>
      </c>
      <c r="W109" s="27" t="e">
        <f t="shared" ref="W109:W124" si="130">MAX(A$45*C109^B$45-$H$4,0)</f>
        <v>#DIV/0!</v>
      </c>
      <c r="BF109" s="54"/>
      <c r="BG109" s="55"/>
      <c r="BH109" s="55"/>
      <c r="BI109" s="55"/>
      <c r="BJ109" s="55"/>
      <c r="BK109" s="56"/>
      <c r="BL109" s="56"/>
      <c r="BM109" s="56"/>
      <c r="BN109" s="56"/>
    </row>
    <row r="110" spans="3:66">
      <c r="C110" s="54">
        <f t="shared" si="125"/>
        <v>67.599999999999994</v>
      </c>
      <c r="D110" s="27" t="e">
        <f t="shared" si="119"/>
        <v>#DIV/0!</v>
      </c>
      <c r="E110" s="55" t="e">
        <f>AVERAGE(data0!B68:AG68)</f>
        <v>#DIV/0!</v>
      </c>
      <c r="F110" s="27" t="e">
        <f t="shared" si="120"/>
        <v>#DIV/0!</v>
      </c>
      <c r="G110" s="18">
        <f>MAX(data0!B68:AG68)</f>
        <v>0</v>
      </c>
      <c r="H110" s="27" t="e">
        <f t="shared" si="121"/>
        <v>#DIV/0!</v>
      </c>
      <c r="I110" s="55" t="e">
        <f>STDEV(data0!B68:AG68)</f>
        <v>#DIV/0!</v>
      </c>
      <c r="J110" s="55" t="e">
        <f>AVERAGE(data1!B68:AG68)</f>
        <v>#DIV/0!</v>
      </c>
      <c r="K110" s="55" t="e">
        <f>STDEV(data1!B68:AG68)</f>
        <v>#DIV/0!</v>
      </c>
      <c r="L110" s="56" t="e">
        <f>AVERAGE(data2!B68:AG68)</f>
        <v>#DIV/0!</v>
      </c>
      <c r="M110" s="56" t="e">
        <f>STDEV(data2!B68:AG68)</f>
        <v>#DIV/0!</v>
      </c>
      <c r="N110" s="56" t="e">
        <f>AVERAGE(data3!B68:AG68)</f>
        <v>#DIV/0!</v>
      </c>
      <c r="O110" s="56" t="e">
        <f>STDEV(data3!B68:AG68)</f>
        <v>#DIV/0!</v>
      </c>
      <c r="P110" s="18" t="e">
        <f t="shared" si="122"/>
        <v>#DIV/0!</v>
      </c>
      <c r="Q110" s="18" t="e">
        <f t="shared" si="123"/>
        <v>#DIV/0!</v>
      </c>
      <c r="R110" s="18" t="e">
        <f t="shared" si="124"/>
        <v>#DIV/0!</v>
      </c>
      <c r="S110" s="19">
        <f t="shared" si="126"/>
        <v>67.599999999999994</v>
      </c>
      <c r="T110" s="27" t="e">
        <f t="shared" si="127"/>
        <v>#DIV/0!</v>
      </c>
      <c r="U110" s="27" t="e">
        <f t="shared" si="128"/>
        <v>#DIV/0!</v>
      </c>
      <c r="V110" s="27" t="e">
        <f t="shared" si="129"/>
        <v>#DIV/0!</v>
      </c>
      <c r="W110" s="27" t="e">
        <f t="shared" si="130"/>
        <v>#DIV/0!</v>
      </c>
      <c r="BF110" s="54"/>
      <c r="BG110" s="55"/>
      <c r="BH110" s="55"/>
      <c r="BI110" s="55"/>
      <c r="BJ110" s="55"/>
      <c r="BK110" s="56"/>
      <c r="BL110" s="56"/>
      <c r="BM110" s="56"/>
      <c r="BN110" s="56"/>
    </row>
    <row r="111" spans="3:66">
      <c r="C111" s="54">
        <f t="shared" si="125"/>
        <v>68.599999999999994</v>
      </c>
      <c r="D111" s="27" t="e">
        <f t="shared" si="119"/>
        <v>#DIV/0!</v>
      </c>
      <c r="E111" s="55" t="e">
        <f>AVERAGE(data0!B69:AG69)</f>
        <v>#DIV/0!</v>
      </c>
      <c r="F111" s="27" t="e">
        <f t="shared" si="120"/>
        <v>#DIV/0!</v>
      </c>
      <c r="G111" s="18">
        <f>MAX(data0!B69:AG69)</f>
        <v>0</v>
      </c>
      <c r="H111" s="27" t="e">
        <f t="shared" si="121"/>
        <v>#DIV/0!</v>
      </c>
      <c r="I111" s="55" t="e">
        <f>STDEV(data0!B69:AG69)</f>
        <v>#DIV/0!</v>
      </c>
      <c r="J111" s="55" t="e">
        <f>AVERAGE(data1!B69:AG69)</f>
        <v>#DIV/0!</v>
      </c>
      <c r="K111" s="55" t="e">
        <f>STDEV(data1!B69:AG69)</f>
        <v>#DIV/0!</v>
      </c>
      <c r="L111" s="56" t="e">
        <f>AVERAGE(data2!B69:AG69)</f>
        <v>#DIV/0!</v>
      </c>
      <c r="M111" s="56" t="e">
        <f>STDEV(data2!B69:AG69)</f>
        <v>#DIV/0!</v>
      </c>
      <c r="N111" s="56" t="e">
        <f>AVERAGE(data3!B69:AG69)</f>
        <v>#DIV/0!</v>
      </c>
      <c r="O111" s="56" t="e">
        <f>STDEV(data3!B69:AG69)</f>
        <v>#DIV/0!</v>
      </c>
      <c r="P111" s="18" t="e">
        <f t="shared" si="122"/>
        <v>#DIV/0!</v>
      </c>
      <c r="Q111" s="18" t="e">
        <f t="shared" si="123"/>
        <v>#DIV/0!</v>
      </c>
      <c r="R111" s="18" t="e">
        <f t="shared" si="124"/>
        <v>#DIV/0!</v>
      </c>
      <c r="S111" s="19">
        <f t="shared" si="126"/>
        <v>68.599999999999994</v>
      </c>
      <c r="T111" s="27" t="e">
        <f t="shared" si="127"/>
        <v>#DIV/0!</v>
      </c>
      <c r="U111" s="27" t="e">
        <f t="shared" si="128"/>
        <v>#DIV/0!</v>
      </c>
      <c r="V111" s="27" t="e">
        <f t="shared" si="129"/>
        <v>#DIV/0!</v>
      </c>
      <c r="W111" s="27" t="e">
        <f t="shared" si="130"/>
        <v>#DIV/0!</v>
      </c>
      <c r="BF111" s="54"/>
      <c r="BG111" s="55"/>
      <c r="BH111" s="55"/>
      <c r="BI111" s="55"/>
      <c r="BJ111" s="55"/>
      <c r="BK111" s="56"/>
      <c r="BL111" s="56"/>
      <c r="BM111" s="56"/>
      <c r="BN111" s="56"/>
    </row>
    <row r="112" spans="3:66">
      <c r="C112" s="54">
        <f t="shared" si="125"/>
        <v>69.599999999999994</v>
      </c>
      <c r="D112" s="27" t="e">
        <f t="shared" si="119"/>
        <v>#DIV/0!</v>
      </c>
      <c r="E112" s="55" t="e">
        <f>AVERAGE(data0!B70:AG70)</f>
        <v>#DIV/0!</v>
      </c>
      <c r="F112" s="27" t="e">
        <f t="shared" si="120"/>
        <v>#DIV/0!</v>
      </c>
      <c r="G112" s="18">
        <f>MAX(data0!B70:AG70)</f>
        <v>0</v>
      </c>
      <c r="H112" s="27" t="e">
        <f t="shared" si="121"/>
        <v>#DIV/0!</v>
      </c>
      <c r="I112" s="55" t="e">
        <f>STDEV(data0!B70:AG70)</f>
        <v>#DIV/0!</v>
      </c>
      <c r="J112" s="55" t="e">
        <f>AVERAGE(data1!B70:AG70)</f>
        <v>#DIV/0!</v>
      </c>
      <c r="K112" s="55" t="e">
        <f>STDEV(data1!B70:AG70)</f>
        <v>#DIV/0!</v>
      </c>
      <c r="L112" s="56" t="e">
        <f>AVERAGE(data2!B70:AG70)</f>
        <v>#DIV/0!</v>
      </c>
      <c r="M112" s="56" t="e">
        <f>STDEV(data2!B70:AG70)</f>
        <v>#DIV/0!</v>
      </c>
      <c r="N112" s="56" t="e">
        <f>AVERAGE(data3!B70:AG70)</f>
        <v>#DIV/0!</v>
      </c>
      <c r="O112" s="56" t="e">
        <f>STDEV(data3!B70:AG70)</f>
        <v>#DIV/0!</v>
      </c>
      <c r="P112" s="18" t="e">
        <f t="shared" si="122"/>
        <v>#DIV/0!</v>
      </c>
      <c r="Q112" s="18" t="e">
        <f t="shared" si="123"/>
        <v>#DIV/0!</v>
      </c>
      <c r="R112" s="18" t="e">
        <f t="shared" si="124"/>
        <v>#DIV/0!</v>
      </c>
      <c r="S112" s="19">
        <f t="shared" si="126"/>
        <v>69.599999999999994</v>
      </c>
      <c r="T112" s="27" t="e">
        <f t="shared" si="127"/>
        <v>#DIV/0!</v>
      </c>
      <c r="U112" s="27" t="e">
        <f t="shared" si="128"/>
        <v>#DIV/0!</v>
      </c>
      <c r="V112" s="27" t="e">
        <f t="shared" si="129"/>
        <v>#DIV/0!</v>
      </c>
      <c r="W112" s="27" t="e">
        <f t="shared" si="130"/>
        <v>#DIV/0!</v>
      </c>
      <c r="BF112" s="54"/>
      <c r="BG112" s="55"/>
      <c r="BH112" s="55"/>
      <c r="BI112" s="55"/>
      <c r="BJ112" s="55"/>
      <c r="BK112" s="56"/>
      <c r="BL112" s="56"/>
      <c r="BM112" s="56"/>
      <c r="BN112" s="56"/>
    </row>
    <row r="113" spans="3:66">
      <c r="C113" s="54">
        <f t="shared" si="125"/>
        <v>70.599999999999994</v>
      </c>
      <c r="D113" s="27" t="e">
        <f t="shared" si="119"/>
        <v>#DIV/0!</v>
      </c>
      <c r="E113" s="55" t="e">
        <f>AVERAGE(data0!B71:AG71)</f>
        <v>#DIV/0!</v>
      </c>
      <c r="F113" s="27" t="e">
        <f t="shared" si="120"/>
        <v>#DIV/0!</v>
      </c>
      <c r="G113" s="18">
        <f>MAX(data0!B71:AG71)</f>
        <v>0</v>
      </c>
      <c r="H113" s="27" t="e">
        <f t="shared" si="121"/>
        <v>#DIV/0!</v>
      </c>
      <c r="I113" s="55" t="e">
        <f>STDEV(data0!B71:AG71)</f>
        <v>#DIV/0!</v>
      </c>
      <c r="J113" s="55" t="e">
        <f>AVERAGE(data1!B71:AG71)</f>
        <v>#DIV/0!</v>
      </c>
      <c r="K113" s="55" t="e">
        <f>STDEV(data1!B71:AG71)</f>
        <v>#DIV/0!</v>
      </c>
      <c r="L113" s="56" t="e">
        <f>AVERAGE(data2!B71:AG71)</f>
        <v>#DIV/0!</v>
      </c>
      <c r="M113" s="56" t="e">
        <f>STDEV(data2!B71:AG71)</f>
        <v>#DIV/0!</v>
      </c>
      <c r="N113" s="56" t="e">
        <f>AVERAGE(data3!B71:AG71)</f>
        <v>#DIV/0!</v>
      </c>
      <c r="O113" s="56" t="e">
        <f>STDEV(data3!B71:AG71)</f>
        <v>#DIV/0!</v>
      </c>
      <c r="P113" s="18" t="e">
        <f t="shared" si="122"/>
        <v>#DIV/0!</v>
      </c>
      <c r="Q113" s="18" t="e">
        <f t="shared" si="123"/>
        <v>#DIV/0!</v>
      </c>
      <c r="R113" s="18" t="e">
        <f t="shared" si="124"/>
        <v>#DIV/0!</v>
      </c>
      <c r="S113" s="19">
        <f t="shared" si="126"/>
        <v>70.599999999999994</v>
      </c>
      <c r="T113" s="27" t="e">
        <f t="shared" si="127"/>
        <v>#DIV/0!</v>
      </c>
      <c r="U113" s="27" t="e">
        <f t="shared" si="128"/>
        <v>#DIV/0!</v>
      </c>
      <c r="V113" s="27" t="e">
        <f t="shared" si="129"/>
        <v>#DIV/0!</v>
      </c>
      <c r="W113" s="27" t="e">
        <f t="shared" si="130"/>
        <v>#DIV/0!</v>
      </c>
      <c r="BF113" s="54"/>
      <c r="BG113" s="55"/>
      <c r="BH113" s="55"/>
      <c r="BI113" s="55"/>
      <c r="BJ113" s="55"/>
      <c r="BK113" s="56"/>
      <c r="BL113" s="56"/>
      <c r="BM113" s="56"/>
      <c r="BN113" s="56"/>
    </row>
    <row r="114" spans="3:66">
      <c r="C114" s="54">
        <f t="shared" si="125"/>
        <v>71.599999999999994</v>
      </c>
      <c r="D114" s="27" t="e">
        <f t="shared" si="119"/>
        <v>#DIV/0!</v>
      </c>
      <c r="E114" s="55" t="e">
        <f>AVERAGE(data0!B72:AG72)</f>
        <v>#DIV/0!</v>
      </c>
      <c r="F114" s="27" t="e">
        <f t="shared" si="120"/>
        <v>#DIV/0!</v>
      </c>
      <c r="G114" s="18">
        <f>MAX(data0!B72:AG72)</f>
        <v>0</v>
      </c>
      <c r="H114" s="27" t="e">
        <f t="shared" si="121"/>
        <v>#DIV/0!</v>
      </c>
      <c r="I114" s="55" t="e">
        <f>STDEV(data0!B72:AG72)</f>
        <v>#DIV/0!</v>
      </c>
      <c r="J114" s="55" t="e">
        <f>AVERAGE(data1!B72:AG72)</f>
        <v>#DIV/0!</v>
      </c>
      <c r="K114" s="55" t="e">
        <f>STDEV(data1!B72:AG72)</f>
        <v>#DIV/0!</v>
      </c>
      <c r="L114" s="56" t="e">
        <f>AVERAGE(data2!B72:AG72)</f>
        <v>#DIV/0!</v>
      </c>
      <c r="M114" s="56" t="e">
        <f>STDEV(data2!B72:AG72)</f>
        <v>#DIV/0!</v>
      </c>
      <c r="N114" s="56" t="e">
        <f>AVERAGE(data3!B72:AG72)</f>
        <v>#DIV/0!</v>
      </c>
      <c r="O114" s="56" t="e">
        <f>STDEV(data3!B72:AG72)</f>
        <v>#DIV/0!</v>
      </c>
      <c r="P114" s="18" t="e">
        <f t="shared" si="122"/>
        <v>#DIV/0!</v>
      </c>
      <c r="Q114" s="18" t="e">
        <f t="shared" si="123"/>
        <v>#DIV/0!</v>
      </c>
      <c r="R114" s="18" t="e">
        <f t="shared" si="124"/>
        <v>#DIV/0!</v>
      </c>
      <c r="S114" s="19">
        <f t="shared" si="126"/>
        <v>71.599999999999994</v>
      </c>
      <c r="T114" s="27" t="e">
        <f t="shared" si="127"/>
        <v>#DIV/0!</v>
      </c>
      <c r="U114" s="27" t="e">
        <f t="shared" si="128"/>
        <v>#DIV/0!</v>
      </c>
      <c r="V114" s="27" t="e">
        <f t="shared" si="129"/>
        <v>#DIV/0!</v>
      </c>
      <c r="W114" s="27" t="e">
        <f t="shared" si="130"/>
        <v>#DIV/0!</v>
      </c>
      <c r="BF114" s="54"/>
      <c r="BG114" s="55"/>
      <c r="BH114" s="55"/>
      <c r="BI114" s="55"/>
      <c r="BJ114" s="55"/>
      <c r="BK114" s="56"/>
      <c r="BL114" s="56"/>
      <c r="BM114" s="56"/>
      <c r="BN114" s="56"/>
    </row>
    <row r="115" spans="3:66">
      <c r="C115" s="54">
        <f t="shared" si="125"/>
        <v>72.599999999999994</v>
      </c>
      <c r="D115" s="27" t="e">
        <f t="shared" si="119"/>
        <v>#DIV/0!</v>
      </c>
      <c r="E115" s="55" t="e">
        <f>AVERAGE(data0!B73:AG73)</f>
        <v>#DIV/0!</v>
      </c>
      <c r="F115" s="27" t="e">
        <f t="shared" si="120"/>
        <v>#DIV/0!</v>
      </c>
      <c r="G115" s="18">
        <f>MAX(data0!B73:AG73)</f>
        <v>0</v>
      </c>
      <c r="H115" s="27" t="e">
        <f t="shared" si="121"/>
        <v>#DIV/0!</v>
      </c>
      <c r="I115" s="55" t="e">
        <f>STDEV(data0!B73:AG73)</f>
        <v>#DIV/0!</v>
      </c>
      <c r="J115" s="55" t="e">
        <f>AVERAGE(data1!B73:AG73)</f>
        <v>#DIV/0!</v>
      </c>
      <c r="K115" s="55" t="e">
        <f>STDEV(data1!B73:AG73)</f>
        <v>#DIV/0!</v>
      </c>
      <c r="L115" s="56" t="e">
        <f>AVERAGE(data2!B73:AG73)</f>
        <v>#DIV/0!</v>
      </c>
      <c r="M115" s="56" t="e">
        <f>STDEV(data2!B73:AG73)</f>
        <v>#DIV/0!</v>
      </c>
      <c r="N115" s="56" t="e">
        <f>AVERAGE(data3!B73:AG73)</f>
        <v>#DIV/0!</v>
      </c>
      <c r="O115" s="56" t="e">
        <f>STDEV(data3!B73:AG73)</f>
        <v>#DIV/0!</v>
      </c>
      <c r="P115" s="18" t="e">
        <f t="shared" si="122"/>
        <v>#DIV/0!</v>
      </c>
      <c r="Q115" s="18" t="e">
        <f t="shared" si="123"/>
        <v>#DIV/0!</v>
      </c>
      <c r="R115" s="18" t="e">
        <f t="shared" si="124"/>
        <v>#DIV/0!</v>
      </c>
      <c r="S115" s="19">
        <f t="shared" si="126"/>
        <v>72.599999999999994</v>
      </c>
      <c r="T115" s="27" t="e">
        <f t="shared" si="127"/>
        <v>#DIV/0!</v>
      </c>
      <c r="U115" s="27" t="e">
        <f t="shared" si="128"/>
        <v>#DIV/0!</v>
      </c>
      <c r="V115" s="27" t="e">
        <f t="shared" si="129"/>
        <v>#DIV/0!</v>
      </c>
      <c r="W115" s="27" t="e">
        <f t="shared" si="130"/>
        <v>#DIV/0!</v>
      </c>
      <c r="BF115" s="54"/>
      <c r="BG115" s="55"/>
      <c r="BH115" s="55"/>
      <c r="BI115" s="55"/>
      <c r="BJ115" s="55"/>
      <c r="BK115" s="56"/>
      <c r="BL115" s="56"/>
      <c r="BM115" s="56"/>
      <c r="BN115" s="56"/>
    </row>
    <row r="116" spans="3:66">
      <c r="C116" s="54">
        <f t="shared" si="125"/>
        <v>73.599999999999994</v>
      </c>
      <c r="D116" s="27" t="e">
        <f t="shared" si="119"/>
        <v>#DIV/0!</v>
      </c>
      <c r="E116" s="55" t="e">
        <f>AVERAGE(data0!B74:AG74)</f>
        <v>#DIV/0!</v>
      </c>
      <c r="F116" s="27" t="e">
        <f t="shared" si="120"/>
        <v>#DIV/0!</v>
      </c>
      <c r="G116" s="18">
        <f>MAX(data0!B74:AG74)</f>
        <v>0</v>
      </c>
      <c r="H116" s="27" t="e">
        <f t="shared" si="121"/>
        <v>#DIV/0!</v>
      </c>
      <c r="I116" s="55" t="e">
        <f>STDEV(data0!B74:AG74)</f>
        <v>#DIV/0!</v>
      </c>
      <c r="J116" s="55" t="e">
        <f>AVERAGE(data1!B74:AG74)</f>
        <v>#DIV/0!</v>
      </c>
      <c r="K116" s="55" t="e">
        <f>STDEV(data1!B74:AG74)</f>
        <v>#DIV/0!</v>
      </c>
      <c r="L116" s="56" t="e">
        <f>AVERAGE(data2!B74:AG74)</f>
        <v>#DIV/0!</v>
      </c>
      <c r="M116" s="56" t="e">
        <f>STDEV(data2!B74:AG74)</f>
        <v>#DIV/0!</v>
      </c>
      <c r="N116" s="56" t="e">
        <f>AVERAGE(data3!B74:AG74)</f>
        <v>#DIV/0!</v>
      </c>
      <c r="O116" s="56" t="e">
        <f>STDEV(data3!B74:AG74)</f>
        <v>#DIV/0!</v>
      </c>
      <c r="P116" s="18" t="e">
        <f t="shared" si="122"/>
        <v>#DIV/0!</v>
      </c>
      <c r="Q116" s="18" t="e">
        <f t="shared" si="123"/>
        <v>#DIV/0!</v>
      </c>
      <c r="R116" s="18" t="e">
        <f t="shared" si="124"/>
        <v>#DIV/0!</v>
      </c>
      <c r="S116" s="19">
        <f t="shared" si="126"/>
        <v>73.599999999999994</v>
      </c>
      <c r="T116" s="27" t="e">
        <f t="shared" si="127"/>
        <v>#DIV/0!</v>
      </c>
      <c r="U116" s="27" t="e">
        <f t="shared" si="128"/>
        <v>#DIV/0!</v>
      </c>
      <c r="V116" s="27" t="e">
        <f t="shared" si="129"/>
        <v>#DIV/0!</v>
      </c>
      <c r="W116" s="27" t="e">
        <f t="shared" si="130"/>
        <v>#DIV/0!</v>
      </c>
      <c r="BF116" s="54"/>
      <c r="BG116" s="55"/>
      <c r="BH116" s="55"/>
      <c r="BI116" s="55"/>
      <c r="BJ116" s="55"/>
      <c r="BK116" s="56"/>
      <c r="BL116" s="56"/>
      <c r="BM116" s="56"/>
      <c r="BN116" s="56"/>
    </row>
    <row r="117" spans="3:66">
      <c r="C117" s="54">
        <f t="shared" si="125"/>
        <v>74.599999999999994</v>
      </c>
      <c r="D117" s="27" t="e">
        <f t="shared" si="119"/>
        <v>#DIV/0!</v>
      </c>
      <c r="E117" s="55" t="e">
        <f>AVERAGE(data0!B75:AG75)</f>
        <v>#DIV/0!</v>
      </c>
      <c r="F117" s="27" t="e">
        <f t="shared" si="120"/>
        <v>#DIV/0!</v>
      </c>
      <c r="G117" s="18">
        <f>MAX(data0!B75:AG75)</f>
        <v>0</v>
      </c>
      <c r="H117" s="27" t="e">
        <f t="shared" si="121"/>
        <v>#DIV/0!</v>
      </c>
      <c r="I117" s="55" t="e">
        <f>STDEV(data0!B75:AG75)</f>
        <v>#DIV/0!</v>
      </c>
      <c r="J117" s="55" t="e">
        <f>AVERAGE(data1!B75:AG75)</f>
        <v>#DIV/0!</v>
      </c>
      <c r="K117" s="55" t="e">
        <f>STDEV(data1!B75:AG75)</f>
        <v>#DIV/0!</v>
      </c>
      <c r="L117" s="56" t="e">
        <f>AVERAGE(data2!B75:AG75)</f>
        <v>#DIV/0!</v>
      </c>
      <c r="M117" s="56" t="e">
        <f>STDEV(data2!B75:AG75)</f>
        <v>#DIV/0!</v>
      </c>
      <c r="N117" s="56" t="e">
        <f>AVERAGE(data3!B75:AG75)</f>
        <v>#DIV/0!</v>
      </c>
      <c r="O117" s="56" t="e">
        <f>STDEV(data3!B75:AG75)</f>
        <v>#DIV/0!</v>
      </c>
      <c r="P117" s="18" t="e">
        <f t="shared" si="122"/>
        <v>#DIV/0!</v>
      </c>
      <c r="Q117" s="18" t="e">
        <f t="shared" si="123"/>
        <v>#DIV/0!</v>
      </c>
      <c r="R117" s="18" t="e">
        <f t="shared" si="124"/>
        <v>#DIV/0!</v>
      </c>
      <c r="S117" s="19">
        <f t="shared" si="126"/>
        <v>74.599999999999994</v>
      </c>
      <c r="T117" s="27" t="e">
        <f t="shared" si="127"/>
        <v>#DIV/0!</v>
      </c>
      <c r="U117" s="27" t="e">
        <f t="shared" si="128"/>
        <v>#DIV/0!</v>
      </c>
      <c r="V117" s="27" t="e">
        <f t="shared" si="129"/>
        <v>#DIV/0!</v>
      </c>
      <c r="W117" s="27" t="e">
        <f t="shared" si="130"/>
        <v>#DIV/0!</v>
      </c>
      <c r="BF117" s="54"/>
      <c r="BG117" s="55"/>
      <c r="BH117" s="55"/>
      <c r="BI117" s="55"/>
      <c r="BJ117" s="55"/>
      <c r="BK117" s="56"/>
      <c r="BL117" s="56"/>
      <c r="BM117" s="56"/>
      <c r="BN117" s="56"/>
    </row>
    <row r="118" spans="3:66">
      <c r="C118" s="54">
        <f t="shared" si="125"/>
        <v>75.599999999999994</v>
      </c>
      <c r="D118" s="27" t="e">
        <f t="shared" si="119"/>
        <v>#DIV/0!</v>
      </c>
      <c r="E118" s="55" t="e">
        <f>AVERAGE(data0!B76:AG76)</f>
        <v>#DIV/0!</v>
      </c>
      <c r="F118" s="27" t="e">
        <f t="shared" si="120"/>
        <v>#DIV/0!</v>
      </c>
      <c r="G118" s="18">
        <f>MAX(data0!B76:AG76)</f>
        <v>0</v>
      </c>
      <c r="H118" s="27" t="e">
        <f t="shared" si="121"/>
        <v>#DIV/0!</v>
      </c>
      <c r="I118" s="55" t="e">
        <f>STDEV(data0!B76:AG76)</f>
        <v>#DIV/0!</v>
      </c>
      <c r="J118" s="55" t="e">
        <f>AVERAGE(data1!B76:AG76)</f>
        <v>#DIV/0!</v>
      </c>
      <c r="K118" s="55" t="e">
        <f>STDEV(data1!B76:AG76)</f>
        <v>#DIV/0!</v>
      </c>
      <c r="L118" s="56" t="e">
        <f>AVERAGE(data2!B76:AG76)</f>
        <v>#DIV/0!</v>
      </c>
      <c r="M118" s="56" t="e">
        <f>STDEV(data2!B76:AG76)</f>
        <v>#DIV/0!</v>
      </c>
      <c r="N118" s="56" t="e">
        <f>AVERAGE(data3!B76:AG76)</f>
        <v>#DIV/0!</v>
      </c>
      <c r="O118" s="56" t="e">
        <f>STDEV(data3!B76:AG76)</f>
        <v>#DIV/0!</v>
      </c>
      <c r="P118" s="18" t="e">
        <f t="shared" si="122"/>
        <v>#DIV/0!</v>
      </c>
      <c r="Q118" s="18" t="e">
        <f t="shared" si="123"/>
        <v>#DIV/0!</v>
      </c>
      <c r="R118" s="18" t="e">
        <f t="shared" si="124"/>
        <v>#DIV/0!</v>
      </c>
      <c r="S118" s="19">
        <f t="shared" si="126"/>
        <v>75.599999999999994</v>
      </c>
      <c r="T118" s="27" t="e">
        <f t="shared" si="127"/>
        <v>#DIV/0!</v>
      </c>
      <c r="U118" s="27" t="e">
        <f t="shared" si="128"/>
        <v>#DIV/0!</v>
      </c>
      <c r="V118" s="27" t="e">
        <f t="shared" si="129"/>
        <v>#DIV/0!</v>
      </c>
      <c r="W118" s="27" t="e">
        <f t="shared" si="130"/>
        <v>#DIV/0!</v>
      </c>
      <c r="BF118" s="54"/>
      <c r="BG118" s="55"/>
      <c r="BH118" s="55"/>
      <c r="BI118" s="55"/>
      <c r="BJ118" s="55"/>
      <c r="BK118" s="56"/>
      <c r="BL118" s="56"/>
      <c r="BM118" s="56"/>
      <c r="BN118" s="56"/>
    </row>
    <row r="119" spans="3:66">
      <c r="C119" s="54">
        <f t="shared" si="125"/>
        <v>76.599999999999994</v>
      </c>
      <c r="D119" s="27" t="e">
        <f t="shared" si="119"/>
        <v>#DIV/0!</v>
      </c>
      <c r="E119" s="55" t="e">
        <f>AVERAGE(data0!B77:AG77)</f>
        <v>#DIV/0!</v>
      </c>
      <c r="F119" s="27" t="e">
        <f t="shared" si="120"/>
        <v>#DIV/0!</v>
      </c>
      <c r="G119" s="18">
        <f>MAX(data0!B77:AG77)</f>
        <v>0</v>
      </c>
      <c r="H119" s="27" t="e">
        <f t="shared" si="121"/>
        <v>#DIV/0!</v>
      </c>
      <c r="I119" s="55" t="e">
        <f>STDEV(data0!B77:AG77)</f>
        <v>#DIV/0!</v>
      </c>
      <c r="J119" s="55" t="e">
        <f>AVERAGE(data1!B77:AG77)</f>
        <v>#DIV/0!</v>
      </c>
      <c r="K119" s="55" t="e">
        <f>STDEV(data1!B77:AG77)</f>
        <v>#DIV/0!</v>
      </c>
      <c r="L119" s="56" t="e">
        <f>AVERAGE(data2!B77:AG77)</f>
        <v>#DIV/0!</v>
      </c>
      <c r="M119" s="56" t="e">
        <f>STDEV(data2!B77:AG77)</f>
        <v>#DIV/0!</v>
      </c>
      <c r="N119" s="56" t="e">
        <f>AVERAGE(data3!B77:AG77)</f>
        <v>#DIV/0!</v>
      </c>
      <c r="O119" s="56" t="e">
        <f>STDEV(data3!B77:AG77)</f>
        <v>#DIV/0!</v>
      </c>
      <c r="P119" s="18" t="e">
        <f t="shared" si="122"/>
        <v>#DIV/0!</v>
      </c>
      <c r="Q119" s="18" t="e">
        <f t="shared" si="123"/>
        <v>#DIV/0!</v>
      </c>
      <c r="R119" s="18" t="e">
        <f t="shared" si="124"/>
        <v>#DIV/0!</v>
      </c>
      <c r="S119" s="19">
        <f t="shared" si="126"/>
        <v>76.599999999999994</v>
      </c>
      <c r="T119" s="27" t="e">
        <f t="shared" si="127"/>
        <v>#DIV/0!</v>
      </c>
      <c r="U119" s="27" t="e">
        <f t="shared" si="128"/>
        <v>#DIV/0!</v>
      </c>
      <c r="V119" s="27" t="e">
        <f t="shared" si="129"/>
        <v>#DIV/0!</v>
      </c>
      <c r="W119" s="27" t="e">
        <f t="shared" si="130"/>
        <v>#DIV/0!</v>
      </c>
      <c r="BF119" s="54"/>
      <c r="BG119" s="55"/>
      <c r="BH119" s="55"/>
      <c r="BI119" s="55"/>
      <c r="BJ119" s="55"/>
      <c r="BK119" s="56"/>
      <c r="BL119" s="56"/>
      <c r="BM119" s="56"/>
      <c r="BN119" s="56"/>
    </row>
    <row r="120" spans="3:66">
      <c r="C120" s="54">
        <f t="shared" si="125"/>
        <v>77.599999999999994</v>
      </c>
      <c r="D120" s="27" t="e">
        <f t="shared" si="119"/>
        <v>#DIV/0!</v>
      </c>
      <c r="E120" s="55" t="e">
        <f>AVERAGE(data0!B78:AG78)</f>
        <v>#DIV/0!</v>
      </c>
      <c r="F120" s="27" t="e">
        <f t="shared" si="120"/>
        <v>#DIV/0!</v>
      </c>
      <c r="G120" s="18">
        <f>MAX(data0!B78:AG78)</f>
        <v>0</v>
      </c>
      <c r="H120" s="27" t="e">
        <f t="shared" si="121"/>
        <v>#DIV/0!</v>
      </c>
      <c r="I120" s="55" t="e">
        <f>STDEV(data0!B78:AG78)</f>
        <v>#DIV/0!</v>
      </c>
      <c r="J120" s="55" t="e">
        <f>AVERAGE(data1!B78:AG78)</f>
        <v>#DIV/0!</v>
      </c>
      <c r="K120" s="55" t="e">
        <f>STDEV(data1!B78:AG78)</f>
        <v>#DIV/0!</v>
      </c>
      <c r="L120" s="56" t="e">
        <f>AVERAGE(data2!B78:AG78)</f>
        <v>#DIV/0!</v>
      </c>
      <c r="M120" s="56" t="e">
        <f>STDEV(data2!B78:AG78)</f>
        <v>#DIV/0!</v>
      </c>
      <c r="N120" s="56" t="e">
        <f>AVERAGE(data3!B78:AG78)</f>
        <v>#DIV/0!</v>
      </c>
      <c r="O120" s="56" t="e">
        <f>STDEV(data3!B78:AG78)</f>
        <v>#DIV/0!</v>
      </c>
      <c r="P120" s="18" t="e">
        <f t="shared" si="122"/>
        <v>#DIV/0!</v>
      </c>
      <c r="Q120" s="18" t="e">
        <f t="shared" si="123"/>
        <v>#DIV/0!</v>
      </c>
      <c r="R120" s="18" t="e">
        <f t="shared" si="124"/>
        <v>#DIV/0!</v>
      </c>
      <c r="S120" s="19">
        <f t="shared" si="126"/>
        <v>77.599999999999994</v>
      </c>
      <c r="T120" s="27" t="e">
        <f t="shared" si="127"/>
        <v>#DIV/0!</v>
      </c>
      <c r="U120" s="27" t="e">
        <f t="shared" si="128"/>
        <v>#DIV/0!</v>
      </c>
      <c r="V120" s="27" t="e">
        <f t="shared" si="129"/>
        <v>#DIV/0!</v>
      </c>
      <c r="W120" s="27" t="e">
        <f t="shared" si="130"/>
        <v>#DIV/0!</v>
      </c>
      <c r="BF120" s="54"/>
      <c r="BG120" s="55"/>
      <c r="BH120" s="55"/>
      <c r="BI120" s="55"/>
      <c r="BJ120" s="55"/>
      <c r="BK120" s="56"/>
      <c r="BL120" s="56"/>
      <c r="BM120" s="56"/>
      <c r="BN120" s="56"/>
    </row>
    <row r="121" spans="3:66">
      <c r="C121" s="54">
        <f t="shared" si="125"/>
        <v>78.599999999999994</v>
      </c>
      <c r="D121" s="27" t="e">
        <f t="shared" si="119"/>
        <v>#DIV/0!</v>
      </c>
      <c r="E121" s="55" t="e">
        <f>AVERAGE(data0!B79:AG79)</f>
        <v>#DIV/0!</v>
      </c>
      <c r="F121" s="27" t="e">
        <f t="shared" si="120"/>
        <v>#DIV/0!</v>
      </c>
      <c r="G121" s="18">
        <f>MAX(data0!B79:AG79)</f>
        <v>0</v>
      </c>
      <c r="H121" s="27" t="e">
        <f t="shared" si="121"/>
        <v>#DIV/0!</v>
      </c>
      <c r="I121" s="55" t="e">
        <f>STDEV(data0!B79:AG79)</f>
        <v>#DIV/0!</v>
      </c>
      <c r="J121" s="55" t="e">
        <f>AVERAGE(data1!B79:AG79)</f>
        <v>#DIV/0!</v>
      </c>
      <c r="K121" s="55" t="e">
        <f>STDEV(data1!B79:AG79)</f>
        <v>#DIV/0!</v>
      </c>
      <c r="L121" s="56" t="e">
        <f>AVERAGE(data2!B79:AG79)</f>
        <v>#DIV/0!</v>
      </c>
      <c r="M121" s="56" t="e">
        <f>STDEV(data2!B79:AG79)</f>
        <v>#DIV/0!</v>
      </c>
      <c r="N121" s="56" t="e">
        <f>AVERAGE(data3!B79:AG79)</f>
        <v>#DIV/0!</v>
      </c>
      <c r="O121" s="56" t="e">
        <f>STDEV(data3!B79:AG79)</f>
        <v>#DIV/0!</v>
      </c>
      <c r="P121" s="18" t="e">
        <f t="shared" si="122"/>
        <v>#DIV/0!</v>
      </c>
      <c r="Q121" s="18" t="e">
        <f t="shared" si="123"/>
        <v>#DIV/0!</v>
      </c>
      <c r="R121" s="18" t="e">
        <f t="shared" si="124"/>
        <v>#DIV/0!</v>
      </c>
      <c r="S121" s="19">
        <f t="shared" si="126"/>
        <v>78.599999999999994</v>
      </c>
      <c r="T121" s="27" t="e">
        <f t="shared" si="127"/>
        <v>#DIV/0!</v>
      </c>
      <c r="U121" s="27" t="e">
        <f t="shared" si="128"/>
        <v>#DIV/0!</v>
      </c>
      <c r="V121" s="27" t="e">
        <f t="shared" si="129"/>
        <v>#DIV/0!</v>
      </c>
      <c r="W121" s="27" t="e">
        <f t="shared" si="130"/>
        <v>#DIV/0!</v>
      </c>
      <c r="BF121" s="54"/>
      <c r="BG121" s="55"/>
      <c r="BH121" s="55"/>
      <c r="BI121" s="55"/>
      <c r="BJ121" s="55"/>
      <c r="BK121" s="56"/>
      <c r="BL121" s="56"/>
      <c r="BM121" s="56"/>
      <c r="BN121" s="56"/>
    </row>
    <row r="122" spans="3:66">
      <c r="C122" s="54">
        <f t="shared" si="125"/>
        <v>79.599999999999994</v>
      </c>
      <c r="D122" s="27" t="e">
        <f t="shared" si="119"/>
        <v>#DIV/0!</v>
      </c>
      <c r="E122" s="55" t="e">
        <f>AVERAGE(data0!B80:AG80)</f>
        <v>#DIV/0!</v>
      </c>
      <c r="F122" s="27" t="e">
        <f t="shared" si="120"/>
        <v>#DIV/0!</v>
      </c>
      <c r="G122" s="18">
        <f>MAX(data0!B80:AG80)</f>
        <v>0</v>
      </c>
      <c r="H122" s="27" t="e">
        <f t="shared" si="121"/>
        <v>#DIV/0!</v>
      </c>
      <c r="I122" s="55" t="e">
        <f>STDEV(data0!B80:AG80)</f>
        <v>#DIV/0!</v>
      </c>
      <c r="J122" s="55" t="e">
        <f>AVERAGE(data1!B80:AG80)</f>
        <v>#DIV/0!</v>
      </c>
      <c r="K122" s="55" t="e">
        <f>STDEV(data1!B80:AG80)</f>
        <v>#DIV/0!</v>
      </c>
      <c r="L122" s="56" t="e">
        <f>AVERAGE(data2!B80:AG80)</f>
        <v>#DIV/0!</v>
      </c>
      <c r="M122" s="56" t="e">
        <f>STDEV(data2!B80:AG80)</f>
        <v>#DIV/0!</v>
      </c>
      <c r="N122" s="56" t="e">
        <f>AVERAGE(data3!B80:AG80)</f>
        <v>#DIV/0!</v>
      </c>
      <c r="O122" s="56" t="e">
        <f>STDEV(data3!B80:AG80)</f>
        <v>#DIV/0!</v>
      </c>
      <c r="P122" s="18" t="e">
        <f t="shared" si="122"/>
        <v>#DIV/0!</v>
      </c>
      <c r="Q122" s="18" t="e">
        <f t="shared" si="123"/>
        <v>#DIV/0!</v>
      </c>
      <c r="R122" s="18" t="e">
        <f t="shared" si="124"/>
        <v>#DIV/0!</v>
      </c>
      <c r="S122" s="19">
        <f t="shared" si="126"/>
        <v>79.599999999999994</v>
      </c>
      <c r="T122" s="27" t="e">
        <f t="shared" si="127"/>
        <v>#DIV/0!</v>
      </c>
      <c r="U122" s="27" t="e">
        <f t="shared" si="128"/>
        <v>#DIV/0!</v>
      </c>
      <c r="V122" s="27" t="e">
        <f t="shared" si="129"/>
        <v>#DIV/0!</v>
      </c>
      <c r="W122" s="27" t="e">
        <f t="shared" si="130"/>
        <v>#DIV/0!</v>
      </c>
      <c r="BF122" s="54"/>
      <c r="BG122" s="55"/>
      <c r="BH122" s="55"/>
      <c r="BI122" s="55"/>
      <c r="BJ122" s="55"/>
      <c r="BK122" s="56"/>
      <c r="BL122" s="56"/>
      <c r="BM122" s="56"/>
      <c r="BN122" s="56"/>
    </row>
    <row r="123" spans="3:66">
      <c r="C123" s="54">
        <f t="shared" si="125"/>
        <v>80.599999999999994</v>
      </c>
      <c r="D123" s="27" t="e">
        <f t="shared" si="119"/>
        <v>#DIV/0!</v>
      </c>
      <c r="E123" s="55" t="e">
        <f>AVERAGE(data0!B81:AG81)</f>
        <v>#DIV/0!</v>
      </c>
      <c r="F123" s="27" t="e">
        <f t="shared" si="120"/>
        <v>#DIV/0!</v>
      </c>
      <c r="G123" s="18">
        <f>MAX(data0!B81:AG81)</f>
        <v>0</v>
      </c>
      <c r="H123" s="27" t="e">
        <f t="shared" si="121"/>
        <v>#DIV/0!</v>
      </c>
      <c r="I123" s="55" t="e">
        <f>STDEV(data0!B81:AG81)</f>
        <v>#DIV/0!</v>
      </c>
      <c r="J123" s="55" t="e">
        <f>AVERAGE(data1!B81:AG81)</f>
        <v>#DIV/0!</v>
      </c>
      <c r="K123" s="55" t="e">
        <f>STDEV(data1!B81:AG81)</f>
        <v>#DIV/0!</v>
      </c>
      <c r="L123" s="56" t="e">
        <f>AVERAGE(data2!B81:AG81)</f>
        <v>#DIV/0!</v>
      </c>
      <c r="M123" s="56" t="e">
        <f>STDEV(data2!B81:AG81)</f>
        <v>#DIV/0!</v>
      </c>
      <c r="N123" s="56" t="e">
        <f>AVERAGE(data3!B81:AG81)</f>
        <v>#DIV/0!</v>
      </c>
      <c r="O123" s="56" t="e">
        <f>STDEV(data3!B81:AG81)</f>
        <v>#DIV/0!</v>
      </c>
      <c r="P123" s="18" t="e">
        <f t="shared" si="122"/>
        <v>#DIV/0!</v>
      </c>
      <c r="Q123" s="18" t="e">
        <f t="shared" si="123"/>
        <v>#DIV/0!</v>
      </c>
      <c r="R123" s="18" t="e">
        <f t="shared" si="124"/>
        <v>#DIV/0!</v>
      </c>
      <c r="S123" s="19">
        <f t="shared" si="126"/>
        <v>80.599999999999994</v>
      </c>
      <c r="T123" s="27" t="e">
        <f t="shared" si="127"/>
        <v>#DIV/0!</v>
      </c>
      <c r="U123" s="27" t="e">
        <f t="shared" si="128"/>
        <v>#DIV/0!</v>
      </c>
      <c r="V123" s="27" t="e">
        <f t="shared" si="129"/>
        <v>#DIV/0!</v>
      </c>
      <c r="W123" s="27" t="e">
        <f t="shared" si="130"/>
        <v>#DIV/0!</v>
      </c>
      <c r="BF123" s="54"/>
      <c r="BG123" s="55"/>
      <c r="BH123" s="55"/>
      <c r="BI123" s="55"/>
      <c r="BJ123" s="55"/>
      <c r="BK123" s="56"/>
      <c r="BL123" s="56"/>
      <c r="BM123" s="56"/>
      <c r="BN123" s="56"/>
    </row>
    <row r="124" spans="3:66">
      <c r="C124" s="54">
        <f t="shared" si="125"/>
        <v>81.599999999999994</v>
      </c>
      <c r="D124" s="27" t="e">
        <f t="shared" si="119"/>
        <v>#DIV/0!</v>
      </c>
      <c r="E124" s="55" t="e">
        <f>AVERAGE(data0!B82:AG82)</f>
        <v>#DIV/0!</v>
      </c>
      <c r="F124" s="27" t="e">
        <f t="shared" si="120"/>
        <v>#DIV/0!</v>
      </c>
      <c r="G124" s="18">
        <f>MAX(data0!B82:AG82)</f>
        <v>0</v>
      </c>
      <c r="H124" s="27" t="e">
        <f t="shared" si="121"/>
        <v>#DIV/0!</v>
      </c>
      <c r="I124" s="55" t="e">
        <f>STDEV(data0!B82:AG82)</f>
        <v>#DIV/0!</v>
      </c>
      <c r="J124" s="55" t="e">
        <f>AVERAGE(data1!B82:AG82)</f>
        <v>#DIV/0!</v>
      </c>
      <c r="K124" s="55" t="e">
        <f>STDEV(data1!B82:AG82)</f>
        <v>#DIV/0!</v>
      </c>
      <c r="L124" s="56" t="e">
        <f>AVERAGE(data2!B82:AG82)</f>
        <v>#DIV/0!</v>
      </c>
      <c r="M124" s="56" t="e">
        <f>STDEV(data2!B82:AG82)</f>
        <v>#DIV/0!</v>
      </c>
      <c r="N124" s="56" t="e">
        <f>AVERAGE(data3!B82:AG82)</f>
        <v>#DIV/0!</v>
      </c>
      <c r="O124" s="56" t="e">
        <f>STDEV(data3!B82:AG82)</f>
        <v>#DIV/0!</v>
      </c>
      <c r="P124" s="18" t="e">
        <f t="shared" si="122"/>
        <v>#DIV/0!</v>
      </c>
      <c r="Q124" s="18" t="e">
        <f t="shared" si="123"/>
        <v>#DIV/0!</v>
      </c>
      <c r="R124" s="18" t="e">
        <f t="shared" si="124"/>
        <v>#DIV/0!</v>
      </c>
      <c r="S124" s="19">
        <f t="shared" si="126"/>
        <v>81.599999999999994</v>
      </c>
      <c r="T124" s="27" t="e">
        <f t="shared" si="127"/>
        <v>#DIV/0!</v>
      </c>
      <c r="U124" s="27" t="e">
        <f t="shared" si="128"/>
        <v>#DIV/0!</v>
      </c>
      <c r="V124" s="27" t="e">
        <f t="shared" si="129"/>
        <v>#DIV/0!</v>
      </c>
      <c r="W124" s="27" t="e">
        <f t="shared" si="130"/>
        <v>#DIV/0!</v>
      </c>
      <c r="BF124" s="54"/>
      <c r="BG124" s="55"/>
      <c r="BH124" s="55"/>
      <c r="BI124" s="55"/>
      <c r="BJ124" s="55"/>
      <c r="BK124" s="56"/>
      <c r="BL124" s="56"/>
      <c r="BM124" s="56"/>
      <c r="BN124" s="56"/>
    </row>
    <row r="125" spans="3:66">
      <c r="BF125" s="54"/>
      <c r="BG125" s="55"/>
      <c r="BH125" s="55"/>
      <c r="BI125" s="55"/>
      <c r="BJ125" s="55"/>
      <c r="BK125" s="56"/>
      <c r="BL125" s="56"/>
      <c r="BM125" s="56"/>
      <c r="BN125" s="56"/>
    </row>
    <row r="126" spans="3:66">
      <c r="BF126" s="54"/>
      <c r="BG126" s="55"/>
      <c r="BH126" s="55"/>
      <c r="BI126" s="55"/>
      <c r="BJ126" s="55"/>
      <c r="BK126" s="56"/>
      <c r="BL126" s="56"/>
      <c r="BM126" s="56"/>
      <c r="BN126" s="56"/>
    </row>
    <row r="127" spans="3:66">
      <c r="BF127" s="54"/>
      <c r="BG127" s="55"/>
      <c r="BH127" s="55"/>
      <c r="BI127" s="55"/>
      <c r="BJ127" s="55"/>
      <c r="BK127" s="56"/>
      <c r="BL127" s="56"/>
      <c r="BM127" s="56"/>
      <c r="BN127" s="56"/>
    </row>
    <row r="128" spans="3:66">
      <c r="BF128" s="54"/>
      <c r="BG128" s="55"/>
      <c r="BH128" s="55"/>
      <c r="BI128" s="55"/>
      <c r="BJ128" s="55"/>
      <c r="BK128" s="56"/>
      <c r="BL128" s="56"/>
      <c r="BM128" s="56"/>
      <c r="BN128" s="56"/>
    </row>
    <row r="129" spans="58:66">
      <c r="BF129" s="54"/>
      <c r="BG129" s="55"/>
      <c r="BH129" s="55"/>
      <c r="BI129" s="55"/>
      <c r="BJ129" s="55"/>
      <c r="BK129" s="56"/>
      <c r="BL129" s="56"/>
      <c r="BM129" s="56"/>
      <c r="BN129" s="56"/>
    </row>
    <row r="130" spans="58:66">
      <c r="BF130" s="54"/>
      <c r="BG130" s="55"/>
      <c r="BH130" s="55"/>
      <c r="BI130" s="55"/>
      <c r="BJ130" s="55"/>
      <c r="BK130" s="56"/>
      <c r="BL130" s="56"/>
      <c r="BM130" s="56"/>
      <c r="BN130" s="56"/>
    </row>
    <row r="131" spans="58:66">
      <c r="BF131" s="54"/>
      <c r="BG131" s="55"/>
      <c r="BH131" s="55"/>
      <c r="BI131" s="55"/>
      <c r="BJ131" s="55"/>
      <c r="BK131" s="56"/>
      <c r="BL131" s="56"/>
      <c r="BM131" s="56"/>
      <c r="BN131" s="56"/>
    </row>
    <row r="132" spans="58:66">
      <c r="BF132" s="54"/>
      <c r="BG132" s="55"/>
      <c r="BH132" s="55"/>
      <c r="BI132" s="55"/>
      <c r="BJ132" s="55"/>
      <c r="BK132" s="56"/>
      <c r="BL132" s="56"/>
      <c r="BM132" s="56"/>
      <c r="BN132" s="56"/>
    </row>
    <row r="133" spans="58:66">
      <c r="BF133" s="54"/>
      <c r="BG133" s="55"/>
      <c r="BH133" s="55"/>
      <c r="BI133" s="55"/>
      <c r="BJ133" s="55"/>
      <c r="BK133" s="56"/>
      <c r="BL133" s="56"/>
      <c r="BM133" s="56"/>
      <c r="BN133" s="56"/>
    </row>
    <row r="134" spans="58:66">
      <c r="BF134" s="54"/>
      <c r="BG134" s="55"/>
      <c r="BH134" s="55"/>
      <c r="BI134" s="55"/>
      <c r="BJ134" s="55"/>
      <c r="BK134" s="56"/>
      <c r="BL134" s="56"/>
      <c r="BM134" s="56"/>
      <c r="BN134" s="56"/>
    </row>
    <row r="135" spans="58:66">
      <c r="BF135" s="54"/>
      <c r="BG135" s="55"/>
      <c r="BH135" s="55"/>
      <c r="BI135" s="55"/>
      <c r="BJ135" s="55"/>
      <c r="BK135" s="56"/>
      <c r="BL135" s="56"/>
      <c r="BM135" s="56"/>
      <c r="BN135" s="56"/>
    </row>
    <row r="136" spans="58:66">
      <c r="BF136" s="54"/>
      <c r="BG136" s="55"/>
      <c r="BH136" s="55"/>
      <c r="BI136" s="55"/>
      <c r="BJ136" s="55"/>
      <c r="BK136" s="56"/>
      <c r="BL136" s="56"/>
      <c r="BM136" s="56"/>
      <c r="BN136" s="56"/>
    </row>
    <row r="137" spans="58:66">
      <c r="BF137" s="54"/>
      <c r="BG137" s="55"/>
      <c r="BH137" s="55"/>
      <c r="BI137" s="55"/>
      <c r="BJ137" s="55"/>
      <c r="BK137" s="56"/>
      <c r="BL137" s="56"/>
      <c r="BM137" s="56"/>
      <c r="BN137" s="56"/>
    </row>
    <row r="138" spans="58:66">
      <c r="BF138" s="54"/>
      <c r="BG138" s="55"/>
      <c r="BH138" s="55"/>
      <c r="BI138" s="55"/>
      <c r="BJ138" s="55"/>
      <c r="BK138" s="56"/>
      <c r="BL138" s="56"/>
      <c r="BM138" s="56"/>
      <c r="BN138" s="56"/>
    </row>
    <row r="139" spans="58:66">
      <c r="BF139" s="54"/>
      <c r="BG139" s="55"/>
      <c r="BH139" s="55"/>
      <c r="BI139" s="55"/>
      <c r="BJ139" s="55"/>
      <c r="BK139" s="56"/>
      <c r="BL139" s="56"/>
      <c r="BM139" s="56"/>
      <c r="BN139" s="56"/>
    </row>
    <row r="140" spans="58:66">
      <c r="BF140" s="54"/>
      <c r="BG140" s="55"/>
      <c r="BH140" s="55"/>
      <c r="BI140" s="55"/>
      <c r="BJ140" s="55"/>
      <c r="BK140" s="56"/>
      <c r="BL140" s="56"/>
      <c r="BM140" s="56"/>
      <c r="BN140" s="56"/>
    </row>
    <row r="141" spans="58:66">
      <c r="BF141" s="54"/>
      <c r="BG141" s="55"/>
      <c r="BH141" s="55"/>
      <c r="BI141" s="55"/>
      <c r="BJ141" s="55"/>
      <c r="BK141" s="56"/>
      <c r="BL141" s="56"/>
      <c r="BM141" s="56"/>
      <c r="BN141" s="56"/>
    </row>
    <row r="142" spans="58:66">
      <c r="BF142" s="54"/>
      <c r="BG142" s="55"/>
      <c r="BH142" s="55"/>
      <c r="BI142" s="55"/>
      <c r="BJ142" s="55"/>
      <c r="BK142" s="56"/>
      <c r="BL142" s="56"/>
      <c r="BM142" s="56"/>
      <c r="BN142" s="56"/>
    </row>
    <row r="143" spans="58:66">
      <c r="BF143" s="54"/>
      <c r="BG143" s="55"/>
      <c r="BH143" s="55"/>
      <c r="BI143" s="55"/>
      <c r="BJ143" s="55"/>
      <c r="BK143" s="56"/>
      <c r="BL143" s="56"/>
      <c r="BM143" s="56"/>
      <c r="BN143" s="56"/>
    </row>
    <row r="144" spans="58:66">
      <c r="BF144" s="54"/>
      <c r="BG144" s="55"/>
      <c r="BH144" s="55"/>
      <c r="BI144" s="55"/>
      <c r="BJ144" s="55"/>
      <c r="BK144" s="56"/>
      <c r="BL144" s="56"/>
      <c r="BM144" s="56"/>
      <c r="BN144" s="56"/>
    </row>
    <row r="145" spans="58:66">
      <c r="BF145" s="54"/>
      <c r="BG145" s="55"/>
      <c r="BH145" s="55"/>
      <c r="BI145" s="55"/>
      <c r="BJ145" s="55"/>
      <c r="BK145" s="56"/>
      <c r="BL145" s="56"/>
      <c r="BM145" s="56"/>
      <c r="BN145" s="56"/>
    </row>
    <row r="146" spans="58:66">
      <c r="BF146" s="54"/>
      <c r="BG146" s="55"/>
      <c r="BH146" s="55"/>
      <c r="BI146" s="55"/>
      <c r="BJ146" s="55"/>
      <c r="BK146" s="56"/>
      <c r="BL146" s="56"/>
      <c r="BM146" s="56"/>
      <c r="BN146" s="56"/>
    </row>
    <row r="147" spans="58:66">
      <c r="BF147" s="54"/>
      <c r="BG147" s="55"/>
      <c r="BH147" s="55"/>
      <c r="BI147" s="55"/>
      <c r="BJ147" s="55"/>
      <c r="BK147" s="56"/>
      <c r="BL147" s="56"/>
      <c r="BM147" s="56"/>
      <c r="BN147" s="56"/>
    </row>
    <row r="148" spans="58:66">
      <c r="BF148" s="54"/>
      <c r="BG148" s="55"/>
      <c r="BH148" s="55"/>
      <c r="BI148" s="55"/>
      <c r="BJ148" s="55"/>
      <c r="BK148" s="56"/>
      <c r="BL148" s="56"/>
      <c r="BM148" s="56"/>
      <c r="BN148" s="56"/>
    </row>
    <row r="149" spans="58:66">
      <c r="BF149" s="54"/>
      <c r="BG149" s="55"/>
      <c r="BH149" s="55"/>
      <c r="BI149" s="55"/>
      <c r="BJ149" s="55"/>
      <c r="BK149" s="56"/>
      <c r="BL149" s="56"/>
      <c r="BM149" s="56"/>
      <c r="BN149" s="56"/>
    </row>
    <row r="150" spans="58:66">
      <c r="BF150" s="54"/>
      <c r="BG150" s="55"/>
      <c r="BH150" s="55"/>
      <c r="BI150" s="55"/>
      <c r="BJ150" s="55"/>
      <c r="BK150" s="56"/>
      <c r="BL150" s="56"/>
      <c r="BM150" s="56"/>
      <c r="BN150" s="56"/>
    </row>
    <row r="151" spans="58:66">
      <c r="BF151" s="54"/>
      <c r="BG151" s="55"/>
      <c r="BH151" s="55"/>
      <c r="BI151" s="55"/>
      <c r="BJ151" s="55"/>
      <c r="BK151" s="56"/>
      <c r="BL151" s="56"/>
      <c r="BM151" s="56"/>
      <c r="BN151" s="56"/>
    </row>
    <row r="152" spans="58:66">
      <c r="BF152" s="54"/>
      <c r="BG152" s="55"/>
      <c r="BH152" s="55"/>
      <c r="BI152" s="55"/>
      <c r="BJ152" s="55"/>
      <c r="BK152" s="56"/>
      <c r="BL152" s="56"/>
      <c r="BM152" s="56"/>
      <c r="BN152" s="56"/>
    </row>
    <row r="153" spans="58:66">
      <c r="BF153" s="54"/>
      <c r="BG153" s="55"/>
      <c r="BH153" s="55"/>
      <c r="BI153" s="55"/>
      <c r="BJ153" s="55"/>
      <c r="BK153" s="56"/>
      <c r="BL153" s="56"/>
      <c r="BM153" s="56"/>
      <c r="BN153" s="56"/>
    </row>
    <row r="154" spans="58:66">
      <c r="BF154" s="54"/>
      <c r="BG154" s="55"/>
      <c r="BH154" s="55"/>
      <c r="BI154" s="55"/>
      <c r="BJ154" s="55"/>
      <c r="BK154" s="56"/>
      <c r="BL154" s="56"/>
      <c r="BM154" s="56"/>
      <c r="BN154" s="56"/>
    </row>
    <row r="155" spans="58:66">
      <c r="BF155" s="54"/>
      <c r="BG155" s="55"/>
      <c r="BH155" s="55"/>
      <c r="BI155" s="55"/>
      <c r="BJ155" s="55"/>
      <c r="BK155" s="56"/>
      <c r="BL155" s="56"/>
      <c r="BM155" s="56"/>
      <c r="BN155" s="56"/>
    </row>
    <row r="156" spans="58:66">
      <c r="BF156" s="54"/>
      <c r="BG156" s="55"/>
      <c r="BH156" s="55"/>
      <c r="BI156" s="55"/>
      <c r="BJ156" s="55"/>
      <c r="BK156" s="56"/>
      <c r="BL156" s="56"/>
      <c r="BM156" s="56"/>
      <c r="BN156" s="56"/>
    </row>
    <row r="157" spans="58:66">
      <c r="BF157" s="54"/>
      <c r="BG157" s="55"/>
      <c r="BH157" s="55"/>
      <c r="BI157" s="55"/>
      <c r="BJ157" s="55"/>
      <c r="BK157" s="56"/>
      <c r="BL157" s="56"/>
      <c r="BM157" s="56"/>
      <c r="BN157" s="56"/>
    </row>
    <row r="158" spans="58:66">
      <c r="BF158" s="54"/>
      <c r="BG158" s="55"/>
      <c r="BH158" s="55"/>
      <c r="BI158" s="55"/>
      <c r="BJ158" s="55"/>
      <c r="BK158" s="56"/>
      <c r="BL158" s="56"/>
      <c r="BM158" s="56"/>
      <c r="BN158" s="56"/>
    </row>
    <row r="159" spans="58:66">
      <c r="BF159" s="54"/>
      <c r="BG159" s="55"/>
      <c r="BH159" s="55"/>
      <c r="BI159" s="55"/>
      <c r="BJ159" s="55"/>
      <c r="BK159" s="56"/>
      <c r="BL159" s="56"/>
      <c r="BM159" s="56"/>
      <c r="BN159" s="56"/>
    </row>
    <row r="160" spans="58:66">
      <c r="BF160" s="54"/>
      <c r="BG160" s="55"/>
      <c r="BH160" s="55"/>
      <c r="BI160" s="55"/>
      <c r="BJ160" s="55"/>
      <c r="BK160" s="56"/>
      <c r="BL160" s="56"/>
      <c r="BM160" s="56"/>
      <c r="BN160" s="56"/>
    </row>
    <row r="161" spans="42:66">
      <c r="BF161" s="54"/>
      <c r="BG161" s="55"/>
      <c r="BH161" s="55"/>
      <c r="BI161" s="55"/>
      <c r="BJ161" s="55"/>
      <c r="BK161" s="56"/>
      <c r="BL161" s="56"/>
      <c r="BM161" s="56"/>
      <c r="BN161" s="56"/>
    </row>
    <row r="162" spans="42:66">
      <c r="BF162" s="54"/>
      <c r="BG162" s="55"/>
      <c r="BH162" s="55"/>
      <c r="BI162" s="55"/>
      <c r="BJ162" s="55"/>
      <c r="BK162" s="56"/>
      <c r="BL162" s="56"/>
      <c r="BM162" s="56"/>
      <c r="BN162" s="56"/>
    </row>
    <row r="163" spans="42:66">
      <c r="BF163" s="54"/>
      <c r="BG163" s="55"/>
      <c r="BH163" s="55"/>
      <c r="BI163" s="55"/>
      <c r="BJ163" s="55"/>
      <c r="BK163" s="56"/>
      <c r="BL163" s="56"/>
      <c r="BM163" s="56"/>
      <c r="BN163" s="56"/>
    </row>
    <row r="164" spans="42:66">
      <c r="BF164" s="54"/>
      <c r="BG164" s="55"/>
      <c r="BH164" s="55"/>
      <c r="BI164" s="55"/>
      <c r="BJ164" s="55"/>
      <c r="BK164" s="56"/>
      <c r="BL164" s="56"/>
      <c r="BM164" s="56"/>
      <c r="BN164" s="56"/>
    </row>
    <row r="165" spans="42:66">
      <c r="BF165" s="54"/>
      <c r="BG165" s="55"/>
      <c r="BH165" s="55"/>
      <c r="BI165" s="55"/>
      <c r="BJ165" s="55"/>
      <c r="BK165" s="56"/>
      <c r="BL165" s="56"/>
      <c r="BM165" s="56"/>
      <c r="BN165" s="56"/>
    </row>
    <row r="166" spans="42:66">
      <c r="BF166" s="54"/>
      <c r="BG166" s="55"/>
      <c r="BH166" s="55"/>
      <c r="BI166" s="55"/>
      <c r="BJ166" s="55"/>
      <c r="BK166" s="56"/>
      <c r="BL166" s="56"/>
      <c r="BM166" s="56"/>
      <c r="BN166" s="56"/>
    </row>
    <row r="167" spans="42:66">
      <c r="BF167" s="54"/>
      <c r="BG167" s="55"/>
      <c r="BH167" s="55"/>
      <c r="BI167" s="55"/>
      <c r="BJ167" s="55"/>
      <c r="BK167" s="56"/>
      <c r="BL167" s="56"/>
      <c r="BM167" s="56"/>
      <c r="BN167" s="56"/>
    </row>
    <row r="168" spans="42:66">
      <c r="BF168" s="54"/>
      <c r="BG168" s="55"/>
      <c r="BH168" s="55"/>
      <c r="BI168" s="55"/>
      <c r="BJ168" s="55"/>
      <c r="BK168" s="56"/>
      <c r="BL168" s="56"/>
      <c r="BM168" s="56"/>
      <c r="BN168" s="56"/>
    </row>
    <row r="169" spans="42:66">
      <c r="AP169" s="55"/>
      <c r="AQ169" s="55"/>
      <c r="AR169" s="55"/>
      <c r="AS169" s="55"/>
      <c r="BF169" s="54"/>
      <c r="BG169" s="55"/>
      <c r="BH169" s="55"/>
      <c r="BI169" s="55"/>
      <c r="BJ169" s="55"/>
      <c r="BK169" s="56"/>
      <c r="BL169" s="56"/>
      <c r="BM169" s="56"/>
      <c r="BN169" s="56"/>
    </row>
    <row r="170" spans="42:66">
      <c r="AP170" s="55"/>
      <c r="AQ170" s="55"/>
      <c r="AR170" s="55"/>
      <c r="AS170" s="55"/>
      <c r="BF170" s="54"/>
      <c r="BG170" s="55"/>
      <c r="BH170" s="55"/>
      <c r="BI170" s="55"/>
      <c r="BJ170" s="55"/>
      <c r="BK170" s="56"/>
      <c r="BL170" s="56"/>
      <c r="BM170" s="56"/>
      <c r="BN170" s="56"/>
    </row>
    <row r="171" spans="42:66">
      <c r="AP171" s="55"/>
      <c r="AQ171" s="55"/>
      <c r="AR171" s="55"/>
      <c r="AS171" s="55"/>
    </row>
    <row r="172" spans="42:66">
      <c r="AP172" s="55"/>
      <c r="AQ172" s="55"/>
      <c r="AR172" s="55"/>
      <c r="AS172" s="55"/>
    </row>
  </sheetData>
  <sortState ref="I26:I34">
    <sortCondition ref="I25"/>
  </sortState>
  <mergeCells count="26">
    <mergeCell ref="AV1:BC1"/>
    <mergeCell ref="AR43:AT43"/>
    <mergeCell ref="H2:I2"/>
    <mergeCell ref="J2:K2"/>
    <mergeCell ref="L2:M2"/>
    <mergeCell ref="N2:O2"/>
    <mergeCell ref="P2:Q2"/>
    <mergeCell ref="Z42:AH42"/>
    <mergeCell ref="AI42:AP42"/>
    <mergeCell ref="J42:K42"/>
    <mergeCell ref="P42:R42"/>
    <mergeCell ref="L42:M42"/>
    <mergeCell ref="N42:O42"/>
    <mergeCell ref="D42:I42"/>
    <mergeCell ref="S42:W42"/>
    <mergeCell ref="A46:B46"/>
    <mergeCell ref="Z89:AH89"/>
    <mergeCell ref="X1:AE1"/>
    <mergeCell ref="AF1:AM1"/>
    <mergeCell ref="E10:E13"/>
    <mergeCell ref="Z72:AH72"/>
    <mergeCell ref="AI72:AQ72"/>
    <mergeCell ref="AI89:AQ89"/>
    <mergeCell ref="A43:B43"/>
    <mergeCell ref="A44:B44"/>
    <mergeCell ref="AN1:AU1"/>
  </mergeCells>
  <conditionalFormatting sqref="X4:BC4">
    <cfRule type="top10" dxfId="52" priority="85" percent="1" bottom="1" rank="10"/>
    <cfRule type="top10" dxfId="51" priority="86" percent="1" rank="10"/>
  </conditionalFormatting>
  <conditionalFormatting sqref="X5:BC5">
    <cfRule type="top10" dxfId="50" priority="83" percent="1" bottom="1" rank="10"/>
    <cfRule type="top10" dxfId="49" priority="84" percent="1" rank="10"/>
  </conditionalFormatting>
  <conditionalFormatting sqref="X6:BC6">
    <cfRule type="top10" dxfId="48" priority="81" percent="1" bottom="1" rank="10"/>
    <cfRule type="top10" dxfId="47" priority="82" percent="1" rank="10"/>
  </conditionalFormatting>
  <conditionalFormatting sqref="X7:BC13">
    <cfRule type="top10" dxfId="46" priority="79" percent="1" bottom="1" rank="10"/>
    <cfRule type="top10" dxfId="45" priority="80" percent="1" rank="10"/>
  </conditionalFormatting>
  <conditionalFormatting sqref="X24:BC24">
    <cfRule type="top10" dxfId="44" priority="51" percent="1" bottom="1" rank="10"/>
    <cfRule type="top10" dxfId="43" priority="52" percent="1" rank="10"/>
  </conditionalFormatting>
  <conditionalFormatting sqref="X25:BC25">
    <cfRule type="top10" dxfId="42" priority="49" percent="1" bottom="1" rank="10"/>
    <cfRule type="top10" dxfId="41" priority="50" percent="1" rank="10"/>
  </conditionalFormatting>
  <conditionalFormatting sqref="X26:BC26">
    <cfRule type="top10" dxfId="40" priority="47" percent="1" bottom="1" rank="10"/>
    <cfRule type="top10" dxfId="39" priority="48" percent="1" rank="10"/>
  </conditionalFormatting>
  <conditionalFormatting sqref="X27:BC27">
    <cfRule type="top10" dxfId="38" priority="45" percent="1" bottom="1" rank="10"/>
    <cfRule type="top10" dxfId="37" priority="46" percent="1" rank="10"/>
  </conditionalFormatting>
  <conditionalFormatting sqref="X30:BC30">
    <cfRule type="top10" dxfId="36" priority="43" percent="1" bottom="1" rank="10"/>
    <cfRule type="top10" dxfId="35" priority="44" percent="1" rank="10"/>
  </conditionalFormatting>
  <conditionalFormatting sqref="X31:BC31">
    <cfRule type="top10" dxfId="34" priority="41" percent="1" bottom="1" rank="10"/>
    <cfRule type="top10" dxfId="33" priority="42" percent="1" rank="10"/>
  </conditionalFormatting>
  <conditionalFormatting sqref="X32:BC32">
    <cfRule type="top10" dxfId="32" priority="39" percent="1" bottom="1" rank="10"/>
    <cfRule type="top10" dxfId="31" priority="40" percent="1" rank="10"/>
  </conditionalFormatting>
  <conditionalFormatting sqref="X33:BC33">
    <cfRule type="top10" dxfId="30" priority="37" percent="1" bottom="1" rank="10"/>
    <cfRule type="top10" dxfId="29" priority="38" percent="1" rank="10"/>
  </conditionalFormatting>
  <conditionalFormatting sqref="X36:BC36">
    <cfRule type="top10" dxfId="28" priority="35" percent="1" bottom="1" rank="10"/>
    <cfRule type="top10" dxfId="27" priority="36" percent="1" rank="10"/>
  </conditionalFormatting>
  <conditionalFormatting sqref="X37:BC37">
    <cfRule type="top10" dxfId="26" priority="33" percent="1" bottom="1" rank="10"/>
    <cfRule type="top10" dxfId="25" priority="34" percent="1" rank="10"/>
  </conditionalFormatting>
  <conditionalFormatting sqref="X38:BC38">
    <cfRule type="top10" dxfId="24" priority="31" percent="1" bottom="1" rank="10"/>
    <cfRule type="top10" dxfId="23" priority="32" percent="1" rank="10"/>
  </conditionalFormatting>
  <conditionalFormatting sqref="X39:BC39">
    <cfRule type="top10" dxfId="22" priority="29" percent="1" bottom="1" rank="10"/>
    <cfRule type="top10" dxfId="21" priority="30" percent="1" rank="10"/>
  </conditionalFormatting>
  <conditionalFormatting sqref="X6">
    <cfRule type="top10" dxfId="20" priority="27" percent="1" bottom="1" rank="10"/>
    <cfRule type="top10" dxfId="19" priority="28" percent="1" rank="10"/>
  </conditionalFormatting>
  <conditionalFormatting sqref="Y6:BC6">
    <cfRule type="top10" dxfId="18" priority="25" percent="1" bottom="1" rank="10"/>
    <cfRule type="top10" dxfId="17" priority="26" percent="1" rank="10"/>
  </conditionalFormatting>
  <conditionalFormatting sqref="X9:BC9 X13:BC13">
    <cfRule type="top10" dxfId="16" priority="19" percent="1" bottom="1" rank="10"/>
    <cfRule type="top10" dxfId="15" priority="20" percent="1" rank="10"/>
  </conditionalFormatting>
  <conditionalFormatting sqref="X10:BC10">
    <cfRule type="top10" dxfId="14" priority="17" percent="1" bottom="1" rank="10"/>
    <cfRule type="top10" dxfId="13" priority="18" percent="1" rank="10"/>
  </conditionalFormatting>
  <conditionalFormatting sqref="X11:BC11">
    <cfRule type="top10" dxfId="12" priority="15" percent="1" bottom="1" rank="10"/>
    <cfRule type="top10" dxfId="11" priority="16" percent="1" rank="10"/>
  </conditionalFormatting>
  <conditionalFormatting sqref="X18:BC18">
    <cfRule type="top10" dxfId="10" priority="11" percent="1" bottom="1" rank="10"/>
    <cfRule type="top10" dxfId="9" priority="12" percent="1" rank="10"/>
  </conditionalFormatting>
  <conditionalFormatting sqref="X19:BC19">
    <cfRule type="top10" dxfId="8" priority="9" percent="1" bottom="1" rank="10"/>
    <cfRule type="top10" dxfId="7" priority="10" percent="1" rank="10"/>
  </conditionalFormatting>
  <conditionalFormatting sqref="X20:BC20">
    <cfRule type="top10" dxfId="6" priority="7" percent="1" bottom="1" rank="10"/>
    <cfRule type="top10" dxfId="5" priority="8" percent="1" rank="10"/>
  </conditionalFormatting>
  <conditionalFormatting sqref="X21:BC21">
    <cfRule type="top10" dxfId="4" priority="5" percent="1" bottom="1" rank="10"/>
    <cfRule type="top10" dxfId="3" priority="6" percent="1" rank="10"/>
  </conditionalFormatting>
  <conditionalFormatting sqref="C44:C124">
    <cfRule type="expression" dxfId="2" priority="3">
      <formula>AND((G44&lt;0.999),(H44&gt;=0.1))</formula>
    </cfRule>
  </conditionalFormatting>
  <conditionalFormatting sqref="G44:G124">
    <cfRule type="cellIs" dxfId="1" priority="2" operator="greaterThanOrEqual">
      <formula>0.999</formula>
    </cfRule>
  </conditionalFormatting>
  <conditionalFormatting sqref="H44:H124">
    <cfRule type="cellIs" dxfId="0" priority="1" operator="lessThan">
      <formula>0.1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V166"/>
  <sheetViews>
    <sheetView zoomScale="90" zoomScaleNormal="90" workbookViewId="0">
      <pane xSplit="9870" ySplit="7545" activePane="bottomRight"/>
      <selection activeCell="B2" sqref="B2:AG87"/>
      <selection pane="topRight" activeCell="AV25" sqref="AV25"/>
      <selection pane="bottomLeft" activeCell="B89" sqref="B89"/>
      <selection pane="bottomRight" activeCell="B2" sqref="B2:AG87"/>
    </sheetView>
  </sheetViews>
  <sheetFormatPr defaultRowHeight="15"/>
  <cols>
    <col min="1" max="1" width="10.85546875" bestFit="1" customWidth="1"/>
    <col min="2" max="33" width="7.42578125" customWidth="1"/>
    <col min="40" max="40" width="10.5703125" bestFit="1" customWidth="1"/>
  </cols>
  <sheetData>
    <row r="1" spans="1:48">
      <c r="A1" t="s">
        <v>23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  <c r="AH1" s="22" t="s">
        <v>33</v>
      </c>
      <c r="AI1" s="22" t="s">
        <v>34</v>
      </c>
      <c r="AJ1" s="22" t="s">
        <v>35</v>
      </c>
      <c r="AK1" s="1" t="e">
        <f>MIN(AJ2:AJ82)</f>
        <v>#DIV/0!</v>
      </c>
      <c r="AL1">
        <v>2.6484999999999999</v>
      </c>
      <c r="AM1">
        <v>-0.94899999999999995</v>
      </c>
      <c r="AN1" s="22" t="s">
        <v>36</v>
      </c>
    </row>
    <row r="2" spans="1:48">
      <c r="A2" s="2">
        <f>Calculations!B3</f>
        <v>1.6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>
        <f>MAX(B2:AG2)</f>
        <v>0</v>
      </c>
      <c r="AI2" s="16">
        <f>A2</f>
        <v>1.6</v>
      </c>
      <c r="AJ2" s="1" t="e">
        <f>AVERAGE(B2:AG2)</f>
        <v>#DIV/0!</v>
      </c>
      <c r="AK2" s="1" t="e">
        <f>AJ2-AK$1</f>
        <v>#DIV/0!</v>
      </c>
      <c r="AL2" t="e">
        <f>AK$1+AL$1*AI2^AM$1</f>
        <v>#DIV/0!</v>
      </c>
      <c r="AN2" s="22" t="s">
        <v>21</v>
      </c>
      <c r="AP2" s="97" t="e">
        <f>"Characteristic Proximity Curve (Offset = "&amp;INT(AK1*1000)/10&amp;"% removed)"</f>
        <v>#DIV/0!</v>
      </c>
      <c r="AQ2" s="97"/>
      <c r="AR2" s="97"/>
      <c r="AS2" s="97"/>
      <c r="AT2" s="97"/>
      <c r="AU2" s="97"/>
      <c r="AV2" s="97"/>
    </row>
    <row r="3" spans="1:48">
      <c r="A3" s="2">
        <f>A2+Calculations!$B$4</f>
        <v>2.6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>
        <f t="shared" ref="AH3:AH66" si="1">MAX(B3:AG3)</f>
        <v>0</v>
      </c>
      <c r="AI3" s="16">
        <f t="shared" ref="AI3:AI66" si="2">A3</f>
        <v>2.6</v>
      </c>
      <c r="AJ3" s="1" t="e">
        <f t="shared" ref="AJ3:AJ66" si="3">AVERAGE(B3:AG3)</f>
        <v>#DIV/0!</v>
      </c>
      <c r="AK3" s="1" t="e">
        <f t="shared" ref="AK3:AK66" si="4">AJ3-AK$1</f>
        <v>#DIV/0!</v>
      </c>
      <c r="AL3" s="17" t="e">
        <f t="shared" ref="AL3:AL24" si="5">AK$1+AL$1*AI3^AM$1</f>
        <v>#DIV/0!</v>
      </c>
      <c r="AM3" s="27" t="e">
        <f t="shared" ref="AM3:AM5" si="6">AL3-AK$1</f>
        <v>#DIV/0!</v>
      </c>
      <c r="AN3" s="1" t="e">
        <f t="shared" ref="AN3:AN5" si="7">AM3</f>
        <v>#DIV/0!</v>
      </c>
      <c r="AP3" s="110" t="str">
        <f>"Both:" &amp;AI5 &amp; " - " &amp;AI20&amp; "mm"</f>
        <v>Both:4.6 - 19.6mm</v>
      </c>
      <c r="AQ3" s="110"/>
      <c r="AS3" s="111" t="e">
        <f>"Offset Adjust="&amp;INT(Calculations!H10*1000)/10&amp;"%"</f>
        <v>#DIV/0!</v>
      </c>
      <c r="AT3" s="111"/>
      <c r="AU3" s="111"/>
    </row>
    <row r="4" spans="1:48">
      <c r="A4" s="2">
        <f>A3+Calculations!$B$4</f>
        <v>3.6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>
        <f t="shared" si="1"/>
        <v>0</v>
      </c>
      <c r="AI4" s="16">
        <f t="shared" si="2"/>
        <v>3.6</v>
      </c>
      <c r="AJ4" s="1" t="e">
        <f t="shared" si="3"/>
        <v>#DIV/0!</v>
      </c>
      <c r="AK4" s="1" t="e">
        <f t="shared" si="4"/>
        <v>#DIV/0!</v>
      </c>
      <c r="AL4" s="17" t="e">
        <f t="shared" si="5"/>
        <v>#DIV/0!</v>
      </c>
      <c r="AM4" s="27" t="e">
        <f t="shared" si="6"/>
        <v>#DIV/0!</v>
      </c>
      <c r="AN4" s="1" t="e">
        <f t="shared" si="7"/>
        <v>#DIV/0!</v>
      </c>
      <c r="AP4" s="97" t="str">
        <f>"Y="&amp;AL1&amp;"X^"&amp;AM1</f>
        <v>Y=2.6485X^-0.949</v>
      </c>
      <c r="AQ4" s="97"/>
      <c r="AS4" s="112" t="str">
        <f>Summary!I6&amp;Summary!L6*100&amp;"%"</f>
        <v>Glass Xmit @850nm=77%</v>
      </c>
      <c r="AT4" s="112"/>
      <c r="AU4" s="112"/>
    </row>
    <row r="5" spans="1:48">
      <c r="A5" s="2">
        <f>A4+Calculations!$B$4</f>
        <v>4.5999999999999996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>
        <f t="shared" si="1"/>
        <v>0</v>
      </c>
      <c r="AI5" s="28">
        <f t="shared" si="2"/>
        <v>4.5999999999999996</v>
      </c>
      <c r="AJ5" s="1" t="e">
        <f t="shared" si="3"/>
        <v>#DIV/0!</v>
      </c>
      <c r="AK5" s="1" t="e">
        <f t="shared" si="4"/>
        <v>#DIV/0!</v>
      </c>
      <c r="AL5" s="17" t="e">
        <f t="shared" si="5"/>
        <v>#DIV/0!</v>
      </c>
      <c r="AM5" s="27" t="e">
        <f t="shared" si="6"/>
        <v>#DIV/0!</v>
      </c>
      <c r="AN5" s="1" t="e">
        <f t="shared" si="7"/>
        <v>#DIV/0!</v>
      </c>
      <c r="AS5" s="109" t="str">
        <f>Summary!I7&amp;Summary!L7*100&amp;"%"</f>
        <v>Target Reflection=6%</v>
      </c>
      <c r="AT5" s="109"/>
      <c r="AU5" s="109"/>
    </row>
    <row r="6" spans="1:48">
      <c r="A6" s="2">
        <f>A5+Calculations!$B$4</f>
        <v>5.6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>
        <f t="shared" si="1"/>
        <v>0</v>
      </c>
      <c r="AI6" s="28">
        <f t="shared" si="2"/>
        <v>5.6</v>
      </c>
      <c r="AJ6" s="1" t="e">
        <f t="shared" si="3"/>
        <v>#DIV/0!</v>
      </c>
      <c r="AK6" s="1" t="e">
        <f t="shared" si="4"/>
        <v>#DIV/0!</v>
      </c>
      <c r="AL6" s="17" t="e">
        <f t="shared" si="5"/>
        <v>#DIV/0!</v>
      </c>
      <c r="AM6" s="27" t="e">
        <f>AL6-AK$1</f>
        <v>#DIV/0!</v>
      </c>
      <c r="AN6" s="1" t="e">
        <f>AM6</f>
        <v>#DIV/0!</v>
      </c>
    </row>
    <row r="7" spans="1:48">
      <c r="A7" s="2">
        <f>A6+Calculations!$B$4</f>
        <v>6.6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>
        <f t="shared" si="1"/>
        <v>0</v>
      </c>
      <c r="AI7" s="28">
        <f t="shared" si="2"/>
        <v>6.6</v>
      </c>
      <c r="AJ7" s="1" t="e">
        <f t="shared" si="3"/>
        <v>#DIV/0!</v>
      </c>
      <c r="AK7" s="1" t="e">
        <f t="shared" si="4"/>
        <v>#DIV/0!</v>
      </c>
      <c r="AL7" s="17" t="e">
        <f t="shared" si="5"/>
        <v>#DIV/0!</v>
      </c>
      <c r="AM7" s="27" t="e">
        <f t="shared" ref="AM7:AM24" si="8">AL7-AK$1</f>
        <v>#DIV/0!</v>
      </c>
      <c r="AN7" s="1" t="e">
        <f t="shared" ref="AN7:AN11" si="9">AM7</f>
        <v>#DIV/0!</v>
      </c>
      <c r="AO7" s="18"/>
    </row>
    <row r="8" spans="1:48">
      <c r="A8" s="2">
        <f>A7+Calculations!$B$4</f>
        <v>7.6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>
        <f t="shared" si="1"/>
        <v>0</v>
      </c>
      <c r="AI8" s="28">
        <f t="shared" si="2"/>
        <v>7.6</v>
      </c>
      <c r="AJ8" s="1" t="e">
        <f t="shared" si="3"/>
        <v>#DIV/0!</v>
      </c>
      <c r="AK8" s="1" t="e">
        <f t="shared" si="4"/>
        <v>#DIV/0!</v>
      </c>
      <c r="AL8" s="17" t="e">
        <f t="shared" si="5"/>
        <v>#DIV/0!</v>
      </c>
      <c r="AM8" s="27" t="e">
        <f t="shared" si="8"/>
        <v>#DIV/0!</v>
      </c>
      <c r="AN8" s="1" t="e">
        <f t="shared" si="9"/>
        <v>#DIV/0!</v>
      </c>
    </row>
    <row r="9" spans="1:48">
      <c r="A9" s="2">
        <f>A8+Calculations!$B$4</f>
        <v>8.6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>
        <f t="shared" si="1"/>
        <v>0</v>
      </c>
      <c r="AI9" s="28">
        <f t="shared" si="2"/>
        <v>8.6</v>
      </c>
      <c r="AJ9" s="27" t="e">
        <f t="shared" si="3"/>
        <v>#DIV/0!</v>
      </c>
      <c r="AK9" s="29" t="e">
        <f t="shared" si="4"/>
        <v>#DIV/0!</v>
      </c>
      <c r="AL9" s="17" t="e">
        <f t="shared" si="5"/>
        <v>#DIV/0!</v>
      </c>
      <c r="AM9" s="27" t="e">
        <f t="shared" si="8"/>
        <v>#DIV/0!</v>
      </c>
      <c r="AN9" s="1" t="e">
        <f t="shared" si="9"/>
        <v>#DIV/0!</v>
      </c>
    </row>
    <row r="10" spans="1:48">
      <c r="A10" s="2">
        <f>A9+Calculations!$B$4</f>
        <v>9.6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>
        <f t="shared" si="1"/>
        <v>0</v>
      </c>
      <c r="AI10" s="28">
        <f t="shared" si="2"/>
        <v>9.6</v>
      </c>
      <c r="AJ10" s="27" t="e">
        <f t="shared" si="3"/>
        <v>#DIV/0!</v>
      </c>
      <c r="AK10" s="29" t="e">
        <f t="shared" si="4"/>
        <v>#DIV/0!</v>
      </c>
      <c r="AL10" s="17" t="e">
        <f t="shared" si="5"/>
        <v>#DIV/0!</v>
      </c>
      <c r="AM10" s="27" t="e">
        <f t="shared" si="8"/>
        <v>#DIV/0!</v>
      </c>
      <c r="AN10" s="1" t="e">
        <f t="shared" si="9"/>
        <v>#DIV/0!</v>
      </c>
      <c r="AO10" s="18"/>
    </row>
    <row r="11" spans="1:48">
      <c r="A11" s="2">
        <f>A10+Calculations!$B$4</f>
        <v>10.6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>
        <f t="shared" si="1"/>
        <v>0</v>
      </c>
      <c r="AI11" s="28">
        <f t="shared" si="2"/>
        <v>10.6</v>
      </c>
      <c r="AJ11" s="27" t="e">
        <f t="shared" si="3"/>
        <v>#DIV/0!</v>
      </c>
      <c r="AK11" s="29" t="e">
        <f t="shared" si="4"/>
        <v>#DIV/0!</v>
      </c>
      <c r="AL11" s="17" t="e">
        <f t="shared" si="5"/>
        <v>#DIV/0!</v>
      </c>
      <c r="AM11" s="27" t="e">
        <f t="shared" si="8"/>
        <v>#DIV/0!</v>
      </c>
      <c r="AN11" s="1" t="e">
        <f t="shared" si="9"/>
        <v>#DIV/0!</v>
      </c>
    </row>
    <row r="12" spans="1:48">
      <c r="A12" s="2">
        <f>A11+Calculations!$B$4</f>
        <v>11.6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>
        <f t="shared" si="1"/>
        <v>0</v>
      </c>
      <c r="AI12" s="28">
        <f t="shared" si="2"/>
        <v>11.6</v>
      </c>
      <c r="AJ12" s="27" t="e">
        <f t="shared" si="3"/>
        <v>#DIV/0!</v>
      </c>
      <c r="AK12" s="29" t="e">
        <f t="shared" si="4"/>
        <v>#DIV/0!</v>
      </c>
      <c r="AL12" s="17" t="e">
        <f t="shared" si="5"/>
        <v>#DIV/0!</v>
      </c>
      <c r="AM12" s="27" t="e">
        <f t="shared" si="8"/>
        <v>#DIV/0!</v>
      </c>
      <c r="AN12" s="1" t="e">
        <f>AK12</f>
        <v>#DIV/0!</v>
      </c>
    </row>
    <row r="13" spans="1:48">
      <c r="A13" s="2">
        <f>A12+Calculations!$B$4</f>
        <v>12.6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>
        <f t="shared" si="1"/>
        <v>0</v>
      </c>
      <c r="AI13" s="28">
        <f t="shared" si="2"/>
        <v>12.6</v>
      </c>
      <c r="AJ13" s="27" t="e">
        <f t="shared" si="3"/>
        <v>#DIV/0!</v>
      </c>
      <c r="AK13" s="29" t="e">
        <f t="shared" si="4"/>
        <v>#DIV/0!</v>
      </c>
      <c r="AL13" s="17" t="e">
        <f t="shared" si="5"/>
        <v>#DIV/0!</v>
      </c>
      <c r="AM13" s="27" t="e">
        <f t="shared" si="8"/>
        <v>#DIV/0!</v>
      </c>
      <c r="AN13" s="1" t="e">
        <f t="shared" ref="AN13:AN76" si="10">AK13</f>
        <v>#DIV/0!</v>
      </c>
    </row>
    <row r="14" spans="1:48">
      <c r="A14" s="2">
        <f>A13+Calculations!$B$4</f>
        <v>13.6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>
        <f t="shared" si="1"/>
        <v>0</v>
      </c>
      <c r="AI14" s="28">
        <f t="shared" si="2"/>
        <v>13.6</v>
      </c>
      <c r="AJ14" s="27" t="e">
        <f t="shared" si="3"/>
        <v>#DIV/0!</v>
      </c>
      <c r="AK14" s="29" t="e">
        <f t="shared" si="4"/>
        <v>#DIV/0!</v>
      </c>
      <c r="AL14" s="17" t="e">
        <f t="shared" si="5"/>
        <v>#DIV/0!</v>
      </c>
      <c r="AM14" s="27" t="e">
        <f t="shared" si="8"/>
        <v>#DIV/0!</v>
      </c>
      <c r="AN14" s="1" t="e">
        <f t="shared" si="10"/>
        <v>#DIV/0!</v>
      </c>
    </row>
    <row r="15" spans="1:48">
      <c r="A15" s="2">
        <f>A14+Calculations!$B$4</f>
        <v>14.6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>
        <f t="shared" si="1"/>
        <v>0</v>
      </c>
      <c r="AI15" s="28">
        <f t="shared" si="2"/>
        <v>14.6</v>
      </c>
      <c r="AJ15" s="27" t="e">
        <f t="shared" si="3"/>
        <v>#DIV/0!</v>
      </c>
      <c r="AK15" s="29" t="e">
        <f t="shared" si="4"/>
        <v>#DIV/0!</v>
      </c>
      <c r="AL15" s="17" t="e">
        <f t="shared" si="5"/>
        <v>#DIV/0!</v>
      </c>
      <c r="AM15" s="27" t="e">
        <f t="shared" si="8"/>
        <v>#DIV/0!</v>
      </c>
      <c r="AN15" s="1" t="e">
        <f t="shared" si="10"/>
        <v>#DIV/0!</v>
      </c>
    </row>
    <row r="16" spans="1:48">
      <c r="A16" s="2">
        <f>A15+Calculations!$B$4</f>
        <v>15.6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>
        <f t="shared" si="1"/>
        <v>0</v>
      </c>
      <c r="AI16" s="28">
        <f t="shared" si="2"/>
        <v>15.6</v>
      </c>
      <c r="AJ16" s="27" t="e">
        <f t="shared" si="3"/>
        <v>#DIV/0!</v>
      </c>
      <c r="AK16" s="29" t="e">
        <f t="shared" si="4"/>
        <v>#DIV/0!</v>
      </c>
      <c r="AL16" s="17" t="e">
        <f t="shared" si="5"/>
        <v>#DIV/0!</v>
      </c>
      <c r="AM16" s="27" t="e">
        <f t="shared" si="8"/>
        <v>#DIV/0!</v>
      </c>
      <c r="AN16" s="1" t="e">
        <f t="shared" si="10"/>
        <v>#DIV/0!</v>
      </c>
    </row>
    <row r="17" spans="1:40">
      <c r="A17" s="2">
        <f>A16+Calculations!$B$4</f>
        <v>16.600000000000001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>
        <f t="shared" si="1"/>
        <v>0</v>
      </c>
      <c r="AI17" s="28">
        <f t="shared" si="2"/>
        <v>16.600000000000001</v>
      </c>
      <c r="AJ17" s="27" t="e">
        <f t="shared" si="3"/>
        <v>#DIV/0!</v>
      </c>
      <c r="AK17" s="29" t="e">
        <f t="shared" si="4"/>
        <v>#DIV/0!</v>
      </c>
      <c r="AL17" s="17" t="e">
        <f t="shared" si="5"/>
        <v>#DIV/0!</v>
      </c>
      <c r="AM17" s="27" t="e">
        <f t="shared" si="8"/>
        <v>#DIV/0!</v>
      </c>
      <c r="AN17" s="1" t="e">
        <f t="shared" si="10"/>
        <v>#DIV/0!</v>
      </c>
    </row>
    <row r="18" spans="1:40">
      <c r="A18" s="2">
        <f>A17+Calculations!$B$4</f>
        <v>17.600000000000001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>
        <f t="shared" si="1"/>
        <v>0</v>
      </c>
      <c r="AI18" s="28">
        <f t="shared" si="2"/>
        <v>17.600000000000001</v>
      </c>
      <c r="AJ18" s="27" t="e">
        <f t="shared" si="3"/>
        <v>#DIV/0!</v>
      </c>
      <c r="AK18" s="29" t="e">
        <f t="shared" si="4"/>
        <v>#DIV/0!</v>
      </c>
      <c r="AL18" s="17" t="e">
        <f t="shared" si="5"/>
        <v>#DIV/0!</v>
      </c>
      <c r="AM18" s="27" t="e">
        <f t="shared" si="8"/>
        <v>#DIV/0!</v>
      </c>
      <c r="AN18" s="1" t="e">
        <f t="shared" si="10"/>
        <v>#DIV/0!</v>
      </c>
    </row>
    <row r="19" spans="1:40">
      <c r="A19" s="2">
        <f>A18+Calculations!$B$4</f>
        <v>18.600000000000001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>
        <f t="shared" si="1"/>
        <v>0</v>
      </c>
      <c r="AI19" s="28">
        <f t="shared" si="2"/>
        <v>18.600000000000001</v>
      </c>
      <c r="AJ19" s="27" t="e">
        <f t="shared" si="3"/>
        <v>#DIV/0!</v>
      </c>
      <c r="AK19" s="29" t="e">
        <f t="shared" si="4"/>
        <v>#DIV/0!</v>
      </c>
      <c r="AL19" s="17" t="e">
        <f t="shared" si="5"/>
        <v>#DIV/0!</v>
      </c>
      <c r="AM19" s="27" t="e">
        <f t="shared" si="8"/>
        <v>#DIV/0!</v>
      </c>
      <c r="AN19" s="1" t="e">
        <f t="shared" si="10"/>
        <v>#DIV/0!</v>
      </c>
    </row>
    <row r="20" spans="1:40">
      <c r="A20" s="2">
        <f>A19+Calculations!$B$4</f>
        <v>19.600000000000001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>
        <f t="shared" si="1"/>
        <v>0</v>
      </c>
      <c r="AI20" s="28">
        <f t="shared" si="2"/>
        <v>19.600000000000001</v>
      </c>
      <c r="AJ20" s="27" t="e">
        <f t="shared" si="3"/>
        <v>#DIV/0!</v>
      </c>
      <c r="AK20" s="29" t="e">
        <f t="shared" si="4"/>
        <v>#DIV/0!</v>
      </c>
      <c r="AL20" s="17" t="e">
        <f t="shared" si="5"/>
        <v>#DIV/0!</v>
      </c>
      <c r="AM20" s="27" t="e">
        <f t="shared" si="8"/>
        <v>#DIV/0!</v>
      </c>
      <c r="AN20" s="1" t="e">
        <f t="shared" si="10"/>
        <v>#DIV/0!</v>
      </c>
    </row>
    <row r="21" spans="1:40">
      <c r="A21" s="2">
        <f>A20+Calculations!$B$4</f>
        <v>20.6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>
        <f t="shared" si="1"/>
        <v>0</v>
      </c>
      <c r="AI21" s="43">
        <f t="shared" si="2"/>
        <v>20.6</v>
      </c>
      <c r="AJ21" s="27" t="e">
        <f t="shared" si="3"/>
        <v>#DIV/0!</v>
      </c>
      <c r="AK21" s="29" t="e">
        <f t="shared" si="4"/>
        <v>#DIV/0!</v>
      </c>
      <c r="AL21" s="17" t="e">
        <f t="shared" si="5"/>
        <v>#DIV/0!</v>
      </c>
      <c r="AM21" s="27" t="e">
        <f t="shared" si="8"/>
        <v>#DIV/0!</v>
      </c>
      <c r="AN21" s="1" t="e">
        <f t="shared" si="10"/>
        <v>#DIV/0!</v>
      </c>
    </row>
    <row r="22" spans="1:40">
      <c r="A22" s="2">
        <f>A21+Calculations!$B$4</f>
        <v>21.6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>
        <f t="shared" si="1"/>
        <v>0</v>
      </c>
      <c r="AI22" s="43">
        <f t="shared" si="2"/>
        <v>21.6</v>
      </c>
      <c r="AJ22" s="27" t="e">
        <f t="shared" si="3"/>
        <v>#DIV/0!</v>
      </c>
      <c r="AK22" s="29" t="e">
        <f t="shared" si="4"/>
        <v>#DIV/0!</v>
      </c>
      <c r="AL22" s="17" t="e">
        <f t="shared" si="5"/>
        <v>#DIV/0!</v>
      </c>
      <c r="AM22" s="27" t="e">
        <f t="shared" si="8"/>
        <v>#DIV/0!</v>
      </c>
      <c r="AN22" s="1" t="e">
        <f t="shared" si="10"/>
        <v>#DIV/0!</v>
      </c>
    </row>
    <row r="23" spans="1:40">
      <c r="A23" s="2">
        <f>A22+Calculations!$B$4</f>
        <v>22.6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>
        <f t="shared" si="1"/>
        <v>0</v>
      </c>
      <c r="AI23" s="43">
        <f t="shared" si="2"/>
        <v>22.6</v>
      </c>
      <c r="AJ23" s="27" t="e">
        <f t="shared" si="3"/>
        <v>#DIV/0!</v>
      </c>
      <c r="AK23" s="29" t="e">
        <f t="shared" si="4"/>
        <v>#DIV/0!</v>
      </c>
      <c r="AL23" s="17" t="e">
        <f t="shared" si="5"/>
        <v>#DIV/0!</v>
      </c>
      <c r="AM23" s="27" t="e">
        <f t="shared" si="8"/>
        <v>#DIV/0!</v>
      </c>
      <c r="AN23" s="1" t="e">
        <f t="shared" si="10"/>
        <v>#DIV/0!</v>
      </c>
    </row>
    <row r="24" spans="1:40">
      <c r="A24" s="2">
        <f>A23+Calculations!$B$4</f>
        <v>23.6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>
        <f t="shared" si="1"/>
        <v>0</v>
      </c>
      <c r="AI24" s="43">
        <f t="shared" si="2"/>
        <v>23.6</v>
      </c>
      <c r="AJ24" s="27" t="e">
        <f t="shared" si="3"/>
        <v>#DIV/0!</v>
      </c>
      <c r="AK24" s="29" t="e">
        <f t="shared" si="4"/>
        <v>#DIV/0!</v>
      </c>
      <c r="AL24" s="17" t="e">
        <f t="shared" si="5"/>
        <v>#DIV/0!</v>
      </c>
      <c r="AM24" s="27" t="e">
        <f t="shared" si="8"/>
        <v>#DIV/0!</v>
      </c>
      <c r="AN24" s="1" t="e">
        <f t="shared" si="10"/>
        <v>#DIV/0!</v>
      </c>
    </row>
    <row r="25" spans="1:40">
      <c r="A25" s="2">
        <f>A24+Calculations!$B$4</f>
        <v>24.6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>
        <f t="shared" si="1"/>
        <v>0</v>
      </c>
      <c r="AI25" s="43">
        <f t="shared" si="2"/>
        <v>24.6</v>
      </c>
      <c r="AJ25" s="1" t="e">
        <f t="shared" si="3"/>
        <v>#DIV/0!</v>
      </c>
      <c r="AK25" s="27" t="e">
        <f t="shared" si="4"/>
        <v>#DIV/0!</v>
      </c>
      <c r="AL25" s="17" t="e">
        <f t="shared" ref="AL25:AL31" si="11">AK$1+AL$1*AI25^AM$1</f>
        <v>#DIV/0!</v>
      </c>
      <c r="AM25" s="27" t="e">
        <f t="shared" ref="AM25:AM31" si="12">AL25-AK$1</f>
        <v>#DIV/0!</v>
      </c>
      <c r="AN25" s="1" t="e">
        <f t="shared" si="10"/>
        <v>#DIV/0!</v>
      </c>
    </row>
    <row r="26" spans="1:40">
      <c r="A26" s="2">
        <f>A25+Calculations!$B$4</f>
        <v>25.6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>
        <f t="shared" si="1"/>
        <v>0</v>
      </c>
      <c r="AI26" s="43">
        <f t="shared" si="2"/>
        <v>25.6</v>
      </c>
      <c r="AJ26" s="1" t="e">
        <f t="shared" si="3"/>
        <v>#DIV/0!</v>
      </c>
      <c r="AK26" s="27" t="e">
        <f t="shared" si="4"/>
        <v>#DIV/0!</v>
      </c>
      <c r="AL26" s="17" t="e">
        <f t="shared" si="11"/>
        <v>#DIV/0!</v>
      </c>
      <c r="AM26" s="27" t="e">
        <f t="shared" si="12"/>
        <v>#DIV/0!</v>
      </c>
      <c r="AN26" s="1" t="e">
        <f t="shared" si="10"/>
        <v>#DIV/0!</v>
      </c>
    </row>
    <row r="27" spans="1:40">
      <c r="A27" s="2">
        <f>A26+Calculations!$B$4</f>
        <v>26.6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>
        <f t="shared" si="1"/>
        <v>0</v>
      </c>
      <c r="AI27" s="43">
        <f t="shared" si="2"/>
        <v>26.6</v>
      </c>
      <c r="AJ27" s="1" t="e">
        <f t="shared" si="3"/>
        <v>#DIV/0!</v>
      </c>
      <c r="AK27" s="27" t="e">
        <f t="shared" si="4"/>
        <v>#DIV/0!</v>
      </c>
      <c r="AL27" s="17" t="e">
        <f t="shared" si="11"/>
        <v>#DIV/0!</v>
      </c>
      <c r="AM27" s="27" t="e">
        <f t="shared" si="12"/>
        <v>#DIV/0!</v>
      </c>
      <c r="AN27" s="1" t="e">
        <f t="shared" si="10"/>
        <v>#DIV/0!</v>
      </c>
    </row>
    <row r="28" spans="1:40">
      <c r="A28" s="2">
        <f>A27+Calculations!$B$4</f>
        <v>27.6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>
        <f t="shared" si="1"/>
        <v>0</v>
      </c>
      <c r="AI28" s="43">
        <f t="shared" si="2"/>
        <v>27.6</v>
      </c>
      <c r="AJ28" s="1" t="e">
        <f t="shared" si="3"/>
        <v>#DIV/0!</v>
      </c>
      <c r="AK28" s="27" t="e">
        <f t="shared" si="4"/>
        <v>#DIV/0!</v>
      </c>
      <c r="AL28" s="17" t="e">
        <f t="shared" si="11"/>
        <v>#DIV/0!</v>
      </c>
      <c r="AM28" s="27" t="e">
        <f t="shared" si="12"/>
        <v>#DIV/0!</v>
      </c>
      <c r="AN28" s="1" t="e">
        <f t="shared" si="10"/>
        <v>#DIV/0!</v>
      </c>
    </row>
    <row r="29" spans="1:40">
      <c r="A29" s="2">
        <f>A28+Calculations!$B$4</f>
        <v>28.6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>
        <f t="shared" si="1"/>
        <v>0</v>
      </c>
      <c r="AI29" s="43">
        <f t="shared" si="2"/>
        <v>28.6</v>
      </c>
      <c r="AJ29" s="1" t="e">
        <f t="shared" si="3"/>
        <v>#DIV/0!</v>
      </c>
      <c r="AK29" s="27" t="e">
        <f t="shared" si="4"/>
        <v>#DIV/0!</v>
      </c>
      <c r="AL29" s="17" t="e">
        <f t="shared" si="11"/>
        <v>#DIV/0!</v>
      </c>
      <c r="AM29" s="27" t="e">
        <f t="shared" si="12"/>
        <v>#DIV/0!</v>
      </c>
      <c r="AN29" s="1" t="e">
        <f t="shared" si="10"/>
        <v>#DIV/0!</v>
      </c>
    </row>
    <row r="30" spans="1:40">
      <c r="A30" s="2">
        <f>A29+Calculations!$B$4</f>
        <v>29.6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>
        <f t="shared" si="1"/>
        <v>0</v>
      </c>
      <c r="AI30" s="43">
        <f t="shared" si="2"/>
        <v>29.6</v>
      </c>
      <c r="AJ30" s="1" t="e">
        <f t="shared" si="3"/>
        <v>#DIV/0!</v>
      </c>
      <c r="AK30" s="27" t="e">
        <f t="shared" si="4"/>
        <v>#DIV/0!</v>
      </c>
      <c r="AL30" s="17" t="e">
        <f t="shared" si="11"/>
        <v>#DIV/0!</v>
      </c>
      <c r="AM30" s="27" t="e">
        <f t="shared" si="12"/>
        <v>#DIV/0!</v>
      </c>
      <c r="AN30" s="1" t="e">
        <f t="shared" si="10"/>
        <v>#DIV/0!</v>
      </c>
    </row>
    <row r="31" spans="1:40">
      <c r="A31" s="2">
        <f>A30+Calculations!$B$4</f>
        <v>30.6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>
        <f t="shared" si="1"/>
        <v>0</v>
      </c>
      <c r="AI31" s="43">
        <f t="shared" si="2"/>
        <v>30.6</v>
      </c>
      <c r="AJ31" s="1" t="e">
        <f t="shared" si="3"/>
        <v>#DIV/0!</v>
      </c>
      <c r="AK31" s="27" t="e">
        <f t="shared" si="4"/>
        <v>#DIV/0!</v>
      </c>
      <c r="AL31" s="17" t="e">
        <f t="shared" si="11"/>
        <v>#DIV/0!</v>
      </c>
      <c r="AM31" s="27" t="e">
        <f t="shared" si="12"/>
        <v>#DIV/0!</v>
      </c>
      <c r="AN31" s="1" t="e">
        <f t="shared" si="10"/>
        <v>#DIV/0!</v>
      </c>
    </row>
    <row r="32" spans="1:40">
      <c r="A32" s="2">
        <f>A31+Calculations!$B$4</f>
        <v>31.6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>
        <f t="shared" si="1"/>
        <v>0</v>
      </c>
      <c r="AI32" s="16">
        <f t="shared" si="2"/>
        <v>31.6</v>
      </c>
      <c r="AJ32" s="1" t="e">
        <f t="shared" si="3"/>
        <v>#DIV/0!</v>
      </c>
      <c r="AK32" s="27" t="e">
        <f t="shared" si="4"/>
        <v>#DIV/0!</v>
      </c>
      <c r="AN32" s="1" t="e">
        <f t="shared" si="10"/>
        <v>#DIV/0!</v>
      </c>
    </row>
    <row r="33" spans="1:40">
      <c r="A33" s="2">
        <f>A32+Calculations!$B$4</f>
        <v>32.6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>
        <f t="shared" si="1"/>
        <v>0</v>
      </c>
      <c r="AI33" s="16">
        <f t="shared" si="2"/>
        <v>32.6</v>
      </c>
      <c r="AJ33" s="1" t="e">
        <f t="shared" si="3"/>
        <v>#DIV/0!</v>
      </c>
      <c r="AK33" s="27" t="e">
        <f t="shared" si="4"/>
        <v>#DIV/0!</v>
      </c>
      <c r="AN33" s="1" t="e">
        <f t="shared" si="10"/>
        <v>#DIV/0!</v>
      </c>
    </row>
    <row r="34" spans="1:40">
      <c r="A34" s="2">
        <f>A33+Calculations!$B$4</f>
        <v>33.6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>
        <f t="shared" si="1"/>
        <v>0</v>
      </c>
      <c r="AI34" s="16">
        <f t="shared" si="2"/>
        <v>33.6</v>
      </c>
      <c r="AJ34" s="1" t="e">
        <f t="shared" si="3"/>
        <v>#DIV/0!</v>
      </c>
      <c r="AK34" s="27" t="e">
        <f t="shared" si="4"/>
        <v>#DIV/0!</v>
      </c>
      <c r="AN34" s="1" t="e">
        <f t="shared" si="10"/>
        <v>#DIV/0!</v>
      </c>
    </row>
    <row r="35" spans="1:40">
      <c r="A35" s="2">
        <f>A34+Calculations!$B$4</f>
        <v>34.6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>
        <f t="shared" si="1"/>
        <v>0</v>
      </c>
      <c r="AI35" s="16">
        <f t="shared" si="2"/>
        <v>34.6</v>
      </c>
      <c r="AJ35" s="1" t="e">
        <f t="shared" si="3"/>
        <v>#DIV/0!</v>
      </c>
      <c r="AK35" s="27" t="e">
        <f t="shared" si="4"/>
        <v>#DIV/0!</v>
      </c>
      <c r="AN35" s="1" t="e">
        <f t="shared" si="10"/>
        <v>#DIV/0!</v>
      </c>
    </row>
    <row r="36" spans="1:40">
      <c r="A36" s="2">
        <f>A35+Calculations!$B$4</f>
        <v>35.6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>
        <f t="shared" si="1"/>
        <v>0</v>
      </c>
      <c r="AI36" s="16">
        <f t="shared" si="2"/>
        <v>35.6</v>
      </c>
      <c r="AJ36" s="1" t="e">
        <f t="shared" si="3"/>
        <v>#DIV/0!</v>
      </c>
      <c r="AK36" s="27" t="e">
        <f t="shared" si="4"/>
        <v>#DIV/0!</v>
      </c>
      <c r="AN36" s="1" t="e">
        <f t="shared" si="10"/>
        <v>#DIV/0!</v>
      </c>
    </row>
    <row r="37" spans="1:40">
      <c r="A37" s="2">
        <f>A36+Calculations!$B$4</f>
        <v>36.6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>
        <f t="shared" si="1"/>
        <v>0</v>
      </c>
      <c r="AI37" s="16">
        <f t="shared" si="2"/>
        <v>36.6</v>
      </c>
      <c r="AJ37" s="1" t="e">
        <f t="shared" si="3"/>
        <v>#DIV/0!</v>
      </c>
      <c r="AK37" s="27" t="e">
        <f t="shared" si="4"/>
        <v>#DIV/0!</v>
      </c>
      <c r="AN37" s="1" t="e">
        <f t="shared" si="10"/>
        <v>#DIV/0!</v>
      </c>
    </row>
    <row r="38" spans="1:40">
      <c r="A38" s="2">
        <f>A37+Calculations!$B$4</f>
        <v>37.6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>
        <f t="shared" si="1"/>
        <v>0</v>
      </c>
      <c r="AI38" s="16">
        <f t="shared" si="2"/>
        <v>37.6</v>
      </c>
      <c r="AJ38" s="1" t="e">
        <f t="shared" si="3"/>
        <v>#DIV/0!</v>
      </c>
      <c r="AK38" s="27" t="e">
        <f t="shared" si="4"/>
        <v>#DIV/0!</v>
      </c>
      <c r="AN38" s="1" t="e">
        <f t="shared" si="10"/>
        <v>#DIV/0!</v>
      </c>
    </row>
    <row r="39" spans="1:40">
      <c r="A39" s="2">
        <f>A38+Calculations!$B$4</f>
        <v>38.6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>
        <f t="shared" si="1"/>
        <v>0</v>
      </c>
      <c r="AI39" s="16">
        <f t="shared" si="2"/>
        <v>38.6</v>
      </c>
      <c r="AJ39" s="1" t="e">
        <f t="shared" si="3"/>
        <v>#DIV/0!</v>
      </c>
      <c r="AK39" s="27" t="e">
        <f t="shared" si="4"/>
        <v>#DIV/0!</v>
      </c>
      <c r="AN39" s="1" t="e">
        <f t="shared" si="10"/>
        <v>#DIV/0!</v>
      </c>
    </row>
    <row r="40" spans="1:40">
      <c r="A40" s="2">
        <f>A39+Calculations!$B$4</f>
        <v>39.6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>
        <f t="shared" si="1"/>
        <v>0</v>
      </c>
      <c r="AI40" s="16">
        <f t="shared" si="2"/>
        <v>39.6</v>
      </c>
      <c r="AJ40" s="1" t="e">
        <f t="shared" si="3"/>
        <v>#DIV/0!</v>
      </c>
      <c r="AK40" s="27" t="e">
        <f t="shared" si="4"/>
        <v>#DIV/0!</v>
      </c>
      <c r="AN40" s="1" t="e">
        <f t="shared" si="10"/>
        <v>#DIV/0!</v>
      </c>
    </row>
    <row r="41" spans="1:40">
      <c r="A41" s="2">
        <f>A40+Calculations!$B$4</f>
        <v>40.6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>
        <f t="shared" si="1"/>
        <v>0</v>
      </c>
      <c r="AI41" s="16">
        <f t="shared" si="2"/>
        <v>40.6</v>
      </c>
      <c r="AJ41" s="1" t="e">
        <f t="shared" si="3"/>
        <v>#DIV/0!</v>
      </c>
      <c r="AK41" s="27" t="e">
        <f t="shared" si="4"/>
        <v>#DIV/0!</v>
      </c>
      <c r="AN41" s="1" t="e">
        <f t="shared" si="10"/>
        <v>#DIV/0!</v>
      </c>
    </row>
    <row r="42" spans="1:40">
      <c r="A42" s="2">
        <f>A41+Calculations!$B$4</f>
        <v>41.6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>
        <f t="shared" si="1"/>
        <v>0</v>
      </c>
      <c r="AI42" s="16">
        <f t="shared" si="2"/>
        <v>41.6</v>
      </c>
      <c r="AJ42" s="1" t="e">
        <f t="shared" si="3"/>
        <v>#DIV/0!</v>
      </c>
      <c r="AK42" s="27" t="e">
        <f t="shared" si="4"/>
        <v>#DIV/0!</v>
      </c>
      <c r="AN42" s="1" t="e">
        <f t="shared" si="10"/>
        <v>#DIV/0!</v>
      </c>
    </row>
    <row r="43" spans="1:40">
      <c r="A43" s="2">
        <f>A42+Calculations!$B$4</f>
        <v>42.6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>
        <f t="shared" si="1"/>
        <v>0</v>
      </c>
      <c r="AI43" s="16">
        <f t="shared" si="2"/>
        <v>42.6</v>
      </c>
      <c r="AJ43" s="1" t="e">
        <f t="shared" si="3"/>
        <v>#DIV/0!</v>
      </c>
      <c r="AK43" s="27" t="e">
        <f t="shared" si="4"/>
        <v>#DIV/0!</v>
      </c>
      <c r="AN43" s="1" t="e">
        <f t="shared" si="10"/>
        <v>#DIV/0!</v>
      </c>
    </row>
    <row r="44" spans="1:40">
      <c r="A44" s="2">
        <f>A43+Calculations!$B$4</f>
        <v>43.6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>
        <f t="shared" si="1"/>
        <v>0</v>
      </c>
      <c r="AI44" s="16">
        <f t="shared" si="2"/>
        <v>43.6</v>
      </c>
      <c r="AJ44" s="1" t="e">
        <f t="shared" si="3"/>
        <v>#DIV/0!</v>
      </c>
      <c r="AK44" s="27" t="e">
        <f t="shared" si="4"/>
        <v>#DIV/0!</v>
      </c>
      <c r="AN44" s="1" t="e">
        <f t="shared" si="10"/>
        <v>#DIV/0!</v>
      </c>
    </row>
    <row r="45" spans="1:40">
      <c r="A45" s="2">
        <f>A44+Calculations!$B$4</f>
        <v>44.6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>
        <f t="shared" si="1"/>
        <v>0</v>
      </c>
      <c r="AI45" s="16">
        <f t="shared" si="2"/>
        <v>44.6</v>
      </c>
      <c r="AJ45" s="1" t="e">
        <f t="shared" si="3"/>
        <v>#DIV/0!</v>
      </c>
      <c r="AK45" s="27" t="e">
        <f t="shared" si="4"/>
        <v>#DIV/0!</v>
      </c>
      <c r="AN45" s="1" t="e">
        <f t="shared" si="10"/>
        <v>#DIV/0!</v>
      </c>
    </row>
    <row r="46" spans="1:40">
      <c r="A46" s="2">
        <f>A45+Calculations!$B$4</f>
        <v>45.6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>
        <f t="shared" si="1"/>
        <v>0</v>
      </c>
      <c r="AI46" s="16">
        <f t="shared" si="2"/>
        <v>45.6</v>
      </c>
      <c r="AJ46" s="1" t="e">
        <f t="shared" si="3"/>
        <v>#DIV/0!</v>
      </c>
      <c r="AK46" s="27" t="e">
        <f t="shared" si="4"/>
        <v>#DIV/0!</v>
      </c>
      <c r="AN46" s="1" t="e">
        <f t="shared" si="10"/>
        <v>#DIV/0!</v>
      </c>
    </row>
    <row r="47" spans="1:40">
      <c r="A47" s="2">
        <f>A46+Calculations!$B$4</f>
        <v>46.6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>
        <f t="shared" si="1"/>
        <v>0</v>
      </c>
      <c r="AI47" s="16">
        <f t="shared" si="2"/>
        <v>46.6</v>
      </c>
      <c r="AJ47" s="1" t="e">
        <f t="shared" si="3"/>
        <v>#DIV/0!</v>
      </c>
      <c r="AK47" s="27" t="e">
        <f t="shared" si="4"/>
        <v>#DIV/0!</v>
      </c>
      <c r="AN47" s="1" t="e">
        <f t="shared" si="10"/>
        <v>#DIV/0!</v>
      </c>
    </row>
    <row r="48" spans="1:40">
      <c r="A48" s="2">
        <f>A47+Calculations!$B$4</f>
        <v>47.6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>
        <f t="shared" si="1"/>
        <v>0</v>
      </c>
      <c r="AI48" s="16">
        <f t="shared" si="2"/>
        <v>47.6</v>
      </c>
      <c r="AJ48" s="1" t="e">
        <f t="shared" si="3"/>
        <v>#DIV/0!</v>
      </c>
      <c r="AK48" s="27" t="e">
        <f t="shared" si="4"/>
        <v>#DIV/0!</v>
      </c>
      <c r="AN48" s="1" t="e">
        <f t="shared" si="10"/>
        <v>#DIV/0!</v>
      </c>
    </row>
    <row r="49" spans="1:40">
      <c r="A49" s="2">
        <f>A48+Calculations!$B$4</f>
        <v>48.6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>
        <f t="shared" si="1"/>
        <v>0</v>
      </c>
      <c r="AI49" s="16">
        <f t="shared" si="2"/>
        <v>48.6</v>
      </c>
      <c r="AJ49" s="1" t="e">
        <f t="shared" si="3"/>
        <v>#DIV/0!</v>
      </c>
      <c r="AK49" s="27" t="e">
        <f t="shared" si="4"/>
        <v>#DIV/0!</v>
      </c>
      <c r="AN49" s="1" t="e">
        <f t="shared" si="10"/>
        <v>#DIV/0!</v>
      </c>
    </row>
    <row r="50" spans="1:40">
      <c r="A50" s="2">
        <f>A49+Calculations!$B$4</f>
        <v>49.6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>
        <f t="shared" si="1"/>
        <v>0</v>
      </c>
      <c r="AI50" s="16">
        <f t="shared" si="2"/>
        <v>49.6</v>
      </c>
      <c r="AJ50" s="1" t="e">
        <f t="shared" si="3"/>
        <v>#DIV/0!</v>
      </c>
      <c r="AK50" s="27" t="e">
        <f t="shared" si="4"/>
        <v>#DIV/0!</v>
      </c>
      <c r="AN50" s="1" t="e">
        <f t="shared" si="10"/>
        <v>#DIV/0!</v>
      </c>
    </row>
    <row r="51" spans="1:40">
      <c r="A51" s="2">
        <f>A50+Calculations!$B$4</f>
        <v>50.6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>
        <f t="shared" si="1"/>
        <v>0</v>
      </c>
      <c r="AI51" s="16">
        <f t="shared" si="2"/>
        <v>50.6</v>
      </c>
      <c r="AJ51" s="1" t="e">
        <f t="shared" si="3"/>
        <v>#DIV/0!</v>
      </c>
      <c r="AK51" s="27" t="e">
        <f t="shared" si="4"/>
        <v>#DIV/0!</v>
      </c>
      <c r="AN51" s="1" t="e">
        <f t="shared" si="10"/>
        <v>#DIV/0!</v>
      </c>
    </row>
    <row r="52" spans="1:40">
      <c r="A52" s="2">
        <f>A51+Calculations!$B$4</f>
        <v>51.6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>
        <f t="shared" si="1"/>
        <v>0</v>
      </c>
      <c r="AI52" s="16">
        <f t="shared" si="2"/>
        <v>51.6</v>
      </c>
      <c r="AJ52" s="1" t="e">
        <f t="shared" si="3"/>
        <v>#DIV/0!</v>
      </c>
      <c r="AK52" s="27" t="e">
        <f t="shared" si="4"/>
        <v>#DIV/0!</v>
      </c>
      <c r="AN52" s="1" t="e">
        <f t="shared" si="10"/>
        <v>#DIV/0!</v>
      </c>
    </row>
    <row r="53" spans="1:40">
      <c r="A53" s="2">
        <f>A52+Calculations!$B$4</f>
        <v>52.6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>
        <f t="shared" si="1"/>
        <v>0</v>
      </c>
      <c r="AI53" s="16">
        <f t="shared" si="2"/>
        <v>52.6</v>
      </c>
      <c r="AJ53" s="1" t="e">
        <f t="shared" si="3"/>
        <v>#DIV/0!</v>
      </c>
      <c r="AK53" s="27" t="e">
        <f t="shared" si="4"/>
        <v>#DIV/0!</v>
      </c>
      <c r="AN53" s="1" t="e">
        <f t="shared" si="10"/>
        <v>#DIV/0!</v>
      </c>
    </row>
    <row r="54" spans="1:40">
      <c r="A54" s="2">
        <f>A53+Calculations!$B$4</f>
        <v>53.6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>
        <f t="shared" si="1"/>
        <v>0</v>
      </c>
      <c r="AI54" s="16">
        <f t="shared" si="2"/>
        <v>53.6</v>
      </c>
      <c r="AJ54" s="1" t="e">
        <f t="shared" si="3"/>
        <v>#DIV/0!</v>
      </c>
      <c r="AK54" s="27" t="e">
        <f t="shared" si="4"/>
        <v>#DIV/0!</v>
      </c>
      <c r="AN54" s="1" t="e">
        <f t="shared" si="10"/>
        <v>#DIV/0!</v>
      </c>
    </row>
    <row r="55" spans="1:40">
      <c r="A55" s="2">
        <f>A54+Calculations!$B$4</f>
        <v>54.6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>
        <f t="shared" si="1"/>
        <v>0</v>
      </c>
      <c r="AI55" s="16">
        <f t="shared" si="2"/>
        <v>54.6</v>
      </c>
      <c r="AJ55" s="1" t="e">
        <f t="shared" si="3"/>
        <v>#DIV/0!</v>
      </c>
      <c r="AK55" s="27" t="e">
        <f t="shared" si="4"/>
        <v>#DIV/0!</v>
      </c>
      <c r="AN55" s="1" t="e">
        <f t="shared" si="10"/>
        <v>#DIV/0!</v>
      </c>
    </row>
    <row r="56" spans="1:40">
      <c r="A56" s="2">
        <f>A55+Calculations!$B$4</f>
        <v>55.6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>
        <f t="shared" si="1"/>
        <v>0</v>
      </c>
      <c r="AI56" s="16">
        <f t="shared" si="2"/>
        <v>55.6</v>
      </c>
      <c r="AJ56" s="1" t="e">
        <f t="shared" si="3"/>
        <v>#DIV/0!</v>
      </c>
      <c r="AK56" s="27" t="e">
        <f t="shared" si="4"/>
        <v>#DIV/0!</v>
      </c>
      <c r="AN56" s="1" t="e">
        <f t="shared" si="10"/>
        <v>#DIV/0!</v>
      </c>
    </row>
    <row r="57" spans="1:40">
      <c r="A57" s="2">
        <f>A56+Calculations!$B$4</f>
        <v>56.6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>
        <f t="shared" si="1"/>
        <v>0</v>
      </c>
      <c r="AI57" s="16">
        <f t="shared" si="2"/>
        <v>56.6</v>
      </c>
      <c r="AJ57" s="1" t="e">
        <f t="shared" si="3"/>
        <v>#DIV/0!</v>
      </c>
      <c r="AK57" s="27" t="e">
        <f t="shared" si="4"/>
        <v>#DIV/0!</v>
      </c>
      <c r="AN57" s="1" t="e">
        <f t="shared" si="10"/>
        <v>#DIV/0!</v>
      </c>
    </row>
    <row r="58" spans="1:40">
      <c r="A58" s="2">
        <f>A57+Calculations!$B$4</f>
        <v>57.6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>
        <f t="shared" si="1"/>
        <v>0</v>
      </c>
      <c r="AI58" s="16">
        <f t="shared" si="2"/>
        <v>57.6</v>
      </c>
      <c r="AJ58" s="1" t="e">
        <f t="shared" si="3"/>
        <v>#DIV/0!</v>
      </c>
      <c r="AK58" s="27" t="e">
        <f t="shared" si="4"/>
        <v>#DIV/0!</v>
      </c>
      <c r="AN58" s="1" t="e">
        <f t="shared" si="10"/>
        <v>#DIV/0!</v>
      </c>
    </row>
    <row r="59" spans="1:40">
      <c r="A59" s="2">
        <f>A58+Calculations!$B$4</f>
        <v>58.6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>
        <f t="shared" si="1"/>
        <v>0</v>
      </c>
      <c r="AI59" s="16">
        <f t="shared" si="2"/>
        <v>58.6</v>
      </c>
      <c r="AJ59" s="1" t="e">
        <f t="shared" si="3"/>
        <v>#DIV/0!</v>
      </c>
      <c r="AK59" s="27" t="e">
        <f t="shared" si="4"/>
        <v>#DIV/0!</v>
      </c>
      <c r="AN59" s="1" t="e">
        <f t="shared" si="10"/>
        <v>#DIV/0!</v>
      </c>
    </row>
    <row r="60" spans="1:40">
      <c r="A60" s="2">
        <f>A59+Calculations!$B$4</f>
        <v>59.6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>
        <f t="shared" si="1"/>
        <v>0</v>
      </c>
      <c r="AI60" s="16">
        <f t="shared" si="2"/>
        <v>59.6</v>
      </c>
      <c r="AJ60" s="1" t="e">
        <f t="shared" si="3"/>
        <v>#DIV/0!</v>
      </c>
      <c r="AK60" s="27" t="e">
        <f t="shared" si="4"/>
        <v>#DIV/0!</v>
      </c>
      <c r="AN60" s="1" t="e">
        <f t="shared" si="10"/>
        <v>#DIV/0!</v>
      </c>
    </row>
    <row r="61" spans="1:40">
      <c r="A61" s="2">
        <f>A60+Calculations!$B$4</f>
        <v>60.6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>
        <f t="shared" si="1"/>
        <v>0</v>
      </c>
      <c r="AI61" s="16">
        <f t="shared" si="2"/>
        <v>60.6</v>
      </c>
      <c r="AJ61" s="1" t="e">
        <f t="shared" si="3"/>
        <v>#DIV/0!</v>
      </c>
      <c r="AK61" s="27" t="e">
        <f t="shared" si="4"/>
        <v>#DIV/0!</v>
      </c>
      <c r="AN61" s="1" t="e">
        <f t="shared" si="10"/>
        <v>#DIV/0!</v>
      </c>
    </row>
    <row r="62" spans="1:40">
      <c r="A62" s="2">
        <f>A61+Calculations!$B$4</f>
        <v>61.6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>
        <f t="shared" si="1"/>
        <v>0</v>
      </c>
      <c r="AI62" s="16">
        <f t="shared" si="2"/>
        <v>61.6</v>
      </c>
      <c r="AJ62" s="1" t="e">
        <f t="shared" si="3"/>
        <v>#DIV/0!</v>
      </c>
      <c r="AK62" s="27" t="e">
        <f t="shared" si="4"/>
        <v>#DIV/0!</v>
      </c>
      <c r="AN62" s="1" t="e">
        <f t="shared" si="10"/>
        <v>#DIV/0!</v>
      </c>
    </row>
    <row r="63" spans="1:40">
      <c r="A63" s="2">
        <f>A62+Calculations!$B$4</f>
        <v>62.6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>
        <f t="shared" si="1"/>
        <v>0</v>
      </c>
      <c r="AI63" s="16">
        <f t="shared" si="2"/>
        <v>62.6</v>
      </c>
      <c r="AJ63" s="1" t="e">
        <f t="shared" si="3"/>
        <v>#DIV/0!</v>
      </c>
      <c r="AK63" s="27" t="e">
        <f t="shared" si="4"/>
        <v>#DIV/0!</v>
      </c>
      <c r="AN63" s="1" t="e">
        <f t="shared" si="10"/>
        <v>#DIV/0!</v>
      </c>
    </row>
    <row r="64" spans="1:40">
      <c r="A64" s="2">
        <f>A63+Calculations!$B$4</f>
        <v>63.6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>
        <f t="shared" si="1"/>
        <v>0</v>
      </c>
      <c r="AI64" s="16">
        <f t="shared" si="2"/>
        <v>63.6</v>
      </c>
      <c r="AJ64" s="1" t="e">
        <f t="shared" si="3"/>
        <v>#DIV/0!</v>
      </c>
      <c r="AK64" s="27" t="e">
        <f t="shared" si="4"/>
        <v>#DIV/0!</v>
      </c>
      <c r="AN64" s="1" t="e">
        <f t="shared" si="10"/>
        <v>#DIV/0!</v>
      </c>
    </row>
    <row r="65" spans="1:40">
      <c r="A65" s="2">
        <f>A64+Calculations!$B$4</f>
        <v>64.599999999999994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>
        <f t="shared" si="1"/>
        <v>0</v>
      </c>
      <c r="AI65" s="16">
        <f t="shared" si="2"/>
        <v>64.599999999999994</v>
      </c>
      <c r="AJ65" s="1" t="e">
        <f t="shared" si="3"/>
        <v>#DIV/0!</v>
      </c>
      <c r="AK65" s="27" t="e">
        <f t="shared" si="4"/>
        <v>#DIV/0!</v>
      </c>
      <c r="AN65" s="1" t="e">
        <f t="shared" si="10"/>
        <v>#DIV/0!</v>
      </c>
    </row>
    <row r="66" spans="1:40">
      <c r="A66" s="2">
        <f>A65+Calculations!$B$4</f>
        <v>65.599999999999994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>
        <f t="shared" si="1"/>
        <v>0</v>
      </c>
      <c r="AI66" s="16">
        <f t="shared" si="2"/>
        <v>65.599999999999994</v>
      </c>
      <c r="AJ66" s="1" t="e">
        <f t="shared" si="3"/>
        <v>#DIV/0!</v>
      </c>
      <c r="AK66" s="27" t="e">
        <f t="shared" si="4"/>
        <v>#DIV/0!</v>
      </c>
      <c r="AN66" s="1" t="e">
        <f t="shared" si="10"/>
        <v>#DIV/0!</v>
      </c>
    </row>
    <row r="67" spans="1:40">
      <c r="A67" s="2">
        <f>A66+Calculations!$B$4</f>
        <v>66.599999999999994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>
        <f t="shared" ref="AH67:AH82" si="13">MAX(B67:AG67)</f>
        <v>0</v>
      </c>
      <c r="AI67" s="16">
        <f t="shared" ref="AI67:AI82" si="14">A67</f>
        <v>66.599999999999994</v>
      </c>
      <c r="AJ67" s="1" t="e">
        <f t="shared" ref="AJ67:AJ82" si="15">AVERAGE(B67:AG67)</f>
        <v>#DIV/0!</v>
      </c>
      <c r="AK67" s="27" t="e">
        <f t="shared" ref="AK67:AK82" si="16">AJ67-AK$1</f>
        <v>#DIV/0!</v>
      </c>
      <c r="AN67" s="1" t="e">
        <f t="shared" si="10"/>
        <v>#DIV/0!</v>
      </c>
    </row>
    <row r="68" spans="1:40">
      <c r="A68" s="2">
        <f>A67+Calculations!$B$4</f>
        <v>67.599999999999994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>
        <f t="shared" si="13"/>
        <v>0</v>
      </c>
      <c r="AI68" s="16">
        <f t="shared" si="14"/>
        <v>67.599999999999994</v>
      </c>
      <c r="AJ68" s="1" t="e">
        <f t="shared" si="15"/>
        <v>#DIV/0!</v>
      </c>
      <c r="AK68" s="27" t="e">
        <f t="shared" si="16"/>
        <v>#DIV/0!</v>
      </c>
      <c r="AN68" s="1" t="e">
        <f t="shared" si="10"/>
        <v>#DIV/0!</v>
      </c>
    </row>
    <row r="69" spans="1:40">
      <c r="A69" s="2">
        <f>A68+Calculations!$B$4</f>
        <v>68.599999999999994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>
        <f t="shared" si="13"/>
        <v>0</v>
      </c>
      <c r="AI69" s="16">
        <f t="shared" si="14"/>
        <v>68.599999999999994</v>
      </c>
      <c r="AJ69" s="1" t="e">
        <f t="shared" si="15"/>
        <v>#DIV/0!</v>
      </c>
      <c r="AK69" s="27" t="e">
        <f t="shared" si="16"/>
        <v>#DIV/0!</v>
      </c>
      <c r="AN69" s="1" t="e">
        <f t="shared" si="10"/>
        <v>#DIV/0!</v>
      </c>
    </row>
    <row r="70" spans="1:40">
      <c r="A70" s="2">
        <f>A69+Calculations!$B$4</f>
        <v>69.599999999999994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>
        <f t="shared" si="13"/>
        <v>0</v>
      </c>
      <c r="AI70" s="16">
        <f t="shared" si="14"/>
        <v>69.599999999999994</v>
      </c>
      <c r="AJ70" s="1" t="e">
        <f t="shared" si="15"/>
        <v>#DIV/0!</v>
      </c>
      <c r="AK70" s="27" t="e">
        <f t="shared" si="16"/>
        <v>#DIV/0!</v>
      </c>
      <c r="AN70" s="1" t="e">
        <f t="shared" si="10"/>
        <v>#DIV/0!</v>
      </c>
    </row>
    <row r="71" spans="1:40">
      <c r="A71" s="2">
        <f>A70+Calculations!$B$4</f>
        <v>70.599999999999994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>
        <f t="shared" si="13"/>
        <v>0</v>
      </c>
      <c r="AI71" s="16">
        <f t="shared" si="14"/>
        <v>70.599999999999994</v>
      </c>
      <c r="AJ71" s="1" t="e">
        <f t="shared" si="15"/>
        <v>#DIV/0!</v>
      </c>
      <c r="AK71" s="27" t="e">
        <f t="shared" si="16"/>
        <v>#DIV/0!</v>
      </c>
      <c r="AN71" s="1" t="e">
        <f t="shared" si="10"/>
        <v>#DIV/0!</v>
      </c>
    </row>
    <row r="72" spans="1:40">
      <c r="A72" s="2">
        <f>A71+Calculations!$B$4</f>
        <v>71.599999999999994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>
        <f t="shared" si="13"/>
        <v>0</v>
      </c>
      <c r="AI72" s="16">
        <f t="shared" si="14"/>
        <v>71.599999999999994</v>
      </c>
      <c r="AJ72" s="1" t="e">
        <f t="shared" si="15"/>
        <v>#DIV/0!</v>
      </c>
      <c r="AK72" s="27" t="e">
        <f t="shared" si="16"/>
        <v>#DIV/0!</v>
      </c>
      <c r="AN72" s="1" t="e">
        <f t="shared" si="10"/>
        <v>#DIV/0!</v>
      </c>
    </row>
    <row r="73" spans="1:40">
      <c r="A73" s="2">
        <f>A72+Calculations!$B$4</f>
        <v>72.599999999999994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>
        <f t="shared" si="13"/>
        <v>0</v>
      </c>
      <c r="AI73" s="16">
        <f t="shared" si="14"/>
        <v>72.599999999999994</v>
      </c>
      <c r="AJ73" s="1" t="e">
        <f t="shared" si="15"/>
        <v>#DIV/0!</v>
      </c>
      <c r="AK73" s="27" t="e">
        <f t="shared" si="16"/>
        <v>#DIV/0!</v>
      </c>
      <c r="AN73" s="1" t="e">
        <f t="shared" si="10"/>
        <v>#DIV/0!</v>
      </c>
    </row>
    <row r="74" spans="1:40">
      <c r="A74" s="2">
        <f>A73+Calculations!$B$4</f>
        <v>73.599999999999994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>
        <f t="shared" si="13"/>
        <v>0</v>
      </c>
      <c r="AI74" s="16">
        <f t="shared" si="14"/>
        <v>73.599999999999994</v>
      </c>
      <c r="AJ74" s="1" t="e">
        <f t="shared" si="15"/>
        <v>#DIV/0!</v>
      </c>
      <c r="AK74" s="27" t="e">
        <f t="shared" si="16"/>
        <v>#DIV/0!</v>
      </c>
      <c r="AN74" s="1" t="e">
        <f t="shared" si="10"/>
        <v>#DIV/0!</v>
      </c>
    </row>
    <row r="75" spans="1:40">
      <c r="A75" s="2">
        <f>A74+Calculations!$B$4</f>
        <v>74.599999999999994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>
        <f t="shared" si="13"/>
        <v>0</v>
      </c>
      <c r="AI75" s="16">
        <f t="shared" si="14"/>
        <v>74.599999999999994</v>
      </c>
      <c r="AJ75" s="1" t="e">
        <f t="shared" si="15"/>
        <v>#DIV/0!</v>
      </c>
      <c r="AK75" s="27" t="e">
        <f t="shared" si="16"/>
        <v>#DIV/0!</v>
      </c>
      <c r="AN75" s="1" t="e">
        <f t="shared" si="10"/>
        <v>#DIV/0!</v>
      </c>
    </row>
    <row r="76" spans="1:40">
      <c r="A76" s="2">
        <f>A75+Calculations!$B$4</f>
        <v>75.599999999999994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>
        <f t="shared" si="13"/>
        <v>0</v>
      </c>
      <c r="AI76" s="16">
        <f t="shared" si="14"/>
        <v>75.599999999999994</v>
      </c>
      <c r="AJ76" s="1" t="e">
        <f t="shared" si="15"/>
        <v>#DIV/0!</v>
      </c>
      <c r="AK76" s="27" t="e">
        <f t="shared" si="16"/>
        <v>#DIV/0!</v>
      </c>
      <c r="AN76" s="1" t="e">
        <f t="shared" si="10"/>
        <v>#DIV/0!</v>
      </c>
    </row>
    <row r="77" spans="1:40">
      <c r="A77" s="2">
        <f>A76+Calculations!$B$4</f>
        <v>76.599999999999994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>
        <f t="shared" si="13"/>
        <v>0</v>
      </c>
      <c r="AI77" s="16">
        <f t="shared" si="14"/>
        <v>76.599999999999994</v>
      </c>
      <c r="AJ77" s="1" t="e">
        <f t="shared" si="15"/>
        <v>#DIV/0!</v>
      </c>
      <c r="AK77" s="27" t="e">
        <f t="shared" si="16"/>
        <v>#DIV/0!</v>
      </c>
      <c r="AN77" s="1" t="e">
        <f t="shared" ref="AN77:AN82" si="17">AK77</f>
        <v>#DIV/0!</v>
      </c>
    </row>
    <row r="78" spans="1:40">
      <c r="A78" s="2">
        <f>A77+Calculations!$B$4</f>
        <v>77.599999999999994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>
        <f t="shared" si="13"/>
        <v>0</v>
      </c>
      <c r="AI78" s="16">
        <f t="shared" si="14"/>
        <v>77.599999999999994</v>
      </c>
      <c r="AJ78" s="1" t="e">
        <f t="shared" si="15"/>
        <v>#DIV/0!</v>
      </c>
      <c r="AK78" s="27" t="e">
        <f t="shared" si="16"/>
        <v>#DIV/0!</v>
      </c>
      <c r="AN78" s="1" t="e">
        <f t="shared" si="17"/>
        <v>#DIV/0!</v>
      </c>
    </row>
    <row r="79" spans="1:40">
      <c r="A79" s="2">
        <f>A78+Calculations!$B$4</f>
        <v>78.599999999999994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>
        <f t="shared" si="13"/>
        <v>0</v>
      </c>
      <c r="AI79" s="16">
        <f t="shared" si="14"/>
        <v>78.599999999999994</v>
      </c>
      <c r="AJ79" s="1" t="e">
        <f t="shared" si="15"/>
        <v>#DIV/0!</v>
      </c>
      <c r="AK79" s="27" t="e">
        <f t="shared" si="16"/>
        <v>#DIV/0!</v>
      </c>
      <c r="AN79" s="1" t="e">
        <f t="shared" si="17"/>
        <v>#DIV/0!</v>
      </c>
    </row>
    <row r="80" spans="1:40">
      <c r="A80" s="2">
        <f>A79+Calculations!$B$4</f>
        <v>79.599999999999994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>
        <f t="shared" si="13"/>
        <v>0</v>
      </c>
      <c r="AI80" s="16">
        <f t="shared" si="14"/>
        <v>79.599999999999994</v>
      </c>
      <c r="AJ80" s="1" t="e">
        <f t="shared" si="15"/>
        <v>#DIV/0!</v>
      </c>
      <c r="AK80" s="27" t="e">
        <f t="shared" si="16"/>
        <v>#DIV/0!</v>
      </c>
      <c r="AN80" s="1" t="e">
        <f t="shared" si="17"/>
        <v>#DIV/0!</v>
      </c>
    </row>
    <row r="81" spans="1:40">
      <c r="A81" s="2">
        <f>A80+Calculations!$B$4</f>
        <v>80.599999999999994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>
        <f t="shared" si="13"/>
        <v>0</v>
      </c>
      <c r="AI81" s="16">
        <f t="shared" si="14"/>
        <v>80.599999999999994</v>
      </c>
      <c r="AJ81" s="1" t="e">
        <f t="shared" si="15"/>
        <v>#DIV/0!</v>
      </c>
      <c r="AK81" s="27" t="e">
        <f t="shared" si="16"/>
        <v>#DIV/0!</v>
      </c>
      <c r="AN81" s="1" t="e">
        <f t="shared" si="17"/>
        <v>#DIV/0!</v>
      </c>
    </row>
    <row r="82" spans="1:40">
      <c r="A82" s="2">
        <f>A81+Calculations!$B$4</f>
        <v>81.599999999999994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>
        <f t="shared" si="13"/>
        <v>0</v>
      </c>
      <c r="AI82" s="16">
        <f t="shared" si="14"/>
        <v>81.599999999999994</v>
      </c>
      <c r="AJ82" s="1" t="e">
        <f t="shared" si="15"/>
        <v>#DIV/0!</v>
      </c>
      <c r="AK82" s="27" t="e">
        <f t="shared" si="16"/>
        <v>#DIV/0!</v>
      </c>
      <c r="AN82" s="1" t="e">
        <f t="shared" si="17"/>
        <v>#DIV/0!</v>
      </c>
    </row>
    <row r="83" spans="1:40" s="17" customFormat="1">
      <c r="A83" s="34" t="s">
        <v>20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40" s="17" customFormat="1">
      <c r="A84" s="16" t="s">
        <v>40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40" s="17" customFormat="1">
      <c r="A85" s="16" t="s">
        <v>21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40" s="17" customFormat="1">
      <c r="A86" s="16" t="s">
        <v>39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40" ht="15.75" thickBot="1">
      <c r="A87" s="16" t="s">
        <v>41</v>
      </c>
      <c r="B87" s="1"/>
      <c r="C87" s="1"/>
      <c r="D87" s="1"/>
      <c r="E87" s="1"/>
      <c r="F87" s="1"/>
      <c r="G87" s="1"/>
      <c r="H87" s="1"/>
      <c r="I87" s="1"/>
      <c r="J87" s="1"/>
      <c r="K87" s="1"/>
    </row>
    <row r="88" spans="1:40">
      <c r="A88" s="35" t="s">
        <v>44</v>
      </c>
      <c r="B88" s="31" t="str">
        <f>DEC2HEX(B83*128+192,2)</f>
        <v>C0</v>
      </c>
      <c r="C88" s="31" t="str">
        <f t="shared" ref="C88:AG88" si="18">DEC2HEX(C83*128+192,2)</f>
        <v>C0</v>
      </c>
      <c r="D88" s="31" t="str">
        <f t="shared" si="18"/>
        <v>C0</v>
      </c>
      <c r="E88" s="31" t="str">
        <f t="shared" si="18"/>
        <v>C0</v>
      </c>
      <c r="F88" s="31" t="str">
        <f t="shared" si="18"/>
        <v>C0</v>
      </c>
      <c r="G88" s="31" t="str">
        <f t="shared" si="18"/>
        <v>C0</v>
      </c>
      <c r="H88" s="31" t="str">
        <f t="shared" si="18"/>
        <v>C0</v>
      </c>
      <c r="I88" s="31" t="str">
        <f t="shared" si="18"/>
        <v>C0</v>
      </c>
      <c r="J88" s="31" t="str">
        <f t="shared" si="18"/>
        <v>C0</v>
      </c>
      <c r="K88" s="31" t="str">
        <f t="shared" si="18"/>
        <v>C0</v>
      </c>
      <c r="L88" s="31" t="str">
        <f t="shared" si="18"/>
        <v>C0</v>
      </c>
      <c r="M88" s="31" t="str">
        <f t="shared" si="18"/>
        <v>C0</v>
      </c>
      <c r="N88" s="31" t="str">
        <f t="shared" si="18"/>
        <v>C0</v>
      </c>
      <c r="O88" s="31" t="str">
        <f t="shared" si="18"/>
        <v>C0</v>
      </c>
      <c r="P88" s="31" t="str">
        <f t="shared" si="18"/>
        <v>C0</v>
      </c>
      <c r="Q88" s="31" t="str">
        <f t="shared" si="18"/>
        <v>C0</v>
      </c>
      <c r="R88" s="31" t="str">
        <f t="shared" si="18"/>
        <v>C0</v>
      </c>
      <c r="S88" s="31" t="str">
        <f t="shared" si="18"/>
        <v>C0</v>
      </c>
      <c r="T88" s="31" t="str">
        <f t="shared" si="18"/>
        <v>C0</v>
      </c>
      <c r="U88" s="31" t="str">
        <f t="shared" si="18"/>
        <v>C0</v>
      </c>
      <c r="V88" s="31" t="str">
        <f t="shared" si="18"/>
        <v>C0</v>
      </c>
      <c r="W88" s="31" t="str">
        <f t="shared" si="18"/>
        <v>C0</v>
      </c>
      <c r="X88" s="31" t="str">
        <f t="shared" si="18"/>
        <v>C0</v>
      </c>
      <c r="Y88" s="31" t="str">
        <f t="shared" si="18"/>
        <v>C0</v>
      </c>
      <c r="Z88" s="31" t="str">
        <f t="shared" si="18"/>
        <v>C0</v>
      </c>
      <c r="AA88" s="31" t="str">
        <f t="shared" si="18"/>
        <v>C0</v>
      </c>
      <c r="AB88" s="31" t="str">
        <f t="shared" si="18"/>
        <v>C0</v>
      </c>
      <c r="AC88" s="31" t="str">
        <f t="shared" si="18"/>
        <v>C0</v>
      </c>
      <c r="AD88" s="31" t="str">
        <f t="shared" si="18"/>
        <v>C0</v>
      </c>
      <c r="AE88" s="31" t="str">
        <f t="shared" si="18"/>
        <v>C0</v>
      </c>
      <c r="AF88" s="31" t="str">
        <f t="shared" si="18"/>
        <v>C0</v>
      </c>
      <c r="AG88" s="32" t="str">
        <f t="shared" si="18"/>
        <v>C0</v>
      </c>
    </row>
    <row r="89" spans="1:40">
      <c r="A89" s="36" t="s">
        <v>42</v>
      </c>
      <c r="B89" s="20" t="e">
        <f>(B86-B84)/(B85-B87)/1000</f>
        <v>#DIV/0!</v>
      </c>
      <c r="C89" s="20" t="e">
        <f t="shared" ref="C89:AG89" si="19">(C86-C84)/(C85-C87)/1000</f>
        <v>#DIV/0!</v>
      </c>
      <c r="D89" s="20" t="e">
        <f t="shared" si="19"/>
        <v>#DIV/0!</v>
      </c>
      <c r="E89" s="20" t="e">
        <f t="shared" si="19"/>
        <v>#DIV/0!</v>
      </c>
      <c r="F89" s="20" t="e">
        <f t="shared" si="19"/>
        <v>#DIV/0!</v>
      </c>
      <c r="G89" s="20" t="e">
        <f t="shared" si="19"/>
        <v>#DIV/0!</v>
      </c>
      <c r="H89" s="20" t="e">
        <f t="shared" si="19"/>
        <v>#DIV/0!</v>
      </c>
      <c r="I89" s="20" t="e">
        <f t="shared" si="19"/>
        <v>#DIV/0!</v>
      </c>
      <c r="J89" s="20" t="e">
        <f t="shared" si="19"/>
        <v>#DIV/0!</v>
      </c>
      <c r="K89" s="20" t="e">
        <f t="shared" si="19"/>
        <v>#DIV/0!</v>
      </c>
      <c r="L89" s="20" t="e">
        <f t="shared" si="19"/>
        <v>#DIV/0!</v>
      </c>
      <c r="M89" s="20" t="e">
        <f t="shared" si="19"/>
        <v>#DIV/0!</v>
      </c>
      <c r="N89" s="20" t="e">
        <f t="shared" si="19"/>
        <v>#DIV/0!</v>
      </c>
      <c r="O89" s="20" t="e">
        <f t="shared" si="19"/>
        <v>#DIV/0!</v>
      </c>
      <c r="P89" s="20" t="e">
        <f t="shared" si="19"/>
        <v>#DIV/0!</v>
      </c>
      <c r="Q89" s="20" t="e">
        <f t="shared" si="19"/>
        <v>#DIV/0!</v>
      </c>
      <c r="R89" s="20" t="e">
        <f t="shared" si="19"/>
        <v>#DIV/0!</v>
      </c>
      <c r="S89" s="20" t="e">
        <f t="shared" si="19"/>
        <v>#DIV/0!</v>
      </c>
      <c r="T89" s="20" t="e">
        <f t="shared" si="19"/>
        <v>#DIV/0!</v>
      </c>
      <c r="U89" s="20" t="e">
        <f t="shared" si="19"/>
        <v>#DIV/0!</v>
      </c>
      <c r="V89" s="20" t="e">
        <f t="shared" si="19"/>
        <v>#DIV/0!</v>
      </c>
      <c r="W89" s="20" t="e">
        <f t="shared" si="19"/>
        <v>#DIV/0!</v>
      </c>
      <c r="X89" s="20" t="e">
        <f t="shared" si="19"/>
        <v>#DIV/0!</v>
      </c>
      <c r="Y89" s="20" t="e">
        <f t="shared" si="19"/>
        <v>#DIV/0!</v>
      </c>
      <c r="Z89" s="20" t="e">
        <f t="shared" si="19"/>
        <v>#DIV/0!</v>
      </c>
      <c r="AA89" s="20" t="e">
        <f t="shared" si="19"/>
        <v>#DIV/0!</v>
      </c>
      <c r="AB89" s="20" t="e">
        <f t="shared" si="19"/>
        <v>#DIV/0!</v>
      </c>
      <c r="AC89" s="20" t="e">
        <f t="shared" si="19"/>
        <v>#DIV/0!</v>
      </c>
      <c r="AD89" s="20" t="e">
        <f t="shared" si="19"/>
        <v>#DIV/0!</v>
      </c>
      <c r="AE89" s="20" t="e">
        <f t="shared" si="19"/>
        <v>#DIV/0!</v>
      </c>
      <c r="AF89" s="20" t="e">
        <f t="shared" si="19"/>
        <v>#DIV/0!</v>
      </c>
      <c r="AG89" s="37" t="e">
        <f t="shared" si="19"/>
        <v>#DIV/0!</v>
      </c>
    </row>
    <row r="90" spans="1:40" ht="15.75" thickBot="1">
      <c r="A90" s="38" t="s">
        <v>43</v>
      </c>
      <c r="B90" s="39" t="e">
        <f>B89*15</f>
        <v>#DIV/0!</v>
      </c>
      <c r="C90" s="39" t="e">
        <f t="shared" ref="C90:AG90" si="20">C89*15</f>
        <v>#DIV/0!</v>
      </c>
      <c r="D90" s="39" t="e">
        <f t="shared" si="20"/>
        <v>#DIV/0!</v>
      </c>
      <c r="E90" s="39" t="e">
        <f t="shared" si="20"/>
        <v>#DIV/0!</v>
      </c>
      <c r="F90" s="39" t="e">
        <f t="shared" si="20"/>
        <v>#DIV/0!</v>
      </c>
      <c r="G90" s="39" t="e">
        <f t="shared" si="20"/>
        <v>#DIV/0!</v>
      </c>
      <c r="H90" s="39" t="e">
        <f t="shared" si="20"/>
        <v>#DIV/0!</v>
      </c>
      <c r="I90" s="39" t="e">
        <f t="shared" si="20"/>
        <v>#DIV/0!</v>
      </c>
      <c r="J90" s="39" t="e">
        <f t="shared" si="20"/>
        <v>#DIV/0!</v>
      </c>
      <c r="K90" s="39" t="e">
        <f t="shared" si="20"/>
        <v>#DIV/0!</v>
      </c>
      <c r="L90" s="39" t="e">
        <f t="shared" si="20"/>
        <v>#DIV/0!</v>
      </c>
      <c r="M90" s="39" t="e">
        <f t="shared" si="20"/>
        <v>#DIV/0!</v>
      </c>
      <c r="N90" s="39" t="e">
        <f t="shared" si="20"/>
        <v>#DIV/0!</v>
      </c>
      <c r="O90" s="39" t="e">
        <f t="shared" si="20"/>
        <v>#DIV/0!</v>
      </c>
      <c r="P90" s="39" t="e">
        <f t="shared" si="20"/>
        <v>#DIV/0!</v>
      </c>
      <c r="Q90" s="39" t="e">
        <f t="shared" si="20"/>
        <v>#DIV/0!</v>
      </c>
      <c r="R90" s="39" t="e">
        <f t="shared" si="20"/>
        <v>#DIV/0!</v>
      </c>
      <c r="S90" s="39" t="e">
        <f t="shared" si="20"/>
        <v>#DIV/0!</v>
      </c>
      <c r="T90" s="39" t="e">
        <f t="shared" si="20"/>
        <v>#DIV/0!</v>
      </c>
      <c r="U90" s="39" t="e">
        <f t="shared" si="20"/>
        <v>#DIV/0!</v>
      </c>
      <c r="V90" s="39" t="e">
        <f t="shared" si="20"/>
        <v>#DIV/0!</v>
      </c>
      <c r="W90" s="39" t="e">
        <f t="shared" si="20"/>
        <v>#DIV/0!</v>
      </c>
      <c r="X90" s="39" t="e">
        <f t="shared" si="20"/>
        <v>#DIV/0!</v>
      </c>
      <c r="Y90" s="39" t="e">
        <f t="shared" si="20"/>
        <v>#DIV/0!</v>
      </c>
      <c r="Z90" s="39" t="e">
        <f t="shared" si="20"/>
        <v>#DIV/0!</v>
      </c>
      <c r="AA90" s="39" t="e">
        <f t="shared" si="20"/>
        <v>#DIV/0!</v>
      </c>
      <c r="AB90" s="39" t="e">
        <f t="shared" si="20"/>
        <v>#DIV/0!</v>
      </c>
      <c r="AC90" s="39" t="e">
        <f t="shared" si="20"/>
        <v>#DIV/0!</v>
      </c>
      <c r="AD90" s="39" t="e">
        <f t="shared" si="20"/>
        <v>#DIV/0!</v>
      </c>
      <c r="AE90" s="39" t="e">
        <f t="shared" si="20"/>
        <v>#DIV/0!</v>
      </c>
      <c r="AF90" s="39" t="e">
        <f t="shared" si="20"/>
        <v>#DIV/0!</v>
      </c>
      <c r="AG90" s="40" t="e">
        <f t="shared" si="20"/>
        <v>#DIV/0!</v>
      </c>
    </row>
    <row r="91" spans="1:40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</row>
    <row r="92" spans="1:40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</row>
    <row r="93" spans="1:40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40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</row>
    <row r="95" spans="1:40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</row>
    <row r="96" spans="1:40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</row>
    <row r="97" spans="1:1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</row>
    <row r="98" spans="1:1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</row>
    <row r="99" spans="1:1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</row>
    <row r="100" spans="1:1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</row>
    <row r="101" spans="1:1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</row>
    <row r="102" spans="1:1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</row>
    <row r="103" spans="1:1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</row>
    <row r="104" spans="1:1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</row>
    <row r="105" spans="1:1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</row>
    <row r="106" spans="1:1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</row>
    <row r="107" spans="1:1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</row>
    <row r="108" spans="1:1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</row>
    <row r="110" spans="1:1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</row>
    <row r="111" spans="1:1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</row>
    <row r="112" spans="1:1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</row>
    <row r="113" spans="1:1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</row>
    <row r="114" spans="1:1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</row>
    <row r="115" spans="1:1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</row>
    <row r="116" spans="1:1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</row>
    <row r="117" spans="1:1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</row>
    <row r="118" spans="1:1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</row>
    <row r="119" spans="1:1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</row>
    <row r="120" spans="1:1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1" spans="1:1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</row>
    <row r="122" spans="1:1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</row>
    <row r="123" spans="1:1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</row>
    <row r="124" spans="1:1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</row>
    <row r="125" spans="1:1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</row>
    <row r="126" spans="1:1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</row>
    <row r="127" spans="1:1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</row>
    <row r="128" spans="1:1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</row>
    <row r="129" spans="1:1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</row>
    <row r="130" spans="1:1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</row>
    <row r="131" spans="1:1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</row>
    <row r="132" spans="1:1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</row>
    <row r="133" spans="1:1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</row>
    <row r="134" spans="1:1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</row>
    <row r="135" spans="1:1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</row>
    <row r="136" spans="1:1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</row>
    <row r="137" spans="1:1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</row>
    <row r="138" spans="1:1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</row>
    <row r="139" spans="1:1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</row>
    <row r="140" spans="1:1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</row>
    <row r="141" spans="1:1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</row>
    <row r="142" spans="1:1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</row>
    <row r="143" spans="1:1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</row>
    <row r="144" spans="1:1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</row>
    <row r="145" spans="1:1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</row>
    <row r="146" spans="1:1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</row>
    <row r="147" spans="1:1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</row>
    <row r="148" spans="1:1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</row>
    <row r="149" spans="1:1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</row>
    <row r="150" spans="1:1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</row>
    <row r="151" spans="1:1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</row>
    <row r="152" spans="1:1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</row>
    <row r="153" spans="1:1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</row>
    <row r="154" spans="1:1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</row>
    <row r="155" spans="1:1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</row>
    <row r="156" spans="1:1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</row>
    <row r="157" spans="1:1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</row>
    <row r="158" spans="1:1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</row>
    <row r="159" spans="1:1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</row>
    <row r="160" spans="1:1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</row>
    <row r="161" spans="1:1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</row>
    <row r="162" spans="1:1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</row>
    <row r="163" spans="1:1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</row>
    <row r="164" spans="1:1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</row>
    <row r="165" spans="1:1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</row>
    <row r="166" spans="1:1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</row>
  </sheetData>
  <mergeCells count="6">
    <mergeCell ref="AS5:AU5"/>
    <mergeCell ref="AP3:AQ3"/>
    <mergeCell ref="AP2:AV2"/>
    <mergeCell ref="AP4:AQ4"/>
    <mergeCell ref="AS3:AU3"/>
    <mergeCell ref="AS4:AU4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AG166"/>
  <sheetViews>
    <sheetView zoomScale="80" zoomScaleNormal="80" workbookViewId="0">
      <pane xSplit="9420" ySplit="6045" topLeftCell="AD86"/>
      <selection activeCell="B2" sqref="B2:AG87"/>
      <selection pane="topRight" activeCell="AB19" sqref="AB19"/>
      <selection pane="bottomLeft" activeCell="A88" sqref="A88:AG90"/>
      <selection pane="bottomRight" activeCell="AG90" sqref="B90:AG90"/>
    </sheetView>
  </sheetViews>
  <sheetFormatPr defaultRowHeight="15"/>
  <cols>
    <col min="1" max="1" width="10.85546875" bestFit="1" customWidth="1"/>
    <col min="2" max="33" width="7.7109375" customWidth="1"/>
  </cols>
  <sheetData>
    <row r="1" spans="1:33">
      <c r="A1" s="17" t="s">
        <v>32</v>
      </c>
      <c r="B1">
        <v>0</v>
      </c>
      <c r="C1">
        <f>B1+1</f>
        <v>1</v>
      </c>
      <c r="D1">
        <f t="shared" ref="D1:AG1" si="0">C1+1</f>
        <v>2</v>
      </c>
      <c r="E1">
        <f t="shared" si="0"/>
        <v>3</v>
      </c>
      <c r="F1">
        <f t="shared" si="0"/>
        <v>4</v>
      </c>
      <c r="G1">
        <f t="shared" si="0"/>
        <v>5</v>
      </c>
      <c r="H1">
        <f t="shared" si="0"/>
        <v>6</v>
      </c>
      <c r="I1">
        <f t="shared" si="0"/>
        <v>7</v>
      </c>
      <c r="J1">
        <f t="shared" si="0"/>
        <v>8</v>
      </c>
      <c r="K1">
        <f t="shared" si="0"/>
        <v>9</v>
      </c>
      <c r="L1">
        <f t="shared" si="0"/>
        <v>10</v>
      </c>
      <c r="M1">
        <f t="shared" si="0"/>
        <v>11</v>
      </c>
      <c r="N1">
        <f t="shared" si="0"/>
        <v>12</v>
      </c>
      <c r="O1">
        <f t="shared" si="0"/>
        <v>13</v>
      </c>
      <c r="P1">
        <f t="shared" si="0"/>
        <v>14</v>
      </c>
      <c r="Q1">
        <f t="shared" si="0"/>
        <v>15</v>
      </c>
      <c r="R1">
        <f t="shared" si="0"/>
        <v>16</v>
      </c>
      <c r="S1">
        <f t="shared" si="0"/>
        <v>17</v>
      </c>
      <c r="T1">
        <f t="shared" si="0"/>
        <v>18</v>
      </c>
      <c r="U1">
        <f t="shared" si="0"/>
        <v>19</v>
      </c>
      <c r="V1">
        <f t="shared" si="0"/>
        <v>20</v>
      </c>
      <c r="W1">
        <f t="shared" si="0"/>
        <v>21</v>
      </c>
      <c r="X1">
        <f t="shared" si="0"/>
        <v>22</v>
      </c>
      <c r="Y1">
        <f t="shared" si="0"/>
        <v>23</v>
      </c>
      <c r="Z1">
        <f t="shared" si="0"/>
        <v>24</v>
      </c>
      <c r="AA1">
        <f t="shared" si="0"/>
        <v>25</v>
      </c>
      <c r="AB1">
        <f t="shared" si="0"/>
        <v>26</v>
      </c>
      <c r="AC1">
        <f t="shared" si="0"/>
        <v>27</v>
      </c>
      <c r="AD1">
        <f t="shared" si="0"/>
        <v>28</v>
      </c>
      <c r="AE1">
        <f t="shared" si="0"/>
        <v>29</v>
      </c>
      <c r="AF1">
        <f t="shared" si="0"/>
        <v>30</v>
      </c>
      <c r="AG1">
        <f t="shared" si="0"/>
        <v>31</v>
      </c>
    </row>
    <row r="2" spans="1:33">
      <c r="A2" s="2">
        <f>Calculations!B3</f>
        <v>1.6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>
      <c r="A3" s="2">
        <f>A2+Calculations!$B$4</f>
        <v>2.6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>
      <c r="A4" s="2">
        <f>A3+Calculations!$B$4</f>
        <v>3.6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>
      <c r="A5" s="2">
        <f>A4+Calculations!$B$4</f>
        <v>4.5999999999999996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>
      <c r="A6" s="2">
        <f>A5+Calculations!$B$4</f>
        <v>5.6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>
      <c r="A7" s="2">
        <f>A6+Calculations!$B$4</f>
        <v>6.6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>
      <c r="A8" s="2">
        <f>A7+Calculations!$B$4</f>
        <v>7.6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>
      <c r="A9" s="2">
        <f>A8+Calculations!$B$4</f>
        <v>8.6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>
      <c r="A10" s="2">
        <f>A9+Calculations!$B$4</f>
        <v>9.6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>
      <c r="A11" s="2">
        <f>A10+Calculations!$B$4</f>
        <v>10.6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>
      <c r="A12" s="2">
        <f>A11+Calculations!$B$4</f>
        <v>11.6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>
      <c r="A13" s="2">
        <f>A12+Calculations!$B$4</f>
        <v>12.6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>
      <c r="A14" s="2">
        <f>A13+Calculations!$B$4</f>
        <v>13.6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>
      <c r="A15" s="2">
        <f>A14+Calculations!$B$4</f>
        <v>14.6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>
      <c r="A16" s="2">
        <f>A15+Calculations!$B$4</f>
        <v>15.6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>
      <c r="A17" s="2">
        <f>A16+Calculations!$B$4</f>
        <v>16.600000000000001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>
      <c r="A18" s="2">
        <f>A17+Calculations!$B$4</f>
        <v>17.600000000000001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>
      <c r="A19" s="2">
        <f>A18+Calculations!$B$4</f>
        <v>18.600000000000001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>
      <c r="A20" s="2">
        <f>A19+Calculations!$B$4</f>
        <v>19.600000000000001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>
      <c r="A21" s="2">
        <f>A20+Calculations!$B$4</f>
        <v>20.6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>
      <c r="A22" s="2">
        <f>A21+Calculations!$B$4</f>
        <v>21.6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>
      <c r="A23" s="2">
        <f>A22+Calculations!$B$4</f>
        <v>22.6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>
      <c r="A24" s="2">
        <f>A23+Calculations!$B$4</f>
        <v>23.6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>
      <c r="A25" s="2">
        <f>A24+Calculations!$B$4</f>
        <v>24.6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>
      <c r="A26" s="2">
        <f>A25+Calculations!$B$4</f>
        <v>25.6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>
      <c r="A27" s="2">
        <f>A26+Calculations!$B$4</f>
        <v>26.6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>
      <c r="A28" s="2">
        <f>A27+Calculations!$B$4</f>
        <v>27.6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>
      <c r="A29" s="2">
        <f>A28+Calculations!$B$4</f>
        <v>28.6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>
      <c r="A30" s="2">
        <f>A29+Calculations!$B$4</f>
        <v>29.6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>
      <c r="A31" s="2">
        <f>A30+Calculations!$B$4</f>
        <v>30.6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>
      <c r="A32" s="2">
        <f>A31+Calculations!$B$4</f>
        <v>31.6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>
      <c r="A33" s="2">
        <f>A32+Calculations!$B$4</f>
        <v>32.6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>
      <c r="A34" s="2">
        <f>A33+Calculations!$B$4</f>
        <v>33.6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>
      <c r="A35" s="2">
        <f>A34+Calculations!$B$4</f>
        <v>34.6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>
      <c r="A36" s="2">
        <f>A35+Calculations!$B$4</f>
        <v>35.6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>
      <c r="A37" s="2">
        <f>A36+Calculations!$B$4</f>
        <v>36.6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>
      <c r="A38" s="2">
        <f>A37+Calculations!$B$4</f>
        <v>37.6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>
      <c r="A39" s="2">
        <f>A38+Calculations!$B$4</f>
        <v>38.6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>
      <c r="A40" s="2">
        <f>A39+Calculations!$B$4</f>
        <v>39.6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>
      <c r="A41" s="2">
        <f>A40+Calculations!$B$4</f>
        <v>40.6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>
      <c r="A42" s="2">
        <f>A41+Calculations!$B$4</f>
        <v>41.6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>
      <c r="A43" s="2">
        <f>A42+Calculations!$B$4</f>
        <v>42.6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>
      <c r="A44" s="2">
        <f>A43+Calculations!$B$4</f>
        <v>43.6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>
      <c r="A45" s="2">
        <f>A44+Calculations!$B$4</f>
        <v>44.6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>
      <c r="A46" s="2">
        <f>A45+Calculations!$B$4</f>
        <v>45.6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>
      <c r="A47" s="2">
        <f>A46+Calculations!$B$4</f>
        <v>46.6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>
      <c r="A48" s="2">
        <f>A47+Calculations!$B$4</f>
        <v>47.6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>
      <c r="A49" s="2">
        <f>A48+Calculations!$B$4</f>
        <v>48.6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>
      <c r="A50" s="2">
        <f>A49+Calculations!$B$4</f>
        <v>49.6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>
      <c r="A51" s="2">
        <f>A50+Calculations!$B$4</f>
        <v>50.6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>
      <c r="A52" s="2">
        <f>A51+Calculations!$B$4</f>
        <v>51.6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>
      <c r="A53" s="2">
        <f>A52+Calculations!$B$4</f>
        <v>52.6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>
      <c r="A54" s="2">
        <f>A53+Calculations!$B$4</f>
        <v>53.6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>
      <c r="A55" s="2">
        <f>A54+Calculations!$B$4</f>
        <v>54.6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>
      <c r="A56" s="2">
        <f>A55+Calculations!$B$4</f>
        <v>55.6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>
      <c r="A57" s="2">
        <f>A56+Calculations!$B$4</f>
        <v>56.6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>
      <c r="A58" s="2">
        <f>A57+Calculations!$B$4</f>
        <v>57.6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>
      <c r="A59" s="2">
        <f>A58+Calculations!$B$4</f>
        <v>58.6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>
      <c r="A60" s="2">
        <f>A59+Calculations!$B$4</f>
        <v>59.6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>
      <c r="A61" s="2">
        <f>A60+Calculations!$B$4</f>
        <v>60.6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>
      <c r="A62" s="2">
        <f>A61+Calculations!$B$4</f>
        <v>61.6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>
      <c r="A63" s="2">
        <f>A62+Calculations!$B$4</f>
        <v>62.6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>
      <c r="A64" s="2">
        <f>A63+Calculations!$B$4</f>
        <v>63.6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>
      <c r="A65" s="2">
        <f>A64+Calculations!$B$4</f>
        <v>64.599999999999994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>
      <c r="A66" s="2">
        <f>A65+Calculations!$B$4</f>
        <v>65.599999999999994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>
      <c r="A67" s="2">
        <f>A66+Calculations!$B$4</f>
        <v>66.599999999999994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>
      <c r="A68" s="2">
        <f>A67+Calculations!$B$4</f>
        <v>67.599999999999994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>
      <c r="A69" s="2">
        <f>A68+Calculations!$B$4</f>
        <v>68.599999999999994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>
      <c r="A70" s="2">
        <f>A69+Calculations!$B$4</f>
        <v>69.599999999999994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33">
      <c r="A71" s="2">
        <f>A70+Calculations!$B$4</f>
        <v>70.599999999999994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>
      <c r="A72" s="2">
        <f>A71+Calculations!$B$4</f>
        <v>71.599999999999994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33">
      <c r="A73" s="2">
        <f>A72+Calculations!$B$4</f>
        <v>72.599999999999994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33">
      <c r="A74" s="2">
        <f>A73+Calculations!$B$4</f>
        <v>73.599999999999994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33">
      <c r="A75" s="2">
        <f>A74+Calculations!$B$4</f>
        <v>74.599999999999994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33">
      <c r="A76" s="2">
        <f>A75+Calculations!$B$4</f>
        <v>75.599999999999994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33">
      <c r="A77" s="2">
        <f>A76+Calculations!$B$4</f>
        <v>76.599999999999994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33">
      <c r="A78" s="2">
        <f>A77+Calculations!$B$4</f>
        <v>77.599999999999994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33">
      <c r="A79" s="2">
        <f>A78+Calculations!$B$4</f>
        <v>78.599999999999994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>
      <c r="A80" s="2">
        <f>A79+Calculations!$B$4</f>
        <v>79.599999999999994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>
      <c r="A81" s="2">
        <f>A80+Calculations!$B$4</f>
        <v>80.599999999999994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>
      <c r="A82" s="2">
        <f>A81+Calculations!$B$4</f>
        <v>81.599999999999994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 s="17" customFormat="1">
      <c r="A83" s="34" t="s">
        <v>20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 s="17" customFormat="1">
      <c r="A84" s="16" t="s">
        <v>40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 s="17" customFormat="1">
      <c r="A85" s="16" t="s">
        <v>21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 s="17" customFormat="1">
      <c r="A86" s="16" t="s">
        <v>39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 ht="15.75" thickBot="1">
      <c r="A87" s="16" t="s">
        <v>41</v>
      </c>
    </row>
    <row r="88" spans="1:33">
      <c r="A88" s="35" t="s">
        <v>44</v>
      </c>
      <c r="B88" s="31" t="str">
        <f>DEC2HEX(B83*128+192,2)</f>
        <v>C0</v>
      </c>
      <c r="C88" s="31" t="str">
        <f t="shared" ref="C88:AG88" si="1">DEC2HEX(C83*128+192,2)</f>
        <v>C0</v>
      </c>
      <c r="D88" s="31" t="str">
        <f t="shared" si="1"/>
        <v>C0</v>
      </c>
      <c r="E88" s="31" t="str">
        <f t="shared" si="1"/>
        <v>C0</v>
      </c>
      <c r="F88" s="31" t="str">
        <f t="shared" si="1"/>
        <v>C0</v>
      </c>
      <c r="G88" s="31" t="str">
        <f t="shared" si="1"/>
        <v>C0</v>
      </c>
      <c r="H88" s="31" t="str">
        <f t="shared" si="1"/>
        <v>C0</v>
      </c>
      <c r="I88" s="31" t="str">
        <f t="shared" si="1"/>
        <v>C0</v>
      </c>
      <c r="J88" s="31" t="str">
        <f t="shared" si="1"/>
        <v>C0</v>
      </c>
      <c r="K88" s="31" t="str">
        <f t="shared" si="1"/>
        <v>C0</v>
      </c>
      <c r="L88" s="31" t="str">
        <f t="shared" si="1"/>
        <v>C0</v>
      </c>
      <c r="M88" s="31" t="str">
        <f t="shared" si="1"/>
        <v>C0</v>
      </c>
      <c r="N88" s="31" t="str">
        <f t="shared" si="1"/>
        <v>C0</v>
      </c>
      <c r="O88" s="31" t="str">
        <f t="shared" si="1"/>
        <v>C0</v>
      </c>
      <c r="P88" s="31" t="str">
        <f t="shared" si="1"/>
        <v>C0</v>
      </c>
      <c r="Q88" s="31" t="str">
        <f t="shared" si="1"/>
        <v>C0</v>
      </c>
      <c r="R88" s="31" t="str">
        <f t="shared" si="1"/>
        <v>C0</v>
      </c>
      <c r="S88" s="31" t="str">
        <f t="shared" si="1"/>
        <v>C0</v>
      </c>
      <c r="T88" s="31" t="str">
        <f t="shared" si="1"/>
        <v>C0</v>
      </c>
      <c r="U88" s="31" t="str">
        <f t="shared" si="1"/>
        <v>C0</v>
      </c>
      <c r="V88" s="31" t="str">
        <f t="shared" si="1"/>
        <v>C0</v>
      </c>
      <c r="W88" s="31" t="str">
        <f t="shared" si="1"/>
        <v>C0</v>
      </c>
      <c r="X88" s="31" t="str">
        <f t="shared" si="1"/>
        <v>C0</v>
      </c>
      <c r="Y88" s="31" t="str">
        <f t="shared" si="1"/>
        <v>C0</v>
      </c>
      <c r="Z88" s="31" t="str">
        <f t="shared" si="1"/>
        <v>C0</v>
      </c>
      <c r="AA88" s="31" t="str">
        <f t="shared" si="1"/>
        <v>C0</v>
      </c>
      <c r="AB88" s="31" t="str">
        <f t="shared" si="1"/>
        <v>C0</v>
      </c>
      <c r="AC88" s="31" t="str">
        <f t="shared" si="1"/>
        <v>C0</v>
      </c>
      <c r="AD88" s="31" t="str">
        <f t="shared" si="1"/>
        <v>C0</v>
      </c>
      <c r="AE88" s="31" t="str">
        <f t="shared" si="1"/>
        <v>C0</v>
      </c>
      <c r="AF88" s="31" t="str">
        <f t="shared" si="1"/>
        <v>C0</v>
      </c>
      <c r="AG88" s="32" t="str">
        <f t="shared" si="1"/>
        <v>C0</v>
      </c>
    </row>
    <row r="89" spans="1:33">
      <c r="A89" s="36" t="s">
        <v>42</v>
      </c>
      <c r="B89" s="20" t="e">
        <f>(B86-B84)/(B85-B87)/1000</f>
        <v>#DIV/0!</v>
      </c>
      <c r="C89" s="20" t="e">
        <f t="shared" ref="C89:AG89" si="2">(C86-C84)/(C85-C87)/1000</f>
        <v>#DIV/0!</v>
      </c>
      <c r="D89" s="20" t="e">
        <f t="shared" si="2"/>
        <v>#DIV/0!</v>
      </c>
      <c r="E89" s="20" t="e">
        <f t="shared" si="2"/>
        <v>#DIV/0!</v>
      </c>
      <c r="F89" s="20" t="e">
        <f t="shared" si="2"/>
        <v>#DIV/0!</v>
      </c>
      <c r="G89" s="20" t="e">
        <f t="shared" si="2"/>
        <v>#DIV/0!</v>
      </c>
      <c r="H89" s="20" t="e">
        <f t="shared" si="2"/>
        <v>#DIV/0!</v>
      </c>
      <c r="I89" s="20" t="e">
        <f t="shared" si="2"/>
        <v>#DIV/0!</v>
      </c>
      <c r="J89" s="20" t="e">
        <f t="shared" si="2"/>
        <v>#DIV/0!</v>
      </c>
      <c r="K89" s="20" t="e">
        <f t="shared" si="2"/>
        <v>#DIV/0!</v>
      </c>
      <c r="L89" s="20" t="e">
        <f t="shared" si="2"/>
        <v>#DIV/0!</v>
      </c>
      <c r="M89" s="20" t="e">
        <f t="shared" si="2"/>
        <v>#DIV/0!</v>
      </c>
      <c r="N89" s="20" t="e">
        <f t="shared" si="2"/>
        <v>#DIV/0!</v>
      </c>
      <c r="O89" s="20" t="e">
        <f t="shared" si="2"/>
        <v>#DIV/0!</v>
      </c>
      <c r="P89" s="20" t="e">
        <f t="shared" si="2"/>
        <v>#DIV/0!</v>
      </c>
      <c r="Q89" s="20" t="e">
        <f t="shared" si="2"/>
        <v>#DIV/0!</v>
      </c>
      <c r="R89" s="20" t="e">
        <f t="shared" si="2"/>
        <v>#DIV/0!</v>
      </c>
      <c r="S89" s="20" t="e">
        <f t="shared" si="2"/>
        <v>#DIV/0!</v>
      </c>
      <c r="T89" s="20" t="e">
        <f t="shared" si="2"/>
        <v>#DIV/0!</v>
      </c>
      <c r="U89" s="20" t="e">
        <f t="shared" si="2"/>
        <v>#DIV/0!</v>
      </c>
      <c r="V89" s="20" t="e">
        <f t="shared" si="2"/>
        <v>#DIV/0!</v>
      </c>
      <c r="W89" s="20" t="e">
        <f t="shared" si="2"/>
        <v>#DIV/0!</v>
      </c>
      <c r="X89" s="20" t="e">
        <f t="shared" si="2"/>
        <v>#DIV/0!</v>
      </c>
      <c r="Y89" s="20" t="e">
        <f t="shared" si="2"/>
        <v>#DIV/0!</v>
      </c>
      <c r="Z89" s="20" t="e">
        <f t="shared" si="2"/>
        <v>#DIV/0!</v>
      </c>
      <c r="AA89" s="20" t="e">
        <f t="shared" si="2"/>
        <v>#DIV/0!</v>
      </c>
      <c r="AB89" s="20" t="e">
        <f t="shared" si="2"/>
        <v>#DIV/0!</v>
      </c>
      <c r="AC89" s="20" t="e">
        <f t="shared" si="2"/>
        <v>#DIV/0!</v>
      </c>
      <c r="AD89" s="20" t="e">
        <f t="shared" si="2"/>
        <v>#DIV/0!</v>
      </c>
      <c r="AE89" s="20" t="e">
        <f t="shared" si="2"/>
        <v>#DIV/0!</v>
      </c>
      <c r="AF89" s="20" t="e">
        <f t="shared" si="2"/>
        <v>#DIV/0!</v>
      </c>
      <c r="AG89" s="37" t="e">
        <f t="shared" si="2"/>
        <v>#DIV/0!</v>
      </c>
    </row>
    <row r="90" spans="1:33" ht="15.75" thickBot="1">
      <c r="A90" s="38" t="s">
        <v>43</v>
      </c>
      <c r="B90" s="39" t="e">
        <f>B89*15</f>
        <v>#DIV/0!</v>
      </c>
      <c r="C90" s="39" t="e">
        <f t="shared" ref="C90:AG90" si="3">C89*15</f>
        <v>#DIV/0!</v>
      </c>
      <c r="D90" s="39" t="e">
        <f t="shared" si="3"/>
        <v>#DIV/0!</v>
      </c>
      <c r="E90" s="39" t="e">
        <f t="shared" si="3"/>
        <v>#DIV/0!</v>
      </c>
      <c r="F90" s="39" t="e">
        <f t="shared" si="3"/>
        <v>#DIV/0!</v>
      </c>
      <c r="G90" s="39" t="e">
        <f t="shared" si="3"/>
        <v>#DIV/0!</v>
      </c>
      <c r="H90" s="39" t="e">
        <f t="shared" si="3"/>
        <v>#DIV/0!</v>
      </c>
      <c r="I90" s="39" t="e">
        <f t="shared" si="3"/>
        <v>#DIV/0!</v>
      </c>
      <c r="J90" s="39" t="e">
        <f t="shared" si="3"/>
        <v>#DIV/0!</v>
      </c>
      <c r="K90" s="39" t="e">
        <f t="shared" si="3"/>
        <v>#DIV/0!</v>
      </c>
      <c r="L90" s="39" t="e">
        <f t="shared" si="3"/>
        <v>#DIV/0!</v>
      </c>
      <c r="M90" s="39" t="e">
        <f t="shared" si="3"/>
        <v>#DIV/0!</v>
      </c>
      <c r="N90" s="39" t="e">
        <f t="shared" si="3"/>
        <v>#DIV/0!</v>
      </c>
      <c r="O90" s="39" t="e">
        <f t="shared" si="3"/>
        <v>#DIV/0!</v>
      </c>
      <c r="P90" s="39" t="e">
        <f t="shared" si="3"/>
        <v>#DIV/0!</v>
      </c>
      <c r="Q90" s="39" t="e">
        <f t="shared" si="3"/>
        <v>#DIV/0!</v>
      </c>
      <c r="R90" s="39" t="e">
        <f t="shared" si="3"/>
        <v>#DIV/0!</v>
      </c>
      <c r="S90" s="39" t="e">
        <f t="shared" si="3"/>
        <v>#DIV/0!</v>
      </c>
      <c r="T90" s="39" t="e">
        <f t="shared" si="3"/>
        <v>#DIV/0!</v>
      </c>
      <c r="U90" s="39" t="e">
        <f t="shared" si="3"/>
        <v>#DIV/0!</v>
      </c>
      <c r="V90" s="39" t="e">
        <f t="shared" si="3"/>
        <v>#DIV/0!</v>
      </c>
      <c r="W90" s="39" t="e">
        <f t="shared" si="3"/>
        <v>#DIV/0!</v>
      </c>
      <c r="X90" s="39" t="e">
        <f t="shared" si="3"/>
        <v>#DIV/0!</v>
      </c>
      <c r="Y90" s="39" t="e">
        <f t="shared" si="3"/>
        <v>#DIV/0!</v>
      </c>
      <c r="Z90" s="39" t="e">
        <f t="shared" si="3"/>
        <v>#DIV/0!</v>
      </c>
      <c r="AA90" s="39" t="e">
        <f t="shared" si="3"/>
        <v>#DIV/0!</v>
      </c>
      <c r="AB90" s="39" t="e">
        <f t="shared" si="3"/>
        <v>#DIV/0!</v>
      </c>
      <c r="AC90" s="39" t="e">
        <f t="shared" si="3"/>
        <v>#DIV/0!</v>
      </c>
      <c r="AD90" s="39" t="e">
        <f t="shared" si="3"/>
        <v>#DIV/0!</v>
      </c>
      <c r="AE90" s="39" t="e">
        <f t="shared" si="3"/>
        <v>#DIV/0!</v>
      </c>
      <c r="AF90" s="39" t="e">
        <f t="shared" si="3"/>
        <v>#DIV/0!</v>
      </c>
      <c r="AG90" s="40" t="e">
        <f t="shared" si="3"/>
        <v>#DIV/0!</v>
      </c>
    </row>
    <row r="91" spans="1:33">
      <c r="A91" s="2"/>
    </row>
    <row r="92" spans="1:33">
      <c r="A92" s="2"/>
    </row>
    <row r="93" spans="1:33">
      <c r="A93" s="2"/>
    </row>
    <row r="94" spans="1:33">
      <c r="A94" s="2"/>
    </row>
    <row r="95" spans="1:33">
      <c r="A95" s="2"/>
    </row>
    <row r="96" spans="1:33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AG166"/>
  <sheetViews>
    <sheetView zoomScale="80" zoomScaleNormal="80" workbookViewId="0">
      <pane xSplit="9420" ySplit="4965" topLeftCell="AD83"/>
      <selection activeCell="B2" sqref="B2:AG87"/>
      <selection pane="topRight" activeCell="Z3" sqref="Z3"/>
      <selection pane="bottomLeft" activeCell="A88" sqref="A88:AG90"/>
      <selection pane="bottomRight" activeCell="AG90" sqref="AG90"/>
    </sheetView>
  </sheetViews>
  <sheetFormatPr defaultRowHeight="15"/>
  <cols>
    <col min="1" max="1" width="10.85546875" style="17" bestFit="1" customWidth="1"/>
    <col min="2" max="33" width="7.7109375" style="17" customWidth="1"/>
    <col min="34" max="16384" width="9.140625" style="17"/>
  </cols>
  <sheetData>
    <row r="1" spans="1:33">
      <c r="A1" s="17" t="s">
        <v>31</v>
      </c>
      <c r="B1" s="17">
        <v>0</v>
      </c>
      <c r="C1" s="17">
        <f>B1+1</f>
        <v>1</v>
      </c>
      <c r="D1" s="17">
        <f t="shared" ref="D1:AG1" si="0">C1+1</f>
        <v>2</v>
      </c>
      <c r="E1" s="17">
        <f t="shared" si="0"/>
        <v>3</v>
      </c>
      <c r="F1" s="17">
        <f t="shared" si="0"/>
        <v>4</v>
      </c>
      <c r="G1" s="17">
        <f t="shared" si="0"/>
        <v>5</v>
      </c>
      <c r="H1" s="17">
        <f t="shared" si="0"/>
        <v>6</v>
      </c>
      <c r="I1" s="17">
        <f t="shared" si="0"/>
        <v>7</v>
      </c>
      <c r="J1" s="17">
        <f t="shared" si="0"/>
        <v>8</v>
      </c>
      <c r="K1" s="17">
        <f t="shared" si="0"/>
        <v>9</v>
      </c>
      <c r="L1" s="17">
        <f t="shared" si="0"/>
        <v>10</v>
      </c>
      <c r="M1" s="17">
        <f t="shared" si="0"/>
        <v>11</v>
      </c>
      <c r="N1" s="17">
        <f t="shared" si="0"/>
        <v>12</v>
      </c>
      <c r="O1" s="17">
        <f t="shared" si="0"/>
        <v>13</v>
      </c>
      <c r="P1" s="17">
        <f t="shared" si="0"/>
        <v>14</v>
      </c>
      <c r="Q1" s="17">
        <f t="shared" si="0"/>
        <v>15</v>
      </c>
      <c r="R1" s="17">
        <f t="shared" si="0"/>
        <v>16</v>
      </c>
      <c r="S1" s="17">
        <f t="shared" si="0"/>
        <v>17</v>
      </c>
      <c r="T1" s="17">
        <f t="shared" si="0"/>
        <v>18</v>
      </c>
      <c r="U1" s="17">
        <f t="shared" si="0"/>
        <v>19</v>
      </c>
      <c r="V1" s="17">
        <f t="shared" si="0"/>
        <v>20</v>
      </c>
      <c r="W1" s="17">
        <f t="shared" si="0"/>
        <v>21</v>
      </c>
      <c r="X1" s="17">
        <f t="shared" si="0"/>
        <v>22</v>
      </c>
      <c r="Y1" s="17">
        <f t="shared" si="0"/>
        <v>23</v>
      </c>
      <c r="Z1" s="17">
        <f t="shared" si="0"/>
        <v>24</v>
      </c>
      <c r="AA1" s="17">
        <f t="shared" si="0"/>
        <v>25</v>
      </c>
      <c r="AB1" s="17">
        <f t="shared" si="0"/>
        <v>26</v>
      </c>
      <c r="AC1" s="17">
        <f t="shared" si="0"/>
        <v>27</v>
      </c>
      <c r="AD1" s="17">
        <f t="shared" si="0"/>
        <v>28</v>
      </c>
      <c r="AE1" s="17">
        <f t="shared" si="0"/>
        <v>29</v>
      </c>
      <c r="AF1" s="17">
        <f t="shared" si="0"/>
        <v>30</v>
      </c>
      <c r="AG1" s="17">
        <f t="shared" si="0"/>
        <v>31</v>
      </c>
    </row>
    <row r="2" spans="1:33">
      <c r="A2" s="16">
        <f>Calculations!B3</f>
        <v>1.6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>
      <c r="A3" s="16">
        <f>A2+Calculations!$B$4</f>
        <v>2.6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>
      <c r="A4" s="16">
        <f>A3+Calculations!$B$4</f>
        <v>3.6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>
      <c r="A5" s="16">
        <f>A4+Calculations!$B$4</f>
        <v>4.5999999999999996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>
      <c r="A6" s="16">
        <f>A5+Calculations!$B$4</f>
        <v>5.6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>
      <c r="A7" s="16">
        <f>A6+Calculations!$B$4</f>
        <v>6.6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>
      <c r="A8" s="16">
        <f>A7+Calculations!$B$4</f>
        <v>7.6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>
      <c r="A9" s="16">
        <f>A8+Calculations!$B$4</f>
        <v>8.6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>
      <c r="A10" s="16">
        <f>A9+Calculations!$B$4</f>
        <v>9.6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>
      <c r="A11" s="16">
        <f>A10+Calculations!$B$4</f>
        <v>10.6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>
      <c r="A12" s="16">
        <f>A11+Calculations!$B$4</f>
        <v>11.6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>
      <c r="A13" s="16">
        <f>A12+Calculations!$B$4</f>
        <v>12.6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>
      <c r="A14" s="16">
        <f>A13+Calculations!$B$4</f>
        <v>13.6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>
      <c r="A15" s="16">
        <f>A14+Calculations!$B$4</f>
        <v>14.6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>
      <c r="A16" s="16">
        <f>A15+Calculations!$B$4</f>
        <v>15.6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>
      <c r="A17" s="16">
        <f>A16+Calculations!$B$4</f>
        <v>16.600000000000001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>
      <c r="A18" s="16">
        <f>A17+Calculations!$B$4</f>
        <v>17.600000000000001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>
      <c r="A19" s="16">
        <f>A18+Calculations!$B$4</f>
        <v>18.600000000000001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>
      <c r="A20" s="16">
        <f>A19+Calculations!$B$4</f>
        <v>19.600000000000001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>
      <c r="A21" s="16">
        <f>A20+Calculations!$B$4</f>
        <v>20.6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>
      <c r="A22" s="16">
        <f>A21+Calculations!$B$4</f>
        <v>21.6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>
      <c r="A23" s="16">
        <f>A22+Calculations!$B$4</f>
        <v>22.6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>
      <c r="A24" s="16">
        <f>A23+Calculations!$B$4</f>
        <v>23.6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>
      <c r="A25" s="16">
        <f>A24+Calculations!$B$4</f>
        <v>24.6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>
      <c r="A26" s="16">
        <f>A25+Calculations!$B$4</f>
        <v>25.6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>
      <c r="A27" s="16">
        <f>A26+Calculations!$B$4</f>
        <v>26.6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>
      <c r="A28" s="16">
        <f>A27+Calculations!$B$4</f>
        <v>27.6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>
      <c r="A29" s="16">
        <f>A28+Calculations!$B$4</f>
        <v>28.6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>
      <c r="A30" s="16">
        <f>A29+Calculations!$B$4</f>
        <v>29.6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>
      <c r="A31" s="16">
        <f>A30+Calculations!$B$4</f>
        <v>30.6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>
      <c r="A32" s="16">
        <f>A31+Calculations!$B$4</f>
        <v>31.6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>
      <c r="A33" s="16">
        <f>A32+Calculations!$B$4</f>
        <v>32.6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>
      <c r="A34" s="16">
        <f>A33+Calculations!$B$4</f>
        <v>33.6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>
      <c r="A35" s="16">
        <f>A34+Calculations!$B$4</f>
        <v>34.6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>
      <c r="A36" s="16">
        <f>A35+Calculations!$B$4</f>
        <v>35.6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>
      <c r="A37" s="16">
        <f>A36+Calculations!$B$4</f>
        <v>36.6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>
      <c r="A38" s="16">
        <f>A37+Calculations!$B$4</f>
        <v>37.6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>
      <c r="A39" s="16">
        <f>A38+Calculations!$B$4</f>
        <v>38.6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>
      <c r="A40" s="16">
        <f>A39+Calculations!$B$4</f>
        <v>39.6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>
      <c r="A41" s="16">
        <f>A40+Calculations!$B$4</f>
        <v>40.6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>
      <c r="A42" s="16">
        <f>A41+Calculations!$B$4</f>
        <v>41.6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>
      <c r="A43" s="16">
        <f>A42+Calculations!$B$4</f>
        <v>42.6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>
      <c r="A44" s="16">
        <f>A43+Calculations!$B$4</f>
        <v>43.6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>
      <c r="A45" s="16">
        <f>A44+Calculations!$B$4</f>
        <v>44.6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>
      <c r="A46" s="16">
        <f>A45+Calculations!$B$4</f>
        <v>45.6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>
      <c r="A47" s="16">
        <f>A46+Calculations!$B$4</f>
        <v>46.6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>
      <c r="A48" s="16">
        <f>A47+Calculations!$B$4</f>
        <v>47.6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>
      <c r="A49" s="16">
        <f>A48+Calculations!$B$4</f>
        <v>48.6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>
      <c r="A50" s="16">
        <f>A49+Calculations!$B$4</f>
        <v>49.6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>
      <c r="A51" s="16">
        <f>A50+Calculations!$B$4</f>
        <v>50.6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>
      <c r="A52" s="16">
        <f>A51+Calculations!$B$4</f>
        <v>51.6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>
      <c r="A53" s="16">
        <f>A52+Calculations!$B$4</f>
        <v>52.6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>
      <c r="A54" s="16">
        <f>A53+Calculations!$B$4</f>
        <v>53.6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>
      <c r="A55" s="16">
        <f>A54+Calculations!$B$4</f>
        <v>54.6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>
      <c r="A56" s="16">
        <f>A55+Calculations!$B$4</f>
        <v>55.6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>
      <c r="A57" s="16">
        <f>A56+Calculations!$B$4</f>
        <v>56.6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>
      <c r="A58" s="16">
        <f>A57+Calculations!$B$4</f>
        <v>57.6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>
      <c r="A59" s="16">
        <f>A58+Calculations!$B$4</f>
        <v>58.6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>
      <c r="A60" s="16">
        <f>A59+Calculations!$B$4</f>
        <v>59.6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>
      <c r="A61" s="16">
        <f>A60+Calculations!$B$4</f>
        <v>60.6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>
      <c r="A62" s="16">
        <f>A61+Calculations!$B$4</f>
        <v>61.6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>
      <c r="A63" s="16">
        <f>A62+Calculations!$B$4</f>
        <v>62.6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>
      <c r="A64" s="16">
        <f>A63+Calculations!$B$4</f>
        <v>63.6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>
      <c r="A65" s="16">
        <f>A64+Calculations!$B$4</f>
        <v>64.599999999999994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>
      <c r="A66" s="16">
        <f>A65+Calculations!$B$4</f>
        <v>65.599999999999994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>
      <c r="A67" s="16">
        <f>A66+Calculations!$B$4</f>
        <v>66.599999999999994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>
      <c r="A68" s="16">
        <f>A67+Calculations!$B$4</f>
        <v>67.599999999999994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>
      <c r="A69" s="16">
        <f>A68+Calculations!$B$4</f>
        <v>68.599999999999994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>
      <c r="A70" s="16">
        <f>A69+Calculations!$B$4</f>
        <v>69.599999999999994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33">
      <c r="A71" s="16">
        <f>A70+Calculations!$B$4</f>
        <v>70.599999999999994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>
      <c r="A72" s="16">
        <f>A71+Calculations!$B$4</f>
        <v>71.599999999999994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33">
      <c r="A73" s="16">
        <f>A72+Calculations!$B$4</f>
        <v>72.599999999999994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33">
      <c r="A74" s="16">
        <f>A73+Calculations!$B$4</f>
        <v>73.599999999999994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33">
      <c r="A75" s="16">
        <f>A74+Calculations!$B$4</f>
        <v>74.599999999999994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33">
      <c r="A76" s="16">
        <f>A75+Calculations!$B$4</f>
        <v>75.599999999999994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33">
      <c r="A77" s="16">
        <f>A76+Calculations!$B$4</f>
        <v>76.599999999999994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33">
      <c r="A78" s="16">
        <f>A77+Calculations!$B$4</f>
        <v>77.599999999999994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33">
      <c r="A79" s="16">
        <f>A78+Calculations!$B$4</f>
        <v>78.599999999999994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>
      <c r="A80" s="16">
        <f>A79+Calculations!$B$4</f>
        <v>79.599999999999994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>
      <c r="A81" s="16">
        <f>A80+Calculations!$B$4</f>
        <v>80.599999999999994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>
      <c r="A82" s="16">
        <f>A81+Calculations!$B$4</f>
        <v>81.599999999999994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>
      <c r="A83" s="34" t="s">
        <v>20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>
      <c r="A84" s="16" t="s">
        <v>40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>
      <c r="A85" s="16" t="s">
        <v>21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>
      <c r="A86" s="16" t="s">
        <v>39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 ht="15.75" thickBot="1">
      <c r="A87" s="16" t="s">
        <v>41</v>
      </c>
    </row>
    <row r="88" spans="1:33">
      <c r="A88" s="35" t="s">
        <v>44</v>
      </c>
      <c r="B88" s="31" t="str">
        <f>DEC2HEX(B83*128+192,2)</f>
        <v>C0</v>
      </c>
      <c r="C88" s="31" t="str">
        <f t="shared" ref="C88:AG88" si="1">DEC2HEX(C83*128+192,2)</f>
        <v>C0</v>
      </c>
      <c r="D88" s="31" t="str">
        <f t="shared" si="1"/>
        <v>C0</v>
      </c>
      <c r="E88" s="31" t="str">
        <f t="shared" si="1"/>
        <v>C0</v>
      </c>
      <c r="F88" s="31" t="str">
        <f t="shared" si="1"/>
        <v>C0</v>
      </c>
      <c r="G88" s="31" t="str">
        <f t="shared" si="1"/>
        <v>C0</v>
      </c>
      <c r="H88" s="31" t="str">
        <f t="shared" si="1"/>
        <v>C0</v>
      </c>
      <c r="I88" s="31" t="str">
        <f t="shared" si="1"/>
        <v>C0</v>
      </c>
      <c r="J88" s="31" t="str">
        <f t="shared" si="1"/>
        <v>C0</v>
      </c>
      <c r="K88" s="31" t="str">
        <f t="shared" si="1"/>
        <v>C0</v>
      </c>
      <c r="L88" s="31" t="str">
        <f t="shared" si="1"/>
        <v>C0</v>
      </c>
      <c r="M88" s="31" t="str">
        <f t="shared" si="1"/>
        <v>C0</v>
      </c>
      <c r="N88" s="31" t="str">
        <f t="shared" si="1"/>
        <v>C0</v>
      </c>
      <c r="O88" s="31" t="str">
        <f t="shared" si="1"/>
        <v>C0</v>
      </c>
      <c r="P88" s="31" t="str">
        <f t="shared" si="1"/>
        <v>C0</v>
      </c>
      <c r="Q88" s="31" t="str">
        <f t="shared" si="1"/>
        <v>C0</v>
      </c>
      <c r="R88" s="31" t="str">
        <f t="shared" si="1"/>
        <v>C0</v>
      </c>
      <c r="S88" s="31" t="str">
        <f t="shared" si="1"/>
        <v>C0</v>
      </c>
      <c r="T88" s="31" t="str">
        <f t="shared" si="1"/>
        <v>C0</v>
      </c>
      <c r="U88" s="31" t="str">
        <f t="shared" si="1"/>
        <v>C0</v>
      </c>
      <c r="V88" s="31" t="str">
        <f t="shared" si="1"/>
        <v>C0</v>
      </c>
      <c r="W88" s="31" t="str">
        <f t="shared" si="1"/>
        <v>C0</v>
      </c>
      <c r="X88" s="31" t="str">
        <f t="shared" si="1"/>
        <v>C0</v>
      </c>
      <c r="Y88" s="31" t="str">
        <f t="shared" si="1"/>
        <v>C0</v>
      </c>
      <c r="Z88" s="31" t="str">
        <f t="shared" si="1"/>
        <v>C0</v>
      </c>
      <c r="AA88" s="31" t="str">
        <f t="shared" si="1"/>
        <v>C0</v>
      </c>
      <c r="AB88" s="31" t="str">
        <f t="shared" si="1"/>
        <v>C0</v>
      </c>
      <c r="AC88" s="31" t="str">
        <f t="shared" si="1"/>
        <v>C0</v>
      </c>
      <c r="AD88" s="31" t="str">
        <f t="shared" si="1"/>
        <v>C0</v>
      </c>
      <c r="AE88" s="31" t="str">
        <f t="shared" si="1"/>
        <v>C0</v>
      </c>
      <c r="AF88" s="31" t="str">
        <f t="shared" si="1"/>
        <v>C0</v>
      </c>
      <c r="AG88" s="32" t="str">
        <f t="shared" si="1"/>
        <v>C0</v>
      </c>
    </row>
    <row r="89" spans="1:33">
      <c r="A89" s="36" t="s">
        <v>42</v>
      </c>
      <c r="B89" s="20" t="e">
        <f>(B86-B84)/(B85-B87)/1000</f>
        <v>#DIV/0!</v>
      </c>
      <c r="C89" s="20" t="e">
        <f t="shared" ref="C89:AG89" si="2">(C86-C84)/(C85-C87)/1000</f>
        <v>#DIV/0!</v>
      </c>
      <c r="D89" s="20" t="e">
        <f t="shared" si="2"/>
        <v>#DIV/0!</v>
      </c>
      <c r="E89" s="20" t="e">
        <f t="shared" si="2"/>
        <v>#DIV/0!</v>
      </c>
      <c r="F89" s="20" t="e">
        <f t="shared" si="2"/>
        <v>#DIV/0!</v>
      </c>
      <c r="G89" s="20" t="e">
        <f t="shared" si="2"/>
        <v>#DIV/0!</v>
      </c>
      <c r="H89" s="20" t="e">
        <f t="shared" si="2"/>
        <v>#DIV/0!</v>
      </c>
      <c r="I89" s="20" t="e">
        <f t="shared" si="2"/>
        <v>#DIV/0!</v>
      </c>
      <c r="J89" s="20" t="e">
        <f t="shared" si="2"/>
        <v>#DIV/0!</v>
      </c>
      <c r="K89" s="20" t="e">
        <f t="shared" si="2"/>
        <v>#DIV/0!</v>
      </c>
      <c r="L89" s="20" t="e">
        <f t="shared" si="2"/>
        <v>#DIV/0!</v>
      </c>
      <c r="M89" s="20" t="e">
        <f t="shared" si="2"/>
        <v>#DIV/0!</v>
      </c>
      <c r="N89" s="20" t="e">
        <f t="shared" si="2"/>
        <v>#DIV/0!</v>
      </c>
      <c r="O89" s="20" t="e">
        <f t="shared" si="2"/>
        <v>#DIV/0!</v>
      </c>
      <c r="P89" s="20" t="e">
        <f t="shared" si="2"/>
        <v>#DIV/0!</v>
      </c>
      <c r="Q89" s="20" t="e">
        <f t="shared" si="2"/>
        <v>#DIV/0!</v>
      </c>
      <c r="R89" s="20" t="e">
        <f t="shared" si="2"/>
        <v>#DIV/0!</v>
      </c>
      <c r="S89" s="20" t="e">
        <f t="shared" si="2"/>
        <v>#DIV/0!</v>
      </c>
      <c r="T89" s="20" t="e">
        <f t="shared" si="2"/>
        <v>#DIV/0!</v>
      </c>
      <c r="U89" s="20" t="e">
        <f t="shared" si="2"/>
        <v>#DIV/0!</v>
      </c>
      <c r="V89" s="20" t="e">
        <f t="shared" si="2"/>
        <v>#DIV/0!</v>
      </c>
      <c r="W89" s="20" t="e">
        <f t="shared" si="2"/>
        <v>#DIV/0!</v>
      </c>
      <c r="X89" s="20" t="e">
        <f t="shared" si="2"/>
        <v>#DIV/0!</v>
      </c>
      <c r="Y89" s="20" t="e">
        <f t="shared" si="2"/>
        <v>#DIV/0!</v>
      </c>
      <c r="Z89" s="20" t="e">
        <f t="shared" si="2"/>
        <v>#DIV/0!</v>
      </c>
      <c r="AA89" s="20" t="e">
        <f t="shared" si="2"/>
        <v>#DIV/0!</v>
      </c>
      <c r="AB89" s="20" t="e">
        <f t="shared" si="2"/>
        <v>#DIV/0!</v>
      </c>
      <c r="AC89" s="20" t="e">
        <f t="shared" si="2"/>
        <v>#DIV/0!</v>
      </c>
      <c r="AD89" s="20" t="e">
        <f t="shared" si="2"/>
        <v>#DIV/0!</v>
      </c>
      <c r="AE89" s="20" t="e">
        <f t="shared" si="2"/>
        <v>#DIV/0!</v>
      </c>
      <c r="AF89" s="20" t="e">
        <f t="shared" si="2"/>
        <v>#DIV/0!</v>
      </c>
      <c r="AG89" s="37" t="e">
        <f t="shared" si="2"/>
        <v>#DIV/0!</v>
      </c>
    </row>
    <row r="90" spans="1:33" ht="15.75" thickBot="1">
      <c r="A90" s="38" t="s">
        <v>43</v>
      </c>
      <c r="B90" s="39" t="e">
        <f>B89*15</f>
        <v>#DIV/0!</v>
      </c>
      <c r="C90" s="39" t="e">
        <f t="shared" ref="C90:AG90" si="3">C89*15</f>
        <v>#DIV/0!</v>
      </c>
      <c r="D90" s="39" t="e">
        <f t="shared" si="3"/>
        <v>#DIV/0!</v>
      </c>
      <c r="E90" s="39" t="e">
        <f t="shared" si="3"/>
        <v>#DIV/0!</v>
      </c>
      <c r="F90" s="39" t="e">
        <f t="shared" si="3"/>
        <v>#DIV/0!</v>
      </c>
      <c r="G90" s="39" t="e">
        <f t="shared" si="3"/>
        <v>#DIV/0!</v>
      </c>
      <c r="H90" s="39" t="e">
        <f t="shared" si="3"/>
        <v>#DIV/0!</v>
      </c>
      <c r="I90" s="39" t="e">
        <f t="shared" si="3"/>
        <v>#DIV/0!</v>
      </c>
      <c r="J90" s="39" t="e">
        <f t="shared" si="3"/>
        <v>#DIV/0!</v>
      </c>
      <c r="K90" s="39" t="e">
        <f t="shared" si="3"/>
        <v>#DIV/0!</v>
      </c>
      <c r="L90" s="39" t="e">
        <f t="shared" si="3"/>
        <v>#DIV/0!</v>
      </c>
      <c r="M90" s="39" t="e">
        <f t="shared" si="3"/>
        <v>#DIV/0!</v>
      </c>
      <c r="N90" s="39" t="e">
        <f t="shared" si="3"/>
        <v>#DIV/0!</v>
      </c>
      <c r="O90" s="39" t="e">
        <f t="shared" si="3"/>
        <v>#DIV/0!</v>
      </c>
      <c r="P90" s="39" t="e">
        <f t="shared" si="3"/>
        <v>#DIV/0!</v>
      </c>
      <c r="Q90" s="39" t="e">
        <f t="shared" si="3"/>
        <v>#DIV/0!</v>
      </c>
      <c r="R90" s="39" t="e">
        <f t="shared" si="3"/>
        <v>#DIV/0!</v>
      </c>
      <c r="S90" s="39" t="e">
        <f t="shared" si="3"/>
        <v>#DIV/0!</v>
      </c>
      <c r="T90" s="39" t="e">
        <f t="shared" si="3"/>
        <v>#DIV/0!</v>
      </c>
      <c r="U90" s="39" t="e">
        <f t="shared" si="3"/>
        <v>#DIV/0!</v>
      </c>
      <c r="V90" s="39" t="e">
        <f t="shared" si="3"/>
        <v>#DIV/0!</v>
      </c>
      <c r="W90" s="39" t="e">
        <f t="shared" si="3"/>
        <v>#DIV/0!</v>
      </c>
      <c r="X90" s="39" t="e">
        <f t="shared" si="3"/>
        <v>#DIV/0!</v>
      </c>
      <c r="Y90" s="39" t="e">
        <f t="shared" si="3"/>
        <v>#DIV/0!</v>
      </c>
      <c r="Z90" s="39" t="e">
        <f t="shared" si="3"/>
        <v>#DIV/0!</v>
      </c>
      <c r="AA90" s="39" t="e">
        <f t="shared" si="3"/>
        <v>#DIV/0!</v>
      </c>
      <c r="AB90" s="39" t="e">
        <f t="shared" si="3"/>
        <v>#DIV/0!</v>
      </c>
      <c r="AC90" s="39" t="e">
        <f t="shared" si="3"/>
        <v>#DIV/0!</v>
      </c>
      <c r="AD90" s="39" t="e">
        <f t="shared" si="3"/>
        <v>#DIV/0!</v>
      </c>
      <c r="AE90" s="39" t="e">
        <f t="shared" si="3"/>
        <v>#DIV/0!</v>
      </c>
      <c r="AF90" s="39" t="e">
        <f t="shared" si="3"/>
        <v>#DIV/0!</v>
      </c>
      <c r="AG90" s="40" t="e">
        <f t="shared" si="3"/>
        <v>#DIV/0!</v>
      </c>
    </row>
    <row r="91" spans="1:33">
      <c r="A91" s="16"/>
    </row>
    <row r="92" spans="1:33">
      <c r="A92" s="16"/>
    </row>
    <row r="93" spans="1:33">
      <c r="A93" s="16"/>
    </row>
    <row r="94" spans="1:33">
      <c r="A94" s="16"/>
    </row>
    <row r="95" spans="1:33">
      <c r="A95" s="16"/>
    </row>
    <row r="96" spans="1:33">
      <c r="A96" s="16"/>
    </row>
    <row r="97" spans="1:1">
      <c r="A97" s="16"/>
    </row>
    <row r="98" spans="1:1">
      <c r="A98" s="16"/>
    </row>
    <row r="99" spans="1:1">
      <c r="A99" s="16"/>
    </row>
    <row r="100" spans="1:1">
      <c r="A100" s="16"/>
    </row>
    <row r="101" spans="1:1">
      <c r="A101" s="16"/>
    </row>
    <row r="102" spans="1:1">
      <c r="A102" s="16"/>
    </row>
    <row r="103" spans="1:1">
      <c r="A103" s="16"/>
    </row>
    <row r="104" spans="1:1">
      <c r="A104" s="16"/>
    </row>
    <row r="105" spans="1:1">
      <c r="A105" s="16"/>
    </row>
    <row r="106" spans="1:1">
      <c r="A106" s="16"/>
    </row>
    <row r="107" spans="1:1">
      <c r="A107" s="16"/>
    </row>
    <row r="108" spans="1:1">
      <c r="A108" s="16"/>
    </row>
    <row r="109" spans="1:1">
      <c r="A109" s="16"/>
    </row>
    <row r="110" spans="1:1">
      <c r="A110" s="16"/>
    </row>
    <row r="111" spans="1:1">
      <c r="A111" s="16"/>
    </row>
    <row r="112" spans="1:1">
      <c r="A112" s="16"/>
    </row>
    <row r="113" spans="1:1">
      <c r="A113" s="16"/>
    </row>
    <row r="114" spans="1:1">
      <c r="A114" s="16"/>
    </row>
    <row r="115" spans="1:1">
      <c r="A115" s="16"/>
    </row>
    <row r="116" spans="1:1">
      <c r="A116" s="16"/>
    </row>
    <row r="117" spans="1:1">
      <c r="A117" s="16"/>
    </row>
    <row r="118" spans="1:1">
      <c r="A118" s="16"/>
    </row>
    <row r="119" spans="1:1">
      <c r="A119" s="16"/>
    </row>
    <row r="120" spans="1:1">
      <c r="A120" s="16"/>
    </row>
    <row r="121" spans="1:1">
      <c r="A121" s="16"/>
    </row>
    <row r="122" spans="1:1">
      <c r="A122" s="16"/>
    </row>
    <row r="123" spans="1:1">
      <c r="A123" s="16"/>
    </row>
    <row r="124" spans="1:1">
      <c r="A124" s="16"/>
    </row>
    <row r="125" spans="1:1">
      <c r="A125" s="16"/>
    </row>
    <row r="126" spans="1:1">
      <c r="A126" s="16"/>
    </row>
    <row r="127" spans="1:1">
      <c r="A127" s="16"/>
    </row>
    <row r="128" spans="1:1">
      <c r="A128" s="16"/>
    </row>
    <row r="129" spans="1:1">
      <c r="A129" s="16"/>
    </row>
    <row r="130" spans="1:1">
      <c r="A130" s="16"/>
    </row>
    <row r="131" spans="1:1">
      <c r="A131" s="16"/>
    </row>
    <row r="132" spans="1:1">
      <c r="A132" s="16"/>
    </row>
    <row r="133" spans="1:1">
      <c r="A133" s="16"/>
    </row>
    <row r="134" spans="1:1">
      <c r="A134" s="16"/>
    </row>
    <row r="135" spans="1:1">
      <c r="A135" s="16"/>
    </row>
    <row r="136" spans="1:1">
      <c r="A136" s="16"/>
    </row>
    <row r="137" spans="1:1">
      <c r="A137" s="16"/>
    </row>
    <row r="138" spans="1:1">
      <c r="A138" s="16"/>
    </row>
    <row r="139" spans="1:1">
      <c r="A139" s="16"/>
    </row>
    <row r="140" spans="1:1">
      <c r="A140" s="16"/>
    </row>
    <row r="141" spans="1:1">
      <c r="A141" s="16"/>
    </row>
    <row r="142" spans="1:1">
      <c r="A142" s="16"/>
    </row>
    <row r="143" spans="1:1">
      <c r="A143" s="16"/>
    </row>
    <row r="144" spans="1:1">
      <c r="A144" s="16"/>
    </row>
    <row r="145" spans="1:1">
      <c r="A145" s="16"/>
    </row>
    <row r="146" spans="1:1">
      <c r="A146" s="16"/>
    </row>
    <row r="147" spans="1:1">
      <c r="A147" s="16"/>
    </row>
    <row r="148" spans="1:1">
      <c r="A148" s="16"/>
    </row>
    <row r="149" spans="1:1">
      <c r="A149" s="16"/>
    </row>
    <row r="150" spans="1:1">
      <c r="A150" s="16"/>
    </row>
    <row r="151" spans="1:1">
      <c r="A151" s="16"/>
    </row>
    <row r="152" spans="1:1">
      <c r="A152" s="16"/>
    </row>
    <row r="153" spans="1:1">
      <c r="A153" s="16"/>
    </row>
    <row r="154" spans="1:1">
      <c r="A154" s="16"/>
    </row>
    <row r="155" spans="1:1">
      <c r="A155" s="16"/>
    </row>
    <row r="156" spans="1:1">
      <c r="A156" s="16"/>
    </row>
    <row r="157" spans="1:1">
      <c r="A157" s="16"/>
    </row>
    <row r="158" spans="1:1">
      <c r="A158" s="16"/>
    </row>
    <row r="159" spans="1:1">
      <c r="A159" s="16"/>
    </row>
    <row r="160" spans="1:1">
      <c r="A160" s="16"/>
    </row>
    <row r="161" spans="1:1">
      <c r="A161" s="16"/>
    </row>
    <row r="162" spans="1:1">
      <c r="A162" s="16"/>
    </row>
    <row r="163" spans="1:1">
      <c r="A163" s="16"/>
    </row>
    <row r="164" spans="1:1">
      <c r="A164" s="16"/>
    </row>
    <row r="165" spans="1:1">
      <c r="A165" s="16"/>
    </row>
    <row r="166" spans="1:1">
      <c r="A166" s="16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AG166"/>
  <sheetViews>
    <sheetView zoomScale="80" zoomScaleNormal="80" workbookViewId="0">
      <pane xSplit="9420" ySplit="4770" topLeftCell="AD82"/>
      <selection activeCell="B2" sqref="B2:AG87"/>
      <selection pane="topRight" activeCell="Z3" sqref="Z3"/>
      <selection pane="bottomLeft" activeCell="A88" sqref="A88:AG90"/>
      <selection pane="bottomRight" activeCell="AG90" sqref="B90:AG90"/>
    </sheetView>
  </sheetViews>
  <sheetFormatPr defaultRowHeight="15"/>
  <cols>
    <col min="1" max="1" width="10.85546875" style="17" bestFit="1" customWidth="1"/>
    <col min="2" max="33" width="7.7109375" style="17" customWidth="1"/>
    <col min="34" max="16384" width="9.140625" style="17"/>
  </cols>
  <sheetData>
    <row r="1" spans="1:33">
      <c r="A1" s="17" t="s">
        <v>24</v>
      </c>
      <c r="B1" s="17">
        <v>0</v>
      </c>
      <c r="C1" s="17">
        <f>B1+1</f>
        <v>1</v>
      </c>
      <c r="D1" s="17">
        <f t="shared" ref="D1:AG1" si="0">C1+1</f>
        <v>2</v>
      </c>
      <c r="E1" s="17">
        <f t="shared" si="0"/>
        <v>3</v>
      </c>
      <c r="F1" s="17">
        <f t="shared" si="0"/>
        <v>4</v>
      </c>
      <c r="G1" s="17">
        <f t="shared" si="0"/>
        <v>5</v>
      </c>
      <c r="H1" s="17">
        <f t="shared" si="0"/>
        <v>6</v>
      </c>
      <c r="I1" s="17">
        <f t="shared" si="0"/>
        <v>7</v>
      </c>
      <c r="J1" s="17">
        <f t="shared" si="0"/>
        <v>8</v>
      </c>
      <c r="K1" s="17">
        <f t="shared" si="0"/>
        <v>9</v>
      </c>
      <c r="L1" s="17">
        <f t="shared" si="0"/>
        <v>10</v>
      </c>
      <c r="M1" s="17">
        <f t="shared" si="0"/>
        <v>11</v>
      </c>
      <c r="N1" s="17">
        <f t="shared" si="0"/>
        <v>12</v>
      </c>
      <c r="O1" s="17">
        <f t="shared" si="0"/>
        <v>13</v>
      </c>
      <c r="P1" s="17">
        <f t="shared" si="0"/>
        <v>14</v>
      </c>
      <c r="Q1" s="17">
        <f t="shared" si="0"/>
        <v>15</v>
      </c>
      <c r="R1" s="17">
        <f t="shared" si="0"/>
        <v>16</v>
      </c>
      <c r="S1" s="17">
        <f t="shared" si="0"/>
        <v>17</v>
      </c>
      <c r="T1" s="17">
        <f t="shared" si="0"/>
        <v>18</v>
      </c>
      <c r="U1" s="17">
        <f t="shared" si="0"/>
        <v>19</v>
      </c>
      <c r="V1" s="17">
        <f t="shared" si="0"/>
        <v>20</v>
      </c>
      <c r="W1" s="17">
        <f t="shared" si="0"/>
        <v>21</v>
      </c>
      <c r="X1" s="17">
        <f t="shared" si="0"/>
        <v>22</v>
      </c>
      <c r="Y1" s="17">
        <f t="shared" si="0"/>
        <v>23</v>
      </c>
      <c r="Z1" s="17">
        <f t="shared" si="0"/>
        <v>24</v>
      </c>
      <c r="AA1" s="17">
        <f t="shared" si="0"/>
        <v>25</v>
      </c>
      <c r="AB1" s="17">
        <f t="shared" si="0"/>
        <v>26</v>
      </c>
      <c r="AC1" s="17">
        <f t="shared" si="0"/>
        <v>27</v>
      </c>
      <c r="AD1" s="17">
        <f t="shared" si="0"/>
        <v>28</v>
      </c>
      <c r="AE1" s="17">
        <f t="shared" si="0"/>
        <v>29</v>
      </c>
      <c r="AF1" s="17">
        <f t="shared" si="0"/>
        <v>30</v>
      </c>
      <c r="AG1" s="17">
        <f t="shared" si="0"/>
        <v>31</v>
      </c>
    </row>
    <row r="2" spans="1:33">
      <c r="A2" s="16">
        <f>Calculations!B3</f>
        <v>1.6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>
      <c r="A3" s="16">
        <f>A2+Calculations!$B$4</f>
        <v>2.6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>
      <c r="A4" s="16">
        <f>A3+Calculations!$B$4</f>
        <v>3.6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>
      <c r="A5" s="16">
        <f>A4+Calculations!$B$4</f>
        <v>4.5999999999999996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>
      <c r="A6" s="16">
        <f>A5+Calculations!$B$4</f>
        <v>5.6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>
      <c r="A7" s="16">
        <f>A6+Calculations!$B$4</f>
        <v>6.6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>
      <c r="A8" s="16">
        <f>A7+Calculations!$B$4</f>
        <v>7.6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>
      <c r="A9" s="16">
        <f>A8+Calculations!$B$4</f>
        <v>8.6</v>
      </c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</row>
    <row r="10" spans="1:33">
      <c r="A10" s="16">
        <f>A9+Calculations!$B$4</f>
        <v>9.6</v>
      </c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</row>
    <row r="11" spans="1:33">
      <c r="A11" s="16">
        <f>A10+Calculations!$B$4</f>
        <v>10.6</v>
      </c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</row>
    <row r="12" spans="1:33">
      <c r="A12" s="16">
        <f>A11+Calculations!$B$4</f>
        <v>11.6</v>
      </c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</row>
    <row r="13" spans="1:33">
      <c r="A13" s="16">
        <f>A12+Calculations!$B$4</f>
        <v>12.6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</row>
    <row r="14" spans="1:33">
      <c r="A14" s="16">
        <f>A13+Calculations!$B$4</f>
        <v>13.6</v>
      </c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</row>
    <row r="15" spans="1:33">
      <c r="A15" s="16">
        <f>A14+Calculations!$B$4</f>
        <v>14.6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</row>
    <row r="16" spans="1:33">
      <c r="A16" s="16">
        <f>A15+Calculations!$B$4</f>
        <v>15.6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</row>
    <row r="17" spans="1:33">
      <c r="A17" s="16">
        <f>A16+Calculations!$B$4</f>
        <v>16.600000000000001</v>
      </c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</row>
    <row r="18" spans="1:33">
      <c r="A18" s="16">
        <f>A17+Calculations!$B$4</f>
        <v>17.600000000000001</v>
      </c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>
      <c r="A19" s="16">
        <f>A18+Calculations!$B$4</f>
        <v>18.600000000000001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</row>
    <row r="20" spans="1:33">
      <c r="A20" s="16">
        <f>A19+Calculations!$B$4</f>
        <v>19.600000000000001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</row>
    <row r="21" spans="1:33">
      <c r="A21" s="16">
        <f>A20+Calculations!$B$4</f>
        <v>20.6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</row>
    <row r="22" spans="1:33">
      <c r="A22" s="16">
        <f>A21+Calculations!$B$4</f>
        <v>21.6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</row>
    <row r="23" spans="1:33">
      <c r="A23" s="16">
        <f>A22+Calculations!$B$4</f>
        <v>22.6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</row>
    <row r="24" spans="1:33">
      <c r="A24" s="16">
        <f>A23+Calculations!$B$4</f>
        <v>23.6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</row>
    <row r="25" spans="1:33">
      <c r="A25" s="16">
        <f>A24+Calculations!$B$4</f>
        <v>24.6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</row>
    <row r="26" spans="1:33">
      <c r="A26" s="16">
        <f>A25+Calculations!$B$4</f>
        <v>25.6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</row>
    <row r="27" spans="1:33">
      <c r="A27" s="16">
        <f>A26+Calculations!$B$4</f>
        <v>26.6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</row>
    <row r="28" spans="1:33">
      <c r="A28" s="16">
        <f>A27+Calculations!$B$4</f>
        <v>27.6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</row>
    <row r="29" spans="1:33">
      <c r="A29" s="16">
        <f>A28+Calculations!$B$4</f>
        <v>28.6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</row>
    <row r="30" spans="1:33">
      <c r="A30" s="16">
        <f>A29+Calculations!$B$4</f>
        <v>29.6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</row>
    <row r="31" spans="1:33">
      <c r="A31" s="16">
        <f>A30+Calculations!$B$4</f>
        <v>30.6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</row>
    <row r="32" spans="1:33">
      <c r="A32" s="16">
        <f>A31+Calculations!$B$4</f>
        <v>31.6</v>
      </c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</row>
    <row r="33" spans="1:33">
      <c r="A33" s="16">
        <f>A32+Calculations!$B$4</f>
        <v>32.6</v>
      </c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</row>
    <row r="34" spans="1:33">
      <c r="A34" s="16">
        <f>A33+Calculations!$B$4</f>
        <v>33.6</v>
      </c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</row>
    <row r="35" spans="1:33">
      <c r="A35" s="16">
        <f>A34+Calculations!$B$4</f>
        <v>34.6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</row>
    <row r="36" spans="1:33">
      <c r="A36" s="16">
        <f>A35+Calculations!$B$4</f>
        <v>35.6</v>
      </c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</row>
    <row r="37" spans="1:33">
      <c r="A37" s="16">
        <f>A36+Calculations!$B$4</f>
        <v>36.6</v>
      </c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</row>
    <row r="38" spans="1:33">
      <c r="A38" s="16">
        <f>A37+Calculations!$B$4</f>
        <v>37.6</v>
      </c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</row>
    <row r="39" spans="1:33">
      <c r="A39" s="16">
        <f>A38+Calculations!$B$4</f>
        <v>38.6</v>
      </c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</row>
    <row r="40" spans="1:33">
      <c r="A40" s="16">
        <f>A39+Calculations!$B$4</f>
        <v>39.6</v>
      </c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</row>
    <row r="41" spans="1:33">
      <c r="A41" s="16">
        <f>A40+Calculations!$B$4</f>
        <v>40.6</v>
      </c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</row>
    <row r="42" spans="1:33">
      <c r="A42" s="16">
        <f>A41+Calculations!$B$4</f>
        <v>41.6</v>
      </c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</row>
    <row r="43" spans="1:33">
      <c r="A43" s="16">
        <f>A42+Calculations!$B$4</f>
        <v>42.6</v>
      </c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</row>
    <row r="44" spans="1:33">
      <c r="A44" s="16">
        <f>A43+Calculations!$B$4</f>
        <v>43.6</v>
      </c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</row>
    <row r="45" spans="1:33">
      <c r="A45" s="16">
        <f>A44+Calculations!$B$4</f>
        <v>44.6</v>
      </c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</row>
    <row r="46" spans="1:33">
      <c r="A46" s="16">
        <f>A45+Calculations!$B$4</f>
        <v>45.6</v>
      </c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</row>
    <row r="47" spans="1:33">
      <c r="A47" s="16">
        <f>A46+Calculations!$B$4</f>
        <v>46.6</v>
      </c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</row>
    <row r="48" spans="1:33">
      <c r="A48" s="16">
        <f>A47+Calculations!$B$4</f>
        <v>47.6</v>
      </c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</row>
    <row r="49" spans="1:33">
      <c r="A49" s="16">
        <f>A48+Calculations!$B$4</f>
        <v>48.6</v>
      </c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</row>
    <row r="50" spans="1:33">
      <c r="A50" s="16">
        <f>A49+Calculations!$B$4</f>
        <v>49.6</v>
      </c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</row>
    <row r="51" spans="1:33">
      <c r="A51" s="16">
        <f>A50+Calculations!$B$4</f>
        <v>50.6</v>
      </c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</row>
    <row r="52" spans="1:33">
      <c r="A52" s="16">
        <f>A51+Calculations!$B$4</f>
        <v>51.6</v>
      </c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</row>
    <row r="53" spans="1:33">
      <c r="A53" s="16">
        <f>A52+Calculations!$B$4</f>
        <v>52.6</v>
      </c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</row>
    <row r="54" spans="1:33">
      <c r="A54" s="16">
        <f>A53+Calculations!$B$4</f>
        <v>53.6</v>
      </c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</row>
    <row r="55" spans="1:33">
      <c r="A55" s="16">
        <f>A54+Calculations!$B$4</f>
        <v>54.6</v>
      </c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</row>
    <row r="56" spans="1:33">
      <c r="A56" s="16">
        <f>A55+Calculations!$B$4</f>
        <v>55.6</v>
      </c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</row>
    <row r="57" spans="1:33">
      <c r="A57" s="16">
        <f>A56+Calculations!$B$4</f>
        <v>56.6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</row>
    <row r="58" spans="1:33">
      <c r="A58" s="16">
        <f>A57+Calculations!$B$4</f>
        <v>57.6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</row>
    <row r="59" spans="1:33">
      <c r="A59" s="16">
        <f>A58+Calculations!$B$4</f>
        <v>58.6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</row>
    <row r="60" spans="1:33">
      <c r="A60" s="16">
        <f>A59+Calculations!$B$4</f>
        <v>59.6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1:33">
      <c r="A61" s="16">
        <f>A60+Calculations!$B$4</f>
        <v>60.6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1:33">
      <c r="A62" s="16">
        <f>A61+Calculations!$B$4</f>
        <v>61.6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1:33">
      <c r="A63" s="16">
        <f>A62+Calculations!$B$4</f>
        <v>62.6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33">
      <c r="A64" s="16">
        <f>A63+Calculations!$B$4</f>
        <v>63.6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</row>
    <row r="65" spans="1:33">
      <c r="A65" s="16">
        <f>A64+Calculations!$B$4</f>
        <v>64.599999999999994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</row>
    <row r="66" spans="1:33">
      <c r="A66" s="16">
        <f>A65+Calculations!$B$4</f>
        <v>65.599999999999994</v>
      </c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</row>
    <row r="67" spans="1:33">
      <c r="A67" s="16">
        <f>A66+Calculations!$B$4</f>
        <v>66.599999999999994</v>
      </c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</row>
    <row r="68" spans="1:33">
      <c r="A68" s="16">
        <f>A67+Calculations!$B$4</f>
        <v>67.599999999999994</v>
      </c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</row>
    <row r="69" spans="1:33">
      <c r="A69" s="16">
        <f>A68+Calculations!$B$4</f>
        <v>68.599999999999994</v>
      </c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</row>
    <row r="70" spans="1:33">
      <c r="A70" s="16">
        <f>A69+Calculations!$B$4</f>
        <v>69.599999999999994</v>
      </c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</row>
    <row r="71" spans="1:33">
      <c r="A71" s="16">
        <f>A70+Calculations!$B$4</f>
        <v>70.599999999999994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</row>
    <row r="72" spans="1:33">
      <c r="A72" s="16">
        <f>A71+Calculations!$B$4</f>
        <v>71.599999999999994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</row>
    <row r="73" spans="1:33">
      <c r="A73" s="16">
        <f>A72+Calculations!$B$4</f>
        <v>72.599999999999994</v>
      </c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</row>
    <row r="74" spans="1:33">
      <c r="A74" s="16">
        <f>A73+Calculations!$B$4</f>
        <v>73.599999999999994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</row>
    <row r="75" spans="1:33">
      <c r="A75" s="16">
        <f>A74+Calculations!$B$4</f>
        <v>74.599999999999994</v>
      </c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</row>
    <row r="76" spans="1:33">
      <c r="A76" s="16">
        <f>A75+Calculations!$B$4</f>
        <v>75.599999999999994</v>
      </c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</row>
    <row r="77" spans="1:33">
      <c r="A77" s="16">
        <f>A76+Calculations!$B$4</f>
        <v>76.599999999999994</v>
      </c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</row>
    <row r="78" spans="1:33">
      <c r="A78" s="16">
        <f>A77+Calculations!$B$4</f>
        <v>77.599999999999994</v>
      </c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</row>
    <row r="79" spans="1:33">
      <c r="A79" s="16">
        <f>A78+Calculations!$B$4</f>
        <v>78.599999999999994</v>
      </c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</row>
    <row r="80" spans="1:33">
      <c r="A80" s="16">
        <f>A79+Calculations!$B$4</f>
        <v>79.599999999999994</v>
      </c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</row>
    <row r="81" spans="1:33">
      <c r="A81" s="16">
        <f>A80+Calculations!$B$4</f>
        <v>80.599999999999994</v>
      </c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</row>
    <row r="82" spans="1:33">
      <c r="A82" s="16">
        <f>A81+Calculations!$B$4</f>
        <v>81.599999999999994</v>
      </c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</row>
    <row r="83" spans="1:33">
      <c r="A83" s="34" t="s">
        <v>20</v>
      </c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</row>
    <row r="84" spans="1:33">
      <c r="A84" s="16" t="s">
        <v>40</v>
      </c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</row>
    <row r="85" spans="1:33">
      <c r="A85" s="16" t="s">
        <v>21</v>
      </c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</row>
    <row r="86" spans="1:33">
      <c r="A86" s="16" t="s">
        <v>39</v>
      </c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</row>
    <row r="87" spans="1:33" ht="15.75" thickBot="1">
      <c r="A87" s="16" t="s">
        <v>41</v>
      </c>
    </row>
    <row r="88" spans="1:33">
      <c r="A88" s="35" t="s">
        <v>44</v>
      </c>
      <c r="B88" s="31" t="str">
        <f>DEC2HEX(B83*128+192,2)</f>
        <v>C0</v>
      </c>
      <c r="C88" s="31" t="str">
        <f t="shared" ref="C88:AG88" si="1">DEC2HEX(C83*128+192,2)</f>
        <v>C0</v>
      </c>
      <c r="D88" s="31" t="str">
        <f t="shared" si="1"/>
        <v>C0</v>
      </c>
      <c r="E88" s="31" t="str">
        <f t="shared" si="1"/>
        <v>C0</v>
      </c>
      <c r="F88" s="31" t="str">
        <f t="shared" si="1"/>
        <v>C0</v>
      </c>
      <c r="G88" s="31" t="str">
        <f t="shared" si="1"/>
        <v>C0</v>
      </c>
      <c r="H88" s="31" t="str">
        <f t="shared" si="1"/>
        <v>C0</v>
      </c>
      <c r="I88" s="31" t="str">
        <f t="shared" si="1"/>
        <v>C0</v>
      </c>
      <c r="J88" s="31" t="str">
        <f t="shared" si="1"/>
        <v>C0</v>
      </c>
      <c r="K88" s="31" t="str">
        <f t="shared" si="1"/>
        <v>C0</v>
      </c>
      <c r="L88" s="31" t="str">
        <f t="shared" si="1"/>
        <v>C0</v>
      </c>
      <c r="M88" s="31" t="str">
        <f t="shared" si="1"/>
        <v>C0</v>
      </c>
      <c r="N88" s="31" t="str">
        <f t="shared" si="1"/>
        <v>C0</v>
      </c>
      <c r="O88" s="31" t="str">
        <f t="shared" si="1"/>
        <v>C0</v>
      </c>
      <c r="P88" s="31" t="str">
        <f t="shared" si="1"/>
        <v>C0</v>
      </c>
      <c r="Q88" s="31" t="str">
        <f t="shared" si="1"/>
        <v>C0</v>
      </c>
      <c r="R88" s="31" t="str">
        <f t="shared" si="1"/>
        <v>C0</v>
      </c>
      <c r="S88" s="31" t="str">
        <f t="shared" si="1"/>
        <v>C0</v>
      </c>
      <c r="T88" s="31" t="str">
        <f t="shared" si="1"/>
        <v>C0</v>
      </c>
      <c r="U88" s="31" t="str">
        <f t="shared" si="1"/>
        <v>C0</v>
      </c>
      <c r="V88" s="31" t="str">
        <f t="shared" si="1"/>
        <v>C0</v>
      </c>
      <c r="W88" s="31" t="str">
        <f t="shared" si="1"/>
        <v>C0</v>
      </c>
      <c r="X88" s="31" t="str">
        <f t="shared" si="1"/>
        <v>C0</v>
      </c>
      <c r="Y88" s="31" t="str">
        <f t="shared" si="1"/>
        <v>C0</v>
      </c>
      <c r="Z88" s="31" t="str">
        <f t="shared" si="1"/>
        <v>C0</v>
      </c>
      <c r="AA88" s="31" t="str">
        <f t="shared" si="1"/>
        <v>C0</v>
      </c>
      <c r="AB88" s="31" t="str">
        <f t="shared" si="1"/>
        <v>C0</v>
      </c>
      <c r="AC88" s="31" t="str">
        <f t="shared" si="1"/>
        <v>C0</v>
      </c>
      <c r="AD88" s="31" t="str">
        <f t="shared" si="1"/>
        <v>C0</v>
      </c>
      <c r="AE88" s="31" t="str">
        <f t="shared" si="1"/>
        <v>C0</v>
      </c>
      <c r="AF88" s="31" t="str">
        <f t="shared" si="1"/>
        <v>C0</v>
      </c>
      <c r="AG88" s="32" t="str">
        <f t="shared" si="1"/>
        <v>C0</v>
      </c>
    </row>
    <row r="89" spans="1:33">
      <c r="A89" s="36" t="s">
        <v>42</v>
      </c>
      <c r="B89" s="20" t="e">
        <f>(B86-B84)/(B85-B87)/1000</f>
        <v>#DIV/0!</v>
      </c>
      <c r="C89" s="20" t="e">
        <f t="shared" ref="C89:AG89" si="2">(C86-C84)/(C85-C87)/1000</f>
        <v>#DIV/0!</v>
      </c>
      <c r="D89" s="20" t="e">
        <f t="shared" si="2"/>
        <v>#DIV/0!</v>
      </c>
      <c r="E89" s="20" t="e">
        <f t="shared" si="2"/>
        <v>#DIV/0!</v>
      </c>
      <c r="F89" s="20" t="e">
        <f t="shared" si="2"/>
        <v>#DIV/0!</v>
      </c>
      <c r="G89" s="20" t="e">
        <f t="shared" si="2"/>
        <v>#DIV/0!</v>
      </c>
      <c r="H89" s="20" t="e">
        <f t="shared" si="2"/>
        <v>#DIV/0!</v>
      </c>
      <c r="I89" s="20" t="e">
        <f t="shared" si="2"/>
        <v>#DIV/0!</v>
      </c>
      <c r="J89" s="20" t="e">
        <f t="shared" si="2"/>
        <v>#DIV/0!</v>
      </c>
      <c r="K89" s="20" t="e">
        <f t="shared" si="2"/>
        <v>#DIV/0!</v>
      </c>
      <c r="L89" s="20" t="e">
        <f t="shared" si="2"/>
        <v>#DIV/0!</v>
      </c>
      <c r="M89" s="20" t="e">
        <f t="shared" si="2"/>
        <v>#DIV/0!</v>
      </c>
      <c r="N89" s="20" t="e">
        <f t="shared" si="2"/>
        <v>#DIV/0!</v>
      </c>
      <c r="O89" s="20" t="e">
        <f t="shared" si="2"/>
        <v>#DIV/0!</v>
      </c>
      <c r="P89" s="20" t="e">
        <f t="shared" si="2"/>
        <v>#DIV/0!</v>
      </c>
      <c r="Q89" s="20" t="e">
        <f t="shared" si="2"/>
        <v>#DIV/0!</v>
      </c>
      <c r="R89" s="20" t="e">
        <f t="shared" si="2"/>
        <v>#DIV/0!</v>
      </c>
      <c r="S89" s="20" t="e">
        <f t="shared" si="2"/>
        <v>#DIV/0!</v>
      </c>
      <c r="T89" s="20" t="e">
        <f t="shared" si="2"/>
        <v>#DIV/0!</v>
      </c>
      <c r="U89" s="20" t="e">
        <f t="shared" si="2"/>
        <v>#DIV/0!</v>
      </c>
      <c r="V89" s="20" t="e">
        <f t="shared" si="2"/>
        <v>#DIV/0!</v>
      </c>
      <c r="W89" s="20" t="e">
        <f t="shared" si="2"/>
        <v>#DIV/0!</v>
      </c>
      <c r="X89" s="20" t="e">
        <f t="shared" si="2"/>
        <v>#DIV/0!</v>
      </c>
      <c r="Y89" s="20" t="e">
        <f t="shared" si="2"/>
        <v>#DIV/0!</v>
      </c>
      <c r="Z89" s="20" t="e">
        <f t="shared" si="2"/>
        <v>#DIV/0!</v>
      </c>
      <c r="AA89" s="20" t="e">
        <f t="shared" si="2"/>
        <v>#DIV/0!</v>
      </c>
      <c r="AB89" s="20" t="e">
        <f t="shared" si="2"/>
        <v>#DIV/0!</v>
      </c>
      <c r="AC89" s="20" t="e">
        <f t="shared" si="2"/>
        <v>#DIV/0!</v>
      </c>
      <c r="AD89" s="20" t="e">
        <f t="shared" si="2"/>
        <v>#DIV/0!</v>
      </c>
      <c r="AE89" s="20" t="e">
        <f t="shared" si="2"/>
        <v>#DIV/0!</v>
      </c>
      <c r="AF89" s="20" t="e">
        <f t="shared" si="2"/>
        <v>#DIV/0!</v>
      </c>
      <c r="AG89" s="37" t="e">
        <f t="shared" si="2"/>
        <v>#DIV/0!</v>
      </c>
    </row>
    <row r="90" spans="1:33" ht="15.75" thickBot="1">
      <c r="A90" s="38" t="s">
        <v>43</v>
      </c>
      <c r="B90" s="39" t="e">
        <f>B89*15</f>
        <v>#DIV/0!</v>
      </c>
      <c r="C90" s="39" t="e">
        <f t="shared" ref="C90:AG90" si="3">C89*15</f>
        <v>#DIV/0!</v>
      </c>
      <c r="D90" s="39" t="e">
        <f t="shared" si="3"/>
        <v>#DIV/0!</v>
      </c>
      <c r="E90" s="39" t="e">
        <f t="shared" si="3"/>
        <v>#DIV/0!</v>
      </c>
      <c r="F90" s="39" t="e">
        <f t="shared" si="3"/>
        <v>#DIV/0!</v>
      </c>
      <c r="G90" s="39" t="e">
        <f t="shared" si="3"/>
        <v>#DIV/0!</v>
      </c>
      <c r="H90" s="39" t="e">
        <f t="shared" si="3"/>
        <v>#DIV/0!</v>
      </c>
      <c r="I90" s="39" t="e">
        <f t="shared" si="3"/>
        <v>#DIV/0!</v>
      </c>
      <c r="J90" s="39" t="e">
        <f t="shared" si="3"/>
        <v>#DIV/0!</v>
      </c>
      <c r="K90" s="39" t="e">
        <f t="shared" si="3"/>
        <v>#DIV/0!</v>
      </c>
      <c r="L90" s="39" t="e">
        <f t="shared" si="3"/>
        <v>#DIV/0!</v>
      </c>
      <c r="M90" s="39" t="e">
        <f t="shared" si="3"/>
        <v>#DIV/0!</v>
      </c>
      <c r="N90" s="39" t="e">
        <f t="shared" si="3"/>
        <v>#DIV/0!</v>
      </c>
      <c r="O90" s="39" t="e">
        <f t="shared" si="3"/>
        <v>#DIV/0!</v>
      </c>
      <c r="P90" s="39" t="e">
        <f t="shared" si="3"/>
        <v>#DIV/0!</v>
      </c>
      <c r="Q90" s="39" t="e">
        <f t="shared" si="3"/>
        <v>#DIV/0!</v>
      </c>
      <c r="R90" s="39" t="e">
        <f t="shared" si="3"/>
        <v>#DIV/0!</v>
      </c>
      <c r="S90" s="39" t="e">
        <f t="shared" si="3"/>
        <v>#DIV/0!</v>
      </c>
      <c r="T90" s="39" t="e">
        <f t="shared" si="3"/>
        <v>#DIV/0!</v>
      </c>
      <c r="U90" s="39" t="e">
        <f t="shared" si="3"/>
        <v>#DIV/0!</v>
      </c>
      <c r="V90" s="39" t="e">
        <f t="shared" si="3"/>
        <v>#DIV/0!</v>
      </c>
      <c r="W90" s="39" t="e">
        <f t="shared" si="3"/>
        <v>#DIV/0!</v>
      </c>
      <c r="X90" s="39" t="e">
        <f t="shared" si="3"/>
        <v>#DIV/0!</v>
      </c>
      <c r="Y90" s="39" t="e">
        <f t="shared" si="3"/>
        <v>#DIV/0!</v>
      </c>
      <c r="Z90" s="39" t="e">
        <f t="shared" si="3"/>
        <v>#DIV/0!</v>
      </c>
      <c r="AA90" s="39" t="e">
        <f t="shared" si="3"/>
        <v>#DIV/0!</v>
      </c>
      <c r="AB90" s="39" t="e">
        <f t="shared" si="3"/>
        <v>#DIV/0!</v>
      </c>
      <c r="AC90" s="39" t="e">
        <f t="shared" si="3"/>
        <v>#DIV/0!</v>
      </c>
      <c r="AD90" s="39" t="e">
        <f t="shared" si="3"/>
        <v>#DIV/0!</v>
      </c>
      <c r="AE90" s="39" t="e">
        <f t="shared" si="3"/>
        <v>#DIV/0!</v>
      </c>
      <c r="AF90" s="39" t="e">
        <f t="shared" si="3"/>
        <v>#DIV/0!</v>
      </c>
      <c r="AG90" s="40" t="e">
        <f t="shared" si="3"/>
        <v>#DIV/0!</v>
      </c>
    </row>
    <row r="91" spans="1:33">
      <c r="A91" s="16"/>
    </row>
    <row r="92" spans="1:33">
      <c r="A92" s="16"/>
    </row>
    <row r="93" spans="1:33">
      <c r="A93" s="16"/>
    </row>
    <row r="94" spans="1:33">
      <c r="A94" s="16"/>
    </row>
    <row r="95" spans="1:33">
      <c r="A95" s="16"/>
    </row>
    <row r="96" spans="1:33">
      <c r="A96" s="16"/>
    </row>
    <row r="97" spans="1:1">
      <c r="A97" s="16"/>
    </row>
    <row r="98" spans="1:1">
      <c r="A98" s="16"/>
    </row>
    <row r="99" spans="1:1">
      <c r="A99" s="16"/>
    </row>
    <row r="100" spans="1:1">
      <c r="A100" s="16"/>
    </row>
    <row r="101" spans="1:1">
      <c r="A101" s="16"/>
    </row>
    <row r="102" spans="1:1">
      <c r="A102" s="16"/>
    </row>
    <row r="103" spans="1:1">
      <c r="A103" s="16"/>
    </row>
    <row r="104" spans="1:1">
      <c r="A104" s="16"/>
    </row>
    <row r="105" spans="1:1">
      <c r="A105" s="16"/>
    </row>
    <row r="106" spans="1:1">
      <c r="A106" s="16"/>
    </row>
    <row r="107" spans="1:1">
      <c r="A107" s="16"/>
    </row>
    <row r="108" spans="1:1">
      <c r="A108" s="16"/>
    </row>
    <row r="109" spans="1:1">
      <c r="A109" s="16"/>
    </row>
    <row r="110" spans="1:1">
      <c r="A110" s="16"/>
    </row>
    <row r="111" spans="1:1">
      <c r="A111" s="16"/>
    </row>
    <row r="112" spans="1:1">
      <c r="A112" s="16"/>
    </row>
    <row r="113" spans="1:1">
      <c r="A113" s="16"/>
    </row>
    <row r="114" spans="1:1">
      <c r="A114" s="16"/>
    </row>
    <row r="115" spans="1:1">
      <c r="A115" s="16"/>
    </row>
    <row r="116" spans="1:1">
      <c r="A116" s="16"/>
    </row>
    <row r="117" spans="1:1">
      <c r="A117" s="16"/>
    </row>
    <row r="118" spans="1:1">
      <c r="A118" s="16"/>
    </row>
    <row r="119" spans="1:1">
      <c r="A119" s="16"/>
    </row>
    <row r="120" spans="1:1">
      <c r="A120" s="16"/>
    </row>
    <row r="121" spans="1:1">
      <c r="A121" s="16"/>
    </row>
    <row r="122" spans="1:1">
      <c r="A122" s="16"/>
    </row>
    <row r="123" spans="1:1">
      <c r="A123" s="16"/>
    </row>
    <row r="124" spans="1:1">
      <c r="A124" s="16"/>
    </row>
    <row r="125" spans="1:1">
      <c r="A125" s="16"/>
    </row>
    <row r="126" spans="1:1">
      <c r="A126" s="16"/>
    </row>
    <row r="127" spans="1:1">
      <c r="A127" s="16"/>
    </row>
    <row r="128" spans="1:1">
      <c r="A128" s="16"/>
    </row>
    <row r="129" spans="1:1">
      <c r="A129" s="16"/>
    </row>
    <row r="130" spans="1:1">
      <c r="A130" s="16"/>
    </row>
    <row r="131" spans="1:1">
      <c r="A131" s="16"/>
    </row>
    <row r="132" spans="1:1">
      <c r="A132" s="16"/>
    </row>
    <row r="133" spans="1:1">
      <c r="A133" s="16"/>
    </row>
    <row r="134" spans="1:1">
      <c r="A134" s="16"/>
    </row>
    <row r="135" spans="1:1">
      <c r="A135" s="16"/>
    </row>
    <row r="136" spans="1:1">
      <c r="A136" s="16"/>
    </row>
    <row r="137" spans="1:1">
      <c r="A137" s="16"/>
    </row>
    <row r="138" spans="1:1">
      <c r="A138" s="16"/>
    </row>
    <row r="139" spans="1:1">
      <c r="A139" s="16"/>
    </row>
    <row r="140" spans="1:1">
      <c r="A140" s="16"/>
    </row>
    <row r="141" spans="1:1">
      <c r="A141" s="16"/>
    </row>
    <row r="142" spans="1:1">
      <c r="A142" s="16"/>
    </row>
    <row r="143" spans="1:1">
      <c r="A143" s="16"/>
    </row>
    <row r="144" spans="1:1">
      <c r="A144" s="16"/>
    </row>
    <row r="145" spans="1:1">
      <c r="A145" s="16"/>
    </row>
    <row r="146" spans="1:1">
      <c r="A146" s="16"/>
    </row>
    <row r="147" spans="1:1">
      <c r="A147" s="16"/>
    </row>
    <row r="148" spans="1:1">
      <c r="A148" s="16"/>
    </row>
    <row r="149" spans="1:1">
      <c r="A149" s="16"/>
    </row>
    <row r="150" spans="1:1">
      <c r="A150" s="16"/>
    </row>
    <row r="151" spans="1:1">
      <c r="A151" s="16"/>
    </row>
    <row r="152" spans="1:1">
      <c r="A152" s="16"/>
    </row>
    <row r="153" spans="1:1">
      <c r="A153" s="16"/>
    </row>
    <row r="154" spans="1:1">
      <c r="A154" s="16"/>
    </row>
    <row r="155" spans="1:1">
      <c r="A155" s="16"/>
    </row>
    <row r="156" spans="1:1">
      <c r="A156" s="16"/>
    </row>
    <row r="157" spans="1:1">
      <c r="A157" s="16"/>
    </row>
    <row r="158" spans="1:1">
      <c r="A158" s="16"/>
    </row>
    <row r="159" spans="1:1">
      <c r="A159" s="16"/>
    </row>
    <row r="160" spans="1:1">
      <c r="A160" s="16"/>
    </row>
    <row r="161" spans="1:1">
      <c r="A161" s="16"/>
    </row>
    <row r="162" spans="1:1">
      <c r="A162" s="16"/>
    </row>
    <row r="163" spans="1:1">
      <c r="A163" s="16"/>
    </row>
    <row r="164" spans="1:1">
      <c r="A164" s="16"/>
    </row>
    <row r="165" spans="1:1">
      <c r="A165" s="16"/>
    </row>
    <row r="166" spans="1:1">
      <c r="A166" s="16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7</vt:i4>
      </vt:variant>
    </vt:vector>
  </HeadingPairs>
  <TitlesOfParts>
    <vt:vector size="13" baseType="lpstr">
      <vt:lpstr>Summary</vt:lpstr>
      <vt:lpstr>Calculations</vt:lpstr>
      <vt:lpstr>data0</vt:lpstr>
      <vt:lpstr>data1</vt:lpstr>
      <vt:lpstr>data2</vt:lpstr>
      <vt:lpstr>data3</vt:lpstr>
      <vt:lpstr>params</vt:lpstr>
      <vt:lpstr>partNumber</vt:lpstr>
      <vt:lpstr>Summary!Print_Area</vt:lpstr>
      <vt:lpstr>PswpStart</vt:lpstr>
      <vt:lpstr>PswpStep</vt:lpstr>
      <vt:lpstr>PswpStop</vt:lpstr>
      <vt:lpstr>relativePrx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2013-02-25T18:47:46Z</dcterms:modified>
</cp:coreProperties>
</file>