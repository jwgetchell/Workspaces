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defaultThemeVersion="124226"/>
  <bookViews>
    <workbookView xWindow="795" yWindow="-15" windowWidth="15480" windowHeight="11640" tabRatio="747"/>
  </bookViews>
  <sheets>
    <sheet name="Summary" sheetId="2" r:id="rId1"/>
    <sheet name="Calculations" sheetId="4" r:id="rId2"/>
    <sheet name="data0" sheetId="3" r:id="rId3"/>
  </sheets>
  <definedNames>
    <definedName name="_xlnm.Print_Area" localSheetId="2">data0!$A$1:$AO$14</definedName>
    <definedName name="_xlnm.Print_Area" localSheetId="0">Summary!$A$1:$G$6</definedName>
  </definedNames>
  <calcPr calcId="125725"/>
</workbook>
</file>

<file path=xl/calcChain.xml><?xml version="1.0" encoding="utf-8"?>
<calcChain xmlns="http://schemas.openxmlformats.org/spreadsheetml/2006/main">
  <c r="L24" i="4"/>
  <c r="K24"/>
  <c r="G9"/>
  <c r="G8"/>
  <c r="G7"/>
  <c r="G6"/>
  <c r="G5"/>
  <c r="G4"/>
  <c r="G3"/>
  <c r="F9"/>
  <c r="F8"/>
  <c r="F7"/>
  <c r="F6"/>
  <c r="F5"/>
  <c r="F4"/>
  <c r="F3"/>
  <c r="T3"/>
  <c r="E53"/>
  <c r="E52"/>
  <c r="P79"/>
  <c r="O79"/>
  <c r="N79"/>
  <c r="M79"/>
  <c r="L79"/>
  <c r="K79"/>
  <c r="J79"/>
  <c r="I79"/>
  <c r="H79"/>
  <c r="P78"/>
  <c r="O78"/>
  <c r="N78"/>
  <c r="M78"/>
  <c r="L78"/>
  <c r="K78"/>
  <c r="J78"/>
  <c r="I78"/>
  <c r="H78"/>
  <c r="P77"/>
  <c r="O77"/>
  <c r="N77"/>
  <c r="M77"/>
  <c r="L77"/>
  <c r="K77"/>
  <c r="J77"/>
  <c r="I77"/>
  <c r="H77"/>
  <c r="P76"/>
  <c r="O76"/>
  <c r="N76"/>
  <c r="M76"/>
  <c r="L76"/>
  <c r="K76"/>
  <c r="J76"/>
  <c r="I76"/>
  <c r="H76"/>
  <c r="P75"/>
  <c r="O75"/>
  <c r="N75"/>
  <c r="M75"/>
  <c r="L75"/>
  <c r="K75"/>
  <c r="J75"/>
  <c r="I75"/>
  <c r="H75"/>
  <c r="P74"/>
  <c r="O74"/>
  <c r="N74"/>
  <c r="M74"/>
  <c r="L74"/>
  <c r="K74"/>
  <c r="J74"/>
  <c r="I74"/>
  <c r="H74"/>
  <c r="P73"/>
  <c r="O73"/>
  <c r="N73"/>
  <c r="M73"/>
  <c r="L73"/>
  <c r="K73"/>
  <c r="J73"/>
  <c r="I73"/>
  <c r="H73"/>
  <c r="P72"/>
  <c r="O72"/>
  <c r="N72"/>
  <c r="M72"/>
  <c r="L72"/>
  <c r="K72"/>
  <c r="J72"/>
  <c r="I72"/>
  <c r="H72"/>
  <c r="P71"/>
  <c r="O71"/>
  <c r="N71"/>
  <c r="M71"/>
  <c r="L71"/>
  <c r="K71"/>
  <c r="J71"/>
  <c r="I71"/>
  <c r="H71"/>
  <c r="P70"/>
  <c r="O70"/>
  <c r="N70"/>
  <c r="M70"/>
  <c r="L70"/>
  <c r="K70"/>
  <c r="J70"/>
  <c r="I70"/>
  <c r="H70"/>
  <c r="P69"/>
  <c r="O69"/>
  <c r="N69"/>
  <c r="M69"/>
  <c r="L69"/>
  <c r="K69"/>
  <c r="J69"/>
  <c r="I69"/>
  <c r="H69"/>
  <c r="P68"/>
  <c r="O68"/>
  <c r="N68"/>
  <c r="M68"/>
  <c r="L68"/>
  <c r="K68"/>
  <c r="J68"/>
  <c r="I68"/>
  <c r="H68"/>
  <c r="P67"/>
  <c r="O67"/>
  <c r="N67"/>
  <c r="M67"/>
  <c r="L67"/>
  <c r="K67"/>
  <c r="J67"/>
  <c r="I67"/>
  <c r="H67"/>
  <c r="P66"/>
  <c r="O66"/>
  <c r="N66"/>
  <c r="M66"/>
  <c r="L66"/>
  <c r="K66"/>
  <c r="J66"/>
  <c r="I66"/>
  <c r="H66"/>
  <c r="P65"/>
  <c r="O65"/>
  <c r="N65"/>
  <c r="M65"/>
  <c r="L65"/>
  <c r="K65"/>
  <c r="J65"/>
  <c r="I65"/>
  <c r="H65"/>
  <c r="P64"/>
  <c r="O64"/>
  <c r="N64"/>
  <c r="M64"/>
  <c r="L64"/>
  <c r="K64"/>
  <c r="J64"/>
  <c r="I64"/>
  <c r="H64"/>
  <c r="P63"/>
  <c r="O63"/>
  <c r="N63"/>
  <c r="M63"/>
  <c r="L63"/>
  <c r="K63"/>
  <c r="J63"/>
  <c r="I63"/>
  <c r="H63"/>
  <c r="P62"/>
  <c r="O62"/>
  <c r="N62"/>
  <c r="M62"/>
  <c r="L62"/>
  <c r="K62"/>
  <c r="J62"/>
  <c r="I62"/>
  <c r="H62"/>
  <c r="P61"/>
  <c r="O61"/>
  <c r="N61"/>
  <c r="M61"/>
  <c r="L61"/>
  <c r="K61"/>
  <c r="J61"/>
  <c r="I61"/>
  <c r="H61"/>
  <c r="P60"/>
  <c r="O60"/>
  <c r="N60"/>
  <c r="M60"/>
  <c r="L60"/>
  <c r="K60"/>
  <c r="J60"/>
  <c r="I60"/>
  <c r="H60"/>
  <c r="P59"/>
  <c r="O59"/>
  <c r="N59"/>
  <c r="M59"/>
  <c r="L59"/>
  <c r="K59"/>
  <c r="J59"/>
  <c r="I59"/>
  <c r="H59"/>
  <c r="P58"/>
  <c r="O58"/>
  <c r="N58"/>
  <c r="M58"/>
  <c r="L58"/>
  <c r="K58"/>
  <c r="J58"/>
  <c r="I58"/>
  <c r="H58"/>
  <c r="P57"/>
  <c r="O57"/>
  <c r="N57"/>
  <c r="M57"/>
  <c r="L57"/>
  <c r="K57"/>
  <c r="J57"/>
  <c r="I57"/>
  <c r="H57"/>
  <c r="P56"/>
  <c r="O56"/>
  <c r="N56"/>
  <c r="M56"/>
  <c r="L56"/>
  <c r="K56"/>
  <c r="J56"/>
  <c r="I56"/>
  <c r="H56"/>
  <c r="P55"/>
  <c r="P85" s="1"/>
  <c r="P86" s="1"/>
  <c r="O55"/>
  <c r="O85" s="1"/>
  <c r="O86" s="1"/>
  <c r="N55"/>
  <c r="N85" s="1"/>
  <c r="N86" s="1"/>
  <c r="M55"/>
  <c r="M85" s="1"/>
  <c r="M86" s="1"/>
  <c r="L55"/>
  <c r="L85" s="1"/>
  <c r="L86" s="1"/>
  <c r="K55"/>
  <c r="K85" s="1"/>
  <c r="K86" s="1"/>
  <c r="J55"/>
  <c r="J85" s="1"/>
  <c r="J86" s="1"/>
  <c r="I55"/>
  <c r="I85" s="1"/>
  <c r="I86" s="1"/>
  <c r="H55"/>
  <c r="H85" s="1"/>
  <c r="H86" s="1"/>
  <c r="P54"/>
  <c r="P83" s="1"/>
  <c r="P84" s="1"/>
  <c r="O54"/>
  <c r="O83" s="1"/>
  <c r="O84" s="1"/>
  <c r="N54"/>
  <c r="N83" s="1"/>
  <c r="N84" s="1"/>
  <c r="M54"/>
  <c r="M83" s="1"/>
  <c r="M84" s="1"/>
  <c r="L54"/>
  <c r="L83" s="1"/>
  <c r="L84" s="1"/>
  <c r="K54"/>
  <c r="K83" s="1"/>
  <c r="K84" s="1"/>
  <c r="J54"/>
  <c r="J83" s="1"/>
  <c r="J84" s="1"/>
  <c r="I54"/>
  <c r="I83" s="1"/>
  <c r="I84" s="1"/>
  <c r="H54"/>
  <c r="H83" s="1"/>
  <c r="H84" s="1"/>
  <c r="P53"/>
  <c r="P81" s="1"/>
  <c r="P82" s="1"/>
  <c r="O53"/>
  <c r="O81" s="1"/>
  <c r="O82" s="1"/>
  <c r="N53"/>
  <c r="N81" s="1"/>
  <c r="N82" s="1"/>
  <c r="M53"/>
  <c r="M81" s="1"/>
  <c r="M82" s="1"/>
  <c r="L53"/>
  <c r="L81" s="1"/>
  <c r="L82" s="1"/>
  <c r="K53"/>
  <c r="K81" s="1"/>
  <c r="K82" s="1"/>
  <c r="J53"/>
  <c r="J81" s="1"/>
  <c r="J82" s="1"/>
  <c r="I53"/>
  <c r="I81" s="1"/>
  <c r="I82" s="1"/>
  <c r="H53"/>
  <c r="H81" s="1"/>
  <c r="H82" s="1"/>
  <c r="P52"/>
  <c r="O52"/>
  <c r="N52"/>
  <c r="M52"/>
  <c r="L52"/>
  <c r="K52"/>
  <c r="J52"/>
  <c r="I52"/>
  <c r="H52"/>
  <c r="G81"/>
  <c r="W23"/>
  <c r="U23"/>
  <c r="T23"/>
  <c r="R23"/>
  <c r="Q23"/>
  <c r="O23"/>
  <c r="W1"/>
  <c r="U1"/>
  <c r="T1"/>
  <c r="R1"/>
  <c r="O13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2"/>
  <c r="K2"/>
  <c r="J2"/>
  <c r="C85" l="1"/>
  <c r="C83"/>
  <c r="C81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85" s="1"/>
  <c r="G86" s="1"/>
  <c r="G54"/>
  <c r="G83" s="1"/>
  <c r="G84" s="1"/>
  <c r="G53"/>
  <c r="G82" s="1"/>
  <c r="G52"/>
  <c r="D84" l="1"/>
  <c r="D86" s="1"/>
  <c r="D83"/>
  <c r="D85" s="1"/>
  <c r="C6" i="2"/>
  <c r="C8" s="1"/>
  <c r="C5"/>
  <c r="C7" s="1"/>
  <c r="G4"/>
  <c r="G5" s="1"/>
  <c r="G6" s="1"/>
  <c r="G7" s="1"/>
  <c r="G8" s="1"/>
  <c r="A4"/>
  <c r="A5" s="1"/>
  <c r="A6" s="1"/>
  <c r="A7" s="1"/>
  <c r="A8" s="1"/>
  <c r="T14" i="4"/>
  <c r="T15" s="1"/>
  <c r="T16" s="1"/>
  <c r="T17" s="1"/>
  <c r="T18" s="1"/>
  <c r="P16"/>
  <c r="P18" s="1"/>
  <c r="P15"/>
  <c r="P17" s="1"/>
  <c r="N14"/>
  <c r="N15" s="1"/>
  <c r="N16" s="1"/>
  <c r="N17" s="1"/>
  <c r="N18" s="1"/>
  <c r="C14"/>
  <c r="C30" i="2" s="1"/>
  <c r="O24" i="4"/>
  <c r="P24" s="1"/>
  <c r="Q24" s="1"/>
  <c r="R24" s="1"/>
  <c r="S24" s="1"/>
  <c r="T24" s="1"/>
  <c r="U24" s="1"/>
  <c r="V24" s="1"/>
  <c r="W24" s="1"/>
  <c r="N23"/>
  <c r="O2"/>
  <c r="P2" s="1"/>
  <c r="Q2" s="1"/>
  <c r="R2" s="1"/>
  <c r="S2" s="1"/>
  <c r="T2" s="1"/>
  <c r="U2" s="1"/>
  <c r="V2" s="1"/>
  <c r="W2" s="1"/>
  <c r="N1"/>
  <c r="I35"/>
  <c r="I23"/>
  <c r="I14" l="1"/>
  <c r="E72"/>
  <c r="I8" s="1"/>
  <c r="E62"/>
  <c r="K5" s="1"/>
  <c r="I3"/>
  <c r="G51"/>
  <c r="D51"/>
  <c r="E58" l="1"/>
  <c r="E60"/>
  <c r="E63"/>
  <c r="L5" s="1"/>
  <c r="E65"/>
  <c r="E68"/>
  <c r="E70"/>
  <c r="E73"/>
  <c r="E75"/>
  <c r="E78"/>
  <c r="E59"/>
  <c r="E64"/>
  <c r="E66"/>
  <c r="K6" s="1"/>
  <c r="E69"/>
  <c r="E71"/>
  <c r="L7" s="1"/>
  <c r="E74"/>
  <c r="E76"/>
  <c r="I9" s="1"/>
  <c r="E79"/>
  <c r="E54"/>
  <c r="K3" s="1"/>
  <c r="S3" s="1"/>
  <c r="E56"/>
  <c r="I4" s="1"/>
  <c r="E61"/>
  <c r="J5" s="1"/>
  <c r="P5" s="1"/>
  <c r="F61"/>
  <c r="J17" s="1"/>
  <c r="K27"/>
  <c r="S27" s="1"/>
  <c r="S1"/>
  <c r="O15"/>
  <c r="B5" i="2" s="1"/>
  <c r="J3" i="4"/>
  <c r="E55"/>
  <c r="L3" s="1"/>
  <c r="V3" s="1"/>
  <c r="J27"/>
  <c r="P27" s="1"/>
  <c r="V7"/>
  <c r="I15"/>
  <c r="I25" s="1"/>
  <c r="N25" s="1"/>
  <c r="N3"/>
  <c r="I21"/>
  <c r="I31" s="1"/>
  <c r="N31" s="1"/>
  <c r="N9"/>
  <c r="J24"/>
  <c r="P23" s="1"/>
  <c r="B3" i="2"/>
  <c r="P1" i="4"/>
  <c r="O17"/>
  <c r="B7" i="2" s="1"/>
  <c r="V1" i="4"/>
  <c r="V23"/>
  <c r="L14"/>
  <c r="L36" s="1"/>
  <c r="S23"/>
  <c r="K14"/>
  <c r="K36" s="1"/>
  <c r="J14"/>
  <c r="J36" s="1"/>
  <c r="E57"/>
  <c r="J4" s="1"/>
  <c r="P4" s="1"/>
  <c r="E67"/>
  <c r="L6" s="1"/>
  <c r="E77"/>
  <c r="J9" s="1"/>
  <c r="P9" s="1"/>
  <c r="F52"/>
  <c r="F57"/>
  <c r="F62"/>
  <c r="F67"/>
  <c r="F72"/>
  <c r="F77"/>
  <c r="F54"/>
  <c r="K15" s="1"/>
  <c r="K37" s="1"/>
  <c r="F55"/>
  <c r="L15" s="1"/>
  <c r="L37" s="1"/>
  <c r="F56"/>
  <c r="F58"/>
  <c r="F59"/>
  <c r="F60"/>
  <c r="F63"/>
  <c r="F64"/>
  <c r="F65"/>
  <c r="F66"/>
  <c r="K18" s="1"/>
  <c r="F68"/>
  <c r="F69"/>
  <c r="F70"/>
  <c r="F71"/>
  <c r="L19" s="1"/>
  <c r="F73"/>
  <c r="F74"/>
  <c r="F75"/>
  <c r="F76"/>
  <c r="F78"/>
  <c r="F79"/>
  <c r="F53"/>
  <c r="J15" s="1"/>
  <c r="J37" s="1"/>
  <c r="F1" i="3"/>
  <c r="K21" i="4" l="1"/>
  <c r="K43" s="1"/>
  <c r="L41"/>
  <c r="L20"/>
  <c r="L42" s="1"/>
  <c r="J20"/>
  <c r="J42" s="1"/>
  <c r="K19"/>
  <c r="J18"/>
  <c r="J39"/>
  <c r="L17"/>
  <c r="L39" s="1"/>
  <c r="L16"/>
  <c r="J21"/>
  <c r="J43" s="1"/>
  <c r="L18"/>
  <c r="L40" s="1"/>
  <c r="J16"/>
  <c r="P3"/>
  <c r="L4"/>
  <c r="K9"/>
  <c r="J8"/>
  <c r="J30" s="1"/>
  <c r="P30" s="1"/>
  <c r="I7"/>
  <c r="J26"/>
  <c r="P26" s="1"/>
  <c r="K4"/>
  <c r="K26" s="1"/>
  <c r="S26" s="1"/>
  <c r="J40"/>
  <c r="J31"/>
  <c r="P31" s="1"/>
  <c r="L21"/>
  <c r="L43" s="1"/>
  <c r="K41"/>
  <c r="K20"/>
  <c r="K42" s="1"/>
  <c r="K40"/>
  <c r="J19"/>
  <c r="J41" s="1"/>
  <c r="J38"/>
  <c r="K16"/>
  <c r="K38" s="1"/>
  <c r="K17"/>
  <c r="L9"/>
  <c r="K8"/>
  <c r="K30" s="1"/>
  <c r="S30" s="1"/>
  <c r="S6"/>
  <c r="J7"/>
  <c r="P7" s="1"/>
  <c r="S5"/>
  <c r="I6"/>
  <c r="L29"/>
  <c r="V29" s="1"/>
  <c r="L8"/>
  <c r="L28"/>
  <c r="V28" s="1"/>
  <c r="K7"/>
  <c r="S7" s="1"/>
  <c r="L27"/>
  <c r="V27" s="1"/>
  <c r="J6"/>
  <c r="J10" s="1"/>
  <c r="L26"/>
  <c r="V26" s="1"/>
  <c r="I5"/>
  <c r="K39"/>
  <c r="T27" s="1"/>
  <c r="L38"/>
  <c r="V6"/>
  <c r="K25"/>
  <c r="S25" s="1"/>
  <c r="S8"/>
  <c r="K29"/>
  <c r="S29" s="1"/>
  <c r="T29" s="1"/>
  <c r="V5"/>
  <c r="K28"/>
  <c r="S28" s="1"/>
  <c r="R28" s="1"/>
  <c r="V4"/>
  <c r="Q26"/>
  <c r="O31"/>
  <c r="O27"/>
  <c r="P6"/>
  <c r="L25"/>
  <c r="V25" s="1"/>
  <c r="I37"/>
  <c r="U29"/>
  <c r="W26"/>
  <c r="L10"/>
  <c r="L32" s="1"/>
  <c r="S4"/>
  <c r="J25"/>
  <c r="P25" s="1"/>
  <c r="I43"/>
  <c r="G1" i="3"/>
  <c r="H51" i="4"/>
  <c r="E85"/>
  <c r="F85"/>
  <c r="I20"/>
  <c r="I30" s="1"/>
  <c r="I42" s="1"/>
  <c r="N8"/>
  <c r="I16"/>
  <c r="I26" s="1"/>
  <c r="I38" s="1"/>
  <c r="N4"/>
  <c r="U3"/>
  <c r="W3"/>
  <c r="R3"/>
  <c r="R29"/>
  <c r="U26"/>
  <c r="O26"/>
  <c r="R27"/>
  <c r="Q31"/>
  <c r="W29"/>
  <c r="Q27"/>
  <c r="T28"/>
  <c r="I18"/>
  <c r="I28" s="1"/>
  <c r="N6"/>
  <c r="Q9"/>
  <c r="O9"/>
  <c r="W7"/>
  <c r="U7"/>
  <c r="Q7"/>
  <c r="O7"/>
  <c r="W6"/>
  <c r="U6"/>
  <c r="Q6"/>
  <c r="O6"/>
  <c r="W5"/>
  <c r="U5"/>
  <c r="Q5"/>
  <c r="O5"/>
  <c r="W4"/>
  <c r="U4"/>
  <c r="Q4"/>
  <c r="O4"/>
  <c r="E81"/>
  <c r="F81"/>
  <c r="T8"/>
  <c r="R8"/>
  <c r="T6"/>
  <c r="R6"/>
  <c r="T5"/>
  <c r="R5"/>
  <c r="T4"/>
  <c r="R4"/>
  <c r="E83"/>
  <c r="F83"/>
  <c r="I40"/>
  <c r="N28"/>
  <c r="W25"/>
  <c r="U25"/>
  <c r="Q25"/>
  <c r="O25"/>
  <c r="R25"/>
  <c r="T25"/>
  <c r="N30"/>
  <c r="N26"/>
  <c r="J32" l="1"/>
  <c r="J11"/>
  <c r="J33" s="1"/>
  <c r="T7"/>
  <c r="R7"/>
  <c r="T30"/>
  <c r="R30"/>
  <c r="W28"/>
  <c r="U28"/>
  <c r="T26"/>
  <c r="R26"/>
  <c r="U27"/>
  <c r="W27"/>
  <c r="Q30"/>
  <c r="O30"/>
  <c r="O3"/>
  <c r="Q3"/>
  <c r="J28"/>
  <c r="P28" s="1"/>
  <c r="J29"/>
  <c r="P29" s="1"/>
  <c r="P8"/>
  <c r="I17"/>
  <c r="I27" s="1"/>
  <c r="N5"/>
  <c r="L30"/>
  <c r="V30" s="1"/>
  <c r="V8"/>
  <c r="L31"/>
  <c r="V31" s="1"/>
  <c r="V9"/>
  <c r="I19"/>
  <c r="I29" s="1"/>
  <c r="N7"/>
  <c r="S9"/>
  <c r="K31"/>
  <c r="S31" s="1"/>
  <c r="K10"/>
  <c r="L11"/>
  <c r="L33" s="1"/>
  <c r="H1" i="3"/>
  <c r="I51" i="4"/>
  <c r="E84"/>
  <c r="F84"/>
  <c r="S15"/>
  <c r="F5" i="2" s="1"/>
  <c r="Q15" i="4"/>
  <c r="D5" i="2" s="1"/>
  <c r="R15" i="4"/>
  <c r="S17"/>
  <c r="Q17"/>
  <c r="R17"/>
  <c r="E86"/>
  <c r="F86"/>
  <c r="E82"/>
  <c r="F82"/>
  <c r="Q13"/>
  <c r="D3" i="2" s="1"/>
  <c r="R13" i="4"/>
  <c r="E3" i="2" s="1"/>
  <c r="S13" i="4"/>
  <c r="F3" i="2" s="1"/>
  <c r="E5"/>
  <c r="T31" i="4" l="1"/>
  <c r="R31"/>
  <c r="U9"/>
  <c r="W9"/>
  <c r="W8"/>
  <c r="U8"/>
  <c r="Q8"/>
  <c r="O8"/>
  <c r="O28"/>
  <c r="Q28"/>
  <c r="K32"/>
  <c r="K11"/>
  <c r="K33" s="1"/>
  <c r="T9"/>
  <c r="R9"/>
  <c r="N29"/>
  <c r="I41"/>
  <c r="U31"/>
  <c r="W31"/>
  <c r="W30"/>
  <c r="U30"/>
  <c r="N27"/>
  <c r="I39"/>
  <c r="O29"/>
  <c r="Q29"/>
  <c r="I1" i="3"/>
  <c r="J51" i="4"/>
  <c r="R16"/>
  <c r="E6" i="2" s="1"/>
  <c r="S16" i="4"/>
  <c r="F6" i="2" s="1"/>
  <c r="Q16" i="4"/>
  <c r="D6" i="2" s="1"/>
  <c r="R14" i="4"/>
  <c r="E4" i="2" s="1"/>
  <c r="S14" i="4"/>
  <c r="F4" i="2" s="1"/>
  <c r="Q14" i="4"/>
  <c r="D4" i="2" s="1"/>
  <c r="R18" i="4"/>
  <c r="E8" i="2" s="1"/>
  <c r="S18" i="4"/>
  <c r="F8" i="2" s="1"/>
  <c r="Q18" i="4"/>
  <c r="D8" i="2" s="1"/>
  <c r="F7"/>
  <c r="D7"/>
  <c r="E7"/>
  <c r="J1" i="3" l="1"/>
  <c r="K51" i="4"/>
  <c r="K1" i="3" l="1"/>
  <c r="L51" i="4"/>
  <c r="L1" i="3" l="1"/>
  <c r="M1" l="1"/>
  <c r="N1" l="1"/>
  <c r="O1" l="1"/>
  <c r="P1" l="1"/>
  <c r="Q1" l="1"/>
  <c r="R1" l="1"/>
  <c r="S1" l="1"/>
  <c r="T1" l="1"/>
  <c r="U1" l="1"/>
  <c r="V1" l="1"/>
  <c r="W1" l="1"/>
  <c r="X1" l="1"/>
  <c r="Y1" l="1"/>
  <c r="Z1" l="1"/>
  <c r="AA1" l="1"/>
  <c r="AB1" l="1"/>
  <c r="AC1" l="1"/>
  <c r="AD1" l="1"/>
  <c r="AE1" l="1"/>
  <c r="AF1" l="1"/>
  <c r="AG1" l="1"/>
  <c r="AH1" l="1"/>
  <c r="AI1" l="1"/>
  <c r="AJ1" l="1"/>
</calcChain>
</file>

<file path=xl/sharedStrings.xml><?xml version="1.0" encoding="utf-8"?>
<sst xmlns="http://schemas.openxmlformats.org/spreadsheetml/2006/main" count="50" uniqueCount="27">
  <si>
    <t>#</t>
  </si>
  <si>
    <t>Label</t>
  </si>
  <si>
    <t>%FSR</t>
  </si>
  <si>
    <t>Unit</t>
  </si>
  <si>
    <t>Measurements</t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</si>
  <si>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</si>
  <si>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</si>
  <si>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Mean</t>
  </si>
  <si>
    <t>FW</t>
  </si>
  <si>
    <t>Offset</t>
  </si>
  <si>
    <t>Delta</t>
  </si>
  <si>
    <t>IR</t>
  </si>
  <si>
    <t>Note: test time ~4min/unit; 3hrs/lot; 30min/sample</t>
  </si>
  <si>
    <t>#/samples=</t>
  </si>
  <si>
    <r>
      <t>Proximity Ambient Rejection C3 22</t>
    </r>
    <r>
      <rPr>
        <sz val="11"/>
        <color theme="1"/>
        <rFont val="Symbol"/>
        <family val="1"/>
        <charset val="2"/>
      </rPr>
      <t>W</t>
    </r>
    <r>
      <rPr>
        <sz val="11"/>
        <color theme="1"/>
        <rFont val="Calibri"/>
        <family val="2"/>
        <scheme val="minor"/>
      </rPr>
      <t xml:space="preserve"> Vdd</t>
    </r>
  </si>
  <si>
    <t>StDev</t>
  </si>
  <si>
    <t>Level</t>
  </si>
  <si>
    <t>Rise</t>
  </si>
  <si>
    <t>Droop</t>
  </si>
  <si>
    <t>Dynamic Range</t>
  </si>
  <si>
    <t>kLux</t>
  </si>
  <si>
    <t>Solar kLux</t>
  </si>
  <si>
    <t>Graph Sigma</t>
  </si>
  <si>
    <t>#/samples</t>
  </si>
  <si>
    <t>-3s</t>
  </si>
  <si>
    <t>+3s</t>
  </si>
  <si>
    <t>Proximity Ambient Rejection C3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</si>
</sst>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0.0%"/>
    <numFmt numFmtId="166" formatCode="0.000%"/>
    <numFmt numFmtId="167" formatCode="0.0"/>
  </numFmts>
  <fonts count="3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Font="1" applyAlignment="1">
      <alignment horizontal="left"/>
    </xf>
    <xf numFmtId="0" fontId="0" fillId="2" borderId="1" xfId="0" applyFill="1" applyBorder="1" applyAlignment="1">
      <alignment horizontal="right"/>
    </xf>
    <xf numFmtId="2" fontId="0" fillId="2" borderId="1" xfId="0" applyNumberFormat="1" applyFill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164" fontId="0" fillId="0" borderId="0" xfId="0" applyNumberFormat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  <xf numFmtId="0" fontId="0" fillId="0" borderId="9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horizontal="center" vertical="top"/>
    </xf>
    <xf numFmtId="2" fontId="0" fillId="0" borderId="0" xfId="0" applyNumberFormat="1"/>
    <xf numFmtId="2" fontId="0" fillId="0" borderId="0" xfId="0" applyNumberFormat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0" xfId="0" applyAlignment="1">
      <alignment vertical="top"/>
    </xf>
    <xf numFmtId="9" fontId="0" fillId="0" borderId="0" xfId="0" applyNumberFormat="1" applyBorder="1" applyAlignment="1">
      <alignment vertical="top"/>
    </xf>
    <xf numFmtId="0" fontId="0" fillId="0" borderId="5" xfId="0" quotePrefix="1" applyBorder="1" applyAlignment="1">
      <alignment horizontal="center"/>
    </xf>
    <xf numFmtId="0" fontId="0" fillId="0" borderId="7" xfId="0" quotePrefix="1" applyBorder="1" applyAlignment="1">
      <alignment horizontal="center"/>
    </xf>
    <xf numFmtId="164" fontId="0" fillId="0" borderId="11" xfId="0" applyNumberFormat="1" applyBorder="1"/>
    <xf numFmtId="164" fontId="0" fillId="0" borderId="0" xfId="0" applyNumberFormat="1" applyBorder="1"/>
    <xf numFmtId="164" fontId="0" fillId="0" borderId="12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0" fontId="0" fillId="0" borderId="5" xfId="0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0" fillId="0" borderId="18" xfId="0" applyBorder="1"/>
    <xf numFmtId="0" fontId="0" fillId="0" borderId="21" xfId="0" applyBorder="1"/>
    <xf numFmtId="0" fontId="0" fillId="3" borderId="1" xfId="0" applyFill="1" applyBorder="1"/>
    <xf numFmtId="165" fontId="0" fillId="3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9" fontId="0" fillId="0" borderId="0" xfId="0" applyNumberFormat="1" applyBorder="1" applyAlignment="1">
      <alignment horizontal="center" vertical="top"/>
    </xf>
    <xf numFmtId="0" fontId="0" fillId="0" borderId="0" xfId="0" quotePrefix="1" applyBorder="1" applyAlignment="1">
      <alignment horizontal="center"/>
    </xf>
    <xf numFmtId="9" fontId="0" fillId="0" borderId="0" xfId="0" applyNumberFormat="1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 applyBorder="1" applyAlignment="1"/>
    <xf numFmtId="0" fontId="0" fillId="0" borderId="0" xfId="0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0" fillId="0" borderId="2" xfId="0" applyNumberFormat="1" applyBorder="1" applyAlignment="1">
      <alignment horizontal="center" vertical="top"/>
    </xf>
    <xf numFmtId="0" fontId="0" fillId="0" borderId="13" xfId="0" applyNumberFormat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0" xfId="0" applyAlignment="1">
      <alignment horizontal="center"/>
    </xf>
    <xf numFmtId="9" fontId="0" fillId="0" borderId="17" xfId="0" applyNumberFormat="1" applyBorder="1" applyAlignment="1">
      <alignment horizontal="right"/>
    </xf>
    <xf numFmtId="9" fontId="0" fillId="0" borderId="0" xfId="0" applyNumberFormat="1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1" xfId="0" applyNumberFormat="1" applyBorder="1" applyAlignment="1">
      <alignment horizontal="center" vertical="top"/>
    </xf>
    <xf numFmtId="0" fontId="0" fillId="0" borderId="0" xfId="0" applyNumberFormat="1" applyAlignment="1">
      <alignment horizontal="center" vertical="top"/>
    </xf>
    <xf numFmtId="9" fontId="0" fillId="0" borderId="0" xfId="0" applyNumberForma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</a:p>
        </c:rich>
      </c:tx>
      <c:layout/>
    </c:title>
    <c:plotArea>
      <c:layout/>
      <c:scatterChart>
        <c:scatterStyle val="lineMarker"/>
        <c:ser>
          <c:idx val="1"/>
          <c:order val="0"/>
          <c:tx>
            <c:strRef>
              <c:f>Calculations!$P$1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Calculations!$P$2:$P$9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2.5073529411764696E-2</c:v>
                </c:pt>
                <c:pt idx="2">
                  <c:v>3.3762254901960789E-2</c:v>
                </c:pt>
                <c:pt idx="3">
                  <c:v>3.9473039215686269E-2</c:v>
                </c:pt>
                <c:pt idx="4">
                  <c:v>4.0392156862745089E-2</c:v>
                </c:pt>
                <c:pt idx="5">
                  <c:v>4.4473039215686273E-2</c:v>
                </c:pt>
                <c:pt idx="6">
                  <c:v>4.7414215686274505E-2</c:v>
                </c:pt>
                <c:pt idx="7">
                  <c:v>5.1311274509803918E-2</c:v>
                </c:pt>
              </c:numCache>
            </c:numRef>
          </c:yVal>
        </c:ser>
        <c:ser>
          <c:idx val="3"/>
          <c:order val="1"/>
          <c:tx>
            <c:strRef>
              <c:f>Calculations!$R$1</c:f>
              <c:strCache>
                <c:ptCount val="1"/>
                <c:pt idx="0">
                  <c:v>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Calculations!$R$2:$R$9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1.4151978326945203E-2</c:v>
                </c:pt>
                <c:pt idx="2">
                  <c:v>2.0406062634209292E-2</c:v>
                </c:pt>
                <c:pt idx="3">
                  <c:v>2.368743333755036E-2</c:v>
                </c:pt>
                <c:pt idx="4">
                  <c:v>2.4852336412836837E-2</c:v>
                </c:pt>
                <c:pt idx="5">
                  <c:v>2.7010095413502758E-2</c:v>
                </c:pt>
                <c:pt idx="6">
                  <c:v>2.9103559199838022E-2</c:v>
                </c:pt>
                <c:pt idx="7">
                  <c:v>3.0702695128531736E-2</c:v>
                </c:pt>
              </c:numCache>
            </c:numRef>
          </c:yVal>
        </c:ser>
        <c:ser>
          <c:idx val="4"/>
          <c:order val="2"/>
          <c:tx>
            <c:strRef>
              <c:f>Calculations!$S$1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3.1017156862745095E-2</c:v>
                </c:pt>
                <c:pt idx="2">
                  <c:v>4.3762254901960777E-2</c:v>
                </c:pt>
                <c:pt idx="3">
                  <c:v>5.0710784313725485E-2</c:v>
                </c:pt>
                <c:pt idx="4">
                  <c:v>5.3100490196078431E-2</c:v>
                </c:pt>
                <c:pt idx="5">
                  <c:v>5.753676470588235E-2</c:v>
                </c:pt>
                <c:pt idx="6">
                  <c:v>6.2144607843137245E-2</c:v>
                </c:pt>
                <c:pt idx="7">
                  <c:v>6.5833333333333327E-2</c:v>
                </c:pt>
              </c:numCache>
            </c:numRef>
          </c:yVal>
        </c:ser>
        <c:ser>
          <c:idx val="5"/>
          <c:order val="3"/>
          <c:tx>
            <c:strRef>
              <c:f>Calculations!$T$1</c:f>
              <c:strCache>
                <c:ptCount val="1"/>
                <c:pt idx="0">
                  <c:v>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Calculations!$T$2:$T$9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4.7882335398544987E-2</c:v>
                </c:pt>
                <c:pt idx="2">
                  <c:v>6.711844716971227E-2</c:v>
                </c:pt>
                <c:pt idx="3">
                  <c:v>7.7734135289900613E-2</c:v>
                </c:pt>
                <c:pt idx="4">
                  <c:v>8.1348643979320026E-2</c:v>
                </c:pt>
                <c:pt idx="5">
                  <c:v>8.8063433998261942E-2</c:v>
                </c:pt>
                <c:pt idx="6">
                  <c:v>9.5185656486436468E-2</c:v>
                </c:pt>
                <c:pt idx="7">
                  <c:v>0.10096397153813491</c:v>
                </c:pt>
              </c:numCache>
            </c:numRef>
          </c:yVal>
        </c:ser>
        <c:ser>
          <c:idx val="7"/>
          <c:order val="4"/>
          <c:tx>
            <c:strRef>
              <c:f>Calculations!$V$1</c:f>
              <c:strCache>
                <c:ptCount val="1"/>
                <c:pt idx="0">
                  <c:v>4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Calculations!$V$2:$V$9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3.875E-2</c:v>
                </c:pt>
                <c:pt idx="2">
                  <c:v>5.4938725490196086E-2</c:v>
                </c:pt>
                <c:pt idx="3">
                  <c:v>6.2757352941176486E-2</c:v>
                </c:pt>
                <c:pt idx="4">
                  <c:v>6.7573529411764713E-2</c:v>
                </c:pt>
                <c:pt idx="5">
                  <c:v>7.3529411764705885E-2</c:v>
                </c:pt>
                <c:pt idx="6">
                  <c:v>7.8651960784313718E-2</c:v>
                </c:pt>
                <c:pt idx="7">
                  <c:v>8.2438725490196083E-2</c:v>
                </c:pt>
              </c:numCache>
            </c:numRef>
          </c:yVal>
        </c:ser>
        <c:ser>
          <c:idx val="10"/>
          <c:order val="5"/>
          <c:tx>
            <c:strRef>
              <c:f>Calculations!$Y$1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Calculations!$Y$2:$Y$9</c:f>
              <c:numCache>
                <c:formatCode>0.000</c:formatCode>
                <c:ptCount val="8"/>
              </c:numCache>
            </c:numRef>
          </c:yVal>
        </c:ser>
        <c:axId val="43982208"/>
        <c:axId val="43996672"/>
      </c:scatterChart>
      <c:valAx>
        <c:axId val="43982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/>
                  <a:t>Ambient (%/IR FSR) </a:t>
                </a:r>
                <a:endParaRPr lang="en-US"/>
              </a:p>
            </c:rich>
          </c:tx>
          <c:layout/>
        </c:title>
        <c:numFmt formatCode="0%" sourceLinked="0"/>
        <c:tickLblPos val="nextTo"/>
        <c:crossAx val="43996672"/>
        <c:crosses val="autoZero"/>
        <c:crossBetween val="midCat"/>
      </c:valAx>
      <c:valAx>
        <c:axId val="439966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(%FSR)</a:t>
                </a:r>
                <a:endParaRPr lang="en-US" sz="1000"/>
              </a:p>
            </c:rich>
          </c:tx>
          <c:layout/>
        </c:title>
        <c:numFmt formatCode="0%" sourceLinked="0"/>
        <c:tickLblPos val="nextTo"/>
        <c:crossAx val="439822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  <a:endParaRPr lang="en-US"/>
          </a:p>
        </c:rich>
      </c:tx>
      <c:layout>
        <c:manualLayout>
          <c:xMode val="edge"/>
          <c:yMode val="edge"/>
          <c:x val="0.36170099203509132"/>
          <c:y val="2.7722770836372711E-2"/>
        </c:manualLayout>
      </c:layout>
    </c:title>
    <c:plotArea>
      <c:layout/>
      <c:scatterChart>
        <c:scatterStyle val="lineMarker"/>
        <c:ser>
          <c:idx val="1"/>
          <c:order val="0"/>
          <c:tx>
            <c:strRef>
              <c:f>Calculations!$P$23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Calculations!$P$24:$P$31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6.3937499999999972</c:v>
                </c:pt>
                <c:pt idx="2">
                  <c:v>8.6093750000000018</c:v>
                </c:pt>
                <c:pt idx="3">
                  <c:v>10.065624999999999</c:v>
                </c:pt>
                <c:pt idx="4">
                  <c:v>10.299999999999997</c:v>
                </c:pt>
                <c:pt idx="5">
                  <c:v>11.340624999999999</c:v>
                </c:pt>
                <c:pt idx="6">
                  <c:v>12.090624999999999</c:v>
                </c:pt>
                <c:pt idx="7">
                  <c:v>13.084375</c:v>
                </c:pt>
              </c:numCache>
            </c:numRef>
          </c:yVal>
        </c:ser>
        <c:ser>
          <c:idx val="3"/>
          <c:order val="1"/>
          <c:tx>
            <c:strRef>
              <c:f>Calculations!$R$23</c:f>
              <c:strCache>
                <c:ptCount val="1"/>
                <c:pt idx="0">
                  <c:v>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Calculations!$R$24:$R$31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3.6087544733710262</c:v>
                </c:pt>
                <c:pt idx="2">
                  <c:v>5.2035459717233703</c:v>
                </c:pt>
                <c:pt idx="3">
                  <c:v>6.0402955010753416</c:v>
                </c:pt>
                <c:pt idx="4">
                  <c:v>6.3373457852733939</c:v>
                </c:pt>
                <c:pt idx="5">
                  <c:v>6.8875743304432042</c:v>
                </c:pt>
                <c:pt idx="6">
                  <c:v>7.421407595958696</c:v>
                </c:pt>
                <c:pt idx="7">
                  <c:v>7.8291872577755939</c:v>
                </c:pt>
              </c:numCache>
            </c:numRef>
          </c:yVal>
        </c:ser>
        <c:ser>
          <c:idx val="4"/>
          <c:order val="2"/>
          <c:tx>
            <c:strRef>
              <c:f>Calculations!$S$23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7.9093749999999989</c:v>
                </c:pt>
                <c:pt idx="2">
                  <c:v>11.159374999999999</c:v>
                </c:pt>
                <c:pt idx="3">
                  <c:v>12.931249999999999</c:v>
                </c:pt>
                <c:pt idx="4">
                  <c:v>13.540625</c:v>
                </c:pt>
                <c:pt idx="5">
                  <c:v>14.671875</c:v>
                </c:pt>
                <c:pt idx="6">
                  <c:v>15.846874999999997</c:v>
                </c:pt>
                <c:pt idx="7">
                  <c:v>16.787499999999998</c:v>
                </c:pt>
              </c:numCache>
            </c:numRef>
          </c:yVal>
        </c:ser>
        <c:ser>
          <c:idx val="5"/>
          <c:order val="3"/>
          <c:tx>
            <c:strRef>
              <c:f>Calculations!$T$23</c:f>
              <c:strCache>
                <c:ptCount val="1"/>
                <c:pt idx="0">
                  <c:v>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Calculations!$T$24:$T$31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12.209995526628973</c:v>
                </c:pt>
                <c:pt idx="2">
                  <c:v>17.115204028276629</c:v>
                </c:pt>
                <c:pt idx="3">
                  <c:v>19.822204498924656</c:v>
                </c:pt>
                <c:pt idx="4">
                  <c:v>20.743904214726605</c:v>
                </c:pt>
                <c:pt idx="5">
                  <c:v>22.456175669556796</c:v>
                </c:pt>
                <c:pt idx="6">
                  <c:v>24.272342404041297</c:v>
                </c:pt>
                <c:pt idx="7">
                  <c:v>25.745812742224402</c:v>
                </c:pt>
              </c:numCache>
            </c:numRef>
          </c:yVal>
        </c:ser>
        <c:ser>
          <c:idx val="7"/>
          <c:order val="4"/>
          <c:tx>
            <c:strRef>
              <c:f>Calculations!$V$23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Calculations!$V$24:$V$31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9.8812499999999996</c:v>
                </c:pt>
                <c:pt idx="2">
                  <c:v>14.009375000000002</c:v>
                </c:pt>
                <c:pt idx="3">
                  <c:v>16.003125000000004</c:v>
                </c:pt>
                <c:pt idx="4">
                  <c:v>17.231250000000003</c:v>
                </c:pt>
                <c:pt idx="5">
                  <c:v>18.75</c:v>
                </c:pt>
                <c:pt idx="6">
                  <c:v>20.056249999999999</c:v>
                </c:pt>
                <c:pt idx="7">
                  <c:v>21.021875000000001</c:v>
                </c:pt>
              </c:numCache>
            </c:numRef>
          </c:yVal>
        </c:ser>
        <c:ser>
          <c:idx val="10"/>
          <c:order val="5"/>
          <c:tx>
            <c:strRef>
              <c:f>Calculations!$Y$23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Calculations!$Y$24:$Y$31</c:f>
              <c:numCache>
                <c:formatCode>0.000</c:formatCode>
                <c:ptCount val="8"/>
              </c:numCache>
            </c:numRef>
          </c:yVal>
        </c:ser>
        <c:axId val="61617664"/>
        <c:axId val="61619584"/>
      </c:scatterChart>
      <c:valAx>
        <c:axId val="61617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/>
                  <a:t>Ambient (kLux Solar) </a:t>
                </a:r>
              </a:p>
            </c:rich>
          </c:tx>
          <c:layout/>
        </c:title>
        <c:numFmt formatCode="#,##0.0" sourceLinked="0"/>
        <c:tickLblPos val="nextTo"/>
        <c:crossAx val="61619584"/>
        <c:crosses val="autoZero"/>
        <c:crossBetween val="midCat"/>
      </c:valAx>
      <c:valAx>
        <c:axId val="616195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(LSBs)</a:t>
                </a:r>
              </a:p>
            </c:rich>
          </c:tx>
          <c:layout/>
        </c:title>
        <c:numFmt formatCode="#,##0.0" sourceLinked="0"/>
        <c:tickLblPos val="nextTo"/>
        <c:crossAx val="61617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Prox</a:t>
            </a:r>
            <a:r>
              <a:rPr lang="en-US" baseline="0"/>
              <a:t>AR `38:C3 </a:t>
            </a:r>
            <a:r>
              <a:rPr lang="en-US" sz="1800" b="1" i="0" u="none" strike="noStrike" baseline="0"/>
              <a:t>22</a:t>
            </a:r>
            <a:r>
              <a:rPr lang="en-US" sz="1800" b="1" i="0" u="none" strike="noStrike" baseline="0">
                <a:latin typeface="Symbol" pitchFamily="18" charset="2"/>
              </a:rPr>
              <a:t>W</a:t>
            </a:r>
            <a:r>
              <a:rPr lang="en-US" sz="1800" b="1" i="0" u="none" strike="noStrike" baseline="0"/>
              <a:t> Vdd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Calculations!$O$1</c:f>
              <c:strCache>
                <c:ptCount val="1"/>
                <c:pt idx="0">
                  <c:v>-3s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Calculations!$O$2:$O$9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2.2826834521994362E-2</c:v>
                </c:pt>
                <c:pt idx="2">
                  <c:v>2.9943274686560221E-2</c:v>
                </c:pt>
                <c:pt idx="3">
                  <c:v>3.5823783325047272E-2</c:v>
                </c:pt>
                <c:pt idx="4">
                  <c:v>3.5826321805571056E-2</c:v>
                </c:pt>
                <c:pt idx="5">
                  <c:v>3.997660062059704E-2</c:v>
                </c:pt>
                <c:pt idx="6">
                  <c:v>4.3522005961118611E-2</c:v>
                </c:pt>
                <c:pt idx="7">
                  <c:v>4.6589517876662573E-2</c:v>
                </c:pt>
              </c:numCache>
            </c:numRef>
          </c:yVal>
        </c:ser>
        <c:ser>
          <c:idx val="1"/>
          <c:order val="1"/>
          <c:tx>
            <c:strRef>
              <c:f>Calculations!$P$1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Calculations!$P$2:$P$9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2.5073529411764696E-2</c:v>
                </c:pt>
                <c:pt idx="2">
                  <c:v>3.3762254901960789E-2</c:v>
                </c:pt>
                <c:pt idx="3">
                  <c:v>3.9473039215686269E-2</c:v>
                </c:pt>
                <c:pt idx="4">
                  <c:v>4.0392156862745089E-2</c:v>
                </c:pt>
                <c:pt idx="5">
                  <c:v>4.4473039215686273E-2</c:v>
                </c:pt>
                <c:pt idx="6">
                  <c:v>4.7414215686274505E-2</c:v>
                </c:pt>
                <c:pt idx="7">
                  <c:v>5.1311274509803918E-2</c:v>
                </c:pt>
              </c:numCache>
            </c:numRef>
          </c:yVal>
        </c:ser>
        <c:ser>
          <c:idx val="2"/>
          <c:order val="2"/>
          <c:tx>
            <c:strRef>
              <c:f>Calculations!$Q$1</c:f>
              <c:strCache>
                <c:ptCount val="1"/>
                <c:pt idx="0">
                  <c:v>+3s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Calculations!$Q$2:$Q$9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2.732022430153503E-2</c:v>
                </c:pt>
                <c:pt idx="2">
                  <c:v>3.7581235117361354E-2</c:v>
                </c:pt>
                <c:pt idx="3">
                  <c:v>4.3122295106325266E-2</c:v>
                </c:pt>
                <c:pt idx="4">
                  <c:v>4.4957991919919123E-2</c:v>
                </c:pt>
                <c:pt idx="5">
                  <c:v>4.8969477810775507E-2</c:v>
                </c:pt>
                <c:pt idx="6">
                  <c:v>5.1306425411430399E-2</c:v>
                </c:pt>
                <c:pt idx="7">
                  <c:v>5.6033031142945264E-2</c:v>
                </c:pt>
              </c:numCache>
            </c:numRef>
          </c:yVal>
        </c:ser>
        <c:ser>
          <c:idx val="3"/>
          <c:order val="3"/>
          <c:tx>
            <c:strRef>
              <c:f>Calculations!$R$1</c:f>
              <c:strCache>
                <c:ptCount val="1"/>
                <c:pt idx="0">
                  <c:v>-3s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Calculations!$R$2:$R$9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1.4151978326945203E-2</c:v>
                </c:pt>
                <c:pt idx="2">
                  <c:v>2.0406062634209292E-2</c:v>
                </c:pt>
                <c:pt idx="3">
                  <c:v>2.368743333755036E-2</c:v>
                </c:pt>
                <c:pt idx="4">
                  <c:v>2.4852336412836837E-2</c:v>
                </c:pt>
                <c:pt idx="5">
                  <c:v>2.7010095413502758E-2</c:v>
                </c:pt>
                <c:pt idx="6">
                  <c:v>2.9103559199838022E-2</c:v>
                </c:pt>
                <c:pt idx="7">
                  <c:v>3.0702695128531736E-2</c:v>
                </c:pt>
              </c:numCache>
            </c:numRef>
          </c:yVal>
        </c:ser>
        <c:ser>
          <c:idx val="4"/>
          <c:order val="4"/>
          <c:tx>
            <c:strRef>
              <c:f>Calculations!$S$1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3.1017156862745095E-2</c:v>
                </c:pt>
                <c:pt idx="2">
                  <c:v>4.3762254901960777E-2</c:v>
                </c:pt>
                <c:pt idx="3">
                  <c:v>5.0710784313725485E-2</c:v>
                </c:pt>
                <c:pt idx="4">
                  <c:v>5.3100490196078431E-2</c:v>
                </c:pt>
                <c:pt idx="5">
                  <c:v>5.753676470588235E-2</c:v>
                </c:pt>
                <c:pt idx="6">
                  <c:v>6.2144607843137245E-2</c:v>
                </c:pt>
                <c:pt idx="7">
                  <c:v>6.5833333333333327E-2</c:v>
                </c:pt>
              </c:numCache>
            </c:numRef>
          </c:yVal>
        </c:ser>
        <c:ser>
          <c:idx val="5"/>
          <c:order val="5"/>
          <c:tx>
            <c:strRef>
              <c:f>Calculations!$T$1</c:f>
              <c:strCache>
                <c:ptCount val="1"/>
                <c:pt idx="0">
                  <c:v>+3s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Calculations!$T$2:$T$9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4.7882335398544987E-2</c:v>
                </c:pt>
                <c:pt idx="2">
                  <c:v>6.711844716971227E-2</c:v>
                </c:pt>
                <c:pt idx="3">
                  <c:v>7.7734135289900613E-2</c:v>
                </c:pt>
                <c:pt idx="4">
                  <c:v>8.1348643979320026E-2</c:v>
                </c:pt>
                <c:pt idx="5">
                  <c:v>8.8063433998261942E-2</c:v>
                </c:pt>
                <c:pt idx="6">
                  <c:v>9.5185656486436468E-2</c:v>
                </c:pt>
                <c:pt idx="7">
                  <c:v>0.10096397153813491</c:v>
                </c:pt>
              </c:numCache>
            </c:numRef>
          </c:yVal>
        </c:ser>
        <c:ser>
          <c:idx val="6"/>
          <c:order val="6"/>
          <c:tx>
            <c:strRef>
              <c:f>Calculations!$U$1</c:f>
              <c:strCache>
                <c:ptCount val="1"/>
                <c:pt idx="0">
                  <c:v>-3s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Calculations!$U$2:$U$9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1.7821763161361078E-2</c:v>
                </c:pt>
                <c:pt idx="2">
                  <c:v>2.5788920624186237E-2</c:v>
                </c:pt>
                <c:pt idx="3">
                  <c:v>2.9474017230791488E-2</c:v>
                </c:pt>
                <c:pt idx="4">
                  <c:v>3.1793496764277007E-2</c:v>
                </c:pt>
                <c:pt idx="5">
                  <c:v>3.4401235046599685E-2</c:v>
                </c:pt>
                <c:pt idx="6">
                  <c:v>3.6846055169999017E-2</c:v>
                </c:pt>
                <c:pt idx="7">
                  <c:v>3.8692239904708013E-2</c:v>
                </c:pt>
              </c:numCache>
            </c:numRef>
          </c:yVal>
        </c:ser>
        <c:ser>
          <c:idx val="7"/>
          <c:order val="7"/>
          <c:tx>
            <c:strRef>
              <c:f>Calculations!$V$1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Calculations!$V$2:$V$9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3.875E-2</c:v>
                </c:pt>
                <c:pt idx="2">
                  <c:v>5.4938725490196086E-2</c:v>
                </c:pt>
                <c:pt idx="3">
                  <c:v>6.2757352941176486E-2</c:v>
                </c:pt>
                <c:pt idx="4">
                  <c:v>6.7573529411764713E-2</c:v>
                </c:pt>
                <c:pt idx="5">
                  <c:v>7.3529411764705885E-2</c:v>
                </c:pt>
                <c:pt idx="6">
                  <c:v>7.8651960784313718E-2</c:v>
                </c:pt>
                <c:pt idx="7">
                  <c:v>8.2438725490196083E-2</c:v>
                </c:pt>
              </c:numCache>
            </c:numRef>
          </c:yVal>
        </c:ser>
        <c:ser>
          <c:idx val="8"/>
          <c:order val="8"/>
          <c:tx>
            <c:strRef>
              <c:f>Calculations!$W$1</c:f>
              <c:strCache>
                <c:ptCount val="1"/>
                <c:pt idx="0">
                  <c:v>+3s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Calculations!$W$2:$W$9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5.9678236838638918E-2</c:v>
                </c:pt>
                <c:pt idx="2">
                  <c:v>8.4088530356205934E-2</c:v>
                </c:pt>
                <c:pt idx="3">
                  <c:v>9.6040688651561484E-2</c:v>
                </c:pt>
                <c:pt idx="4">
                  <c:v>0.10335356205925242</c:v>
                </c:pt>
                <c:pt idx="5">
                  <c:v>0.11265758848281208</c:v>
                </c:pt>
                <c:pt idx="6">
                  <c:v>0.12045786639862842</c:v>
                </c:pt>
                <c:pt idx="7">
                  <c:v>0.12618521107568414</c:v>
                </c:pt>
              </c:numCache>
            </c:numRef>
          </c:yVal>
        </c:ser>
        <c:ser>
          <c:idx val="9"/>
          <c:order val="9"/>
          <c:tx>
            <c:strRef>
              <c:f>Calculations!$X$1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Calculations!$X$2:$X$9</c:f>
              <c:numCache>
                <c:formatCode>0.000</c:formatCode>
                <c:ptCount val="8"/>
              </c:numCache>
            </c:numRef>
          </c:yVal>
        </c:ser>
        <c:ser>
          <c:idx val="10"/>
          <c:order val="10"/>
          <c:tx>
            <c:strRef>
              <c:f>Calculations!$Y$1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Calculations!$Y$2:$Y$9</c:f>
              <c:numCache>
                <c:formatCode>0.000</c:formatCode>
                <c:ptCount val="8"/>
              </c:numCache>
            </c:numRef>
          </c:yVal>
        </c:ser>
        <c:ser>
          <c:idx val="11"/>
          <c:order val="11"/>
          <c:tx>
            <c:strRef>
              <c:f>Calculations!$Z$1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Calculations!$Z$2:$Z$9</c:f>
              <c:numCache>
                <c:formatCode>0.000</c:formatCode>
                <c:ptCount val="8"/>
              </c:numCache>
            </c:numRef>
          </c:yVal>
        </c:ser>
        <c:axId val="58780672"/>
        <c:axId val="59249792"/>
      </c:scatterChart>
      <c:valAx>
        <c:axId val="58780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Ambient</a:t>
                </a:r>
                <a:r>
                  <a:rPr lang="en-US" baseline="0"/>
                  <a:t> (%/IR FSR)  </a:t>
                </a:r>
                <a:endParaRPr lang="en-US"/>
              </a:p>
            </c:rich>
          </c:tx>
          <c:layout/>
        </c:title>
        <c:numFmt formatCode="0%" sourceLinked="0"/>
        <c:tickLblPos val="nextTo"/>
        <c:crossAx val="59249792"/>
        <c:crosses val="autoZero"/>
        <c:crossBetween val="midCat"/>
      </c:valAx>
      <c:valAx>
        <c:axId val="592497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Prox Delta (%FSR)</a:t>
                </a:r>
              </a:p>
            </c:rich>
          </c:tx>
          <c:layout/>
        </c:title>
        <c:numFmt formatCode="0%" sourceLinked="0"/>
        <c:tickLblPos val="nextTo"/>
        <c:crossAx val="587806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</a:p>
        </c:rich>
      </c:tx>
      <c:layout/>
    </c:title>
    <c:plotArea>
      <c:layout/>
      <c:scatterChart>
        <c:scatterStyle val="lineMarker"/>
        <c:ser>
          <c:idx val="1"/>
          <c:order val="0"/>
          <c:tx>
            <c:strRef>
              <c:f>Calculations!$P$1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Calculations!$P$2:$P$9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2.5073529411764696E-2</c:v>
                </c:pt>
                <c:pt idx="2">
                  <c:v>3.3762254901960789E-2</c:v>
                </c:pt>
                <c:pt idx="3">
                  <c:v>3.9473039215686269E-2</c:v>
                </c:pt>
                <c:pt idx="4">
                  <c:v>4.0392156862745089E-2</c:v>
                </c:pt>
                <c:pt idx="5">
                  <c:v>4.4473039215686273E-2</c:v>
                </c:pt>
                <c:pt idx="6">
                  <c:v>4.7414215686274505E-2</c:v>
                </c:pt>
                <c:pt idx="7">
                  <c:v>5.1311274509803918E-2</c:v>
                </c:pt>
              </c:numCache>
            </c:numRef>
          </c:yVal>
        </c:ser>
        <c:ser>
          <c:idx val="3"/>
          <c:order val="1"/>
          <c:tx>
            <c:strRef>
              <c:f>Calculations!$R$1</c:f>
              <c:strCache>
                <c:ptCount val="1"/>
                <c:pt idx="0">
                  <c:v>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Calculations!$R$2:$R$9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1.4151978326945203E-2</c:v>
                </c:pt>
                <c:pt idx="2">
                  <c:v>2.0406062634209292E-2</c:v>
                </c:pt>
                <c:pt idx="3">
                  <c:v>2.368743333755036E-2</c:v>
                </c:pt>
                <c:pt idx="4">
                  <c:v>2.4852336412836837E-2</c:v>
                </c:pt>
                <c:pt idx="5">
                  <c:v>2.7010095413502758E-2</c:v>
                </c:pt>
                <c:pt idx="6">
                  <c:v>2.9103559199838022E-2</c:v>
                </c:pt>
                <c:pt idx="7">
                  <c:v>3.0702695128531736E-2</c:v>
                </c:pt>
              </c:numCache>
            </c:numRef>
          </c:yVal>
        </c:ser>
        <c:ser>
          <c:idx val="4"/>
          <c:order val="2"/>
          <c:tx>
            <c:strRef>
              <c:f>Calculations!$S$1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Calculations!$S$2:$S$9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3.1017156862745095E-2</c:v>
                </c:pt>
                <c:pt idx="2">
                  <c:v>4.3762254901960777E-2</c:v>
                </c:pt>
                <c:pt idx="3">
                  <c:v>5.0710784313725485E-2</c:v>
                </c:pt>
                <c:pt idx="4">
                  <c:v>5.3100490196078431E-2</c:v>
                </c:pt>
                <c:pt idx="5">
                  <c:v>5.753676470588235E-2</c:v>
                </c:pt>
                <c:pt idx="6">
                  <c:v>6.2144607843137245E-2</c:v>
                </c:pt>
                <c:pt idx="7">
                  <c:v>6.5833333333333327E-2</c:v>
                </c:pt>
              </c:numCache>
            </c:numRef>
          </c:yVal>
        </c:ser>
        <c:ser>
          <c:idx val="5"/>
          <c:order val="3"/>
          <c:tx>
            <c:strRef>
              <c:f>Calculations!$T$1</c:f>
              <c:strCache>
                <c:ptCount val="1"/>
                <c:pt idx="0">
                  <c:v>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Calculations!$T$2:$T$9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4.7882335398544987E-2</c:v>
                </c:pt>
                <c:pt idx="2">
                  <c:v>6.711844716971227E-2</c:v>
                </c:pt>
                <c:pt idx="3">
                  <c:v>7.7734135289900613E-2</c:v>
                </c:pt>
                <c:pt idx="4">
                  <c:v>8.1348643979320026E-2</c:v>
                </c:pt>
                <c:pt idx="5">
                  <c:v>8.8063433998261942E-2</c:v>
                </c:pt>
                <c:pt idx="6">
                  <c:v>9.5185656486436468E-2</c:v>
                </c:pt>
                <c:pt idx="7">
                  <c:v>0.10096397153813491</c:v>
                </c:pt>
              </c:numCache>
            </c:numRef>
          </c:yVal>
        </c:ser>
        <c:ser>
          <c:idx val="7"/>
          <c:order val="4"/>
          <c:tx>
            <c:strRef>
              <c:f>Calculations!$V$1</c:f>
              <c:strCache>
                <c:ptCount val="1"/>
                <c:pt idx="0">
                  <c:v>4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Calculations!$V$2:$V$9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3.875E-2</c:v>
                </c:pt>
                <c:pt idx="2">
                  <c:v>5.4938725490196086E-2</c:v>
                </c:pt>
                <c:pt idx="3">
                  <c:v>6.2757352941176486E-2</c:v>
                </c:pt>
                <c:pt idx="4">
                  <c:v>6.7573529411764713E-2</c:v>
                </c:pt>
                <c:pt idx="5">
                  <c:v>7.3529411764705885E-2</c:v>
                </c:pt>
                <c:pt idx="6">
                  <c:v>7.8651960784313718E-2</c:v>
                </c:pt>
                <c:pt idx="7">
                  <c:v>8.2438725490196083E-2</c:v>
                </c:pt>
              </c:numCache>
            </c:numRef>
          </c:yVal>
        </c:ser>
        <c:ser>
          <c:idx val="10"/>
          <c:order val="5"/>
          <c:tx>
            <c:strRef>
              <c:f>Calculations!$Y$1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Calculations!$N$2:$N$9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0.19763779527559056</c:v>
                </c:pt>
                <c:pt idx="2">
                  <c:v>0.29921259842519682</c:v>
                </c:pt>
                <c:pt idx="3">
                  <c:v>0.40157480314960636</c:v>
                </c:pt>
                <c:pt idx="4">
                  <c:v>0.48582677165354327</c:v>
                </c:pt>
                <c:pt idx="5">
                  <c:v>0.59999999999999987</c:v>
                </c:pt>
                <c:pt idx="6">
                  <c:v>0.74488188976377967</c:v>
                </c:pt>
                <c:pt idx="7">
                  <c:v>0.9228346456692913</c:v>
                </c:pt>
              </c:numCache>
            </c:numRef>
          </c:xVal>
          <c:yVal>
            <c:numRef>
              <c:f>Calculations!$Y$2:$Y$9</c:f>
              <c:numCache>
                <c:formatCode>0.000</c:formatCode>
                <c:ptCount val="8"/>
              </c:numCache>
            </c:numRef>
          </c:yVal>
        </c:ser>
        <c:axId val="59295232"/>
        <c:axId val="59297152"/>
      </c:scatterChart>
      <c:valAx>
        <c:axId val="592952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/>
                  <a:t>Ambient (%/IR FSR) </a:t>
                </a:r>
                <a:endParaRPr lang="en-US"/>
              </a:p>
            </c:rich>
          </c:tx>
          <c:layout/>
        </c:title>
        <c:numFmt formatCode="0%" sourceLinked="0"/>
        <c:tickLblPos val="nextTo"/>
        <c:crossAx val="59297152"/>
        <c:crosses val="autoZero"/>
        <c:crossBetween val="midCat"/>
      </c:valAx>
      <c:valAx>
        <c:axId val="592971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(%FSR)</a:t>
                </a:r>
                <a:endParaRPr lang="en-US" sz="1000"/>
              </a:p>
            </c:rich>
          </c:tx>
          <c:layout/>
        </c:title>
        <c:numFmt formatCode="0%" sourceLinked="0"/>
        <c:tickLblPos val="nextTo"/>
        <c:crossAx val="592952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ProxAR `38:C2</a:t>
            </a:r>
            <a:endParaRPr lang="en-US"/>
          </a:p>
        </c:rich>
      </c:tx>
      <c:layout>
        <c:manualLayout>
          <c:xMode val="edge"/>
          <c:yMode val="edge"/>
          <c:x val="0.36170099203509132"/>
          <c:y val="2.7722770836372711E-2"/>
        </c:manualLayout>
      </c:layout>
    </c:title>
    <c:plotArea>
      <c:layout/>
      <c:scatterChart>
        <c:scatterStyle val="lineMarker"/>
        <c:ser>
          <c:idx val="1"/>
          <c:order val="0"/>
          <c:tx>
            <c:strRef>
              <c:f>Calculations!$P$23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Calculations!$P$24:$P$31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6.3937499999999972</c:v>
                </c:pt>
                <c:pt idx="2">
                  <c:v>8.6093750000000018</c:v>
                </c:pt>
                <c:pt idx="3">
                  <c:v>10.065624999999999</c:v>
                </c:pt>
                <c:pt idx="4">
                  <c:v>10.299999999999997</c:v>
                </c:pt>
                <c:pt idx="5">
                  <c:v>11.340624999999999</c:v>
                </c:pt>
                <c:pt idx="6">
                  <c:v>12.090624999999999</c:v>
                </c:pt>
                <c:pt idx="7">
                  <c:v>13.084375</c:v>
                </c:pt>
              </c:numCache>
            </c:numRef>
          </c:yVal>
        </c:ser>
        <c:ser>
          <c:idx val="3"/>
          <c:order val="1"/>
          <c:tx>
            <c:strRef>
              <c:f>Calculations!$R$23</c:f>
              <c:strCache>
                <c:ptCount val="1"/>
                <c:pt idx="0">
                  <c:v>-3s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Calculations!$R$24:$R$31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3.6087544733710262</c:v>
                </c:pt>
                <c:pt idx="2">
                  <c:v>5.2035459717233703</c:v>
                </c:pt>
                <c:pt idx="3">
                  <c:v>6.0402955010753416</c:v>
                </c:pt>
                <c:pt idx="4">
                  <c:v>6.3373457852733939</c:v>
                </c:pt>
                <c:pt idx="5">
                  <c:v>6.8875743304432042</c:v>
                </c:pt>
                <c:pt idx="6">
                  <c:v>7.421407595958696</c:v>
                </c:pt>
                <c:pt idx="7">
                  <c:v>7.8291872577755939</c:v>
                </c:pt>
              </c:numCache>
            </c:numRef>
          </c:yVal>
        </c:ser>
        <c:ser>
          <c:idx val="4"/>
          <c:order val="2"/>
          <c:tx>
            <c:strRef>
              <c:f>Calculations!$S$23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Calculations!$S$24:$S$31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7.9093749999999989</c:v>
                </c:pt>
                <c:pt idx="2">
                  <c:v>11.159374999999999</c:v>
                </c:pt>
                <c:pt idx="3">
                  <c:v>12.931249999999999</c:v>
                </c:pt>
                <c:pt idx="4">
                  <c:v>13.540625</c:v>
                </c:pt>
                <c:pt idx="5">
                  <c:v>14.671875</c:v>
                </c:pt>
                <c:pt idx="6">
                  <c:v>15.846874999999997</c:v>
                </c:pt>
                <c:pt idx="7">
                  <c:v>16.787499999999998</c:v>
                </c:pt>
              </c:numCache>
            </c:numRef>
          </c:yVal>
        </c:ser>
        <c:ser>
          <c:idx val="5"/>
          <c:order val="3"/>
          <c:tx>
            <c:strRef>
              <c:f>Calculations!$T$23</c:f>
              <c:strCache>
                <c:ptCount val="1"/>
                <c:pt idx="0">
                  <c:v>+3s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Calculations!$T$24:$T$31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12.209995526628973</c:v>
                </c:pt>
                <c:pt idx="2">
                  <c:v>17.115204028276629</c:v>
                </c:pt>
                <c:pt idx="3">
                  <c:v>19.822204498924656</c:v>
                </c:pt>
                <c:pt idx="4">
                  <c:v>20.743904214726605</c:v>
                </c:pt>
                <c:pt idx="5">
                  <c:v>22.456175669556796</c:v>
                </c:pt>
                <c:pt idx="6">
                  <c:v>24.272342404041297</c:v>
                </c:pt>
                <c:pt idx="7">
                  <c:v>25.745812742224402</c:v>
                </c:pt>
              </c:numCache>
            </c:numRef>
          </c:yVal>
        </c:ser>
        <c:ser>
          <c:idx val="7"/>
          <c:order val="4"/>
          <c:tx>
            <c:strRef>
              <c:f>Calculations!$V$23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Calculations!$V$24:$V$31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9.8812499999999996</c:v>
                </c:pt>
                <c:pt idx="2">
                  <c:v>14.009375000000002</c:v>
                </c:pt>
                <c:pt idx="3">
                  <c:v>16.003125000000004</c:v>
                </c:pt>
                <c:pt idx="4">
                  <c:v>17.231250000000003</c:v>
                </c:pt>
                <c:pt idx="5">
                  <c:v>18.75</c:v>
                </c:pt>
                <c:pt idx="6">
                  <c:v>20.056249999999999</c:v>
                </c:pt>
                <c:pt idx="7">
                  <c:v>21.021875000000001</c:v>
                </c:pt>
              </c:numCache>
            </c:numRef>
          </c:yVal>
        </c:ser>
        <c:ser>
          <c:idx val="10"/>
          <c:order val="5"/>
          <c:tx>
            <c:strRef>
              <c:f>Calculations!$Y$23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Calculations!$N$24:$N$31</c:f>
              <c:numCache>
                <c:formatCode>0.000</c:formatCode>
                <c:ptCount val="8"/>
                <c:pt idx="0" formatCode="General">
                  <c:v>0</c:v>
                </c:pt>
                <c:pt idx="1">
                  <c:v>7.9055118110236222</c:v>
                </c:pt>
                <c:pt idx="2">
                  <c:v>11.968503937007872</c:v>
                </c:pt>
                <c:pt idx="3">
                  <c:v>16.062992125984255</c:v>
                </c:pt>
                <c:pt idx="4">
                  <c:v>19.43307086614173</c:v>
                </c:pt>
                <c:pt idx="5">
                  <c:v>23.999999999999993</c:v>
                </c:pt>
                <c:pt idx="6">
                  <c:v>29.795275590551185</c:v>
                </c:pt>
                <c:pt idx="7">
                  <c:v>36.913385826771652</c:v>
                </c:pt>
              </c:numCache>
            </c:numRef>
          </c:xVal>
          <c:yVal>
            <c:numRef>
              <c:f>Calculations!$Y$24:$Y$31</c:f>
              <c:numCache>
                <c:formatCode>0.000</c:formatCode>
                <c:ptCount val="8"/>
              </c:numCache>
            </c:numRef>
          </c:yVal>
        </c:ser>
        <c:axId val="59350400"/>
        <c:axId val="59360768"/>
      </c:scatterChart>
      <c:valAx>
        <c:axId val="59350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/>
                  <a:t>Ambient (kLux Solar) </a:t>
                </a:r>
              </a:p>
            </c:rich>
          </c:tx>
          <c:layout/>
        </c:title>
        <c:numFmt formatCode="#,##0.0" sourceLinked="0"/>
        <c:tickLblPos val="nextTo"/>
        <c:crossAx val="59360768"/>
        <c:crosses val="autoZero"/>
        <c:crossBetween val="midCat"/>
      </c:valAx>
      <c:valAx>
        <c:axId val="593607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Prox Delta (LSBs)</a:t>
                </a:r>
              </a:p>
            </c:rich>
          </c:tx>
          <c:layout/>
        </c:title>
        <c:numFmt formatCode="#,##0.0" sourceLinked="0"/>
        <c:tickLblPos val="nextTo"/>
        <c:crossAx val="593504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119063</xdr:colOff>
      <xdr:row>9</xdr:row>
      <xdr:rowOff>23812</xdr:rowOff>
    </xdr:from>
    <xdr:to>
      <xdr:col>8</xdr:col>
      <xdr:colOff>244928</xdr:colOff>
      <xdr:row>23</xdr:row>
      <xdr:rowOff>105455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392906</xdr:colOff>
      <xdr:row>9</xdr:row>
      <xdr:rowOff>23812</xdr:rowOff>
    </xdr:from>
    <xdr:to>
      <xdr:col>16</xdr:col>
      <xdr:colOff>494959</xdr:colOff>
      <xdr:row>23</xdr:row>
      <xdr:rowOff>105455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15875</xdr:colOff>
      <xdr:row>1</xdr:row>
      <xdr:rowOff>13607</xdr:rowOff>
    </xdr:from>
    <xdr:to>
      <xdr:col>35</xdr:col>
      <xdr:colOff>294821</xdr:colOff>
      <xdr:row>15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16</xdr:row>
      <xdr:rowOff>0</xdr:rowOff>
    </xdr:from>
    <xdr:to>
      <xdr:col>35</xdr:col>
      <xdr:colOff>278946</xdr:colOff>
      <xdr:row>30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31</xdr:row>
      <xdr:rowOff>0</xdr:rowOff>
    </xdr:from>
    <xdr:to>
      <xdr:col>35</xdr:col>
      <xdr:colOff>278946</xdr:colOff>
      <xdr:row>45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30"/>
  <sheetViews>
    <sheetView showGridLines="0" tabSelected="1" zoomScale="80" zoomScaleNormal="80" workbookViewId="0">
      <selection activeCell="J6" sqref="J6"/>
    </sheetView>
  </sheetViews>
  <sheetFormatPr defaultRowHeight="15"/>
  <cols>
    <col min="1" max="1" width="4.5703125" bestFit="1" customWidth="1"/>
    <col min="2" max="2" width="18" customWidth="1"/>
    <col min="3" max="3" width="10.85546875" bestFit="1" customWidth="1"/>
    <col min="4" max="4" width="7.140625" bestFit="1" customWidth="1"/>
    <col min="5" max="5" width="8.28515625" bestFit="1" customWidth="1"/>
    <col min="6" max="6" width="7.42578125" bestFit="1" customWidth="1"/>
    <col min="7" max="7" width="5.7109375" bestFit="1" customWidth="1"/>
    <col min="8" max="8" width="10.28515625" customWidth="1"/>
    <col min="9" max="10" width="9.140625" style="5"/>
  </cols>
  <sheetData>
    <row r="1" spans="1:8">
      <c r="A1" s="63" t="s">
        <v>14</v>
      </c>
      <c r="B1" s="63"/>
      <c r="C1" s="63"/>
      <c r="D1" s="63"/>
      <c r="E1" s="63"/>
      <c r="F1" s="63"/>
      <c r="G1" s="63"/>
    </row>
    <row r="2" spans="1:8">
      <c r="A2" s="2" t="s">
        <v>0</v>
      </c>
      <c r="B2" s="64" t="s">
        <v>1</v>
      </c>
      <c r="C2" s="65"/>
      <c r="D2" s="59" t="s">
        <v>5</v>
      </c>
      <c r="E2" s="4" t="s">
        <v>7</v>
      </c>
      <c r="F2" s="59" t="s">
        <v>6</v>
      </c>
      <c r="G2" s="4" t="s">
        <v>3</v>
      </c>
    </row>
    <row r="3" spans="1:8">
      <c r="A3" s="3">
        <v>1</v>
      </c>
      <c r="B3" s="69">
        <f>Calculations!O13</f>
        <v>0</v>
      </c>
      <c r="C3" s="47" t="s">
        <v>17</v>
      </c>
      <c r="D3" s="8">
        <f>Calculations!Q13</f>
        <v>4.1867761243521227E-2</v>
      </c>
      <c r="E3" s="8">
        <f>Calculations!R13</f>
        <v>5.1311274509803918E-2</v>
      </c>
      <c r="F3" s="8">
        <f>Calculations!S13</f>
        <v>6.0754787776086609E-2</v>
      </c>
      <c r="G3" s="4" t="s">
        <v>2</v>
      </c>
      <c r="H3" s="1"/>
    </row>
    <row r="4" spans="1:8">
      <c r="A4" s="3">
        <f>A3+0.01</f>
        <v>1.01</v>
      </c>
      <c r="B4" s="70"/>
      <c r="C4" s="47" t="s">
        <v>18</v>
      </c>
      <c r="D4" s="8">
        <f>Calculations!Q14</f>
        <v>0</v>
      </c>
      <c r="E4" s="8">
        <f>Calculations!R14</f>
        <v>0</v>
      </c>
      <c r="F4" s="8">
        <f>Calculations!S14</f>
        <v>0</v>
      </c>
      <c r="G4" s="4" t="str">
        <f>G3</f>
        <v>%FSR</v>
      </c>
      <c r="H4" s="1"/>
    </row>
    <row r="5" spans="1:8" ht="15" customHeight="1">
      <c r="A5" s="3">
        <f>A4+0.01</f>
        <v>1.02</v>
      </c>
      <c r="B5" s="69">
        <f>Calculations!O15</f>
        <v>2</v>
      </c>
      <c r="C5" s="51" t="str">
        <f t="shared" ref="C5:C8" si="0">C3</f>
        <v>Rise</v>
      </c>
      <c r="D5" s="52">
        <f>Calculations!Q15</f>
        <v>-4.4279430762698552E-3</v>
      </c>
      <c r="E5" s="52">
        <f>Calculations!R15</f>
        <v>6.5833333333333327E-2</v>
      </c>
      <c r="F5" s="52">
        <f>Calculations!S15</f>
        <v>0.13609460974293652</v>
      </c>
      <c r="G5" s="53" t="str">
        <f t="shared" ref="G5:G8" si="1">G4</f>
        <v>%FSR</v>
      </c>
    </row>
    <row r="6" spans="1:8">
      <c r="A6" s="3">
        <f>A5+0.01</f>
        <v>1.03</v>
      </c>
      <c r="B6" s="70"/>
      <c r="C6" s="47" t="str">
        <f t="shared" si="0"/>
        <v>Droop</v>
      </c>
      <c r="D6" s="8">
        <f>Calculations!Q16</f>
        <v>0</v>
      </c>
      <c r="E6" s="8">
        <f>Calculations!R16</f>
        <v>0</v>
      </c>
      <c r="F6" s="8">
        <f>Calculations!S16</f>
        <v>0</v>
      </c>
      <c r="G6" s="4" t="str">
        <f t="shared" si="1"/>
        <v>%FSR</v>
      </c>
    </row>
    <row r="7" spans="1:8">
      <c r="A7" s="3">
        <f t="shared" ref="A7:A8" si="2">A6+0.01</f>
        <v>1.04</v>
      </c>
      <c r="B7" s="69">
        <f>Calculations!O17</f>
        <v>4</v>
      </c>
      <c r="C7" s="47" t="str">
        <f t="shared" si="0"/>
        <v>Rise</v>
      </c>
      <c r="D7" s="8">
        <f>Calculations!Q17</f>
        <v>-5.0542456807800562E-3</v>
      </c>
      <c r="E7" s="8">
        <f>Calculations!R17</f>
        <v>8.2438725490196083E-2</v>
      </c>
      <c r="F7" s="8">
        <f>Calculations!S17</f>
        <v>0.16993169666117222</v>
      </c>
      <c r="G7" s="4" t="str">
        <f t="shared" si="1"/>
        <v>%FSR</v>
      </c>
    </row>
    <row r="8" spans="1:8">
      <c r="A8" s="3">
        <f t="shared" si="2"/>
        <v>1.05</v>
      </c>
      <c r="B8" s="70"/>
      <c r="C8" s="47" t="str">
        <f t="shared" si="0"/>
        <v>Droop</v>
      </c>
      <c r="D8" s="8">
        <f>Calculations!Q18</f>
        <v>0</v>
      </c>
      <c r="E8" s="8">
        <f>Calculations!R18</f>
        <v>0</v>
      </c>
      <c r="F8" s="8">
        <f>Calculations!S18</f>
        <v>0</v>
      </c>
      <c r="G8" s="4" t="str">
        <f t="shared" si="1"/>
        <v>%FSR</v>
      </c>
    </row>
    <row r="9" spans="1:8">
      <c r="A9" s="58"/>
      <c r="B9" s="58"/>
      <c r="C9" s="58"/>
      <c r="D9" s="58"/>
      <c r="E9" s="58"/>
      <c r="F9" s="58"/>
      <c r="G9" s="58"/>
    </row>
    <row r="10" spans="1:8">
      <c r="A10" s="58"/>
      <c r="B10" s="58"/>
      <c r="C10" s="58"/>
      <c r="D10" s="58"/>
      <c r="E10" s="58"/>
      <c r="F10" s="58"/>
      <c r="G10" s="58"/>
    </row>
    <row r="29" spans="1:9">
      <c r="A29" s="66" t="s">
        <v>12</v>
      </c>
      <c r="B29" s="67"/>
      <c r="C29" s="67"/>
      <c r="D29" s="67"/>
      <c r="E29" s="67"/>
      <c r="F29" s="68"/>
      <c r="G29" s="25"/>
      <c r="H29" s="25"/>
      <c r="I29" s="25"/>
    </row>
    <row r="30" spans="1:9">
      <c r="A30" s="61" t="s">
        <v>13</v>
      </c>
      <c r="B30" s="62"/>
      <c r="C30" s="26">
        <f>Calculations!C14</f>
        <v>10</v>
      </c>
      <c r="D30" s="27"/>
      <c r="E30" s="27"/>
      <c r="F30" s="28"/>
    </row>
  </sheetData>
  <mergeCells count="7">
    <mergeCell ref="A30:B30"/>
    <mergeCell ref="A1:G1"/>
    <mergeCell ref="B2:C2"/>
    <mergeCell ref="A29:F29"/>
    <mergeCell ref="B3:B4"/>
    <mergeCell ref="B5:B6"/>
    <mergeCell ref="B7:B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AL92"/>
  <sheetViews>
    <sheetView topLeftCell="R6" zoomScale="70" zoomScaleNormal="70" workbookViewId="0">
      <selection activeCell="Z25" sqref="Z25"/>
    </sheetView>
  </sheetViews>
  <sheetFormatPr defaultRowHeight="15"/>
  <cols>
    <col min="1" max="1" width="14.42578125" bestFit="1" customWidth="1"/>
    <col min="2" max="2" width="6" bestFit="1" customWidth="1"/>
    <col min="3" max="3" width="6.5703125" style="24" bestFit="1" customWidth="1"/>
    <col min="4" max="4" width="9.85546875" bestFit="1" customWidth="1"/>
    <col min="5" max="5" width="6.85546875" bestFit="1" customWidth="1"/>
    <col min="6" max="6" width="7.7109375" bestFit="1" customWidth="1"/>
    <col min="7" max="37" width="8.7109375" customWidth="1"/>
  </cols>
  <sheetData>
    <row r="1" spans="1:26">
      <c r="I1" s="74" t="s">
        <v>7</v>
      </c>
      <c r="J1" s="74"/>
      <c r="K1" s="74"/>
      <c r="L1" s="74"/>
      <c r="N1" s="45" t="str">
        <f>I2</f>
        <v>IR</v>
      </c>
      <c r="O1" s="37" t="s">
        <v>24</v>
      </c>
      <c r="P1" s="60">
        <f>J2</f>
        <v>0</v>
      </c>
      <c r="Q1" s="38" t="s">
        <v>25</v>
      </c>
      <c r="R1" s="37" t="str">
        <f>O1</f>
        <v>-3s</v>
      </c>
      <c r="S1" s="60">
        <f>K2</f>
        <v>2</v>
      </c>
      <c r="T1" s="38" t="str">
        <f>Q1</f>
        <v>+3s</v>
      </c>
      <c r="U1" s="37" t="str">
        <f>R1</f>
        <v>-3s</v>
      </c>
      <c r="V1" s="60">
        <f>L2</f>
        <v>4</v>
      </c>
      <c r="W1" s="38" t="str">
        <f>T1</f>
        <v>+3s</v>
      </c>
      <c r="X1" s="55"/>
      <c r="Y1" s="56"/>
      <c r="Z1" s="55"/>
    </row>
    <row r="2" spans="1:26">
      <c r="F2" t="s">
        <v>11</v>
      </c>
      <c r="G2" t="s">
        <v>15</v>
      </c>
      <c r="I2" s="24" t="s">
        <v>11</v>
      </c>
      <c r="J2" s="12">
        <f>C52</f>
        <v>0</v>
      </c>
      <c r="K2" s="12">
        <f>C54</f>
        <v>2</v>
      </c>
      <c r="L2" s="12">
        <f>C55</f>
        <v>4</v>
      </c>
      <c r="N2" s="32">
        <v>0</v>
      </c>
      <c r="O2" s="32">
        <f>N2</f>
        <v>0</v>
      </c>
      <c r="P2" s="33">
        <f t="shared" ref="P2:W2" si="0">O2</f>
        <v>0</v>
      </c>
      <c r="Q2" s="34">
        <f t="shared" si="0"/>
        <v>0</v>
      </c>
      <c r="R2" s="32">
        <f t="shared" si="0"/>
        <v>0</v>
      </c>
      <c r="S2" s="33">
        <f t="shared" si="0"/>
        <v>0</v>
      </c>
      <c r="T2" s="34">
        <f t="shared" si="0"/>
        <v>0</v>
      </c>
      <c r="U2" s="32">
        <f t="shared" si="0"/>
        <v>0</v>
      </c>
      <c r="V2" s="33">
        <f t="shared" si="0"/>
        <v>0</v>
      </c>
      <c r="W2" s="34">
        <f t="shared" si="0"/>
        <v>0</v>
      </c>
      <c r="X2" s="33"/>
      <c r="Y2" s="33"/>
      <c r="Z2" s="33"/>
    </row>
    <row r="3" spans="1:26">
      <c r="F3" s="13">
        <f>E52</f>
        <v>0.19763779527559056</v>
      </c>
      <c r="G3" s="11">
        <f>F52</f>
        <v>6.8944491005583702E-3</v>
      </c>
      <c r="I3" s="11">
        <f>E52</f>
        <v>0.19763779527559056</v>
      </c>
      <c r="J3" s="11">
        <f>E53</f>
        <v>2.5073529411764696E-2</v>
      </c>
      <c r="K3" s="11">
        <f>E54</f>
        <v>3.1017156862745095E-2</v>
      </c>
      <c r="L3" s="11">
        <f>E55</f>
        <v>3.875E-2</v>
      </c>
      <c r="N3" s="39">
        <f t="shared" ref="N3:N9" si="1">I3</f>
        <v>0.19763779527559056</v>
      </c>
      <c r="O3" s="39">
        <f t="shared" ref="O3:O9" si="2">P3-$C$13*J15</f>
        <v>2.2826834521994362E-2</v>
      </c>
      <c r="P3" s="40">
        <f>J3</f>
        <v>2.5073529411764696E-2</v>
      </c>
      <c r="Q3" s="41">
        <f t="shared" ref="Q3:Q9" si="3">P3+$C$13*J15</f>
        <v>2.732022430153503E-2</v>
      </c>
      <c r="R3" s="39">
        <f t="shared" ref="R3:R9" si="4">S3-$C$13*K15</f>
        <v>1.4151978326945203E-2</v>
      </c>
      <c r="S3" s="40">
        <f>K3</f>
        <v>3.1017156862745095E-2</v>
      </c>
      <c r="T3" s="41">
        <f t="shared" ref="T3:T9" si="5">S3+$C$13*K15</f>
        <v>4.7882335398544987E-2</v>
      </c>
      <c r="U3" s="39">
        <f t="shared" ref="U3:U9" si="6">V3-$C$13*L15</f>
        <v>1.7821763161361078E-2</v>
      </c>
      <c r="V3" s="40">
        <f t="shared" ref="V3:V9" si="7">L3</f>
        <v>3.875E-2</v>
      </c>
      <c r="W3" s="41">
        <f t="shared" ref="W3:W9" si="8">V3+$C$13*L15</f>
        <v>5.9678236838638918E-2</v>
      </c>
      <c r="X3" s="40"/>
      <c r="Y3" s="40"/>
      <c r="Z3" s="40"/>
    </row>
    <row r="4" spans="1:26">
      <c r="F4" s="13">
        <f>E56</f>
        <v>0.29921259842519682</v>
      </c>
      <c r="G4" s="11">
        <f>F56</f>
        <v>7.4236932408036612E-3</v>
      </c>
      <c r="I4" s="11">
        <f>E56</f>
        <v>0.29921259842519682</v>
      </c>
      <c r="J4" s="11">
        <f>E57</f>
        <v>3.3762254901960789E-2</v>
      </c>
      <c r="K4" s="11">
        <f>E58</f>
        <v>4.3762254901960777E-2</v>
      </c>
      <c r="L4" s="11">
        <f>E59</f>
        <v>5.4938725490196086E-2</v>
      </c>
      <c r="N4" s="39">
        <f t="shared" si="1"/>
        <v>0.29921259842519682</v>
      </c>
      <c r="O4" s="39">
        <f t="shared" si="2"/>
        <v>2.9943274686560221E-2</v>
      </c>
      <c r="P4" s="40">
        <f>J4</f>
        <v>3.3762254901960789E-2</v>
      </c>
      <c r="Q4" s="41">
        <f t="shared" si="3"/>
        <v>3.7581235117361354E-2</v>
      </c>
      <c r="R4" s="39">
        <f t="shared" si="4"/>
        <v>2.0406062634209292E-2</v>
      </c>
      <c r="S4" s="40">
        <f t="shared" ref="S4:S8" si="9">K4</f>
        <v>4.3762254901960777E-2</v>
      </c>
      <c r="T4" s="41">
        <f t="shared" si="5"/>
        <v>6.711844716971227E-2</v>
      </c>
      <c r="U4" s="39">
        <f t="shared" si="6"/>
        <v>2.5788920624186237E-2</v>
      </c>
      <c r="V4" s="40">
        <f t="shared" si="7"/>
        <v>5.4938725490196086E-2</v>
      </c>
      <c r="W4" s="41">
        <f t="shared" si="8"/>
        <v>8.4088530356205934E-2</v>
      </c>
      <c r="X4" s="40"/>
      <c r="Y4" s="40"/>
      <c r="Z4" s="40"/>
    </row>
    <row r="5" spans="1:26">
      <c r="F5" s="13">
        <f>E60</f>
        <v>0.40157480314960636</v>
      </c>
      <c r="G5" s="11">
        <f>F60</f>
        <v>7.423693240803636E-3</v>
      </c>
      <c r="I5" s="11">
        <f>E60</f>
        <v>0.40157480314960636</v>
      </c>
      <c r="J5" s="11">
        <f>E61</f>
        <v>3.9473039215686269E-2</v>
      </c>
      <c r="K5" s="11">
        <f>E62</f>
        <v>5.0710784313725485E-2</v>
      </c>
      <c r="L5" s="11">
        <f>E63</f>
        <v>6.2757352941176486E-2</v>
      </c>
      <c r="N5" s="39">
        <f t="shared" si="1"/>
        <v>0.40157480314960636</v>
      </c>
      <c r="O5" s="39">
        <f t="shared" si="2"/>
        <v>3.5823783325047272E-2</v>
      </c>
      <c r="P5" s="40">
        <f>J5</f>
        <v>3.9473039215686269E-2</v>
      </c>
      <c r="Q5" s="41">
        <f t="shared" si="3"/>
        <v>4.3122295106325266E-2</v>
      </c>
      <c r="R5" s="39">
        <f t="shared" si="4"/>
        <v>2.368743333755036E-2</v>
      </c>
      <c r="S5" s="40">
        <f t="shared" si="9"/>
        <v>5.0710784313725485E-2</v>
      </c>
      <c r="T5" s="41">
        <f t="shared" si="5"/>
        <v>7.7734135289900613E-2</v>
      </c>
      <c r="U5" s="39">
        <f t="shared" si="6"/>
        <v>2.9474017230791488E-2</v>
      </c>
      <c r="V5" s="40">
        <f t="shared" si="7"/>
        <v>6.2757352941176486E-2</v>
      </c>
      <c r="W5" s="41">
        <f t="shared" si="8"/>
        <v>9.6040688651561484E-2</v>
      </c>
      <c r="X5" s="40"/>
      <c r="Y5" s="40"/>
      <c r="Z5" s="40"/>
    </row>
    <row r="6" spans="1:26">
      <c r="F6" s="13">
        <f>E64</f>
        <v>0.48582677165354327</v>
      </c>
      <c r="G6" s="11">
        <f>F64</f>
        <v>9.1299355017984817E-3</v>
      </c>
      <c r="I6" s="11">
        <f>E64</f>
        <v>0.48582677165354327</v>
      </c>
      <c r="J6" s="11">
        <f>E65</f>
        <v>4.0392156862745089E-2</v>
      </c>
      <c r="K6" s="11">
        <f>E66</f>
        <v>5.3100490196078431E-2</v>
      </c>
      <c r="L6" s="11">
        <f>E67</f>
        <v>6.7573529411764713E-2</v>
      </c>
      <c r="N6" s="39">
        <f t="shared" si="1"/>
        <v>0.48582677165354327</v>
      </c>
      <c r="O6" s="39">
        <f t="shared" si="2"/>
        <v>3.5826321805571056E-2</v>
      </c>
      <c r="P6" s="40">
        <f t="shared" ref="P6:P9" si="10">J6</f>
        <v>4.0392156862745089E-2</v>
      </c>
      <c r="Q6" s="41">
        <f t="shared" si="3"/>
        <v>4.4957991919919123E-2</v>
      </c>
      <c r="R6" s="39">
        <f t="shared" si="4"/>
        <v>2.4852336412836837E-2</v>
      </c>
      <c r="S6" s="40">
        <f t="shared" si="9"/>
        <v>5.3100490196078431E-2</v>
      </c>
      <c r="T6" s="41">
        <f t="shared" si="5"/>
        <v>8.1348643979320026E-2</v>
      </c>
      <c r="U6" s="39">
        <f t="shared" si="6"/>
        <v>3.1793496764277007E-2</v>
      </c>
      <c r="V6" s="40">
        <f t="shared" si="7"/>
        <v>6.7573529411764713E-2</v>
      </c>
      <c r="W6" s="41">
        <f t="shared" si="8"/>
        <v>0.10335356205925242</v>
      </c>
      <c r="X6" s="40"/>
      <c r="Y6" s="40"/>
      <c r="Z6" s="40"/>
    </row>
    <row r="7" spans="1:26">
      <c r="F7" s="13">
        <f>E68</f>
        <v>0.59999999999999987</v>
      </c>
      <c r="G7" s="11">
        <f>F68</f>
        <v>9.6793117661867906E-3</v>
      </c>
      <c r="I7" s="11">
        <f>E68</f>
        <v>0.59999999999999987</v>
      </c>
      <c r="J7" s="11">
        <f>E69</f>
        <v>4.4473039215686273E-2</v>
      </c>
      <c r="K7" s="11">
        <f>E70</f>
        <v>5.753676470588235E-2</v>
      </c>
      <c r="L7" s="11">
        <f>E71</f>
        <v>7.3529411764705885E-2</v>
      </c>
      <c r="N7" s="39">
        <f t="shared" si="1"/>
        <v>0.59999999999999987</v>
      </c>
      <c r="O7" s="39">
        <f t="shared" si="2"/>
        <v>3.997660062059704E-2</v>
      </c>
      <c r="P7" s="40">
        <f t="shared" si="10"/>
        <v>4.4473039215686273E-2</v>
      </c>
      <c r="Q7" s="41">
        <f t="shared" si="3"/>
        <v>4.8969477810775507E-2</v>
      </c>
      <c r="R7" s="39">
        <f t="shared" si="4"/>
        <v>2.7010095413502758E-2</v>
      </c>
      <c r="S7" s="40">
        <f t="shared" si="9"/>
        <v>5.753676470588235E-2</v>
      </c>
      <c r="T7" s="41">
        <f t="shared" si="5"/>
        <v>8.8063433998261942E-2</v>
      </c>
      <c r="U7" s="39">
        <f t="shared" si="6"/>
        <v>3.4401235046599685E-2</v>
      </c>
      <c r="V7" s="40">
        <f t="shared" si="7"/>
        <v>7.3529411764705885E-2</v>
      </c>
      <c r="W7" s="41">
        <f t="shared" si="8"/>
        <v>0.11265758848281208</v>
      </c>
      <c r="X7" s="40"/>
      <c r="Y7" s="40"/>
      <c r="Z7" s="40"/>
    </row>
    <row r="8" spans="1:26">
      <c r="D8" s="6"/>
      <c r="F8" s="13">
        <f>E72</f>
        <v>0.74488188976377967</v>
      </c>
      <c r="G8" s="11">
        <f>F72</f>
        <v>1.1854687444237474E-2</v>
      </c>
      <c r="I8" s="11">
        <f>E72</f>
        <v>0.74488188976377967</v>
      </c>
      <c r="J8" s="11">
        <f>E73</f>
        <v>4.7414215686274505E-2</v>
      </c>
      <c r="K8" s="11">
        <f>E74</f>
        <v>6.2144607843137245E-2</v>
      </c>
      <c r="L8" s="11">
        <f>E75</f>
        <v>7.8651960784313718E-2</v>
      </c>
      <c r="N8" s="39">
        <f t="shared" si="1"/>
        <v>0.74488188976377967</v>
      </c>
      <c r="O8" s="39">
        <f t="shared" si="2"/>
        <v>4.3522005961118611E-2</v>
      </c>
      <c r="P8" s="40">
        <f t="shared" si="10"/>
        <v>4.7414215686274505E-2</v>
      </c>
      <c r="Q8" s="41">
        <f t="shared" si="3"/>
        <v>5.1306425411430399E-2</v>
      </c>
      <c r="R8" s="39">
        <f t="shared" si="4"/>
        <v>2.9103559199838022E-2</v>
      </c>
      <c r="S8" s="40">
        <f t="shared" si="9"/>
        <v>6.2144607843137245E-2</v>
      </c>
      <c r="T8" s="41">
        <f t="shared" si="5"/>
        <v>9.5185656486436468E-2</v>
      </c>
      <c r="U8" s="39">
        <f t="shared" si="6"/>
        <v>3.6846055169999017E-2</v>
      </c>
      <c r="V8" s="40">
        <f t="shared" si="7"/>
        <v>7.8651960784313718E-2</v>
      </c>
      <c r="W8" s="41">
        <f t="shared" si="8"/>
        <v>0.12045786639862842</v>
      </c>
      <c r="X8" s="40"/>
      <c r="Y8" s="40"/>
      <c r="Z8" s="40"/>
    </row>
    <row r="9" spans="1:26">
      <c r="D9" s="6"/>
      <c r="F9" s="13">
        <f>E76</f>
        <v>0.9228346456692913</v>
      </c>
      <c r="G9" s="11">
        <f>F76</f>
        <v>1.4279759064289198E-2</v>
      </c>
      <c r="I9" s="11">
        <f>E76</f>
        <v>0.9228346456692913</v>
      </c>
      <c r="J9" s="11">
        <f>E77</f>
        <v>5.1311274509803918E-2</v>
      </c>
      <c r="K9" s="11">
        <f>E78</f>
        <v>6.5833333333333327E-2</v>
      </c>
      <c r="L9" s="11">
        <f>E79</f>
        <v>8.2438725490196083E-2</v>
      </c>
      <c r="N9" s="42">
        <f t="shared" si="1"/>
        <v>0.9228346456692913</v>
      </c>
      <c r="O9" s="42">
        <f t="shared" si="2"/>
        <v>4.6589517876662573E-2</v>
      </c>
      <c r="P9" s="43">
        <f t="shared" si="10"/>
        <v>5.1311274509803918E-2</v>
      </c>
      <c r="Q9" s="44">
        <f t="shared" si="3"/>
        <v>5.6033031142945264E-2</v>
      </c>
      <c r="R9" s="42">
        <f t="shared" si="4"/>
        <v>3.0702695128531736E-2</v>
      </c>
      <c r="S9" s="43">
        <f>K9</f>
        <v>6.5833333333333327E-2</v>
      </c>
      <c r="T9" s="44">
        <f t="shared" si="5"/>
        <v>0.10096397153813491</v>
      </c>
      <c r="U9" s="42">
        <f t="shared" si="6"/>
        <v>3.8692239904708013E-2</v>
      </c>
      <c r="V9" s="43">
        <f t="shared" si="7"/>
        <v>8.2438725490196083E-2</v>
      </c>
      <c r="W9" s="44">
        <f t="shared" si="8"/>
        <v>0.12618521107568414</v>
      </c>
      <c r="X9" s="40"/>
      <c r="Y9" s="40"/>
      <c r="Z9" s="40"/>
    </row>
    <row r="10" spans="1:26" ht="15.75" thickBot="1">
      <c r="D10" s="6"/>
      <c r="I10" t="s">
        <v>17</v>
      </c>
      <c r="J10" s="11">
        <f>MAX(J3:J9)</f>
        <v>5.1311274509803918E-2</v>
      </c>
      <c r="K10" s="11">
        <f t="shared" ref="K10:L10" si="11">MAX(K3:K9)</f>
        <v>6.5833333333333327E-2</v>
      </c>
      <c r="L10" s="11">
        <f t="shared" si="11"/>
        <v>8.2438725490196083E-2</v>
      </c>
    </row>
    <row r="11" spans="1:26">
      <c r="A11" s="72" t="s">
        <v>19</v>
      </c>
      <c r="B11" s="73"/>
      <c r="C11" s="48">
        <v>255</v>
      </c>
      <c r="I11" t="s">
        <v>18</v>
      </c>
      <c r="J11" s="11">
        <f>J10-J9</f>
        <v>0</v>
      </c>
      <c r="K11" s="11">
        <f t="shared" ref="K11:L11" si="12">K10-K9</f>
        <v>0</v>
      </c>
      <c r="L11" s="11">
        <f t="shared" si="12"/>
        <v>0</v>
      </c>
      <c r="N11" s="63" t="s">
        <v>26</v>
      </c>
      <c r="O11" s="63"/>
      <c r="P11" s="63"/>
      <c r="Q11" s="63"/>
      <c r="R11" s="63"/>
      <c r="S11" s="63"/>
      <c r="T11" s="63"/>
    </row>
    <row r="12" spans="1:26">
      <c r="A12" s="75" t="s">
        <v>21</v>
      </c>
      <c r="B12" s="76"/>
      <c r="C12" s="49">
        <v>40</v>
      </c>
      <c r="N12" s="2" t="s">
        <v>0</v>
      </c>
      <c r="O12" s="64" t="s">
        <v>1</v>
      </c>
      <c r="P12" s="65"/>
      <c r="Q12" s="59" t="s">
        <v>5</v>
      </c>
      <c r="R12" s="4" t="s">
        <v>7</v>
      </c>
      <c r="S12" s="59" t="s">
        <v>6</v>
      </c>
      <c r="T12" s="4" t="s">
        <v>3</v>
      </c>
    </row>
    <row r="13" spans="1:26">
      <c r="A13" s="77" t="s">
        <v>22</v>
      </c>
      <c r="B13" s="78"/>
      <c r="C13" s="49">
        <v>1.5</v>
      </c>
      <c r="I13" s="74" t="s">
        <v>15</v>
      </c>
      <c r="J13" s="74"/>
      <c r="K13" s="74"/>
      <c r="L13" s="74"/>
      <c r="N13" s="3">
        <v>1</v>
      </c>
      <c r="O13" s="81">
        <f>J2</f>
        <v>0</v>
      </c>
      <c r="P13" s="47" t="s">
        <v>17</v>
      </c>
      <c r="Q13" s="8">
        <f>E81-3*F81</f>
        <v>4.1867761243521227E-2</v>
      </c>
      <c r="R13" s="8">
        <f>E81</f>
        <v>5.1311274509803918E-2</v>
      </c>
      <c r="S13" s="8">
        <f>E81+3*F81</f>
        <v>6.0754787776086609E-2</v>
      </c>
      <c r="T13" s="4" t="s">
        <v>2</v>
      </c>
    </row>
    <row r="14" spans="1:26" ht="15.75" thickBot="1">
      <c r="A14" s="79" t="s">
        <v>23</v>
      </c>
      <c r="B14" s="80"/>
      <c r="C14" s="50">
        <f>COUNT(data0!E2:AJ2)</f>
        <v>10</v>
      </c>
      <c r="I14" s="24" t="str">
        <f>I2</f>
        <v>IR</v>
      </c>
      <c r="J14" s="12">
        <f t="shared" ref="J14:L14" si="13">J2</f>
        <v>0</v>
      </c>
      <c r="K14" s="12">
        <f t="shared" si="13"/>
        <v>2</v>
      </c>
      <c r="L14" s="12">
        <f t="shared" si="13"/>
        <v>4</v>
      </c>
      <c r="N14" s="3">
        <f>N13+0.01</f>
        <v>1.01</v>
      </c>
      <c r="O14" s="81"/>
      <c r="P14" s="47" t="s">
        <v>18</v>
      </c>
      <c r="Q14" s="8">
        <f t="shared" ref="Q14:Q18" si="14">E82-3*F82</f>
        <v>0</v>
      </c>
      <c r="R14" s="8">
        <f t="shared" ref="R14:R18" si="15">E82</f>
        <v>0</v>
      </c>
      <c r="S14" s="8">
        <f t="shared" ref="S14:S18" si="16">E82+3*F82</f>
        <v>0</v>
      </c>
      <c r="T14" s="4" t="str">
        <f>T13</f>
        <v>%FSR</v>
      </c>
    </row>
    <row r="15" spans="1:26">
      <c r="D15" s="6"/>
      <c r="I15" s="11">
        <f t="shared" ref="I15:I21" si="17">I3</f>
        <v>0.19763779527559056</v>
      </c>
      <c r="J15" s="11">
        <f>F53</f>
        <v>1.497796593180222E-3</v>
      </c>
      <c r="K15" s="11">
        <f>F54</f>
        <v>1.1243452357199929E-2</v>
      </c>
      <c r="L15" s="11">
        <f>F55</f>
        <v>1.3952157892425947E-2</v>
      </c>
      <c r="N15" s="3">
        <f>N14+0.01</f>
        <v>1.02</v>
      </c>
      <c r="O15" s="81">
        <f>K2</f>
        <v>2</v>
      </c>
      <c r="P15" s="47" t="str">
        <f t="shared" ref="P15:P18" si="18">P13</f>
        <v>Rise</v>
      </c>
      <c r="Q15" s="8">
        <f t="shared" si="14"/>
        <v>-4.4279430762698552E-3</v>
      </c>
      <c r="R15" s="8">
        <f t="shared" si="15"/>
        <v>6.5833333333333327E-2</v>
      </c>
      <c r="S15" s="8">
        <f t="shared" si="16"/>
        <v>0.13609460974293652</v>
      </c>
      <c r="T15" s="4" t="str">
        <f t="shared" ref="T15:T18" si="19">T14</f>
        <v>%FSR</v>
      </c>
    </row>
    <row r="16" spans="1:26">
      <c r="I16" s="11">
        <f t="shared" si="17"/>
        <v>0.29921259842519682</v>
      </c>
      <c r="J16" s="11">
        <f>F57</f>
        <v>2.5459868102670454E-3</v>
      </c>
      <c r="K16" s="11">
        <f>F58</f>
        <v>1.5570794845167657E-2</v>
      </c>
      <c r="L16" s="11">
        <f>F59</f>
        <v>1.9433203244006565E-2</v>
      </c>
      <c r="N16" s="3">
        <f>N15+0.01</f>
        <v>1.03</v>
      </c>
      <c r="O16" s="81"/>
      <c r="P16" s="47" t="str">
        <f t="shared" si="18"/>
        <v>Droop</v>
      </c>
      <c r="Q16" s="8">
        <f t="shared" si="14"/>
        <v>0</v>
      </c>
      <c r="R16" s="8">
        <f t="shared" si="15"/>
        <v>0</v>
      </c>
      <c r="S16" s="8">
        <f t="shared" si="16"/>
        <v>0</v>
      </c>
      <c r="T16" s="4" t="str">
        <f t="shared" si="19"/>
        <v>%FSR</v>
      </c>
    </row>
    <row r="17" spans="4:26">
      <c r="D17" s="6"/>
      <c r="I17" s="11">
        <f t="shared" si="17"/>
        <v>0.40157480314960636</v>
      </c>
      <c r="J17" s="11">
        <f>F61</f>
        <v>2.4328372604259969E-3</v>
      </c>
      <c r="K17" s="11">
        <f>F62</f>
        <v>1.8015567317450083E-2</v>
      </c>
      <c r="L17" s="11">
        <f>F63</f>
        <v>2.2188890473589996E-2</v>
      </c>
      <c r="N17" s="3">
        <f t="shared" ref="N17:N18" si="20">N16+0.01</f>
        <v>1.04</v>
      </c>
      <c r="O17" s="81">
        <f>L2</f>
        <v>4</v>
      </c>
      <c r="P17" s="47" t="str">
        <f t="shared" si="18"/>
        <v>Rise</v>
      </c>
      <c r="Q17" s="8">
        <f t="shared" si="14"/>
        <v>-5.0542456807800562E-3</v>
      </c>
      <c r="R17" s="8">
        <f t="shared" si="15"/>
        <v>8.2438725490196083E-2</v>
      </c>
      <c r="S17" s="8">
        <f t="shared" si="16"/>
        <v>0.16993169666117222</v>
      </c>
      <c r="T17" s="4" t="str">
        <f t="shared" si="19"/>
        <v>%FSR</v>
      </c>
    </row>
    <row r="18" spans="4:26">
      <c r="D18" s="6"/>
      <c r="I18" s="11">
        <f t="shared" si="17"/>
        <v>0.48582677165354327</v>
      </c>
      <c r="J18" s="11">
        <f>F65</f>
        <v>3.043890038116023E-3</v>
      </c>
      <c r="K18" s="11">
        <f>F66</f>
        <v>1.8832102522161064E-2</v>
      </c>
      <c r="L18" s="11">
        <f>F67</f>
        <v>2.3853355098325139E-2</v>
      </c>
      <c r="N18" s="3">
        <f t="shared" si="20"/>
        <v>1.05</v>
      </c>
      <c r="O18" s="81"/>
      <c r="P18" s="47" t="str">
        <f t="shared" si="18"/>
        <v>Droop</v>
      </c>
      <c r="Q18" s="8">
        <f t="shared" si="14"/>
        <v>0</v>
      </c>
      <c r="R18" s="8">
        <f t="shared" si="15"/>
        <v>0</v>
      </c>
      <c r="S18" s="8">
        <f t="shared" si="16"/>
        <v>0</v>
      </c>
      <c r="T18" s="4" t="str">
        <f t="shared" si="19"/>
        <v>%FSR</v>
      </c>
    </row>
    <row r="19" spans="4:26">
      <c r="D19" s="6"/>
      <c r="I19" s="11">
        <f t="shared" si="17"/>
        <v>0.59999999999999987</v>
      </c>
      <c r="J19" s="11">
        <f>F69</f>
        <v>2.9976257300594875E-3</v>
      </c>
      <c r="K19" s="11">
        <f>F70</f>
        <v>2.0351112861586394E-2</v>
      </c>
      <c r="L19" s="11">
        <f>F71</f>
        <v>2.6085451145404132E-2</v>
      </c>
      <c r="N19" s="58"/>
      <c r="O19" s="58"/>
      <c r="P19" s="58"/>
      <c r="Q19" s="58"/>
      <c r="R19" s="58"/>
      <c r="S19" s="58"/>
      <c r="T19" s="58"/>
    </row>
    <row r="20" spans="4:26">
      <c r="D20" s="6"/>
      <c r="I20" s="11">
        <f t="shared" si="17"/>
        <v>0.74488188976377967</v>
      </c>
      <c r="J20" s="11">
        <f>F73</f>
        <v>2.5948064834372649E-3</v>
      </c>
      <c r="K20" s="11">
        <f>F74</f>
        <v>2.2027365762199481E-2</v>
      </c>
      <c r="L20" s="11">
        <f>F75</f>
        <v>2.7870603742876466E-2</v>
      </c>
      <c r="N20" s="58"/>
      <c r="O20" s="58"/>
      <c r="P20" s="58"/>
      <c r="Q20" s="58"/>
      <c r="R20" s="58"/>
      <c r="S20" s="58"/>
      <c r="T20" s="58"/>
    </row>
    <row r="21" spans="4:26">
      <c r="I21" s="11">
        <f t="shared" si="17"/>
        <v>0.9228346456692913</v>
      </c>
      <c r="J21" s="11">
        <f>F77</f>
        <v>3.1478377554275635E-3</v>
      </c>
      <c r="K21" s="11">
        <f>F78</f>
        <v>2.3420425469867726E-2</v>
      </c>
      <c r="L21" s="11">
        <f>F79</f>
        <v>2.9164323723658712E-2</v>
      </c>
    </row>
    <row r="22" spans="4:26">
      <c r="D22" s="6"/>
    </row>
    <row r="23" spans="4:26">
      <c r="I23" s="74" t="str">
        <f>I1</f>
        <v>Mean</v>
      </c>
      <c r="J23" s="74"/>
      <c r="K23" s="74"/>
      <c r="L23" s="74"/>
      <c r="N23" s="45" t="str">
        <f>I24</f>
        <v>kLux</v>
      </c>
      <c r="O23" s="37" t="str">
        <f>O1</f>
        <v>-3s</v>
      </c>
      <c r="P23" s="46">
        <f>J24</f>
        <v>0</v>
      </c>
      <c r="Q23" s="38" t="str">
        <f>Q1</f>
        <v>+3s</v>
      </c>
      <c r="R23" s="37" t="str">
        <f>R1</f>
        <v>-3s</v>
      </c>
      <c r="S23" s="46">
        <f>K24</f>
        <v>2</v>
      </c>
      <c r="T23" s="38" t="str">
        <f>T1</f>
        <v>+3s</v>
      </c>
      <c r="U23" s="37" t="str">
        <f>U1</f>
        <v>-3s</v>
      </c>
      <c r="V23" s="46">
        <f>L24</f>
        <v>4</v>
      </c>
      <c r="W23" s="38" t="str">
        <f>W1</f>
        <v>+3s</v>
      </c>
      <c r="X23" s="55"/>
      <c r="Y23" s="57"/>
      <c r="Z23" s="55"/>
    </row>
    <row r="24" spans="4:26">
      <c r="I24" s="24" t="s">
        <v>20</v>
      </c>
      <c r="J24" s="21">
        <f t="shared" ref="J24:L33" si="21">J2*$C$11</f>
        <v>0</v>
      </c>
      <c r="K24" s="21">
        <f>K14</f>
        <v>2</v>
      </c>
      <c r="L24" s="21">
        <f>L14</f>
        <v>4</v>
      </c>
      <c r="N24" s="32">
        <v>0</v>
      </c>
      <c r="O24" s="32">
        <f>N24</f>
        <v>0</v>
      </c>
      <c r="P24" s="33">
        <f t="shared" ref="P24:W24" si="22">O24</f>
        <v>0</v>
      </c>
      <c r="Q24" s="34">
        <f t="shared" si="22"/>
        <v>0</v>
      </c>
      <c r="R24" s="32">
        <f t="shared" si="22"/>
        <v>0</v>
      </c>
      <c r="S24" s="33">
        <f t="shared" si="22"/>
        <v>0</v>
      </c>
      <c r="T24" s="34">
        <f t="shared" si="22"/>
        <v>0</v>
      </c>
      <c r="U24" s="32">
        <f t="shared" si="22"/>
        <v>0</v>
      </c>
      <c r="V24" s="33">
        <f t="shared" si="22"/>
        <v>0</v>
      </c>
      <c r="W24" s="34">
        <f t="shared" si="22"/>
        <v>0</v>
      </c>
      <c r="X24" s="33"/>
      <c r="Y24" s="33"/>
      <c r="Z24" s="33"/>
    </row>
    <row r="25" spans="4:26">
      <c r="I25" s="21">
        <f t="shared" ref="I25:I31" si="23">I15*$C$12</f>
        <v>7.9055118110236222</v>
      </c>
      <c r="J25" s="21">
        <f t="shared" si="21"/>
        <v>6.3937499999999972</v>
      </c>
      <c r="K25" s="21">
        <f t="shared" si="21"/>
        <v>7.9093749999999989</v>
      </c>
      <c r="L25" s="21">
        <f t="shared" si="21"/>
        <v>9.8812499999999996</v>
      </c>
      <c r="N25" s="39">
        <f t="shared" ref="N25:N31" si="24">I25</f>
        <v>7.9055118110236222</v>
      </c>
      <c r="O25" s="39">
        <f t="shared" ref="O25:O31" si="25">P25-$C$13*J37</f>
        <v>5.8208428031085626</v>
      </c>
      <c r="P25" s="40">
        <f t="shared" ref="P25:P31" si="26">J25</f>
        <v>6.3937499999999972</v>
      </c>
      <c r="Q25" s="41">
        <f t="shared" ref="Q25:Q31" si="27">P25+$C$13*J37</f>
        <v>6.9666571968914317</v>
      </c>
      <c r="R25" s="39">
        <f t="shared" ref="R25:R31" si="28">S25-$C$13*K37</f>
        <v>3.6087544733710262</v>
      </c>
      <c r="S25" s="40">
        <f t="shared" ref="S25:S31" si="29">K25</f>
        <v>7.9093749999999989</v>
      </c>
      <c r="T25" s="41">
        <f t="shared" ref="T25:T31" si="30">S25+$C$13*K37</f>
        <v>12.209995526628973</v>
      </c>
      <c r="U25" s="39">
        <f t="shared" ref="U25:U31" si="31">V25-$C$13*L37</f>
        <v>4.5445496061470747</v>
      </c>
      <c r="V25" s="40">
        <f t="shared" ref="V25:V31" si="32">L25</f>
        <v>9.8812499999999996</v>
      </c>
      <c r="W25" s="41">
        <f t="shared" ref="W25:W31" si="33">V25+$C$13*L37</f>
        <v>15.217950393852924</v>
      </c>
      <c r="X25" s="40"/>
      <c r="Y25" s="40"/>
      <c r="Z25" s="40"/>
    </row>
    <row r="26" spans="4:26">
      <c r="I26" s="21">
        <f t="shared" si="23"/>
        <v>11.968503937007872</v>
      </c>
      <c r="J26" s="21">
        <f t="shared" si="21"/>
        <v>8.6093750000000018</v>
      </c>
      <c r="K26" s="21">
        <f t="shared" si="21"/>
        <v>11.159374999999999</v>
      </c>
      <c r="L26" s="21">
        <f t="shared" si="21"/>
        <v>14.009375000000002</v>
      </c>
      <c r="N26" s="39">
        <f t="shared" si="24"/>
        <v>11.968503937007872</v>
      </c>
      <c r="O26" s="39">
        <f t="shared" si="25"/>
        <v>7.6355350450728565</v>
      </c>
      <c r="P26" s="40">
        <f t="shared" si="26"/>
        <v>8.6093750000000018</v>
      </c>
      <c r="Q26" s="41">
        <f t="shared" si="27"/>
        <v>9.583214954927147</v>
      </c>
      <c r="R26" s="39">
        <f t="shared" si="28"/>
        <v>5.2035459717233703</v>
      </c>
      <c r="S26" s="40">
        <f t="shared" si="29"/>
        <v>11.159374999999999</v>
      </c>
      <c r="T26" s="41">
        <f t="shared" si="30"/>
        <v>17.115204028276629</v>
      </c>
      <c r="U26" s="39">
        <f t="shared" si="31"/>
        <v>6.5761747591674915</v>
      </c>
      <c r="V26" s="40">
        <f t="shared" si="32"/>
        <v>14.009375000000002</v>
      </c>
      <c r="W26" s="41">
        <f t="shared" si="33"/>
        <v>21.442575240832511</v>
      </c>
      <c r="X26" s="40"/>
      <c r="Y26" s="40"/>
      <c r="Z26" s="40"/>
    </row>
    <row r="27" spans="4:26">
      <c r="D27" s="6"/>
      <c r="I27" s="21">
        <f t="shared" si="23"/>
        <v>16.062992125984255</v>
      </c>
      <c r="J27" s="21">
        <f t="shared" si="21"/>
        <v>10.065624999999999</v>
      </c>
      <c r="K27" s="21">
        <f t="shared" si="21"/>
        <v>12.931249999999999</v>
      </c>
      <c r="L27" s="21">
        <f t="shared" si="21"/>
        <v>16.003125000000004</v>
      </c>
      <c r="N27" s="39">
        <f t="shared" si="24"/>
        <v>16.062992125984255</v>
      </c>
      <c r="O27" s="39">
        <f t="shared" si="25"/>
        <v>9.1350647478870552</v>
      </c>
      <c r="P27" s="40">
        <f t="shared" si="26"/>
        <v>10.065624999999999</v>
      </c>
      <c r="Q27" s="41">
        <f t="shared" si="27"/>
        <v>10.996185252112943</v>
      </c>
      <c r="R27" s="39">
        <f t="shared" si="28"/>
        <v>6.0402955010753416</v>
      </c>
      <c r="S27" s="40">
        <f t="shared" si="29"/>
        <v>12.931249999999999</v>
      </c>
      <c r="T27" s="41">
        <f t="shared" si="30"/>
        <v>19.822204498924656</v>
      </c>
      <c r="U27" s="39">
        <f t="shared" si="31"/>
        <v>7.5158743938518313</v>
      </c>
      <c r="V27" s="40">
        <f t="shared" si="32"/>
        <v>16.003125000000004</v>
      </c>
      <c r="W27" s="41">
        <f t="shared" si="33"/>
        <v>24.490375606148177</v>
      </c>
      <c r="X27" s="40"/>
      <c r="Y27" s="40"/>
      <c r="Z27" s="40"/>
    </row>
    <row r="28" spans="4:26">
      <c r="D28" s="6"/>
      <c r="I28" s="21">
        <f t="shared" si="23"/>
        <v>19.43307086614173</v>
      </c>
      <c r="J28" s="21">
        <f t="shared" si="21"/>
        <v>10.299999999999997</v>
      </c>
      <c r="K28" s="21">
        <f t="shared" si="21"/>
        <v>13.540625</v>
      </c>
      <c r="L28" s="21">
        <f t="shared" si="21"/>
        <v>17.231250000000003</v>
      </c>
      <c r="N28" s="39">
        <f t="shared" si="24"/>
        <v>19.43307086614173</v>
      </c>
      <c r="O28" s="39">
        <f t="shared" si="25"/>
        <v>9.1357120604206177</v>
      </c>
      <c r="P28" s="40">
        <f t="shared" si="26"/>
        <v>10.299999999999997</v>
      </c>
      <c r="Q28" s="41">
        <f t="shared" si="27"/>
        <v>11.464287939579377</v>
      </c>
      <c r="R28" s="39">
        <f t="shared" si="28"/>
        <v>6.3373457852733939</v>
      </c>
      <c r="S28" s="40">
        <f t="shared" si="29"/>
        <v>13.540625</v>
      </c>
      <c r="T28" s="41">
        <f t="shared" si="30"/>
        <v>20.743904214726605</v>
      </c>
      <c r="U28" s="39">
        <f t="shared" si="31"/>
        <v>8.1073416748906375</v>
      </c>
      <c r="V28" s="40">
        <f t="shared" si="32"/>
        <v>17.231250000000003</v>
      </c>
      <c r="W28" s="41">
        <f t="shared" si="33"/>
        <v>26.355158325109368</v>
      </c>
      <c r="X28" s="40"/>
      <c r="Y28" s="40"/>
      <c r="Z28" s="40"/>
    </row>
    <row r="29" spans="4:26">
      <c r="D29" s="6"/>
      <c r="I29" s="21">
        <f t="shared" si="23"/>
        <v>23.999999999999993</v>
      </c>
      <c r="J29" s="21">
        <f t="shared" si="21"/>
        <v>11.340624999999999</v>
      </c>
      <c r="K29" s="21">
        <f t="shared" si="21"/>
        <v>14.671875</v>
      </c>
      <c r="L29" s="21">
        <f t="shared" si="21"/>
        <v>18.75</v>
      </c>
      <c r="N29" s="39">
        <f t="shared" si="24"/>
        <v>23.999999999999993</v>
      </c>
      <c r="O29" s="39">
        <f t="shared" si="25"/>
        <v>10.194033158252246</v>
      </c>
      <c r="P29" s="40">
        <f t="shared" si="26"/>
        <v>11.340624999999999</v>
      </c>
      <c r="Q29" s="41">
        <f t="shared" si="27"/>
        <v>12.487216841747752</v>
      </c>
      <c r="R29" s="39">
        <f t="shared" si="28"/>
        <v>6.8875743304432042</v>
      </c>
      <c r="S29" s="40">
        <f t="shared" si="29"/>
        <v>14.671875</v>
      </c>
      <c r="T29" s="41">
        <f t="shared" si="30"/>
        <v>22.456175669556796</v>
      </c>
      <c r="U29" s="39">
        <f t="shared" si="31"/>
        <v>8.7723149368829194</v>
      </c>
      <c r="V29" s="40">
        <f t="shared" si="32"/>
        <v>18.75</v>
      </c>
      <c r="W29" s="41">
        <f t="shared" si="33"/>
        <v>28.727685063117079</v>
      </c>
      <c r="X29" s="40"/>
      <c r="Y29" s="40"/>
      <c r="Z29" s="40"/>
    </row>
    <row r="30" spans="4:26">
      <c r="D30" s="6"/>
      <c r="I30" s="21">
        <f t="shared" si="23"/>
        <v>29.795275590551185</v>
      </c>
      <c r="J30" s="21">
        <f t="shared" si="21"/>
        <v>12.090624999999999</v>
      </c>
      <c r="K30" s="21">
        <f t="shared" si="21"/>
        <v>15.846874999999997</v>
      </c>
      <c r="L30" s="21">
        <f t="shared" si="21"/>
        <v>20.056249999999999</v>
      </c>
      <c r="N30" s="39">
        <f t="shared" si="24"/>
        <v>29.795275590551185</v>
      </c>
      <c r="O30" s="39">
        <f t="shared" si="25"/>
        <v>11.098111520085245</v>
      </c>
      <c r="P30" s="40">
        <f t="shared" si="26"/>
        <v>12.090624999999999</v>
      </c>
      <c r="Q30" s="41">
        <f t="shared" si="27"/>
        <v>13.083138479914753</v>
      </c>
      <c r="R30" s="39">
        <f t="shared" si="28"/>
        <v>7.421407595958696</v>
      </c>
      <c r="S30" s="40">
        <f t="shared" si="29"/>
        <v>15.846874999999997</v>
      </c>
      <c r="T30" s="41">
        <f t="shared" si="30"/>
        <v>24.272342404041297</v>
      </c>
      <c r="U30" s="39">
        <f t="shared" si="31"/>
        <v>9.3957440683497495</v>
      </c>
      <c r="V30" s="40">
        <f t="shared" si="32"/>
        <v>20.056249999999999</v>
      </c>
      <c r="W30" s="41">
        <f t="shared" si="33"/>
        <v>30.716755931650248</v>
      </c>
      <c r="X30" s="40"/>
      <c r="Y30" s="40"/>
      <c r="Z30" s="40"/>
    </row>
    <row r="31" spans="4:26">
      <c r="I31" s="21">
        <f t="shared" si="23"/>
        <v>36.913385826771652</v>
      </c>
      <c r="J31" s="21">
        <f t="shared" si="21"/>
        <v>13.084375</v>
      </c>
      <c r="K31" s="21">
        <f t="shared" si="21"/>
        <v>16.787499999999998</v>
      </c>
      <c r="L31" s="21">
        <f t="shared" si="21"/>
        <v>21.021875000000001</v>
      </c>
      <c r="N31" s="42">
        <f t="shared" si="24"/>
        <v>36.913385826771652</v>
      </c>
      <c r="O31" s="42">
        <f t="shared" si="25"/>
        <v>11.880327058548957</v>
      </c>
      <c r="P31" s="43">
        <f t="shared" si="26"/>
        <v>13.084375</v>
      </c>
      <c r="Q31" s="44">
        <f t="shared" si="27"/>
        <v>14.288422941451042</v>
      </c>
      <c r="R31" s="42">
        <f t="shared" si="28"/>
        <v>7.8291872577755939</v>
      </c>
      <c r="S31" s="43">
        <f t="shared" si="29"/>
        <v>16.787499999999998</v>
      </c>
      <c r="T31" s="44">
        <f t="shared" si="30"/>
        <v>25.745812742224402</v>
      </c>
      <c r="U31" s="42">
        <f t="shared" si="31"/>
        <v>9.8665211757005444</v>
      </c>
      <c r="V31" s="43">
        <f t="shared" si="32"/>
        <v>21.021875000000001</v>
      </c>
      <c r="W31" s="44">
        <f t="shared" si="33"/>
        <v>32.177228824299462</v>
      </c>
      <c r="X31" s="40"/>
      <c r="Y31" s="40"/>
      <c r="Z31" s="40"/>
    </row>
    <row r="32" spans="4:26">
      <c r="I32" s="21" t="s">
        <v>17</v>
      </c>
      <c r="J32" s="21">
        <f t="shared" si="21"/>
        <v>13.084375</v>
      </c>
      <c r="K32" s="21">
        <f t="shared" si="21"/>
        <v>16.787499999999998</v>
      </c>
      <c r="L32" s="21">
        <f t="shared" si="21"/>
        <v>21.021875000000001</v>
      </c>
    </row>
    <row r="33" spans="4:12">
      <c r="I33" s="21" t="s">
        <v>18</v>
      </c>
      <c r="J33" s="21">
        <f t="shared" si="21"/>
        <v>0</v>
      </c>
      <c r="K33" s="21">
        <f t="shared" si="21"/>
        <v>0</v>
      </c>
      <c r="L33" s="21">
        <f t="shared" si="21"/>
        <v>0</v>
      </c>
    </row>
    <row r="34" spans="4:12">
      <c r="I34" s="21"/>
      <c r="J34" s="21"/>
      <c r="K34" s="21"/>
      <c r="L34" s="21"/>
    </row>
    <row r="35" spans="4:12">
      <c r="I35" s="74" t="str">
        <f>I13</f>
        <v>StDev</v>
      </c>
      <c r="J35" s="74"/>
      <c r="K35" s="74"/>
      <c r="L35" s="74"/>
    </row>
    <row r="36" spans="4:12">
      <c r="I36" s="24" t="s">
        <v>20</v>
      </c>
      <c r="J36" s="21">
        <f t="shared" ref="J36:L43" si="34">J14*$C$11</f>
        <v>0</v>
      </c>
      <c r="K36" s="21">
        <f t="shared" si="34"/>
        <v>510</v>
      </c>
      <c r="L36" s="21">
        <f t="shared" si="34"/>
        <v>1020</v>
      </c>
    </row>
    <row r="37" spans="4:12">
      <c r="I37" s="21">
        <f>I25</f>
        <v>7.9055118110236222</v>
      </c>
      <c r="J37" s="21">
        <f t="shared" si="34"/>
        <v>0.3819381312609566</v>
      </c>
      <c r="K37" s="21">
        <f t="shared" si="34"/>
        <v>2.8670803510859817</v>
      </c>
      <c r="L37" s="21">
        <f t="shared" si="34"/>
        <v>3.5578002625686165</v>
      </c>
    </row>
    <row r="38" spans="4:12">
      <c r="I38" s="21">
        <f t="shared" ref="I38:I43" si="35">I26</f>
        <v>11.968503937007872</v>
      </c>
      <c r="J38" s="21">
        <f t="shared" si="34"/>
        <v>0.64922663661809654</v>
      </c>
      <c r="K38" s="21">
        <f t="shared" si="34"/>
        <v>3.9705526855177524</v>
      </c>
      <c r="L38" s="21">
        <f t="shared" si="34"/>
        <v>4.9554668272216738</v>
      </c>
    </row>
    <row r="39" spans="4:12">
      <c r="I39" s="21">
        <f t="shared" si="35"/>
        <v>16.062992125984255</v>
      </c>
      <c r="J39" s="21">
        <f t="shared" si="34"/>
        <v>0.62037350140862924</v>
      </c>
      <c r="K39" s="21">
        <f t="shared" si="34"/>
        <v>4.5939696659497713</v>
      </c>
      <c r="L39" s="21">
        <f t="shared" si="34"/>
        <v>5.6581670707654492</v>
      </c>
    </row>
    <row r="40" spans="4:12">
      <c r="I40" s="21">
        <f t="shared" si="35"/>
        <v>19.43307086614173</v>
      </c>
      <c r="J40" s="21">
        <f t="shared" si="34"/>
        <v>0.77619195971958588</v>
      </c>
      <c r="K40" s="21">
        <f t="shared" si="34"/>
        <v>4.8021861431510713</v>
      </c>
      <c r="L40" s="21">
        <f t="shared" si="34"/>
        <v>6.0826055500729108</v>
      </c>
    </row>
    <row r="41" spans="4:12">
      <c r="I41" s="21">
        <f t="shared" si="35"/>
        <v>23.999999999999993</v>
      </c>
      <c r="J41" s="21">
        <f t="shared" si="34"/>
        <v>0.76439456116516935</v>
      </c>
      <c r="K41" s="21">
        <f t="shared" si="34"/>
        <v>5.1895337797045302</v>
      </c>
      <c r="L41" s="21">
        <f t="shared" si="34"/>
        <v>6.651790042078054</v>
      </c>
    </row>
    <row r="42" spans="4:12">
      <c r="I42" s="21">
        <f t="shared" si="35"/>
        <v>29.795275590551185</v>
      </c>
      <c r="J42" s="21">
        <f t="shared" si="34"/>
        <v>0.66167565327650257</v>
      </c>
      <c r="K42" s="21">
        <f t="shared" si="34"/>
        <v>5.6169782693608674</v>
      </c>
      <c r="L42" s="21">
        <f t="shared" si="34"/>
        <v>7.1070039544334991</v>
      </c>
    </row>
    <row r="43" spans="4:12">
      <c r="I43" s="21">
        <f t="shared" si="35"/>
        <v>36.913385826771652</v>
      </c>
      <c r="J43" s="21">
        <f t="shared" si="34"/>
        <v>0.80269862763402866</v>
      </c>
      <c r="K43" s="21">
        <f t="shared" si="34"/>
        <v>5.9722084948162699</v>
      </c>
      <c r="L43" s="21">
        <f t="shared" si="34"/>
        <v>7.4369025495329719</v>
      </c>
    </row>
    <row r="44" spans="4:12">
      <c r="I44" s="21"/>
      <c r="J44" s="21"/>
      <c r="K44" s="21"/>
      <c r="L44" s="21"/>
    </row>
    <row r="45" spans="4:12">
      <c r="I45" s="21"/>
      <c r="J45" s="21"/>
      <c r="K45" s="21"/>
      <c r="L45" s="21"/>
    </row>
    <row r="46" spans="4:12">
      <c r="D46" s="6"/>
    </row>
    <row r="47" spans="4:12">
      <c r="D47" s="6"/>
    </row>
    <row r="48" spans="4:12">
      <c r="D48" s="6"/>
    </row>
    <row r="49" spans="1:38">
      <c r="D49" s="6"/>
    </row>
    <row r="51" spans="1:38">
      <c r="B51" s="24" t="s">
        <v>8</v>
      </c>
      <c r="C51" s="24" t="s">
        <v>9</v>
      </c>
      <c r="D51" s="9">
        <f>data0!A1</f>
        <v>0</v>
      </c>
      <c r="E51" s="9" t="s">
        <v>7</v>
      </c>
      <c r="F51" s="9" t="s">
        <v>15</v>
      </c>
      <c r="G51">
        <f>data0!E1</f>
        <v>0</v>
      </c>
      <c r="H51">
        <f>data0!F1</f>
        <v>1</v>
      </c>
      <c r="I51">
        <f>data0!G1</f>
        <v>2</v>
      </c>
      <c r="J51">
        <f>data0!H1</f>
        <v>3</v>
      </c>
      <c r="K51">
        <f>data0!I1</f>
        <v>4</v>
      </c>
      <c r="L51">
        <f>data0!J1</f>
        <v>5</v>
      </c>
      <c r="M51">
        <f>data0!K1</f>
        <v>6</v>
      </c>
      <c r="N51">
        <f>data0!L1</f>
        <v>7</v>
      </c>
      <c r="O51">
        <f>data0!M1</f>
        <v>8</v>
      </c>
      <c r="P51">
        <f>data0!N1</f>
        <v>9</v>
      </c>
      <c r="Q51">
        <f>data0!O1</f>
        <v>10</v>
      </c>
      <c r="R51">
        <f>data0!P1</f>
        <v>11</v>
      </c>
      <c r="S51">
        <f>data0!Q1</f>
        <v>12</v>
      </c>
      <c r="T51">
        <f>data0!R1</f>
        <v>13</v>
      </c>
      <c r="U51">
        <f>data0!S1</f>
        <v>14</v>
      </c>
      <c r="V51">
        <f>data0!T1</f>
        <v>15</v>
      </c>
      <c r="W51">
        <f>data0!U1</f>
        <v>16</v>
      </c>
      <c r="X51">
        <f>data0!V1</f>
        <v>17</v>
      </c>
      <c r="Y51">
        <f>data0!W1</f>
        <v>18</v>
      </c>
      <c r="Z51">
        <f>data0!X1</f>
        <v>19</v>
      </c>
      <c r="AA51">
        <f>data0!Y1</f>
        <v>20</v>
      </c>
      <c r="AB51">
        <f>data0!Z1</f>
        <v>21</v>
      </c>
      <c r="AC51">
        <f>data0!AA1</f>
        <v>22</v>
      </c>
      <c r="AD51">
        <f>data0!AB1</f>
        <v>23</v>
      </c>
      <c r="AE51">
        <f>data0!AC1</f>
        <v>24</v>
      </c>
      <c r="AF51">
        <f>data0!AD1</f>
        <v>25</v>
      </c>
      <c r="AG51">
        <f>data0!AE1</f>
        <v>26</v>
      </c>
      <c r="AH51">
        <f>data0!AF1</f>
        <v>27</v>
      </c>
      <c r="AI51">
        <f>data0!AG1</f>
        <v>28</v>
      </c>
      <c r="AJ51">
        <f>data0!AH1</f>
        <v>29</v>
      </c>
      <c r="AK51">
        <f>data0!AI1</f>
        <v>30</v>
      </c>
      <c r="AL51">
        <f>data0!AJ1</f>
        <v>31</v>
      </c>
    </row>
    <row r="52" spans="1:38">
      <c r="A52" s="71" t="s">
        <v>10</v>
      </c>
      <c r="B52" s="71">
        <v>13</v>
      </c>
      <c r="C52" s="71">
        <v>0</v>
      </c>
      <c r="D52" s="54">
        <v>0.2</v>
      </c>
      <c r="E52" s="11">
        <f>AVERAGE(G52:AK52)</f>
        <v>0.19763779527559056</v>
      </c>
      <c r="F52" s="11">
        <f>STDEV(G52:AK52)</f>
        <v>6.8944491005583702E-3</v>
      </c>
      <c r="G52" s="30">
        <f>data0!E6</f>
        <v>0.1889763779527559</v>
      </c>
      <c r="H52" s="30">
        <f>data0!F6</f>
        <v>0.19685039370078741</v>
      </c>
      <c r="I52" s="30">
        <f>data0!G6</f>
        <v>0.1889763779527559</v>
      </c>
      <c r="J52" s="30">
        <f>data0!H6</f>
        <v>0.19685039370078741</v>
      </c>
      <c r="K52" s="30">
        <f>data0!I6</f>
        <v>0.19685039370078741</v>
      </c>
      <c r="L52" s="30">
        <f>data0!J6</f>
        <v>0.20472440944881889</v>
      </c>
      <c r="M52" s="30">
        <f>data0!K6</f>
        <v>0.20472440944881889</v>
      </c>
      <c r="N52" s="30">
        <f>data0!L6</f>
        <v>0.20472440944881889</v>
      </c>
      <c r="O52" s="30">
        <f>data0!M6</f>
        <v>0.20472440944881889</v>
      </c>
      <c r="P52" s="30">
        <f>data0!N6</f>
        <v>0.1889763779527559</v>
      </c>
    </row>
    <row r="53" spans="1:38">
      <c r="A53" s="71"/>
      <c r="B53" s="71"/>
      <c r="C53" s="71"/>
      <c r="D53" s="83">
        <v>0.25</v>
      </c>
      <c r="E53" s="11">
        <f>AVERAGE(G53:AK53)</f>
        <v>2.5073529411764696E-2</v>
      </c>
      <c r="F53" s="11">
        <f>STDEV(G53:AK53)</f>
        <v>1.497796593180222E-3</v>
      </c>
      <c r="G53" s="31">
        <f>data0!E7-data0!E$3</f>
        <v>2.3897058823529382E-2</v>
      </c>
      <c r="H53" s="31">
        <f>data0!F7-data0!F$3</f>
        <v>2.4999999999999994E-2</v>
      </c>
      <c r="I53" s="31">
        <f>data0!G7-data0!G$3</f>
        <v>2.7328431372549006E-2</v>
      </c>
      <c r="J53" s="31">
        <f>data0!H7-data0!H$3</f>
        <v>2.4019607843137225E-2</v>
      </c>
      <c r="K53" s="31">
        <f>data0!I7-data0!I$3</f>
        <v>2.3774509803921595E-2</v>
      </c>
      <c r="L53" s="31">
        <f>data0!J7-data0!J$3</f>
        <v>2.7328431372549034E-2</v>
      </c>
      <c r="M53" s="31">
        <f>data0!K7-data0!K$3</f>
        <v>2.377450980392154E-2</v>
      </c>
      <c r="N53" s="31">
        <f>data0!L7-data0!L$3</f>
        <v>2.5490196078431338E-2</v>
      </c>
      <c r="O53" s="31">
        <f>data0!M7-data0!M$3</f>
        <v>2.3651960784313725E-2</v>
      </c>
      <c r="P53" s="31">
        <f>data0!N7-data0!N$3</f>
        <v>2.6470588235294107E-2</v>
      </c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</row>
    <row r="54" spans="1:38">
      <c r="A54" s="71"/>
      <c r="B54" s="71"/>
      <c r="C54" s="29">
        <v>2</v>
      </c>
      <c r="D54" s="83"/>
      <c r="E54" s="11">
        <f t="shared" ref="E54:E56" si="36">AVERAGE(G54:AK54)</f>
        <v>3.1017156862745095E-2</v>
      </c>
      <c r="F54" s="11">
        <f t="shared" ref="F54:F56" si="37">STDEV(G54:AK54)</f>
        <v>1.1243452357199929E-2</v>
      </c>
      <c r="G54" s="31">
        <f>data0!F8-data0!F$4</f>
        <v>3.4681372549019596E-2</v>
      </c>
      <c r="H54" s="31">
        <f>data0!G8-data0!G$4</f>
        <v>3.8480392156862719E-2</v>
      </c>
      <c r="I54" s="31">
        <f>data0!H8-data0!H$4</f>
        <v>3.2230392156862742E-2</v>
      </c>
      <c r="J54" s="31">
        <f>data0!I8-data0!I$4</f>
        <v>3.1862745098039214E-2</v>
      </c>
      <c r="K54" s="31">
        <f>data0!J8-data0!J$4</f>
        <v>3.4803921568627494E-2</v>
      </c>
      <c r="L54" s="31">
        <f>data0!K8-data0!K$4</f>
        <v>3.2352941176470584E-2</v>
      </c>
      <c r="M54" s="31">
        <f>data0!L8-data0!L$4</f>
        <v>3.4191176470588225E-2</v>
      </c>
      <c r="N54" s="31">
        <f>data0!M8-data0!M$4</f>
        <v>3.1740196078431371E-2</v>
      </c>
      <c r="O54" s="31">
        <f>data0!N8-data0!N$4</f>
        <v>3.9828431372548989E-2</v>
      </c>
      <c r="P54" s="31">
        <f>data0!O8-data0!O$4</f>
        <v>0</v>
      </c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</row>
    <row r="55" spans="1:38">
      <c r="A55" s="71"/>
      <c r="B55" s="71"/>
      <c r="C55" s="29">
        <v>4</v>
      </c>
      <c r="D55" s="83"/>
      <c r="E55" s="11">
        <f t="shared" si="36"/>
        <v>3.875E-2</v>
      </c>
      <c r="F55" s="11">
        <f t="shared" si="37"/>
        <v>1.3952157892425947E-2</v>
      </c>
      <c r="G55" s="31">
        <f>data0!F9-data0!F$5</f>
        <v>4.325980392156864E-2</v>
      </c>
      <c r="H55" s="31">
        <f>data0!G9-data0!G$5</f>
        <v>4.5588235294117652E-2</v>
      </c>
      <c r="I55" s="31">
        <f>data0!H9-data0!H$5</f>
        <v>4.3137254901960798E-2</v>
      </c>
      <c r="J55" s="31">
        <f>data0!I9-data0!I$5</f>
        <v>4.4362745098039225E-2</v>
      </c>
      <c r="K55" s="31">
        <f>data0!J9-data0!J$5</f>
        <v>4.2524509803921529E-2</v>
      </c>
      <c r="L55" s="31">
        <f>data0!K9-data0!K$5</f>
        <v>3.4926470588235337E-2</v>
      </c>
      <c r="M55" s="31">
        <f>data0!L9-data0!L$5</f>
        <v>4.5588235294117596E-2</v>
      </c>
      <c r="N55" s="31">
        <f>data0!M9-data0!M$5</f>
        <v>4.3504901960784326E-2</v>
      </c>
      <c r="O55" s="31">
        <f>data0!N9-data0!N$5</f>
        <v>4.460784313725491E-2</v>
      </c>
      <c r="P55" s="31">
        <f>data0!O9-data0!O$5</f>
        <v>0</v>
      </c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</row>
    <row r="56" spans="1:38">
      <c r="A56" s="71"/>
      <c r="B56" s="71">
        <v>7</v>
      </c>
      <c r="C56" s="71">
        <v>0</v>
      </c>
      <c r="D56" s="54">
        <v>0.3</v>
      </c>
      <c r="E56" s="11">
        <f t="shared" si="36"/>
        <v>0.29921259842519682</v>
      </c>
      <c r="F56" s="11">
        <f t="shared" si="37"/>
        <v>7.4236932408036612E-3</v>
      </c>
      <c r="G56" s="30">
        <f>data0!E10</f>
        <v>0.29133858267716534</v>
      </c>
      <c r="H56" s="30">
        <f>data0!F10</f>
        <v>0.29921259842519687</v>
      </c>
      <c r="I56" s="30">
        <f>data0!G10</f>
        <v>0.29133858267716534</v>
      </c>
      <c r="J56" s="30">
        <f>data0!H10</f>
        <v>0.29921259842519687</v>
      </c>
      <c r="K56" s="30">
        <f>data0!I10</f>
        <v>0.29133858267716534</v>
      </c>
      <c r="L56" s="30">
        <f>data0!J10</f>
        <v>0.30708661417322836</v>
      </c>
      <c r="M56" s="30">
        <f>data0!K10</f>
        <v>0.30708661417322836</v>
      </c>
      <c r="N56" s="30">
        <f>data0!L10</f>
        <v>0.30708661417322836</v>
      </c>
      <c r="O56" s="30">
        <f>data0!M10</f>
        <v>0.30708661417322836</v>
      </c>
      <c r="P56" s="30">
        <f>data0!N10</f>
        <v>0.29133858267716534</v>
      </c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</row>
    <row r="57" spans="1:38">
      <c r="A57" s="71"/>
      <c r="B57" s="71"/>
      <c r="C57" s="71"/>
      <c r="D57" s="83">
        <v>0.25</v>
      </c>
      <c r="E57" s="11">
        <f>AVERAGE(G57:AK57)</f>
        <v>3.3762254901960789E-2</v>
      </c>
      <c r="F57" s="11">
        <f>STDEV(G57:AK57)</f>
        <v>2.5459868102670454E-3</v>
      </c>
      <c r="G57" s="31">
        <f>data0!E11-data0!E$3</f>
        <v>3.3333333333333326E-2</v>
      </c>
      <c r="H57" s="31">
        <f>data0!F11-data0!F$3</f>
        <v>3.5171568627450994E-2</v>
      </c>
      <c r="I57" s="31">
        <f>data0!G11-data0!G$3</f>
        <v>3.6151960784313736E-2</v>
      </c>
      <c r="J57" s="31">
        <f>data0!H11-data0!H$3</f>
        <v>3.2230392156862742E-2</v>
      </c>
      <c r="K57" s="31">
        <f>data0!I11-data0!I$3</f>
        <v>3.2965686274509798E-2</v>
      </c>
      <c r="L57" s="31">
        <f>data0!J11-data0!J$3</f>
        <v>3.5416666666666707E-2</v>
      </c>
      <c r="M57" s="31">
        <f>data0!K11-data0!K$3</f>
        <v>3.125E-2</v>
      </c>
      <c r="N57" s="31">
        <f>data0!L11-data0!L$3</f>
        <v>3.7745098039215663E-2</v>
      </c>
      <c r="O57" s="31">
        <f>data0!M11-data0!M$3</f>
        <v>2.9044117647058804E-2</v>
      </c>
      <c r="P57" s="31">
        <f>data0!N11-data0!N$3</f>
        <v>3.431372549019604E-2</v>
      </c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</row>
    <row r="58" spans="1:38">
      <c r="A58" s="71"/>
      <c r="B58" s="71"/>
      <c r="C58" s="29">
        <v>2</v>
      </c>
      <c r="D58" s="83"/>
      <c r="E58" s="11">
        <f t="shared" ref="E58:E61" si="38">AVERAGE(G58:AK58)</f>
        <v>4.3762254901960777E-2</v>
      </c>
      <c r="F58" s="11">
        <f t="shared" ref="F58:F60" si="39">STDEV(G58:AK58)</f>
        <v>1.5570794845167657E-2</v>
      </c>
      <c r="G58" s="31">
        <f>data0!F12-data0!F$4</f>
        <v>4.9387254901960775E-2</v>
      </c>
      <c r="H58" s="31">
        <f>data0!G12-data0!G$4</f>
        <v>4.8774509803921562E-2</v>
      </c>
      <c r="I58" s="31">
        <f>data0!H12-data0!H$4</f>
        <v>5.0735294117647045E-2</v>
      </c>
      <c r="J58" s="31">
        <f>data0!I12-data0!I$4</f>
        <v>4.4975490196078438E-2</v>
      </c>
      <c r="K58" s="31">
        <f>data0!J12-data0!J$4</f>
        <v>5.1102941176470629E-2</v>
      </c>
      <c r="L58" s="31">
        <f>data0!K12-data0!K$4</f>
        <v>4.3995098039215641E-2</v>
      </c>
      <c r="M58" s="31">
        <f>data0!L12-data0!L$4</f>
        <v>4.8406862745098034E-2</v>
      </c>
      <c r="N58" s="31">
        <f>data0!M12-data0!M$4</f>
        <v>4.8774509803921562E-2</v>
      </c>
      <c r="O58" s="31">
        <f>data0!N12-data0!N$4</f>
        <v>5.1470588235294101E-2</v>
      </c>
      <c r="P58" s="31">
        <f>data0!O12-data0!O$4</f>
        <v>0</v>
      </c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</row>
    <row r="59" spans="1:38">
      <c r="A59" s="71"/>
      <c r="B59" s="71"/>
      <c r="C59" s="29">
        <v>4</v>
      </c>
      <c r="D59" s="83"/>
      <c r="E59" s="11">
        <f t="shared" si="38"/>
        <v>5.4938725490196086E-2</v>
      </c>
      <c r="F59" s="11">
        <f t="shared" si="39"/>
        <v>1.9433203244006565E-2</v>
      </c>
      <c r="G59" s="31">
        <f>data0!F13-data0!F$5</f>
        <v>5.7598039215686292E-2</v>
      </c>
      <c r="H59" s="31">
        <f>data0!G13-data0!G$5</f>
        <v>6.1274509803921573E-2</v>
      </c>
      <c r="I59" s="31">
        <f>data0!H13-data0!H$5</f>
        <v>6.2009803921568629E-2</v>
      </c>
      <c r="J59" s="31">
        <f>data0!I13-data0!I$5</f>
        <v>6.0906862745098045E-2</v>
      </c>
      <c r="K59" s="31">
        <f>data0!J13-data0!J$5</f>
        <v>6.0784313725490202E-2</v>
      </c>
      <c r="L59" s="31">
        <f>data0!K13-data0!K$5</f>
        <v>5.7107843137254921E-2</v>
      </c>
      <c r="M59" s="31">
        <f>data0!L13-data0!L$5</f>
        <v>6.2377450980392157E-2</v>
      </c>
      <c r="N59" s="31">
        <f>data0!M13-data0!M$5</f>
        <v>6.4460784313725483E-2</v>
      </c>
      <c r="O59" s="31">
        <f>data0!N13-data0!N$5</f>
        <v>6.2867647058823528E-2</v>
      </c>
      <c r="P59" s="31">
        <f>data0!O13-data0!O$5</f>
        <v>0</v>
      </c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</row>
    <row r="60" spans="1:38">
      <c r="A60" s="71"/>
      <c r="B60" s="71">
        <v>5</v>
      </c>
      <c r="C60" s="71">
        <v>0</v>
      </c>
      <c r="D60" s="54">
        <v>0.4</v>
      </c>
      <c r="E60" s="11">
        <f t="shared" si="38"/>
        <v>0.40157480314960636</v>
      </c>
      <c r="F60" s="11">
        <f t="shared" si="39"/>
        <v>7.423693240803636E-3</v>
      </c>
      <c r="G60" s="30">
        <f>data0!E14</f>
        <v>0.39370078740157483</v>
      </c>
      <c r="H60" s="30">
        <f>data0!F14</f>
        <v>0.39370078740157483</v>
      </c>
      <c r="I60" s="30">
        <f>data0!G14</f>
        <v>0.40157480314960631</v>
      </c>
      <c r="J60" s="30">
        <f>data0!H14</f>
        <v>0.40157480314960631</v>
      </c>
      <c r="K60" s="30">
        <f>data0!I14</f>
        <v>0.39370078740157483</v>
      </c>
      <c r="L60" s="30">
        <f>data0!J14</f>
        <v>0.40944881889763779</v>
      </c>
      <c r="M60" s="30">
        <f>data0!K14</f>
        <v>0.40944881889763779</v>
      </c>
      <c r="N60" s="30">
        <f>data0!L14</f>
        <v>0.40944881889763779</v>
      </c>
      <c r="O60" s="30">
        <f>data0!M14</f>
        <v>0.40944881889763779</v>
      </c>
      <c r="P60" s="30">
        <f>data0!N14</f>
        <v>0.39370078740157483</v>
      </c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</row>
    <row r="61" spans="1:38">
      <c r="A61" s="71"/>
      <c r="B61" s="71"/>
      <c r="C61" s="71"/>
      <c r="D61" s="83">
        <v>0.25</v>
      </c>
      <c r="E61" s="11">
        <f t="shared" si="38"/>
        <v>3.9473039215686269E-2</v>
      </c>
      <c r="F61" s="11">
        <f>STDEV(G61:AK61)</f>
        <v>2.4328372604259969E-3</v>
      </c>
      <c r="G61" s="31">
        <f>data0!E15-data0!E$3</f>
        <v>3.8725490196078405E-2</v>
      </c>
      <c r="H61" s="31">
        <f>data0!F15-data0!F$3</f>
        <v>4.0808823529411759E-2</v>
      </c>
      <c r="I61" s="31">
        <f>data0!G15-data0!G$3</f>
        <v>3.9705882352941174E-2</v>
      </c>
      <c r="J61" s="31">
        <f>data0!H15-data0!H$3</f>
        <v>3.6274509803921551E-2</v>
      </c>
      <c r="K61" s="31">
        <f>data0!I15-data0!I$3</f>
        <v>3.9705882352941202E-2</v>
      </c>
      <c r="L61" s="31">
        <f>data0!J15-data0!J$3</f>
        <v>4.0931372549019629E-2</v>
      </c>
      <c r="M61" s="31">
        <f>data0!K15-data0!K$3</f>
        <v>3.4803921568627438E-2</v>
      </c>
      <c r="N61" s="31">
        <f>data0!L15-data0!L$3</f>
        <v>4.2156862745098056E-2</v>
      </c>
      <c r="O61" s="31">
        <f>data0!M15-data0!M$3</f>
        <v>3.9093137254901961E-2</v>
      </c>
      <c r="P61" s="31">
        <f>data0!N15-data0!N$3</f>
        <v>4.2524509803921556E-2</v>
      </c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</row>
    <row r="62" spans="1:38">
      <c r="A62" s="71"/>
      <c r="B62" s="71"/>
      <c r="C62" s="29">
        <v>2</v>
      </c>
      <c r="D62" s="83"/>
      <c r="E62" s="11">
        <f>AVERAGE(G62:AK62)</f>
        <v>5.0710784313725485E-2</v>
      </c>
      <c r="F62" s="11">
        <f>STDEV(G62:AK62)</f>
        <v>1.8015567317450083E-2</v>
      </c>
      <c r="G62" s="31">
        <f>data0!F16-data0!F$4</f>
        <v>5.6617647058823495E-2</v>
      </c>
      <c r="H62" s="31">
        <f>data0!G16-data0!G$4</f>
        <v>5.4656862745098012E-2</v>
      </c>
      <c r="I62" s="31">
        <f>data0!H16-data0!H$4</f>
        <v>5.4411764705882326E-2</v>
      </c>
      <c r="J62" s="31">
        <f>data0!I16-data0!I$4</f>
        <v>5.5759803921568651E-2</v>
      </c>
      <c r="K62" s="31">
        <f>data0!J16-data0!J$4</f>
        <v>5.8823529411764719E-2</v>
      </c>
      <c r="L62" s="31">
        <f>data0!K16-data0!K$4</f>
        <v>5.1102941176470573E-2</v>
      </c>
      <c r="M62" s="31">
        <f>data0!L16-data0!L$4</f>
        <v>5.7352941176470607E-2</v>
      </c>
      <c r="N62" s="31">
        <f>data0!M16-data0!M$4</f>
        <v>5.7475490196078394E-2</v>
      </c>
      <c r="O62" s="31">
        <f>data0!N16-data0!N$4</f>
        <v>6.0906862745098045E-2</v>
      </c>
      <c r="P62" s="31">
        <f>data0!O16-data0!O$4</f>
        <v>0</v>
      </c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</row>
    <row r="63" spans="1:38">
      <c r="A63" s="71"/>
      <c r="B63" s="71"/>
      <c r="C63" s="29">
        <v>4</v>
      </c>
      <c r="D63" s="83"/>
      <c r="E63" s="11">
        <f t="shared" ref="E63:E66" si="40">AVERAGE(G63:AK63)</f>
        <v>6.2757352941176486E-2</v>
      </c>
      <c r="F63" s="11">
        <f t="shared" ref="F63:F66" si="41">STDEV(G63:AK63)</f>
        <v>2.2188890473589996E-2</v>
      </c>
      <c r="G63" s="31">
        <f>data0!F17-data0!F$5</f>
        <v>6.8382352941176505E-2</v>
      </c>
      <c r="H63" s="31">
        <f>data0!G17-data0!G$5</f>
        <v>7.2549019607843157E-2</v>
      </c>
      <c r="I63" s="31">
        <f>data0!H17-data0!H$5</f>
        <v>7.2794117647058842E-2</v>
      </c>
      <c r="J63" s="31">
        <f>data0!I17-data0!I$5</f>
        <v>6.8872549019607876E-2</v>
      </c>
      <c r="K63" s="31">
        <f>data0!J17-data0!J$5</f>
        <v>6.7401960784313708E-2</v>
      </c>
      <c r="L63" s="31">
        <f>data0!K17-data0!K$5</f>
        <v>6.4828431372549067E-2</v>
      </c>
      <c r="M63" s="31">
        <f>data0!L17-data0!L$5</f>
        <v>7.0833333333333304E-2</v>
      </c>
      <c r="N63" s="31">
        <f>data0!M17-data0!M$5</f>
        <v>7.1813725490196045E-2</v>
      </c>
      <c r="O63" s="31">
        <f>data0!N17-data0!N$5</f>
        <v>7.0098039215686303E-2</v>
      </c>
      <c r="P63" s="31">
        <f>data0!O17-data0!O$5</f>
        <v>0</v>
      </c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</row>
    <row r="64" spans="1:38">
      <c r="A64" s="71"/>
      <c r="B64" s="71">
        <v>4</v>
      </c>
      <c r="C64" s="71">
        <v>0</v>
      </c>
      <c r="D64" s="54">
        <v>0.5</v>
      </c>
      <c r="E64" s="11">
        <f t="shared" si="40"/>
        <v>0.48582677165354327</v>
      </c>
      <c r="F64" s="11">
        <f t="shared" si="41"/>
        <v>9.1299355017984817E-3</v>
      </c>
      <c r="G64" s="30">
        <f>data0!E18</f>
        <v>0.47244094488188976</v>
      </c>
      <c r="H64" s="30">
        <f>data0!F18</f>
        <v>0.48031496062992124</v>
      </c>
      <c r="I64" s="30">
        <f>data0!G18</f>
        <v>0.48031496062992124</v>
      </c>
      <c r="J64" s="30">
        <f>data0!H18</f>
        <v>0.48031496062992124</v>
      </c>
      <c r="K64" s="30">
        <f>data0!I18</f>
        <v>0.48031496062992124</v>
      </c>
      <c r="L64" s="30">
        <f>data0!J18</f>
        <v>0.49606299212598426</v>
      </c>
      <c r="M64" s="30">
        <f>data0!K18</f>
        <v>0.49606299212598426</v>
      </c>
      <c r="N64" s="30">
        <f>data0!L18</f>
        <v>0.49606299212598426</v>
      </c>
      <c r="O64" s="30">
        <f>data0!M18</f>
        <v>0.49606299212598426</v>
      </c>
      <c r="P64" s="30">
        <f>data0!N18</f>
        <v>0.48031496062992124</v>
      </c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</row>
    <row r="65" spans="1:37">
      <c r="A65" s="71"/>
      <c r="B65" s="71"/>
      <c r="C65" s="71"/>
      <c r="D65" s="83">
        <v>0.25</v>
      </c>
      <c r="E65" s="11">
        <f t="shared" si="40"/>
        <v>4.0392156862745089E-2</v>
      </c>
      <c r="F65" s="11">
        <f t="shared" si="41"/>
        <v>3.043890038116023E-3</v>
      </c>
      <c r="G65" s="31">
        <f>data0!E19-data0!E$3</f>
        <v>4.166666666666663E-2</v>
      </c>
      <c r="H65" s="31">
        <f>data0!F19-data0!F$3</f>
        <v>4.1911764705882343E-2</v>
      </c>
      <c r="I65" s="31">
        <f>data0!G19-data0!G$3</f>
        <v>4.1544117647058815E-2</v>
      </c>
      <c r="J65" s="31">
        <f>data0!H19-data0!H$3</f>
        <v>4.2034313725490158E-2</v>
      </c>
      <c r="K65" s="31">
        <f>data0!I19-data0!I$3</f>
        <v>3.8970588235294146E-2</v>
      </c>
      <c r="L65" s="31">
        <f>data0!J19-data0!J$3</f>
        <v>3.9583333333333359E-2</v>
      </c>
      <c r="M65" s="31">
        <f>data0!K19-data0!K$3</f>
        <v>3.3700980392156854E-2</v>
      </c>
      <c r="N65" s="31">
        <f>data0!L19-data0!L$3</f>
        <v>4.4362745098039225E-2</v>
      </c>
      <c r="O65" s="31">
        <f>data0!M19-data0!M$3</f>
        <v>3.7622549019607848E-2</v>
      </c>
      <c r="P65" s="31">
        <f>data0!N19-data0!N$3</f>
        <v>4.2524509803921556E-2</v>
      </c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</row>
    <row r="66" spans="1:37">
      <c r="A66" s="71"/>
      <c r="B66" s="71"/>
      <c r="C66" s="29">
        <v>2</v>
      </c>
      <c r="D66" s="83"/>
      <c r="E66" s="11">
        <f t="shared" si="40"/>
        <v>5.3100490196078431E-2</v>
      </c>
      <c r="F66" s="11">
        <f t="shared" si="41"/>
        <v>1.8832102522161064E-2</v>
      </c>
      <c r="G66" s="31">
        <f>data0!F20-data0!F$4</f>
        <v>5.931372549019609E-2</v>
      </c>
      <c r="H66" s="31">
        <f>data0!G20-data0!G$4</f>
        <v>6.1151960784313675E-2</v>
      </c>
      <c r="I66" s="31">
        <f>data0!H20-data0!H$4</f>
        <v>6.0294117647058776E-2</v>
      </c>
      <c r="J66" s="31">
        <f>data0!I20-data0!I$4</f>
        <v>5.8823529411764719E-2</v>
      </c>
      <c r="K66" s="31">
        <f>data0!J20-data0!J$4</f>
        <v>5.8210784313725505E-2</v>
      </c>
      <c r="L66" s="31">
        <f>data0!K20-data0!K$4</f>
        <v>5.2450980392156843E-2</v>
      </c>
      <c r="M66" s="31">
        <f>data0!L20-data0!L$4</f>
        <v>6.115196078431373E-2</v>
      </c>
      <c r="N66" s="31">
        <f>data0!M20-data0!M$4</f>
        <v>5.8578431372549034E-2</v>
      </c>
      <c r="O66" s="31">
        <f>data0!N20-data0!N$4</f>
        <v>6.1029411764705888E-2</v>
      </c>
      <c r="P66" s="31">
        <f>data0!O20-data0!O$4</f>
        <v>0</v>
      </c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</row>
    <row r="67" spans="1:37">
      <c r="A67" s="71"/>
      <c r="B67" s="71"/>
      <c r="C67" s="29">
        <v>4</v>
      </c>
      <c r="D67" s="83"/>
      <c r="E67" s="11">
        <f>AVERAGE(G67:AK67)</f>
        <v>6.7573529411764713E-2</v>
      </c>
      <c r="F67" s="11">
        <f>STDEV(G67:AK67)</f>
        <v>2.3853355098325139E-2</v>
      </c>
      <c r="G67" s="31">
        <f>data0!F21-data0!F$5</f>
        <v>7.4019607843137269E-2</v>
      </c>
      <c r="H67" s="31">
        <f>data0!G21-data0!G$5</f>
        <v>7.6348039215686281E-2</v>
      </c>
      <c r="I67" s="31">
        <f>data0!H21-data0!H$5</f>
        <v>7.8431372549019607E-2</v>
      </c>
      <c r="J67" s="31">
        <f>data0!I21-data0!I$5</f>
        <v>7.1691176470588258E-2</v>
      </c>
      <c r="K67" s="31">
        <f>data0!J21-data0!J$5</f>
        <v>7.4632352941176427E-2</v>
      </c>
      <c r="L67" s="31">
        <f>data0!K21-data0!K$5</f>
        <v>7.1200980392156887E-2</v>
      </c>
      <c r="M67" s="31">
        <f>data0!L21-data0!L$5</f>
        <v>7.7205882352941124E-2</v>
      </c>
      <c r="N67" s="31">
        <f>data0!M21-data0!M$5</f>
        <v>7.6102941176470595E-2</v>
      </c>
      <c r="O67" s="31">
        <f>data0!N21-data0!N$5</f>
        <v>7.6102941176470595E-2</v>
      </c>
      <c r="P67" s="31">
        <f>data0!O21-data0!O$5</f>
        <v>0</v>
      </c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</row>
    <row r="68" spans="1:37">
      <c r="A68" s="71"/>
      <c r="B68" s="71">
        <v>2</v>
      </c>
      <c r="C68" s="71">
        <v>0</v>
      </c>
      <c r="D68" s="54">
        <v>0.6</v>
      </c>
      <c r="E68" s="11">
        <f t="shared" ref="E68:E71" si="42">AVERAGE(G68:AK68)</f>
        <v>0.59999999999999987</v>
      </c>
      <c r="F68" s="11">
        <f t="shared" ref="F68:F71" si="43">STDEV(G68:AK68)</f>
        <v>9.6793117661867906E-3</v>
      </c>
      <c r="G68" s="30">
        <f>data0!E22</f>
        <v>0.59055118110236215</v>
      </c>
      <c r="H68" s="30">
        <f>data0!F22</f>
        <v>0.59055118110236215</v>
      </c>
      <c r="I68" s="30">
        <f>data0!G22</f>
        <v>0.59842519685039375</v>
      </c>
      <c r="J68" s="30">
        <f>data0!H22</f>
        <v>0.59842519685039375</v>
      </c>
      <c r="K68" s="30">
        <f>data0!I22</f>
        <v>0.59055118110236215</v>
      </c>
      <c r="L68" s="30">
        <f>data0!J22</f>
        <v>0.61417322834645671</v>
      </c>
      <c r="M68" s="30">
        <f>data0!K22</f>
        <v>0.61417322834645671</v>
      </c>
      <c r="N68" s="30">
        <f>data0!L22</f>
        <v>0.60629921259842523</v>
      </c>
      <c r="O68" s="30">
        <f>data0!M22</f>
        <v>0.60629921259842523</v>
      </c>
      <c r="P68" s="30">
        <f>data0!N22</f>
        <v>0.59055118110236215</v>
      </c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</row>
    <row r="69" spans="1:37">
      <c r="A69" s="71"/>
      <c r="B69" s="71"/>
      <c r="C69" s="71"/>
      <c r="D69" s="83">
        <v>0.25</v>
      </c>
      <c r="E69" s="11">
        <f t="shared" si="42"/>
        <v>4.4473039215686273E-2</v>
      </c>
      <c r="F69" s="11">
        <f t="shared" si="43"/>
        <v>2.9976257300594875E-3</v>
      </c>
      <c r="G69" s="31">
        <f>data0!E23-data0!E$3</f>
        <v>4.3382352941176483E-2</v>
      </c>
      <c r="H69" s="31">
        <f>data0!F23-data0!F$3</f>
        <v>4.6200980392156893E-2</v>
      </c>
      <c r="I69" s="31">
        <f>data0!G23-data0!G$3</f>
        <v>4.7549019607843163E-2</v>
      </c>
      <c r="J69" s="31">
        <f>data0!H23-data0!H$3</f>
        <v>4.5220588235294124E-2</v>
      </c>
      <c r="K69" s="31">
        <f>data0!I23-data0!I$3</f>
        <v>4.2279411764705899E-2</v>
      </c>
      <c r="L69" s="31">
        <f>data0!J23-data0!J$3</f>
        <v>4.4485294117647067E-2</v>
      </c>
      <c r="M69" s="31">
        <f>data0!K23-data0!K$3</f>
        <v>3.8725490196078405E-2</v>
      </c>
      <c r="N69" s="31">
        <f>data0!L23-data0!L$3</f>
        <v>4.9387254901960775E-2</v>
      </c>
      <c r="O69" s="31">
        <f>data0!M23-data0!M$3</f>
        <v>4.2401960784313714E-2</v>
      </c>
      <c r="P69" s="31">
        <f>data0!N23-data0!N$3</f>
        <v>4.5098039215686253E-2</v>
      </c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</row>
    <row r="70" spans="1:37">
      <c r="A70" s="71"/>
      <c r="B70" s="71"/>
      <c r="C70" s="29">
        <v>2</v>
      </c>
      <c r="D70" s="83"/>
      <c r="E70" s="11">
        <f t="shared" si="42"/>
        <v>5.753676470588235E-2</v>
      </c>
      <c r="F70" s="11">
        <f t="shared" si="43"/>
        <v>2.0351112861586394E-2</v>
      </c>
      <c r="G70" s="31">
        <f>data0!F24-data0!F$4</f>
        <v>6.3357843137254899E-2</v>
      </c>
      <c r="H70" s="31">
        <f>data0!G24-data0!G$4</f>
        <v>6.4828431372549011E-2</v>
      </c>
      <c r="I70" s="31">
        <f>data0!H24-data0!H$4</f>
        <v>6.4215686274509798E-2</v>
      </c>
      <c r="J70" s="31">
        <f>data0!I24-data0!I$4</f>
        <v>6.1764705882352944E-2</v>
      </c>
      <c r="K70" s="31">
        <f>data0!J24-data0!J$4</f>
        <v>6.5073529411764752E-2</v>
      </c>
      <c r="L70" s="31">
        <f>data0!K24-data0!K$4</f>
        <v>5.8455882352941135E-2</v>
      </c>
      <c r="M70" s="31">
        <f>data0!L24-data0!L$4</f>
        <v>6.5808823529411753E-2</v>
      </c>
      <c r="N70" s="31">
        <f>data0!M24-data0!M$4</f>
        <v>6.5441176470588225E-2</v>
      </c>
      <c r="O70" s="31">
        <f>data0!N24-data0!N$4</f>
        <v>6.6421568627450966E-2</v>
      </c>
      <c r="P70" s="31">
        <f>data0!O24-data0!O$4</f>
        <v>0</v>
      </c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</row>
    <row r="71" spans="1:37">
      <c r="A71" s="71"/>
      <c r="B71" s="71"/>
      <c r="C71" s="29">
        <v>4</v>
      </c>
      <c r="D71" s="83"/>
      <c r="E71" s="11">
        <f t="shared" si="42"/>
        <v>7.3529411764705885E-2</v>
      </c>
      <c r="F71" s="11">
        <f t="shared" si="43"/>
        <v>2.6085451145404132E-2</v>
      </c>
      <c r="G71" s="31">
        <f>data0!F25-data0!F$5</f>
        <v>8.0269607843137247E-2</v>
      </c>
      <c r="H71" s="31">
        <f>data0!G25-data0!G$5</f>
        <v>8.3946078431372528E-2</v>
      </c>
      <c r="I71" s="31">
        <f>data0!H25-data0!H$5</f>
        <v>8.1985294117647101E-2</v>
      </c>
      <c r="J71" s="31">
        <f>data0!I25-data0!I$5</f>
        <v>7.9656862745098034E-2</v>
      </c>
      <c r="K71" s="31">
        <f>data0!J25-data0!J$5</f>
        <v>8.3578431372549E-2</v>
      </c>
      <c r="L71" s="31">
        <f>data0!K25-data0!K$5</f>
        <v>7.3161764705882371E-2</v>
      </c>
      <c r="M71" s="31">
        <f>data0!L25-data0!L$5</f>
        <v>8.6397058823529382E-2</v>
      </c>
      <c r="N71" s="31">
        <f>data0!M25-data0!M$5</f>
        <v>8.4313725490196056E-2</v>
      </c>
      <c r="O71" s="31">
        <f>data0!N25-data0!N$5</f>
        <v>8.1985294117647045E-2</v>
      </c>
      <c r="P71" s="31">
        <f>data0!O25-data0!O$5</f>
        <v>0</v>
      </c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</row>
    <row r="72" spans="1:37">
      <c r="A72" s="71"/>
      <c r="B72" s="71">
        <v>1</v>
      </c>
      <c r="C72" s="71">
        <v>0</v>
      </c>
      <c r="D72" s="54">
        <v>0.7</v>
      </c>
      <c r="E72" s="11">
        <f>AVERAGE(G72:AK72)</f>
        <v>0.74488188976377967</v>
      </c>
      <c r="F72" s="11">
        <f>STDEV(G72:AK72)</f>
        <v>1.1854687444237474E-2</v>
      </c>
      <c r="G72" s="30">
        <f>data0!E26</f>
        <v>0.73228346456692917</v>
      </c>
      <c r="H72" s="30">
        <f>data0!F26</f>
        <v>0.73228346456692917</v>
      </c>
      <c r="I72" s="30">
        <f>data0!G26</f>
        <v>0.74015748031496065</v>
      </c>
      <c r="J72" s="30">
        <f>data0!H26</f>
        <v>0.74015748031496065</v>
      </c>
      <c r="K72" s="30">
        <f>data0!I26</f>
        <v>0.73228346456692917</v>
      </c>
      <c r="L72" s="30">
        <f>data0!J26</f>
        <v>0.76377952755905509</v>
      </c>
      <c r="M72" s="30">
        <f>data0!K26</f>
        <v>0.75590551181102361</v>
      </c>
      <c r="N72" s="30">
        <f>data0!L26</f>
        <v>0.75590551181102361</v>
      </c>
      <c r="O72" s="30">
        <f>data0!M26</f>
        <v>0.75590551181102361</v>
      </c>
      <c r="P72" s="30">
        <f>data0!N26</f>
        <v>0.74015748031496065</v>
      </c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</row>
    <row r="73" spans="1:37">
      <c r="A73" s="71"/>
      <c r="B73" s="71"/>
      <c r="C73" s="71"/>
      <c r="D73" s="83">
        <v>0.25</v>
      </c>
      <c r="E73" s="11">
        <f t="shared" ref="E73:E76" si="44">AVERAGE(G73:AK73)</f>
        <v>4.7414215686274505E-2</v>
      </c>
      <c r="F73" s="11">
        <f t="shared" ref="F73:F76" si="45">STDEV(G73:AK73)</f>
        <v>2.5948064834372649E-3</v>
      </c>
      <c r="G73" s="31">
        <f>data0!E27-data0!E$3</f>
        <v>4.7549019607843135E-2</v>
      </c>
      <c r="H73" s="31">
        <f>data0!F27-data0!F$3</f>
        <v>4.7794117647058848E-2</v>
      </c>
      <c r="I73" s="31">
        <f>data0!G27-data0!G$3</f>
        <v>5.0245098039215702E-2</v>
      </c>
      <c r="J73" s="31">
        <f>data0!H27-data0!H$3</f>
        <v>4.595588235294118E-2</v>
      </c>
      <c r="K73" s="31">
        <f>data0!I27-data0!I$3</f>
        <v>4.6200980392156865E-2</v>
      </c>
      <c r="L73" s="31">
        <f>data0!J27-data0!J$3</f>
        <v>4.7303921568627449E-2</v>
      </c>
      <c r="M73" s="31">
        <f>data0!K27-data0!K$3</f>
        <v>4.2156862745098056E-2</v>
      </c>
      <c r="N73" s="31">
        <f>data0!L27-data0!L$3</f>
        <v>5.0735294117647045E-2</v>
      </c>
      <c r="O73" s="31">
        <f>data0!M27-data0!M$3</f>
        <v>4.5955882352941152E-2</v>
      </c>
      <c r="P73" s="31">
        <f>data0!N27-data0!N$3</f>
        <v>5.0245098039215647E-2</v>
      </c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</row>
    <row r="74" spans="1:37">
      <c r="A74" s="71"/>
      <c r="B74" s="71"/>
      <c r="C74" s="29">
        <v>2</v>
      </c>
      <c r="D74" s="83"/>
      <c r="E74" s="11">
        <f t="shared" si="44"/>
        <v>6.2144607843137245E-2</v>
      </c>
      <c r="F74" s="11">
        <f t="shared" si="45"/>
        <v>2.2027365762199481E-2</v>
      </c>
      <c r="G74" s="31">
        <f>data0!F28-data0!F$4</f>
        <v>6.9240196078431349E-2</v>
      </c>
      <c r="H74" s="31">
        <f>data0!G28-data0!G$4</f>
        <v>7.022058823529409E-2</v>
      </c>
      <c r="I74" s="31">
        <f>data0!H28-data0!H$4</f>
        <v>6.887254901960782E-2</v>
      </c>
      <c r="J74" s="31">
        <f>data0!I28-data0!I$4</f>
        <v>6.703431372549018E-2</v>
      </c>
      <c r="K74" s="31">
        <f>data0!J28-data0!J$4</f>
        <v>6.9852941176470618E-2</v>
      </c>
      <c r="L74" s="31">
        <f>data0!K28-data0!K$4</f>
        <v>6.2132352941176472E-2</v>
      </c>
      <c r="M74" s="31">
        <f>data0!L28-data0!L$4</f>
        <v>7.0710784313725517E-2</v>
      </c>
      <c r="N74" s="31">
        <f>data0!M28-data0!M$4</f>
        <v>7.0098039215686248E-2</v>
      </c>
      <c r="O74" s="31">
        <f>data0!N28-data0!N$4</f>
        <v>7.3284313725490158E-2</v>
      </c>
      <c r="P74" s="31">
        <f>data0!O28-data0!O$4</f>
        <v>0</v>
      </c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</row>
    <row r="75" spans="1:37">
      <c r="A75" s="71"/>
      <c r="B75" s="71"/>
      <c r="C75" s="29">
        <v>4</v>
      </c>
      <c r="D75" s="83"/>
      <c r="E75" s="11">
        <f t="shared" si="44"/>
        <v>7.8651960784313718E-2</v>
      </c>
      <c r="F75" s="11">
        <f t="shared" si="45"/>
        <v>2.7870603742876466E-2</v>
      </c>
      <c r="G75" s="31">
        <f>data0!F29-data0!F$5</f>
        <v>8.468137254901964E-2</v>
      </c>
      <c r="H75" s="31">
        <f>data0!G29-data0!G$5</f>
        <v>9.1176470588235303E-2</v>
      </c>
      <c r="I75" s="31">
        <f>data0!H29-data0!H$5</f>
        <v>8.7745098039215708E-2</v>
      </c>
      <c r="J75" s="31">
        <f>data0!I29-data0!I$5</f>
        <v>8.4558823529411797E-2</v>
      </c>
      <c r="K75" s="31">
        <f>data0!J29-data0!J$5</f>
        <v>8.8480392156862708E-2</v>
      </c>
      <c r="L75" s="31">
        <f>data0!K29-data0!K$5</f>
        <v>7.9534313725490191E-2</v>
      </c>
      <c r="M75" s="31">
        <f>data0!L29-data0!L$5</f>
        <v>9.129901960784309E-2</v>
      </c>
      <c r="N75" s="31">
        <f>data0!M29-data0!M$5</f>
        <v>8.9950980392156821E-2</v>
      </c>
      <c r="O75" s="31">
        <f>data0!N29-data0!N$5</f>
        <v>8.9093137254901977E-2</v>
      </c>
      <c r="P75" s="31">
        <f>data0!O29-data0!O$5</f>
        <v>0</v>
      </c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</row>
    <row r="76" spans="1:37">
      <c r="A76" s="71"/>
      <c r="B76" s="71">
        <v>0</v>
      </c>
      <c r="C76" s="71">
        <v>0</v>
      </c>
      <c r="D76" s="54">
        <v>0.9</v>
      </c>
      <c r="E76" s="11">
        <f t="shared" si="44"/>
        <v>0.9228346456692913</v>
      </c>
      <c r="F76" s="11">
        <f t="shared" si="45"/>
        <v>1.4279759064289198E-2</v>
      </c>
      <c r="G76" s="30">
        <f>data0!E30</f>
        <v>0.90551181102362199</v>
      </c>
      <c r="H76" s="30">
        <f>data0!F30</f>
        <v>0.90551181102362199</v>
      </c>
      <c r="I76" s="30">
        <f>data0!G30</f>
        <v>0.92125984251968507</v>
      </c>
      <c r="J76" s="30">
        <f>data0!H30</f>
        <v>0.92125984251968507</v>
      </c>
      <c r="K76" s="30">
        <f>data0!I30</f>
        <v>0.90551181102362199</v>
      </c>
      <c r="L76" s="30">
        <f>data0!J30</f>
        <v>0.94488188976377951</v>
      </c>
      <c r="M76" s="30">
        <f>data0!K30</f>
        <v>0.93700787401574803</v>
      </c>
      <c r="N76" s="30">
        <f>data0!L30</f>
        <v>0.92913385826771655</v>
      </c>
      <c r="O76" s="30">
        <f>data0!M30</f>
        <v>0.93700787401574803</v>
      </c>
      <c r="P76" s="30">
        <f>data0!N30</f>
        <v>0.92125984251968507</v>
      </c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</row>
    <row r="77" spans="1:37">
      <c r="A77" s="71"/>
      <c r="B77" s="71"/>
      <c r="C77" s="71"/>
      <c r="D77" s="83">
        <v>0.25</v>
      </c>
      <c r="E77" s="11">
        <f>AVERAGE(G77:AK77)</f>
        <v>5.1311274509803918E-2</v>
      </c>
      <c r="F77" s="11">
        <f>STDEV(G77:AK77)</f>
        <v>3.1478377554275635E-3</v>
      </c>
      <c r="G77" s="31">
        <f>data0!E31-data0!E$3</f>
        <v>5.0367647058823517E-2</v>
      </c>
      <c r="H77" s="31">
        <f>data0!F31-data0!F$3</f>
        <v>5.0490196078431387E-2</v>
      </c>
      <c r="I77" s="31">
        <f>data0!G31-data0!G$3</f>
        <v>5.5269607843137253E-2</v>
      </c>
      <c r="J77" s="31">
        <f>data0!H31-data0!H$3</f>
        <v>5.3308823529411742E-2</v>
      </c>
      <c r="K77" s="31">
        <f>data0!I31-data0!I$3</f>
        <v>5.0367647058823517E-2</v>
      </c>
      <c r="L77" s="31">
        <f>data0!J31-data0!J$3</f>
        <v>5.0980392156862731E-2</v>
      </c>
      <c r="M77" s="31">
        <f>data0!K31-data0!K$3</f>
        <v>4.4240196078431382E-2</v>
      </c>
      <c r="N77" s="31">
        <f>data0!L31-data0!L$3</f>
        <v>5.3186274509803899E-2</v>
      </c>
      <c r="O77" s="31">
        <f>data0!M31-data0!M$3</f>
        <v>5.0122549019607859E-2</v>
      </c>
      <c r="P77" s="31">
        <f>data0!N31-data0!N$3</f>
        <v>5.4779411764705882E-2</v>
      </c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</row>
    <row r="78" spans="1:37">
      <c r="A78" s="71"/>
      <c r="B78" s="71"/>
      <c r="C78" s="29">
        <v>2</v>
      </c>
      <c r="D78" s="83"/>
      <c r="E78" s="11">
        <f t="shared" ref="E78:E79" si="46">AVERAGE(G78:AK78)</f>
        <v>6.5833333333333327E-2</v>
      </c>
      <c r="F78" s="11">
        <f t="shared" ref="F78:F79" si="47">STDEV(G78:AK78)</f>
        <v>2.3420425469867726E-2</v>
      </c>
      <c r="G78" s="31">
        <f>data0!F32-data0!F$4</f>
        <v>7.2058823529411731E-2</v>
      </c>
      <c r="H78" s="31">
        <f>data0!G32-data0!G$4</f>
        <v>7.5980392156862697E-2</v>
      </c>
      <c r="I78" s="31">
        <f>data0!H32-data0!H$4</f>
        <v>7.5367647058823484E-2</v>
      </c>
      <c r="J78" s="31">
        <f>data0!I32-data0!I$4</f>
        <v>7.1568627450980415E-2</v>
      </c>
      <c r="K78" s="31">
        <f>data0!J32-data0!J$4</f>
        <v>7.2058823529411786E-2</v>
      </c>
      <c r="L78" s="31">
        <f>data0!K32-data0!K$4</f>
        <v>6.4583333333333326E-2</v>
      </c>
      <c r="M78" s="31">
        <f>data0!L32-data0!L$4</f>
        <v>7.4142156862745112E-2</v>
      </c>
      <c r="N78" s="31">
        <f>data0!M32-data0!M$4</f>
        <v>7.4142156862745112E-2</v>
      </c>
      <c r="O78" s="31">
        <f>data0!N32-data0!N$4</f>
        <v>7.8431372549019607E-2</v>
      </c>
      <c r="P78" s="31">
        <f>data0!O32-data0!O$4</f>
        <v>0</v>
      </c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</row>
    <row r="79" spans="1:37">
      <c r="A79" s="71"/>
      <c r="B79" s="71"/>
      <c r="C79" s="29">
        <v>4</v>
      </c>
      <c r="D79" s="83"/>
      <c r="E79" s="11">
        <f t="shared" si="46"/>
        <v>8.2438725490196083E-2</v>
      </c>
      <c r="F79" s="11">
        <f t="shared" si="47"/>
        <v>2.9164323723658712E-2</v>
      </c>
      <c r="G79" s="31">
        <f>data0!F33-data0!F$5</f>
        <v>9.0073529411764719E-2</v>
      </c>
      <c r="H79" s="31">
        <f>data0!G33-data0!G$5</f>
        <v>9.5588235294117641E-2</v>
      </c>
      <c r="I79" s="31">
        <f>data0!H33-data0!H$5</f>
        <v>9.240196078431373E-2</v>
      </c>
      <c r="J79" s="31">
        <f>data0!I33-data0!I$5</f>
        <v>9.1666666666666674E-2</v>
      </c>
      <c r="K79" s="31">
        <f>data0!J33-data0!J$5</f>
        <v>9.0441176470588192E-2</v>
      </c>
      <c r="L79" s="31">
        <f>data0!K33-data0!K$5</f>
        <v>8.3210784313725528E-2</v>
      </c>
      <c r="M79" s="31">
        <f>data0!L33-data0!L$5</f>
        <v>9.3504901960784315E-2</v>
      </c>
      <c r="N79" s="31">
        <f>data0!M33-data0!M$5</f>
        <v>9.3382352941176472E-2</v>
      </c>
      <c r="O79" s="31">
        <f>data0!N33-data0!N$5</f>
        <v>9.4117647058823528E-2</v>
      </c>
      <c r="P79" s="31">
        <f>data0!O33-data0!O$5</f>
        <v>0</v>
      </c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</row>
    <row r="80" spans="1:37">
      <c r="A80" s="35"/>
      <c r="B80" s="35"/>
      <c r="C80" s="35"/>
      <c r="D80" s="54"/>
      <c r="E80" s="11"/>
      <c r="F80" s="1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</row>
    <row r="81" spans="3:16">
      <c r="C81" s="82">
        <f>C76</f>
        <v>0</v>
      </c>
      <c r="D81" s="35" t="s">
        <v>17</v>
      </c>
      <c r="E81" s="11">
        <f t="shared" ref="E81:E83" si="48">AVERAGE(G81:AK81)</f>
        <v>5.1311274509803918E-2</v>
      </c>
      <c r="F81" s="11">
        <f t="shared" ref="F81:F83" si="49">STDEV(G81:AK81)</f>
        <v>3.1478377554275635E-3</v>
      </c>
      <c r="G81" s="30">
        <f>MAX(G53,G57,G61,G65,G69,G73,G77)</f>
        <v>5.0367647058823517E-2</v>
      </c>
      <c r="H81" s="30">
        <f t="shared" ref="H81:P81" si="50">MAX(H53,H57,H61,H65,H69,H73,H77)</f>
        <v>5.0490196078431387E-2</v>
      </c>
      <c r="I81" s="30">
        <f t="shared" si="50"/>
        <v>5.5269607843137253E-2</v>
      </c>
      <c r="J81" s="30">
        <f t="shared" si="50"/>
        <v>5.3308823529411742E-2</v>
      </c>
      <c r="K81" s="30">
        <f t="shared" si="50"/>
        <v>5.0367647058823517E-2</v>
      </c>
      <c r="L81" s="30">
        <f t="shared" si="50"/>
        <v>5.0980392156862731E-2</v>
      </c>
      <c r="M81" s="30">
        <f t="shared" si="50"/>
        <v>4.4240196078431382E-2</v>
      </c>
      <c r="N81" s="30">
        <f t="shared" si="50"/>
        <v>5.3186274509803899E-2</v>
      </c>
      <c r="O81" s="30">
        <f t="shared" si="50"/>
        <v>5.0122549019607859E-2</v>
      </c>
      <c r="P81" s="30">
        <f t="shared" si="50"/>
        <v>5.4779411764705882E-2</v>
      </c>
    </row>
    <row r="82" spans="3:16">
      <c r="C82" s="82"/>
      <c r="D82" s="35" t="s">
        <v>18</v>
      </c>
      <c r="E82" s="11">
        <f t="shared" ref="E82" si="51">AVERAGE(G82:AK82)</f>
        <v>0</v>
      </c>
      <c r="F82" s="11">
        <f t="shared" ref="F82" si="52">STDEV(G82:AK82)</f>
        <v>0</v>
      </c>
      <c r="G82" s="30">
        <f>G81-G77</f>
        <v>0</v>
      </c>
      <c r="H82" s="30">
        <f t="shared" ref="H82:P82" si="53">H81-H77</f>
        <v>0</v>
      </c>
      <c r="I82" s="30">
        <f t="shared" si="53"/>
        <v>0</v>
      </c>
      <c r="J82" s="30">
        <f t="shared" si="53"/>
        <v>0</v>
      </c>
      <c r="K82" s="30">
        <f t="shared" si="53"/>
        <v>0</v>
      </c>
      <c r="L82" s="30">
        <f t="shared" si="53"/>
        <v>0</v>
      </c>
      <c r="M82" s="30">
        <f t="shared" si="53"/>
        <v>0</v>
      </c>
      <c r="N82" s="30">
        <f t="shared" si="53"/>
        <v>0</v>
      </c>
      <c r="O82" s="30">
        <f t="shared" si="53"/>
        <v>0</v>
      </c>
      <c r="P82" s="30">
        <f t="shared" si="53"/>
        <v>0</v>
      </c>
    </row>
    <row r="83" spans="3:16">
      <c r="C83" s="82">
        <f>C78</f>
        <v>2</v>
      </c>
      <c r="D83" t="str">
        <f>D81</f>
        <v>Rise</v>
      </c>
      <c r="E83" s="11">
        <f t="shared" si="48"/>
        <v>6.5833333333333327E-2</v>
      </c>
      <c r="F83" s="11">
        <f t="shared" si="49"/>
        <v>2.3420425469867726E-2</v>
      </c>
      <c r="G83" s="30">
        <f>MAX(G54,G58,G62,G66,G70,G74,G78)</f>
        <v>7.2058823529411731E-2</v>
      </c>
      <c r="H83" s="30">
        <f t="shared" ref="H83:P83" si="54">MAX(H54,H58,H62,H66,H70,H74,H78)</f>
        <v>7.5980392156862697E-2</v>
      </c>
      <c r="I83" s="30">
        <f t="shared" si="54"/>
        <v>7.5367647058823484E-2</v>
      </c>
      <c r="J83" s="30">
        <f t="shared" si="54"/>
        <v>7.1568627450980415E-2</v>
      </c>
      <c r="K83" s="30">
        <f t="shared" si="54"/>
        <v>7.2058823529411786E-2</v>
      </c>
      <c r="L83" s="30">
        <f t="shared" si="54"/>
        <v>6.4583333333333326E-2</v>
      </c>
      <c r="M83" s="30">
        <f t="shared" si="54"/>
        <v>7.4142156862745112E-2</v>
      </c>
      <c r="N83" s="30">
        <f t="shared" si="54"/>
        <v>7.4142156862745112E-2</v>
      </c>
      <c r="O83" s="30">
        <f t="shared" si="54"/>
        <v>7.8431372549019607E-2</v>
      </c>
      <c r="P83" s="30">
        <f t="shared" si="54"/>
        <v>0</v>
      </c>
    </row>
    <row r="84" spans="3:16">
      <c r="C84" s="82"/>
      <c r="D84" t="str">
        <f t="shared" ref="D84:D86" si="55">D82</f>
        <v>Droop</v>
      </c>
      <c r="E84" s="11">
        <f t="shared" ref="E84:E86" si="56">AVERAGE(G84:AK84)</f>
        <v>0</v>
      </c>
      <c r="F84" s="11">
        <f t="shared" ref="F84:F86" si="57">STDEV(G84:AK84)</f>
        <v>0</v>
      </c>
      <c r="G84" s="30">
        <f>G83-G78</f>
        <v>0</v>
      </c>
      <c r="H84" s="30">
        <f t="shared" ref="H84:P84" si="58">H83-H78</f>
        <v>0</v>
      </c>
      <c r="I84" s="30">
        <f t="shared" si="58"/>
        <v>0</v>
      </c>
      <c r="J84" s="30">
        <f t="shared" si="58"/>
        <v>0</v>
      </c>
      <c r="K84" s="30">
        <f t="shared" si="58"/>
        <v>0</v>
      </c>
      <c r="L84" s="30">
        <f t="shared" si="58"/>
        <v>0</v>
      </c>
      <c r="M84" s="30">
        <f t="shared" si="58"/>
        <v>0</v>
      </c>
      <c r="N84" s="30">
        <f t="shared" si="58"/>
        <v>0</v>
      </c>
      <c r="O84" s="30">
        <f t="shared" si="58"/>
        <v>0</v>
      </c>
      <c r="P84" s="30">
        <f t="shared" si="58"/>
        <v>0</v>
      </c>
    </row>
    <row r="85" spans="3:16">
      <c r="C85" s="82">
        <f>C79</f>
        <v>4</v>
      </c>
      <c r="D85" t="str">
        <f t="shared" si="55"/>
        <v>Rise</v>
      </c>
      <c r="E85" s="11">
        <f t="shared" si="56"/>
        <v>8.2438725490196083E-2</v>
      </c>
      <c r="F85" s="11">
        <f t="shared" si="57"/>
        <v>2.9164323723658712E-2</v>
      </c>
      <c r="G85" s="30">
        <f>MAX(G55,G59,G63,G67,G71,G75,G79)</f>
        <v>9.0073529411764719E-2</v>
      </c>
      <c r="H85" s="30">
        <f t="shared" ref="H85:P85" si="59">MAX(H55,H59,H63,H67,H71,H75,H79)</f>
        <v>9.5588235294117641E-2</v>
      </c>
      <c r="I85" s="30">
        <f t="shared" si="59"/>
        <v>9.240196078431373E-2</v>
      </c>
      <c r="J85" s="30">
        <f t="shared" si="59"/>
        <v>9.1666666666666674E-2</v>
      </c>
      <c r="K85" s="30">
        <f t="shared" si="59"/>
        <v>9.0441176470588192E-2</v>
      </c>
      <c r="L85" s="30">
        <f t="shared" si="59"/>
        <v>8.3210784313725528E-2</v>
      </c>
      <c r="M85" s="30">
        <f t="shared" si="59"/>
        <v>9.3504901960784315E-2</v>
      </c>
      <c r="N85" s="30">
        <f t="shared" si="59"/>
        <v>9.3382352941176472E-2</v>
      </c>
      <c r="O85" s="30">
        <f t="shared" si="59"/>
        <v>9.4117647058823528E-2</v>
      </c>
      <c r="P85" s="30">
        <f t="shared" si="59"/>
        <v>0</v>
      </c>
    </row>
    <row r="86" spans="3:16">
      <c r="C86" s="82"/>
      <c r="D86" t="str">
        <f t="shared" si="55"/>
        <v>Droop</v>
      </c>
      <c r="E86" s="11">
        <f t="shared" si="56"/>
        <v>0</v>
      </c>
      <c r="F86" s="11">
        <f t="shared" si="57"/>
        <v>0</v>
      </c>
      <c r="G86" s="30">
        <f>G85-G79</f>
        <v>0</v>
      </c>
      <c r="H86" s="30">
        <f t="shared" ref="H86:P86" si="60">H85-H79</f>
        <v>0</v>
      </c>
      <c r="I86" s="30">
        <f t="shared" si="60"/>
        <v>0</v>
      </c>
      <c r="J86" s="30">
        <f t="shared" si="60"/>
        <v>0</v>
      </c>
      <c r="K86" s="30">
        <f t="shared" si="60"/>
        <v>0</v>
      </c>
      <c r="L86" s="30">
        <f t="shared" si="60"/>
        <v>0</v>
      </c>
      <c r="M86" s="30">
        <f t="shared" si="60"/>
        <v>0</v>
      </c>
      <c r="N86" s="30">
        <f t="shared" si="60"/>
        <v>0</v>
      </c>
      <c r="O86" s="30">
        <f t="shared" si="60"/>
        <v>0</v>
      </c>
      <c r="P86" s="30">
        <f t="shared" si="60"/>
        <v>0</v>
      </c>
    </row>
    <row r="87" spans="3:16" s="9" customFormat="1"/>
    <row r="88" spans="3:16" s="9" customFormat="1"/>
    <row r="89" spans="3:16">
      <c r="D89" s="6"/>
    </row>
    <row r="90" spans="3:16">
      <c r="C90" s="35"/>
      <c r="D90" s="6"/>
      <c r="E90" s="11"/>
      <c r="F90" s="11"/>
    </row>
    <row r="91" spans="3:16">
      <c r="C91" s="35"/>
      <c r="D91" s="6"/>
      <c r="E91" s="11"/>
      <c r="F91" s="11"/>
    </row>
    <row r="92" spans="3:16">
      <c r="C92" s="35"/>
      <c r="D92" s="6"/>
      <c r="E92" s="11"/>
      <c r="F92" s="11"/>
    </row>
  </sheetData>
  <mergeCells count="38">
    <mergeCell ref="C85:C86"/>
    <mergeCell ref="O17:O18"/>
    <mergeCell ref="C81:C82"/>
    <mergeCell ref="C83:C84"/>
    <mergeCell ref="D53:D55"/>
    <mergeCell ref="D57:D59"/>
    <mergeCell ref="D61:D63"/>
    <mergeCell ref="D65:D67"/>
    <mergeCell ref="D69:D71"/>
    <mergeCell ref="D73:D75"/>
    <mergeCell ref="D77:D79"/>
    <mergeCell ref="N11:T11"/>
    <mergeCell ref="O12:P12"/>
    <mergeCell ref="O13:O14"/>
    <mergeCell ref="O15:O16"/>
    <mergeCell ref="I1:L1"/>
    <mergeCell ref="I13:L13"/>
    <mergeCell ref="A11:B11"/>
    <mergeCell ref="I23:L23"/>
    <mergeCell ref="A12:B12"/>
    <mergeCell ref="I35:L35"/>
    <mergeCell ref="A13:B13"/>
    <mergeCell ref="A14:B14"/>
    <mergeCell ref="A52:A79"/>
    <mergeCell ref="B52:B55"/>
    <mergeCell ref="C52:C53"/>
    <mergeCell ref="B56:B59"/>
    <mergeCell ref="C56:C57"/>
    <mergeCell ref="B60:B63"/>
    <mergeCell ref="C60:C61"/>
    <mergeCell ref="B64:B67"/>
    <mergeCell ref="C64:C65"/>
    <mergeCell ref="B68:B71"/>
    <mergeCell ref="B72:B75"/>
    <mergeCell ref="C72:C73"/>
    <mergeCell ref="B76:B79"/>
    <mergeCell ref="C76:C77"/>
    <mergeCell ref="C68:C69"/>
  </mergeCells>
  <pageMargins left="0.7" right="0.7" top="0.75" bottom="0.75" header="0.3" footer="0.3"/>
  <pageSetup orientation="portrait" r:id="rId1"/>
  <ignoredErrors>
    <ignoredError sqref="S1 V1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BA41"/>
  <sheetViews>
    <sheetView zoomScale="70" zoomScaleNormal="70" workbookViewId="0">
      <selection activeCell="F2" sqref="F2:F33"/>
    </sheetView>
  </sheetViews>
  <sheetFormatPr defaultRowHeight="15"/>
  <cols>
    <col min="1" max="1" width="14.42578125" bestFit="1" customWidth="1"/>
    <col min="2" max="2" width="4.28515625" bestFit="1" customWidth="1"/>
    <col min="3" max="3" width="6.5703125" style="10" bestFit="1" customWidth="1"/>
    <col min="4" max="4" width="9.85546875" bestFit="1" customWidth="1"/>
    <col min="5" max="5" width="5.42578125" style="11" customWidth="1"/>
    <col min="6" max="36" width="5.42578125" customWidth="1"/>
    <col min="37" max="37" width="2.28515625" customWidth="1"/>
    <col min="38" max="38" width="7.140625" style="5" bestFit="1" customWidth="1"/>
    <col min="39" max="39" width="8" style="5" bestFit="1" customWidth="1"/>
    <col min="40" max="40" width="7.42578125" style="5" bestFit="1" customWidth="1"/>
    <col min="41" max="41" width="5.85546875" style="5" bestFit="1" customWidth="1"/>
    <col min="43" max="43" width="10" bestFit="1" customWidth="1"/>
    <col min="44" max="46" width="7.28515625" bestFit="1" customWidth="1"/>
    <col min="47" max="51" width="7.85546875" bestFit="1" customWidth="1"/>
    <col min="52" max="52" width="7.7109375" bestFit="1" customWidth="1"/>
    <col min="54" max="57" width="6.5703125" customWidth="1"/>
    <col min="58" max="62" width="7.7109375" customWidth="1"/>
    <col min="63" max="63" width="7.140625" customWidth="1"/>
  </cols>
  <sheetData>
    <row r="1" spans="1:53">
      <c r="A1" s="9"/>
      <c r="B1" s="10" t="s">
        <v>8</v>
      </c>
      <c r="C1" s="10" t="s">
        <v>9</v>
      </c>
      <c r="D1" t="s">
        <v>16</v>
      </c>
      <c r="E1" s="12">
        <v>0</v>
      </c>
      <c r="F1" s="5">
        <f>E1+1</f>
        <v>1</v>
      </c>
      <c r="G1" s="5">
        <f t="shared" ref="G1:AJ1" si="0">F1+1</f>
        <v>2</v>
      </c>
      <c r="H1" s="5">
        <f t="shared" si="0"/>
        <v>3</v>
      </c>
      <c r="I1" s="5">
        <f t="shared" si="0"/>
        <v>4</v>
      </c>
      <c r="J1" s="5">
        <f t="shared" si="0"/>
        <v>5</v>
      </c>
      <c r="K1" s="5">
        <f t="shared" si="0"/>
        <v>6</v>
      </c>
      <c r="L1" s="5">
        <f t="shared" si="0"/>
        <v>7</v>
      </c>
      <c r="M1" s="5">
        <f t="shared" si="0"/>
        <v>8</v>
      </c>
      <c r="N1" s="5">
        <f t="shared" si="0"/>
        <v>9</v>
      </c>
      <c r="O1" s="5">
        <f t="shared" si="0"/>
        <v>10</v>
      </c>
      <c r="P1" s="5">
        <f t="shared" si="0"/>
        <v>11</v>
      </c>
      <c r="Q1" s="5">
        <f t="shared" si="0"/>
        <v>12</v>
      </c>
      <c r="R1" s="5">
        <f t="shared" si="0"/>
        <v>13</v>
      </c>
      <c r="S1" s="5">
        <f t="shared" si="0"/>
        <v>14</v>
      </c>
      <c r="T1" s="5">
        <f t="shared" si="0"/>
        <v>15</v>
      </c>
      <c r="U1" s="5">
        <f t="shared" si="0"/>
        <v>16</v>
      </c>
      <c r="V1" s="5">
        <f t="shared" si="0"/>
        <v>17</v>
      </c>
      <c r="W1" s="5">
        <f t="shared" si="0"/>
        <v>18</v>
      </c>
      <c r="X1" s="5">
        <f t="shared" si="0"/>
        <v>19</v>
      </c>
      <c r="Y1" s="5">
        <f t="shared" si="0"/>
        <v>20</v>
      </c>
      <c r="Z1" s="5">
        <f t="shared" si="0"/>
        <v>21</v>
      </c>
      <c r="AA1" s="5">
        <f t="shared" si="0"/>
        <v>22</v>
      </c>
      <c r="AB1" s="5">
        <f t="shared" si="0"/>
        <v>23</v>
      </c>
      <c r="AC1" s="5">
        <f t="shared" si="0"/>
        <v>24</v>
      </c>
      <c r="AD1" s="5">
        <f t="shared" si="0"/>
        <v>25</v>
      </c>
      <c r="AE1" s="5">
        <f t="shared" si="0"/>
        <v>26</v>
      </c>
      <c r="AF1" s="5">
        <f t="shared" si="0"/>
        <v>27</v>
      </c>
      <c r="AG1" s="5">
        <f t="shared" si="0"/>
        <v>28</v>
      </c>
      <c r="AH1" s="5">
        <f t="shared" si="0"/>
        <v>29</v>
      </c>
      <c r="AI1" s="5">
        <f t="shared" si="0"/>
        <v>30</v>
      </c>
      <c r="AJ1" s="5">
        <f t="shared" si="0"/>
        <v>31</v>
      </c>
      <c r="AK1" s="5"/>
      <c r="AZ1" s="9"/>
    </row>
    <row r="2" spans="1:53">
      <c r="A2" s="71" t="s">
        <v>4</v>
      </c>
      <c r="B2" s="71">
        <v>35</v>
      </c>
      <c r="C2" s="71">
        <v>0</v>
      </c>
      <c r="D2" s="54">
        <v>0</v>
      </c>
      <c r="E2" s="19">
        <v>0.11023622047244094</v>
      </c>
      <c r="F2" s="19">
        <v>0.11811023622047244</v>
      </c>
      <c r="G2" s="19">
        <v>0.11023622047244094</v>
      </c>
      <c r="H2" s="19">
        <v>0.11023622047244094</v>
      </c>
      <c r="I2" s="19">
        <v>0.11023622047244094</v>
      </c>
      <c r="J2" s="19">
        <v>0.11811023622047244</v>
      </c>
      <c r="K2" s="19">
        <v>0.12598425196850394</v>
      </c>
      <c r="L2" s="19">
        <v>0.11811023622047244</v>
      </c>
      <c r="M2" s="19">
        <v>0.11811023622047244</v>
      </c>
      <c r="N2" s="19">
        <v>0.11023622047244094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L2" s="7"/>
      <c r="AM2" s="7"/>
      <c r="AN2" s="7"/>
      <c r="AO2" s="7"/>
      <c r="AR2" s="14"/>
      <c r="AS2" s="14"/>
      <c r="AT2" s="14"/>
      <c r="AZ2" s="9"/>
      <c r="BA2" s="11"/>
    </row>
    <row r="3" spans="1:53">
      <c r="A3" s="71"/>
      <c r="B3" s="71"/>
      <c r="C3" s="71"/>
      <c r="D3" s="83">
        <v>0.25</v>
      </c>
      <c r="E3" s="19">
        <v>0.2323529411764706</v>
      </c>
      <c r="F3" s="19">
        <v>0.24546568627450979</v>
      </c>
      <c r="G3" s="19">
        <v>0.24436274509803921</v>
      </c>
      <c r="H3" s="19">
        <v>0.24816176470588236</v>
      </c>
      <c r="I3" s="19">
        <v>0.23762254901960783</v>
      </c>
      <c r="J3" s="19">
        <v>0.23909313725490194</v>
      </c>
      <c r="K3" s="19">
        <v>0.25061274509803921</v>
      </c>
      <c r="L3" s="19">
        <v>0.24865196078431373</v>
      </c>
      <c r="M3" s="19">
        <v>0.24166666666666667</v>
      </c>
      <c r="N3" s="19">
        <v>0.23958333333333334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L3" s="7"/>
      <c r="AM3" s="7"/>
      <c r="AN3" s="7"/>
      <c r="AO3" s="7"/>
      <c r="AQ3" s="6"/>
      <c r="AR3" s="13"/>
      <c r="AS3" s="13"/>
      <c r="AT3" s="13"/>
      <c r="AZ3" s="9"/>
    </row>
    <row r="4" spans="1:53">
      <c r="A4" s="71"/>
      <c r="B4" s="71"/>
      <c r="C4" s="29">
        <v>2</v>
      </c>
      <c r="D4" s="83"/>
      <c r="E4" s="19">
        <v>0.25943627450980394</v>
      </c>
      <c r="F4" s="19">
        <v>0.26250000000000001</v>
      </c>
      <c r="G4" s="19">
        <v>0.25955882352941179</v>
      </c>
      <c r="H4" s="19">
        <v>0.26127450980392158</v>
      </c>
      <c r="I4" s="19">
        <v>0.25306372549019607</v>
      </c>
      <c r="J4" s="19">
        <v>0.25661764705882351</v>
      </c>
      <c r="K4" s="19">
        <v>0.26164215686274511</v>
      </c>
      <c r="L4" s="19">
        <v>0.25551470588235292</v>
      </c>
      <c r="M4" s="19">
        <v>0.26348039215686275</v>
      </c>
      <c r="N4" s="19">
        <v>0.26262254901960785</v>
      </c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L4" s="7"/>
      <c r="AM4" s="7"/>
      <c r="AN4" s="7"/>
      <c r="AO4" s="7"/>
      <c r="AQ4" s="6"/>
      <c r="AR4" s="13"/>
      <c r="AS4" s="13"/>
      <c r="AT4" s="13"/>
      <c r="AZ4" s="9"/>
    </row>
    <row r="5" spans="1:53">
      <c r="A5" s="71"/>
      <c r="B5" s="71"/>
      <c r="C5" s="17">
        <v>4</v>
      </c>
      <c r="D5" s="83"/>
      <c r="E5" s="19">
        <v>0.26482843137254902</v>
      </c>
      <c r="F5" s="19">
        <v>0.25465686274509802</v>
      </c>
      <c r="G5" s="19">
        <v>0.25245098039215685</v>
      </c>
      <c r="H5" s="19">
        <v>0.25551470588235292</v>
      </c>
      <c r="I5" s="19">
        <v>0.25392156862745097</v>
      </c>
      <c r="J5" s="19">
        <v>0.26200980392156864</v>
      </c>
      <c r="K5" s="19">
        <v>0.2574754901960784</v>
      </c>
      <c r="L5" s="19">
        <v>0.25980392156862747</v>
      </c>
      <c r="M5" s="19">
        <v>0.24718137254901962</v>
      </c>
      <c r="N5" s="19">
        <v>0.26838235294117646</v>
      </c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L5" s="7"/>
      <c r="AM5" s="7"/>
      <c r="AN5" s="7"/>
      <c r="AO5" s="7"/>
      <c r="AQ5" s="6"/>
      <c r="AR5" s="13"/>
      <c r="AS5" s="13"/>
      <c r="AT5" s="13"/>
      <c r="AZ5" s="9"/>
    </row>
    <row r="6" spans="1:53">
      <c r="A6" s="71"/>
      <c r="B6" s="71">
        <v>13</v>
      </c>
      <c r="C6" s="71">
        <v>0</v>
      </c>
      <c r="D6" s="54">
        <v>0.2</v>
      </c>
      <c r="E6" s="19">
        <v>0.1889763779527559</v>
      </c>
      <c r="F6" s="19">
        <v>0.19685039370078741</v>
      </c>
      <c r="G6" s="19">
        <v>0.1889763779527559</v>
      </c>
      <c r="H6" s="19">
        <v>0.19685039370078741</v>
      </c>
      <c r="I6" s="19">
        <v>0.19685039370078741</v>
      </c>
      <c r="J6" s="19">
        <v>0.20472440944881889</v>
      </c>
      <c r="K6" s="19">
        <v>0.20472440944881889</v>
      </c>
      <c r="L6" s="19">
        <v>0.20472440944881889</v>
      </c>
      <c r="M6" s="19">
        <v>0.20472440944881889</v>
      </c>
      <c r="N6" s="19">
        <v>0.1889763779527559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L6" s="7"/>
      <c r="AM6" s="7"/>
      <c r="AN6" s="7"/>
      <c r="AO6" s="7"/>
      <c r="AZ6" s="9"/>
    </row>
    <row r="7" spans="1:53">
      <c r="A7" s="71"/>
      <c r="B7" s="71"/>
      <c r="C7" s="71"/>
      <c r="D7" s="83">
        <v>0.25</v>
      </c>
      <c r="E7" s="19">
        <v>0.25624999999999998</v>
      </c>
      <c r="F7" s="19">
        <v>0.27046568627450979</v>
      </c>
      <c r="G7" s="19">
        <v>0.27169117647058821</v>
      </c>
      <c r="H7" s="19">
        <v>0.27218137254901958</v>
      </c>
      <c r="I7" s="19">
        <v>0.26139705882352943</v>
      </c>
      <c r="J7" s="19">
        <v>0.26642156862745098</v>
      </c>
      <c r="K7" s="19">
        <v>0.27438725490196075</v>
      </c>
      <c r="L7" s="19">
        <v>0.27414215686274507</v>
      </c>
      <c r="M7" s="19">
        <v>0.26531862745098039</v>
      </c>
      <c r="N7" s="19">
        <v>0.26605392156862745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L7" s="7"/>
      <c r="AM7" s="7"/>
      <c r="AN7" s="7"/>
      <c r="AO7" s="7"/>
      <c r="AQ7" s="74"/>
      <c r="AR7" s="74"/>
      <c r="AS7" s="74"/>
      <c r="AT7" s="74"/>
      <c r="AU7" s="74"/>
      <c r="AV7" s="74"/>
      <c r="AW7" s="74"/>
      <c r="AX7" s="74"/>
      <c r="AY7" s="74"/>
      <c r="AZ7" s="9"/>
    </row>
    <row r="8" spans="1:53">
      <c r="A8" s="71"/>
      <c r="B8" s="71"/>
      <c r="C8" s="29">
        <v>2</v>
      </c>
      <c r="D8" s="83"/>
      <c r="E8" s="19">
        <v>0.2905637254901961</v>
      </c>
      <c r="F8" s="19">
        <v>0.29718137254901961</v>
      </c>
      <c r="G8" s="19">
        <v>0.29803921568627451</v>
      </c>
      <c r="H8" s="19">
        <v>0.29350490196078433</v>
      </c>
      <c r="I8" s="19">
        <v>0.28492647058823528</v>
      </c>
      <c r="J8" s="19">
        <v>0.291421568627451</v>
      </c>
      <c r="K8" s="19">
        <v>0.2939950980392157</v>
      </c>
      <c r="L8" s="19">
        <v>0.28970588235294115</v>
      </c>
      <c r="M8" s="19">
        <v>0.29522058823529412</v>
      </c>
      <c r="N8" s="19">
        <v>0.30245098039215684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L8" s="7"/>
      <c r="AM8" s="7"/>
      <c r="AN8" s="7"/>
      <c r="AO8" s="7"/>
      <c r="AR8" s="6"/>
      <c r="AS8" s="13"/>
      <c r="AT8" s="13"/>
      <c r="AU8" s="13"/>
      <c r="AV8" s="13"/>
      <c r="AW8" s="13"/>
      <c r="AX8" s="13"/>
      <c r="AY8" s="13"/>
      <c r="AZ8" s="15"/>
    </row>
    <row r="9" spans="1:53">
      <c r="A9" s="71"/>
      <c r="B9" s="71"/>
      <c r="C9" s="29">
        <v>4</v>
      </c>
      <c r="D9" s="83"/>
      <c r="E9" s="19">
        <v>0.3057598039215686</v>
      </c>
      <c r="F9" s="19">
        <v>0.29791666666666666</v>
      </c>
      <c r="G9" s="19">
        <v>0.29803921568627451</v>
      </c>
      <c r="H9" s="19">
        <v>0.29865196078431372</v>
      </c>
      <c r="I9" s="19">
        <v>0.29828431372549019</v>
      </c>
      <c r="J9" s="19">
        <v>0.30453431372549017</v>
      </c>
      <c r="K9" s="19">
        <v>0.29240196078431374</v>
      </c>
      <c r="L9" s="19">
        <v>0.30539215686274507</v>
      </c>
      <c r="M9" s="19">
        <v>0.29068627450980394</v>
      </c>
      <c r="N9" s="19">
        <v>0.31299019607843137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L9" s="7"/>
      <c r="AM9" s="7"/>
      <c r="AN9" s="7"/>
      <c r="AO9" s="7"/>
      <c r="AQ9" s="6"/>
      <c r="AR9" s="6"/>
      <c r="AS9" s="13"/>
      <c r="AT9" s="13"/>
      <c r="AU9" s="13"/>
      <c r="AV9" s="13"/>
      <c r="AW9" s="13"/>
      <c r="AX9" s="13"/>
      <c r="AY9" s="13"/>
      <c r="AZ9" s="13"/>
    </row>
    <row r="10" spans="1:53">
      <c r="A10" s="71"/>
      <c r="B10" s="71">
        <v>7</v>
      </c>
      <c r="C10" s="71">
        <v>0</v>
      </c>
      <c r="D10" s="54">
        <v>0.3</v>
      </c>
      <c r="E10" s="19">
        <v>0.29133858267716534</v>
      </c>
      <c r="F10" s="19">
        <v>0.29921259842519687</v>
      </c>
      <c r="G10" s="19">
        <v>0.29133858267716534</v>
      </c>
      <c r="H10" s="19">
        <v>0.29921259842519687</v>
      </c>
      <c r="I10" s="19">
        <v>0.29133858267716534</v>
      </c>
      <c r="J10" s="19">
        <v>0.30708661417322836</v>
      </c>
      <c r="K10" s="19">
        <v>0.30708661417322836</v>
      </c>
      <c r="L10" s="19">
        <v>0.30708661417322836</v>
      </c>
      <c r="M10" s="19">
        <v>0.30708661417322836</v>
      </c>
      <c r="N10" s="19">
        <v>0.29133858267716534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L10" s="7"/>
      <c r="AM10" s="7"/>
      <c r="AN10" s="7"/>
      <c r="AO10" s="7"/>
      <c r="AQ10" s="6"/>
      <c r="AR10" s="6"/>
      <c r="AS10" s="13"/>
      <c r="AT10" s="13"/>
      <c r="AU10" s="13"/>
      <c r="AV10" s="13"/>
      <c r="AW10" s="13"/>
      <c r="AX10" s="13"/>
      <c r="AY10" s="13"/>
      <c r="AZ10" s="13"/>
    </row>
    <row r="11" spans="1:53">
      <c r="A11" s="71"/>
      <c r="B11" s="71"/>
      <c r="C11" s="71"/>
      <c r="D11" s="83">
        <v>0.25</v>
      </c>
      <c r="E11" s="19">
        <v>0.26568627450980392</v>
      </c>
      <c r="F11" s="19">
        <v>0.28063725490196079</v>
      </c>
      <c r="G11" s="19">
        <v>0.28051470588235294</v>
      </c>
      <c r="H11" s="19">
        <v>0.2803921568627451</v>
      </c>
      <c r="I11" s="19">
        <v>0.27058823529411763</v>
      </c>
      <c r="J11" s="19">
        <v>0.27450980392156865</v>
      </c>
      <c r="K11" s="19">
        <v>0.28186274509803921</v>
      </c>
      <c r="L11" s="19">
        <v>0.28639705882352939</v>
      </c>
      <c r="M11" s="19">
        <v>0.27071078431372547</v>
      </c>
      <c r="N11" s="19">
        <v>0.27389705882352938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L11" s="7"/>
      <c r="AM11" s="7"/>
      <c r="AN11" s="7"/>
      <c r="AO11" s="7"/>
      <c r="AQ11" s="6"/>
      <c r="AR11" s="6"/>
      <c r="AS11" s="13"/>
      <c r="AT11" s="13"/>
      <c r="AU11" s="13"/>
      <c r="AV11" s="13"/>
      <c r="AW11" s="13"/>
      <c r="AX11" s="13"/>
      <c r="AY11" s="13"/>
      <c r="AZ11" s="13"/>
    </row>
    <row r="12" spans="1:53">
      <c r="A12" s="71"/>
      <c r="B12" s="71"/>
      <c r="C12" s="29">
        <v>2</v>
      </c>
      <c r="D12" s="83"/>
      <c r="E12" s="19">
        <v>0.30710784313725492</v>
      </c>
      <c r="F12" s="19">
        <v>0.31188725490196079</v>
      </c>
      <c r="G12" s="19">
        <v>0.30833333333333335</v>
      </c>
      <c r="H12" s="19">
        <v>0.31200980392156863</v>
      </c>
      <c r="I12" s="19">
        <v>0.29803921568627451</v>
      </c>
      <c r="J12" s="19">
        <v>0.30772058823529413</v>
      </c>
      <c r="K12" s="19">
        <v>0.30563725490196075</v>
      </c>
      <c r="L12" s="19">
        <v>0.30392156862745096</v>
      </c>
      <c r="M12" s="19">
        <v>0.31225490196078431</v>
      </c>
      <c r="N12" s="19">
        <v>0.31409313725490196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L12" s="7"/>
      <c r="AM12" s="7"/>
      <c r="AN12" s="7"/>
      <c r="AO12" s="7"/>
      <c r="AQ12" s="6"/>
      <c r="AR12" s="6"/>
      <c r="AS12" s="13"/>
      <c r="AT12" s="13"/>
      <c r="AU12" s="13"/>
      <c r="AV12" s="13"/>
      <c r="AW12" s="13"/>
      <c r="AX12" s="13"/>
      <c r="AY12" s="13"/>
      <c r="AZ12" s="13"/>
    </row>
    <row r="13" spans="1:53">
      <c r="A13" s="71"/>
      <c r="B13" s="71"/>
      <c r="C13" s="29">
        <v>4</v>
      </c>
      <c r="D13" s="83"/>
      <c r="E13" s="19">
        <v>0.32401960784313727</v>
      </c>
      <c r="F13" s="19">
        <v>0.31225490196078431</v>
      </c>
      <c r="G13" s="19">
        <v>0.31372549019607843</v>
      </c>
      <c r="H13" s="19">
        <v>0.31752450980392155</v>
      </c>
      <c r="I13" s="19">
        <v>0.31482843137254901</v>
      </c>
      <c r="J13" s="19">
        <v>0.32279411764705884</v>
      </c>
      <c r="K13" s="19">
        <v>0.31458333333333333</v>
      </c>
      <c r="L13" s="19">
        <v>0.32218137254901963</v>
      </c>
      <c r="M13" s="19">
        <v>0.3116421568627451</v>
      </c>
      <c r="N13" s="19">
        <v>0.33124999999999999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L13" s="7"/>
      <c r="AM13" s="7"/>
      <c r="AN13" s="7"/>
      <c r="AO13" s="7"/>
      <c r="AQ13" s="6"/>
      <c r="AR13" s="13"/>
      <c r="AS13" s="13"/>
      <c r="AT13" s="13"/>
      <c r="AU13" s="13"/>
      <c r="AV13" s="13"/>
      <c r="AW13" s="13"/>
      <c r="AX13" s="13"/>
      <c r="AY13" s="13"/>
      <c r="AZ13" s="9"/>
    </row>
    <row r="14" spans="1:53">
      <c r="A14" s="71"/>
      <c r="B14" s="71">
        <v>5</v>
      </c>
      <c r="C14" s="71">
        <v>0</v>
      </c>
      <c r="D14" s="54">
        <v>0.4</v>
      </c>
      <c r="E14" s="19">
        <v>0.39370078740157483</v>
      </c>
      <c r="F14" s="19">
        <v>0.39370078740157483</v>
      </c>
      <c r="G14" s="19">
        <v>0.40157480314960631</v>
      </c>
      <c r="H14" s="19">
        <v>0.40157480314960631</v>
      </c>
      <c r="I14" s="19">
        <v>0.39370078740157483</v>
      </c>
      <c r="J14" s="19">
        <v>0.40944881889763779</v>
      </c>
      <c r="K14" s="19">
        <v>0.40944881889763779</v>
      </c>
      <c r="L14" s="19">
        <v>0.40944881889763779</v>
      </c>
      <c r="M14" s="19">
        <v>0.40944881889763779</v>
      </c>
      <c r="N14" s="19">
        <v>0.39370078740157483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L14" s="7"/>
      <c r="AM14" s="7"/>
      <c r="AN14" s="7"/>
      <c r="AO14" s="7"/>
      <c r="AQ14" s="74"/>
      <c r="AR14" s="74"/>
      <c r="AS14" s="74"/>
      <c r="AT14" s="74"/>
      <c r="AU14" s="74"/>
      <c r="AV14" s="74"/>
      <c r="AW14" s="74"/>
      <c r="AX14" s="74"/>
      <c r="AY14" s="74"/>
      <c r="AZ14" s="9"/>
    </row>
    <row r="15" spans="1:53">
      <c r="A15" s="71"/>
      <c r="B15" s="71"/>
      <c r="C15" s="71"/>
      <c r="D15" s="83">
        <v>0.25</v>
      </c>
      <c r="E15" s="19">
        <v>0.271078431372549</v>
      </c>
      <c r="F15" s="19">
        <v>0.28627450980392155</v>
      </c>
      <c r="G15" s="19">
        <v>0.28406862745098038</v>
      </c>
      <c r="H15" s="19">
        <v>0.28443627450980391</v>
      </c>
      <c r="I15" s="19">
        <v>0.27732843137254903</v>
      </c>
      <c r="J15" s="19">
        <v>0.28002450980392157</v>
      </c>
      <c r="K15" s="19">
        <v>0.28541666666666665</v>
      </c>
      <c r="L15" s="19">
        <v>0.29080882352941179</v>
      </c>
      <c r="M15" s="19">
        <v>0.28075980392156863</v>
      </c>
      <c r="N15" s="19">
        <v>0.2821078431372549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L15" s="7"/>
      <c r="AM15" s="7"/>
      <c r="AN15" s="7"/>
      <c r="AO15" s="7"/>
      <c r="AR15" s="13"/>
      <c r="AS15" s="13"/>
      <c r="AT15" s="13"/>
      <c r="AU15" s="13"/>
      <c r="AV15" s="13"/>
      <c r="AW15" s="13"/>
      <c r="AX15" s="13"/>
      <c r="AZ15" s="9"/>
    </row>
    <row r="16" spans="1:53">
      <c r="A16" s="71"/>
      <c r="B16" s="71"/>
      <c r="C16" s="29">
        <v>2</v>
      </c>
      <c r="D16" s="83"/>
      <c r="E16" s="19">
        <v>0.31556372549019607</v>
      </c>
      <c r="F16" s="19">
        <v>0.31911764705882351</v>
      </c>
      <c r="G16" s="19">
        <v>0.3142156862745098</v>
      </c>
      <c r="H16" s="19">
        <v>0.31568627450980391</v>
      </c>
      <c r="I16" s="19">
        <v>0.30882352941176472</v>
      </c>
      <c r="J16" s="19">
        <v>0.31544117647058822</v>
      </c>
      <c r="K16" s="19">
        <v>0.31274509803921569</v>
      </c>
      <c r="L16" s="19">
        <v>0.31286764705882353</v>
      </c>
      <c r="M16" s="19">
        <v>0.32095588235294115</v>
      </c>
      <c r="N16" s="19">
        <v>0.3235294117647059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L16" s="7"/>
      <c r="AM16" s="7"/>
      <c r="AN16" s="7"/>
      <c r="AO16" s="7"/>
      <c r="AR16" s="16"/>
      <c r="AS16" s="16"/>
      <c r="AT16" s="16"/>
      <c r="AU16" s="16"/>
      <c r="AV16" s="16"/>
      <c r="AW16" s="16"/>
      <c r="AX16" s="16"/>
      <c r="AY16" s="15"/>
      <c r="AZ16" s="9"/>
    </row>
    <row r="17" spans="1:52">
      <c r="A17" s="71"/>
      <c r="B17" s="71"/>
      <c r="C17" s="29">
        <v>4</v>
      </c>
      <c r="D17" s="83"/>
      <c r="E17" s="19">
        <v>0.33247549019607842</v>
      </c>
      <c r="F17" s="19">
        <v>0.32303921568627453</v>
      </c>
      <c r="G17" s="19">
        <v>0.32500000000000001</v>
      </c>
      <c r="H17" s="19">
        <v>0.32830882352941176</v>
      </c>
      <c r="I17" s="19">
        <v>0.32279411764705884</v>
      </c>
      <c r="J17" s="19">
        <v>0.32941176470588235</v>
      </c>
      <c r="K17" s="19">
        <v>0.32230392156862747</v>
      </c>
      <c r="L17" s="19">
        <v>0.33063725490196078</v>
      </c>
      <c r="M17" s="19">
        <v>0.31899509803921566</v>
      </c>
      <c r="N17" s="19">
        <v>0.33848039215686276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L17" s="7"/>
      <c r="AM17" s="7"/>
      <c r="AN17" s="7"/>
      <c r="AO17" s="7"/>
      <c r="AQ17" s="6"/>
      <c r="AR17" s="13"/>
      <c r="AS17" s="13"/>
      <c r="AT17" s="13"/>
      <c r="AU17" s="13"/>
      <c r="AV17" s="13"/>
      <c r="AW17" s="13"/>
      <c r="AX17" s="13"/>
      <c r="AY17" s="13"/>
      <c r="AZ17" s="9"/>
    </row>
    <row r="18" spans="1:52">
      <c r="A18" s="71"/>
      <c r="B18" s="71">
        <v>4</v>
      </c>
      <c r="C18" s="71">
        <v>0</v>
      </c>
      <c r="D18" s="54">
        <v>0.5</v>
      </c>
      <c r="E18" s="19">
        <v>0.47244094488188976</v>
      </c>
      <c r="F18" s="19">
        <v>0.48031496062992124</v>
      </c>
      <c r="G18" s="19">
        <v>0.48031496062992124</v>
      </c>
      <c r="H18" s="19">
        <v>0.48031496062992124</v>
      </c>
      <c r="I18" s="19">
        <v>0.48031496062992124</v>
      </c>
      <c r="J18" s="19">
        <v>0.49606299212598426</v>
      </c>
      <c r="K18" s="19">
        <v>0.49606299212598426</v>
      </c>
      <c r="L18" s="19">
        <v>0.49606299212598426</v>
      </c>
      <c r="M18" s="19">
        <v>0.49606299212598426</v>
      </c>
      <c r="N18" s="19">
        <v>0.48031496062992124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L18" s="7"/>
      <c r="AM18" s="7"/>
      <c r="AN18" s="7"/>
      <c r="AO18" s="7"/>
      <c r="AQ18" s="6"/>
      <c r="AR18" s="13"/>
      <c r="AS18" s="13"/>
      <c r="AT18" s="13"/>
      <c r="AU18" s="13"/>
      <c r="AV18" s="13"/>
      <c r="AW18" s="13"/>
      <c r="AX18" s="13"/>
      <c r="AY18" s="13"/>
      <c r="AZ18" s="9"/>
    </row>
    <row r="19" spans="1:52">
      <c r="A19" s="71"/>
      <c r="B19" s="71"/>
      <c r="C19" s="71"/>
      <c r="D19" s="83">
        <v>0.25</v>
      </c>
      <c r="E19" s="19">
        <v>0.27401960784313723</v>
      </c>
      <c r="F19" s="19">
        <v>0.28737745098039214</v>
      </c>
      <c r="G19" s="19">
        <v>0.28590686274509802</v>
      </c>
      <c r="H19" s="19">
        <v>0.29019607843137252</v>
      </c>
      <c r="I19" s="19">
        <v>0.27659313725490198</v>
      </c>
      <c r="J19" s="19">
        <v>0.2786764705882353</v>
      </c>
      <c r="K19" s="19">
        <v>0.28431372549019607</v>
      </c>
      <c r="L19" s="19">
        <v>0.29301470588235295</v>
      </c>
      <c r="M19" s="19">
        <v>0.27928921568627452</v>
      </c>
      <c r="N19" s="19">
        <v>0.2821078431372549</v>
      </c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L19" s="7"/>
      <c r="AM19" s="7"/>
      <c r="AN19" s="7"/>
      <c r="AO19" s="7"/>
      <c r="AQ19" s="6"/>
      <c r="AR19" s="13"/>
      <c r="AS19" s="13"/>
      <c r="AT19" s="13"/>
      <c r="AU19" s="13"/>
      <c r="AV19" s="13"/>
      <c r="AW19" s="13"/>
      <c r="AX19" s="13"/>
      <c r="AY19" s="13"/>
      <c r="AZ19" s="9"/>
    </row>
    <row r="20" spans="1:52">
      <c r="A20" s="71"/>
      <c r="B20" s="71"/>
      <c r="C20" s="29">
        <v>2</v>
      </c>
      <c r="D20" s="83"/>
      <c r="E20" s="19">
        <v>0.31801470588235292</v>
      </c>
      <c r="F20" s="19">
        <v>0.3218137254901961</v>
      </c>
      <c r="G20" s="19">
        <v>0.32071078431372546</v>
      </c>
      <c r="H20" s="19">
        <v>0.32156862745098036</v>
      </c>
      <c r="I20" s="19">
        <v>0.31188725490196079</v>
      </c>
      <c r="J20" s="19">
        <v>0.31482843137254901</v>
      </c>
      <c r="K20" s="19">
        <v>0.31409313725490196</v>
      </c>
      <c r="L20" s="19">
        <v>0.31666666666666665</v>
      </c>
      <c r="M20" s="19">
        <v>0.32205882352941179</v>
      </c>
      <c r="N20" s="19">
        <v>0.32365196078431374</v>
      </c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L20" s="7"/>
      <c r="AM20" s="7"/>
      <c r="AN20" s="7"/>
      <c r="AO20" s="7"/>
      <c r="AQ20" s="6"/>
      <c r="AR20" s="13"/>
      <c r="AS20" s="13"/>
      <c r="AT20" s="13"/>
      <c r="AU20" s="13"/>
      <c r="AV20" s="13"/>
      <c r="AW20" s="13"/>
      <c r="AX20" s="13"/>
      <c r="AY20" s="13"/>
      <c r="AZ20" s="9"/>
    </row>
    <row r="21" spans="1:52">
      <c r="A21" s="71"/>
      <c r="B21" s="71"/>
      <c r="C21" s="29">
        <v>4</v>
      </c>
      <c r="D21" s="83"/>
      <c r="E21" s="19">
        <v>0.33639705882352938</v>
      </c>
      <c r="F21" s="19">
        <v>0.32867647058823529</v>
      </c>
      <c r="G21" s="19">
        <v>0.32879901960784313</v>
      </c>
      <c r="H21" s="19">
        <v>0.33394607843137253</v>
      </c>
      <c r="I21" s="19">
        <v>0.32561274509803922</v>
      </c>
      <c r="J21" s="19">
        <v>0.33664215686274507</v>
      </c>
      <c r="K21" s="19">
        <v>0.32867647058823529</v>
      </c>
      <c r="L21" s="19">
        <v>0.3370098039215686</v>
      </c>
      <c r="M21" s="19">
        <v>0.32328431372549021</v>
      </c>
      <c r="N21" s="19">
        <v>0.34448529411764706</v>
      </c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L21" s="7"/>
      <c r="AM21" s="7"/>
      <c r="AN21" s="7"/>
      <c r="AO21" s="7"/>
      <c r="AZ21" s="9"/>
    </row>
    <row r="22" spans="1:52">
      <c r="A22" s="71"/>
      <c r="B22" s="71">
        <v>2</v>
      </c>
      <c r="C22" s="71">
        <v>0</v>
      </c>
      <c r="D22" s="54">
        <v>0.6</v>
      </c>
      <c r="E22" s="19">
        <v>0.59055118110236215</v>
      </c>
      <c r="F22" s="19">
        <v>0.59055118110236215</v>
      </c>
      <c r="G22" s="19">
        <v>0.59842519685039375</v>
      </c>
      <c r="H22" s="19">
        <v>0.59842519685039375</v>
      </c>
      <c r="I22" s="19">
        <v>0.59055118110236215</v>
      </c>
      <c r="J22" s="19">
        <v>0.61417322834645671</v>
      </c>
      <c r="K22" s="19">
        <v>0.61417322834645671</v>
      </c>
      <c r="L22" s="19">
        <v>0.60629921259842523</v>
      </c>
      <c r="M22" s="19">
        <v>0.60629921259842523</v>
      </c>
      <c r="N22" s="19">
        <v>0.59055118110236215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L22" s="7"/>
      <c r="AM22" s="7"/>
      <c r="AN22" s="7"/>
      <c r="AO22" s="7"/>
      <c r="AZ22" s="9"/>
    </row>
    <row r="23" spans="1:52">
      <c r="A23" s="71"/>
      <c r="B23" s="71"/>
      <c r="C23" s="71"/>
      <c r="D23" s="83">
        <v>0.25</v>
      </c>
      <c r="E23" s="19">
        <v>0.27573529411764708</v>
      </c>
      <c r="F23" s="19">
        <v>0.29166666666666669</v>
      </c>
      <c r="G23" s="19">
        <v>0.29191176470588237</v>
      </c>
      <c r="H23" s="19">
        <v>0.29338235294117648</v>
      </c>
      <c r="I23" s="19">
        <v>0.27990196078431373</v>
      </c>
      <c r="J23" s="19">
        <v>0.28357843137254901</v>
      </c>
      <c r="K23" s="19">
        <v>0.28933823529411762</v>
      </c>
      <c r="L23" s="19">
        <v>0.29803921568627451</v>
      </c>
      <c r="M23" s="19">
        <v>0.28406862745098038</v>
      </c>
      <c r="N23" s="19">
        <v>0.2846813725490196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L23" s="7"/>
      <c r="AM23" s="7"/>
      <c r="AN23" s="7"/>
      <c r="AO23" s="7"/>
      <c r="AQ23" s="12"/>
      <c r="AR23" s="22"/>
      <c r="AS23" s="22"/>
      <c r="AT23" s="22"/>
      <c r="AU23" s="22"/>
      <c r="AV23" s="22"/>
      <c r="AW23" s="22"/>
      <c r="AX23" s="22"/>
      <c r="AY23" s="22"/>
      <c r="AZ23" s="18"/>
    </row>
    <row r="24" spans="1:52">
      <c r="A24" s="71"/>
      <c r="B24" s="71"/>
      <c r="C24" s="29">
        <v>2</v>
      </c>
      <c r="D24" s="83"/>
      <c r="E24" s="19">
        <v>0.32573529411764707</v>
      </c>
      <c r="F24" s="19">
        <v>0.32585784313725491</v>
      </c>
      <c r="G24" s="19">
        <v>0.3243872549019608</v>
      </c>
      <c r="H24" s="19">
        <v>0.32549019607843138</v>
      </c>
      <c r="I24" s="19">
        <v>0.31482843137254901</v>
      </c>
      <c r="J24" s="19">
        <v>0.32169117647058826</v>
      </c>
      <c r="K24" s="19">
        <v>0.32009803921568625</v>
      </c>
      <c r="L24" s="19">
        <v>0.32132352941176467</v>
      </c>
      <c r="M24" s="19">
        <v>0.32892156862745098</v>
      </c>
      <c r="N24" s="19">
        <v>0.32904411764705882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L24" s="7"/>
      <c r="AM24" s="7"/>
      <c r="AN24" s="7"/>
      <c r="AO24" s="7"/>
      <c r="AQ24" s="23"/>
      <c r="AS24" s="21"/>
      <c r="AT24" s="21"/>
      <c r="AU24" s="21"/>
      <c r="AV24" s="21"/>
      <c r="AW24" s="21"/>
      <c r="AX24" s="21"/>
      <c r="AY24" s="21"/>
      <c r="AZ24" s="21"/>
    </row>
    <row r="25" spans="1:52">
      <c r="A25" s="71"/>
      <c r="B25" s="71"/>
      <c r="C25" s="29">
        <v>4</v>
      </c>
      <c r="D25" s="83"/>
      <c r="E25" s="19">
        <v>0.34448529411764706</v>
      </c>
      <c r="F25" s="19">
        <v>0.33492647058823527</v>
      </c>
      <c r="G25" s="19">
        <v>0.33639705882352938</v>
      </c>
      <c r="H25" s="19">
        <v>0.33750000000000002</v>
      </c>
      <c r="I25" s="19">
        <v>0.333578431372549</v>
      </c>
      <c r="J25" s="19">
        <v>0.34558823529411764</v>
      </c>
      <c r="K25" s="19">
        <v>0.33063725490196078</v>
      </c>
      <c r="L25" s="19">
        <v>0.34620098039215685</v>
      </c>
      <c r="M25" s="19">
        <v>0.33149509803921567</v>
      </c>
      <c r="N25" s="19">
        <v>0.35036764705882351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L25" s="7"/>
      <c r="AM25" s="7"/>
      <c r="AN25" s="7"/>
      <c r="AO25" s="7"/>
      <c r="AQ25" s="23"/>
      <c r="AS25" s="21"/>
      <c r="AT25" s="21"/>
      <c r="AU25" s="21"/>
      <c r="AV25" s="21"/>
      <c r="AW25" s="21"/>
      <c r="AX25" s="21"/>
      <c r="AY25" s="21"/>
      <c r="AZ25" s="21"/>
    </row>
    <row r="26" spans="1:52">
      <c r="A26" s="71"/>
      <c r="B26" s="71">
        <v>1</v>
      </c>
      <c r="C26" s="71">
        <v>0</v>
      </c>
      <c r="D26" s="54">
        <v>0.7</v>
      </c>
      <c r="E26" s="20">
        <v>0.73228346456692917</v>
      </c>
      <c r="F26" s="20">
        <v>0.73228346456692917</v>
      </c>
      <c r="G26" s="19">
        <v>0.74015748031496065</v>
      </c>
      <c r="H26" s="19">
        <v>0.74015748031496065</v>
      </c>
      <c r="I26" s="19">
        <v>0.73228346456692917</v>
      </c>
      <c r="J26" s="19">
        <v>0.76377952755905509</v>
      </c>
      <c r="K26" s="19">
        <v>0.75590551181102361</v>
      </c>
      <c r="L26" s="19">
        <v>0.75590551181102361</v>
      </c>
      <c r="M26" s="19">
        <v>0.75590551181102361</v>
      </c>
      <c r="N26" s="19">
        <v>0.74015748031496065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L26" s="7"/>
      <c r="AM26" s="7"/>
      <c r="AN26" s="7"/>
      <c r="AO26" s="7"/>
      <c r="AQ26" s="23"/>
      <c r="AS26" s="21"/>
      <c r="AT26" s="21"/>
      <c r="AU26" s="21"/>
      <c r="AV26" s="21"/>
      <c r="AW26" s="21"/>
      <c r="AX26" s="21"/>
      <c r="AY26" s="21"/>
      <c r="AZ26" s="21"/>
    </row>
    <row r="27" spans="1:52">
      <c r="A27" s="71"/>
      <c r="B27" s="71"/>
      <c r="C27" s="71"/>
      <c r="D27" s="83">
        <v>0.25</v>
      </c>
      <c r="E27" s="20">
        <v>0.27990196078431373</v>
      </c>
      <c r="F27" s="20">
        <v>0.29325980392156864</v>
      </c>
      <c r="G27" s="19">
        <v>0.29460784313725491</v>
      </c>
      <c r="H27" s="19">
        <v>0.29411764705882354</v>
      </c>
      <c r="I27" s="19">
        <v>0.2838235294117647</v>
      </c>
      <c r="J27" s="19">
        <v>0.28639705882352939</v>
      </c>
      <c r="K27" s="19">
        <v>0.29276960784313727</v>
      </c>
      <c r="L27" s="19">
        <v>0.29938725490196078</v>
      </c>
      <c r="M27" s="19">
        <v>0.28762254901960782</v>
      </c>
      <c r="N27" s="19">
        <v>0.28982843137254899</v>
      </c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L27" s="7"/>
      <c r="AM27" s="7"/>
      <c r="AN27" s="7"/>
      <c r="AO27" s="7"/>
      <c r="AQ27" s="23"/>
      <c r="AS27" s="21"/>
      <c r="AT27" s="21"/>
      <c r="AU27" s="21"/>
      <c r="AV27" s="21"/>
      <c r="AW27" s="21"/>
      <c r="AX27" s="21"/>
      <c r="AY27" s="21"/>
      <c r="AZ27" s="21"/>
    </row>
    <row r="28" spans="1:52">
      <c r="A28" s="71"/>
      <c r="B28" s="71"/>
      <c r="C28" s="29">
        <v>2</v>
      </c>
      <c r="D28" s="83"/>
      <c r="E28" s="20">
        <v>0.32818627450980392</v>
      </c>
      <c r="F28" s="20">
        <v>0.33174019607843136</v>
      </c>
      <c r="G28" s="19">
        <v>0.32977941176470588</v>
      </c>
      <c r="H28" s="19">
        <v>0.3301470588235294</v>
      </c>
      <c r="I28" s="19">
        <v>0.32009803921568625</v>
      </c>
      <c r="J28" s="19">
        <v>0.32647058823529412</v>
      </c>
      <c r="K28" s="19">
        <v>0.32377450980392158</v>
      </c>
      <c r="L28" s="19">
        <v>0.32622549019607844</v>
      </c>
      <c r="M28" s="19">
        <v>0.333578431372549</v>
      </c>
      <c r="N28" s="19">
        <v>0.33590686274509801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L28" s="7"/>
      <c r="AM28" s="7"/>
      <c r="AN28" s="7"/>
      <c r="AO28" s="7"/>
      <c r="AZ28" s="9"/>
    </row>
    <row r="29" spans="1:52">
      <c r="A29" s="71"/>
      <c r="B29" s="71"/>
      <c r="C29" s="29">
        <v>4</v>
      </c>
      <c r="D29" s="83"/>
      <c r="E29" s="20">
        <v>0.34828431372549018</v>
      </c>
      <c r="F29" s="20">
        <v>0.33933823529411766</v>
      </c>
      <c r="G29" s="19">
        <v>0.34362745098039216</v>
      </c>
      <c r="H29" s="19">
        <v>0.34325980392156863</v>
      </c>
      <c r="I29" s="19">
        <v>0.33848039215686276</v>
      </c>
      <c r="J29" s="19">
        <v>0.35049019607843135</v>
      </c>
      <c r="K29" s="19">
        <v>0.3370098039215686</v>
      </c>
      <c r="L29" s="19">
        <v>0.35110294117647056</v>
      </c>
      <c r="M29" s="19">
        <v>0.33713235294117644</v>
      </c>
      <c r="N29" s="19">
        <v>0.35747549019607844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L29" s="7"/>
      <c r="AM29" s="7"/>
      <c r="AN29" s="7"/>
      <c r="AO29" s="7"/>
      <c r="AZ29" s="9"/>
    </row>
    <row r="30" spans="1:52">
      <c r="A30" s="71"/>
      <c r="B30" s="71">
        <v>0</v>
      </c>
      <c r="C30" s="71">
        <v>0</v>
      </c>
      <c r="D30" s="54">
        <v>0.9</v>
      </c>
      <c r="E30" s="20">
        <v>0.90551181102362199</v>
      </c>
      <c r="F30" s="20">
        <v>0.90551181102362199</v>
      </c>
      <c r="G30" s="19">
        <v>0.92125984251968507</v>
      </c>
      <c r="H30" s="19">
        <v>0.92125984251968507</v>
      </c>
      <c r="I30" s="19">
        <v>0.90551181102362199</v>
      </c>
      <c r="J30" s="19">
        <v>0.94488188976377951</v>
      </c>
      <c r="K30" s="19">
        <v>0.93700787401574803</v>
      </c>
      <c r="L30" s="19">
        <v>0.92913385826771655</v>
      </c>
      <c r="M30" s="19">
        <v>0.93700787401574803</v>
      </c>
      <c r="N30" s="19">
        <v>0.92125984251968507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L30" s="7"/>
      <c r="AM30" s="7"/>
      <c r="AN30" s="7"/>
      <c r="AO30" s="7"/>
      <c r="AZ30" s="9"/>
    </row>
    <row r="31" spans="1:52">
      <c r="A31" s="71"/>
      <c r="B31" s="71"/>
      <c r="C31" s="71"/>
      <c r="D31" s="83">
        <v>0.25</v>
      </c>
      <c r="E31" s="20">
        <v>0.28272058823529411</v>
      </c>
      <c r="F31" s="20">
        <v>0.29595588235294118</v>
      </c>
      <c r="G31" s="19">
        <v>0.29963235294117646</v>
      </c>
      <c r="H31" s="19">
        <v>0.3014705882352941</v>
      </c>
      <c r="I31" s="19">
        <v>0.28799019607843135</v>
      </c>
      <c r="J31" s="19">
        <v>0.29007352941176467</v>
      </c>
      <c r="K31" s="19">
        <v>0.2948529411764706</v>
      </c>
      <c r="L31" s="19">
        <v>0.30183823529411763</v>
      </c>
      <c r="M31" s="19">
        <v>0.29178921568627453</v>
      </c>
      <c r="N31" s="19">
        <v>0.29436274509803922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L31" s="7"/>
      <c r="AM31" s="7"/>
      <c r="AN31" s="7"/>
      <c r="AO31" s="7"/>
      <c r="AZ31" s="9"/>
    </row>
    <row r="32" spans="1:52">
      <c r="A32" s="71"/>
      <c r="B32" s="71"/>
      <c r="C32" s="29">
        <v>2</v>
      </c>
      <c r="D32" s="83"/>
      <c r="E32" s="20">
        <v>0.33247549019607842</v>
      </c>
      <c r="F32" s="20">
        <v>0.33455882352941174</v>
      </c>
      <c r="G32" s="19">
        <v>0.33553921568627448</v>
      </c>
      <c r="H32" s="19">
        <v>0.33664215686274507</v>
      </c>
      <c r="I32" s="19">
        <v>0.32463235294117648</v>
      </c>
      <c r="J32" s="19">
        <v>0.32867647058823529</v>
      </c>
      <c r="K32" s="19">
        <v>0.32622549019607844</v>
      </c>
      <c r="L32" s="19">
        <v>0.32965686274509803</v>
      </c>
      <c r="M32" s="19">
        <v>0.33762254901960786</v>
      </c>
      <c r="N32" s="19">
        <v>0.34105392156862746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L32" s="7"/>
      <c r="AM32" s="7"/>
      <c r="AN32" s="7"/>
      <c r="AO32" s="7"/>
      <c r="AZ32" s="9"/>
    </row>
    <row r="33" spans="1:52">
      <c r="A33" s="71"/>
      <c r="B33" s="71"/>
      <c r="C33" s="29">
        <v>4</v>
      </c>
      <c r="D33" s="83"/>
      <c r="E33" s="20">
        <v>0.35404411764705884</v>
      </c>
      <c r="F33" s="20">
        <v>0.34473039215686274</v>
      </c>
      <c r="G33" s="19">
        <v>0.34803921568627449</v>
      </c>
      <c r="H33" s="19">
        <v>0.34791666666666665</v>
      </c>
      <c r="I33" s="19">
        <v>0.34558823529411764</v>
      </c>
      <c r="J33" s="19">
        <v>0.35245098039215683</v>
      </c>
      <c r="K33" s="19">
        <v>0.34068627450980393</v>
      </c>
      <c r="L33" s="19">
        <v>0.35330882352941179</v>
      </c>
      <c r="M33" s="19">
        <v>0.34056372549019609</v>
      </c>
      <c r="N33" s="19">
        <v>0.36249999999999999</v>
      </c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L33" s="7"/>
      <c r="AM33" s="7"/>
      <c r="AN33" s="7"/>
      <c r="AO33" s="7"/>
      <c r="AZ33" s="9"/>
    </row>
    <row r="34" spans="1:52">
      <c r="A34" s="71"/>
      <c r="B34" s="35"/>
      <c r="C34" s="29"/>
      <c r="D34" s="36"/>
      <c r="E34" s="20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L34" s="7"/>
      <c r="AM34" s="7"/>
      <c r="AN34" s="7"/>
      <c r="AO34" s="7"/>
      <c r="AQ34" s="9"/>
      <c r="AR34" s="9"/>
      <c r="AS34" s="9"/>
      <c r="AT34" s="9"/>
      <c r="AU34" s="9"/>
      <c r="AV34" s="9"/>
      <c r="AW34" s="9"/>
      <c r="AX34" s="9"/>
      <c r="AY34" s="9"/>
      <c r="AZ34" s="9"/>
    </row>
    <row r="35" spans="1:52">
      <c r="A35" s="71"/>
      <c r="B35" s="35"/>
      <c r="C35" s="29"/>
      <c r="D35" s="36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L35" s="7"/>
      <c r="AM35" s="7"/>
      <c r="AN35" s="7"/>
      <c r="AO35" s="7"/>
      <c r="AQ35" s="9"/>
      <c r="AR35" s="9"/>
      <c r="AS35" s="9"/>
      <c r="AT35" s="9"/>
      <c r="AU35" s="9"/>
      <c r="AV35" s="9"/>
      <c r="AW35" s="9"/>
      <c r="AX35" s="9"/>
      <c r="AY35" s="9"/>
      <c r="AZ35" s="9"/>
    </row>
    <row r="36" spans="1:52">
      <c r="A36" s="71"/>
      <c r="B36" s="35"/>
      <c r="C36" s="35"/>
      <c r="D36" s="36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L36" s="7"/>
      <c r="AM36" s="7"/>
      <c r="AN36" s="7"/>
      <c r="AO36" s="7"/>
      <c r="AQ36" s="9"/>
      <c r="AR36" s="9"/>
      <c r="AS36" s="9"/>
      <c r="AT36" s="9"/>
      <c r="AU36" s="9"/>
      <c r="AV36" s="9"/>
      <c r="AW36" s="9"/>
      <c r="AX36" s="9"/>
      <c r="AY36" s="9"/>
      <c r="AZ36" s="9"/>
    </row>
    <row r="37" spans="1:52">
      <c r="A37" s="71"/>
      <c r="B37" s="35"/>
      <c r="C37" s="35"/>
      <c r="D37" s="36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L37" s="7"/>
      <c r="AM37" s="7"/>
      <c r="AN37" s="7"/>
      <c r="AO37" s="7"/>
      <c r="AQ37" s="9"/>
      <c r="AR37" s="9"/>
      <c r="AS37" s="9"/>
      <c r="AT37" s="9"/>
      <c r="AU37" s="9"/>
      <c r="AV37" s="9"/>
      <c r="AW37" s="9"/>
      <c r="AX37" s="9"/>
      <c r="AY37" s="9"/>
      <c r="AZ37" s="9"/>
    </row>
    <row r="38" spans="1:52">
      <c r="A38" s="71"/>
      <c r="B38" s="35"/>
      <c r="C38" s="35"/>
      <c r="D38" s="36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L38" s="7"/>
      <c r="AM38" s="7"/>
      <c r="AN38" s="7"/>
      <c r="AO38" s="7"/>
      <c r="AQ38" s="9"/>
      <c r="AR38" s="9"/>
      <c r="AS38" s="9"/>
      <c r="AT38" s="9"/>
      <c r="AU38" s="9"/>
      <c r="AV38" s="9"/>
      <c r="AW38" s="9"/>
      <c r="AX38" s="9"/>
      <c r="AY38" s="9"/>
      <c r="AZ38" s="9"/>
    </row>
    <row r="39" spans="1:52">
      <c r="A39" s="71"/>
      <c r="B39" s="35"/>
      <c r="C39" s="29"/>
      <c r="D39" s="36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L39" s="7"/>
      <c r="AM39" s="7"/>
      <c r="AN39" s="7"/>
      <c r="AO39" s="7"/>
      <c r="AQ39" s="9"/>
      <c r="AR39" s="9"/>
      <c r="AS39" s="9"/>
      <c r="AT39" s="9"/>
      <c r="AU39" s="9"/>
      <c r="AV39" s="9"/>
      <c r="AW39" s="9"/>
      <c r="AX39" s="9"/>
      <c r="AY39" s="9"/>
      <c r="AZ39" s="9"/>
    </row>
    <row r="40" spans="1:52">
      <c r="A40" s="71"/>
      <c r="B40" s="35"/>
      <c r="C40" s="29"/>
      <c r="D40" s="36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L40" s="7"/>
      <c r="AM40" s="7"/>
      <c r="AN40" s="7"/>
      <c r="AO40" s="7"/>
      <c r="AQ40" s="9"/>
      <c r="AR40" s="9"/>
      <c r="AS40" s="9"/>
      <c r="AT40" s="9"/>
      <c r="AU40" s="9"/>
      <c r="AV40" s="9"/>
      <c r="AW40" s="9"/>
      <c r="AX40" s="9"/>
      <c r="AY40" s="9"/>
      <c r="AZ40" s="9"/>
    </row>
    <row r="41" spans="1:52">
      <c r="A41" s="9"/>
      <c r="B41" s="9"/>
      <c r="C41" s="9"/>
      <c r="D41" s="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9"/>
      <c r="AL41" s="9"/>
      <c r="AM41" s="9"/>
      <c r="AN41" s="9"/>
      <c r="AO41" s="9"/>
    </row>
  </sheetData>
  <mergeCells count="27">
    <mergeCell ref="A2:A40"/>
    <mergeCell ref="AQ7:AY7"/>
    <mergeCell ref="AQ14:AY14"/>
    <mergeCell ref="B2:B5"/>
    <mergeCell ref="C2:C3"/>
    <mergeCell ref="D3:D5"/>
    <mergeCell ref="B6:B9"/>
    <mergeCell ref="C6:C7"/>
    <mergeCell ref="D7:D9"/>
    <mergeCell ref="B10:B13"/>
    <mergeCell ref="C10:C11"/>
    <mergeCell ref="D11:D13"/>
    <mergeCell ref="B14:B17"/>
    <mergeCell ref="C14:C15"/>
    <mergeCell ref="D15:D17"/>
    <mergeCell ref="B18:B21"/>
    <mergeCell ref="C18:C19"/>
    <mergeCell ref="D19:D21"/>
    <mergeCell ref="B30:B33"/>
    <mergeCell ref="C30:C31"/>
    <mergeCell ref="D31:D33"/>
    <mergeCell ref="B22:B25"/>
    <mergeCell ref="C22:C23"/>
    <mergeCell ref="D23:D25"/>
    <mergeCell ref="B26:B29"/>
    <mergeCell ref="C26:C27"/>
    <mergeCell ref="D27:D29"/>
  </mergeCells>
  <pageMargins left="0.7" right="0.7" top="0.75" bottom="0.75" header="0.3" footer="0.3"/>
  <pageSetup paperSize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Summary</vt:lpstr>
      <vt:lpstr>Calculations</vt:lpstr>
      <vt:lpstr>data0</vt:lpstr>
      <vt:lpstr>data0!Print_Area</vt:lpstr>
      <vt:lpstr>Summary!Print_Area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2012-02-20T23:05:10Z</dcterms:modified>
</cp:coreProperties>
</file>