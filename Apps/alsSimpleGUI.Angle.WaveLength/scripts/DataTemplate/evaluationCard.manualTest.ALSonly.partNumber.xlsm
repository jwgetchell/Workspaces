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4875" windowWidth="22905" windowHeight="5805" activeTab="1"/>
  </bookViews>
  <sheets>
    <sheet name="Calibration" sheetId="3" r:id="rId1"/>
    <sheet name="Test List" sheetId="1" r:id="rId2"/>
    <sheet name="Specifications" sheetId="4" r:id="rId3"/>
    <sheet name="dut-setup" sheetId="5" r:id="rId4"/>
    <sheet name="filterWheels" sheetId="2" r:id="rId5"/>
    <sheet name="#1" sheetId="6" r:id="rId6"/>
    <sheet name="#2" sheetId="7" r:id="rId7"/>
    <sheet name="#3" sheetId="8" r:id="rId8"/>
    <sheet name="Sheet4" sheetId="9" r:id="rId9"/>
  </sheets>
  <definedNames>
    <definedName name="solver_adj" localSheetId="1" hidden="1">'Test List'!$P$1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'Test List'!$R$1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70</definedName>
  </definedNames>
  <calcPr calcId="125725"/>
</workbook>
</file>

<file path=xl/calcChain.xml><?xml version="1.0" encoding="utf-8"?>
<calcChain xmlns="http://schemas.openxmlformats.org/spreadsheetml/2006/main">
  <c r="K102" i="6"/>
  <c r="K117" i="8"/>
  <c r="K116"/>
  <c r="I115"/>
  <c r="K114"/>
  <c r="I114"/>
  <c r="I113"/>
  <c r="H113"/>
  <c r="H114" s="1"/>
  <c r="H115" s="1"/>
  <c r="H116" s="1"/>
  <c r="H117" s="1"/>
  <c r="K112"/>
  <c r="I112"/>
  <c r="K111"/>
  <c r="K110"/>
  <c r="I109"/>
  <c r="K108"/>
  <c r="I108"/>
  <c r="I107"/>
  <c r="H107"/>
  <c r="H108" s="1"/>
  <c r="H109" s="1"/>
  <c r="H110" s="1"/>
  <c r="H111" s="1"/>
  <c r="K106"/>
  <c r="I106"/>
  <c r="K105"/>
  <c r="K104"/>
  <c r="I103"/>
  <c r="K102"/>
  <c r="I102"/>
  <c r="I101"/>
  <c r="H101"/>
  <c r="H102" s="1"/>
  <c r="H103" s="1"/>
  <c r="H104" s="1"/>
  <c r="H105" s="1"/>
  <c r="K100"/>
  <c r="I100"/>
  <c r="K99"/>
  <c r="L98"/>
  <c r="L99" s="1"/>
  <c r="L104" s="1"/>
  <c r="L105" s="1"/>
  <c r="L110" s="1"/>
  <c r="L111" s="1"/>
  <c r="L116" s="1"/>
  <c r="L117" s="1"/>
  <c r="K98"/>
  <c r="J98"/>
  <c r="J99" s="1"/>
  <c r="I97"/>
  <c r="K96"/>
  <c r="I96"/>
  <c r="I95"/>
  <c r="H95"/>
  <c r="H96" s="1"/>
  <c r="H97" s="1"/>
  <c r="H98" s="1"/>
  <c r="H99" s="1"/>
  <c r="K94"/>
  <c r="I94"/>
  <c r="L93"/>
  <c r="K93"/>
  <c r="N93" s="1"/>
  <c r="J93"/>
  <c r="H91"/>
  <c r="H92" s="1"/>
  <c r="H93" s="1"/>
  <c r="F91"/>
  <c r="F92" s="1"/>
  <c r="F93" s="1"/>
  <c r="F94" s="1"/>
  <c r="F95" s="1"/>
  <c r="F96" s="1"/>
  <c r="F97" s="1"/>
  <c r="F98" s="1"/>
  <c r="F99" s="1"/>
  <c r="F100" s="1"/>
  <c r="F101" s="1"/>
  <c r="F102" s="1"/>
  <c r="F103" s="1"/>
  <c r="F104" s="1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D9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O89"/>
  <c r="K88"/>
  <c r="K87"/>
  <c r="K86"/>
  <c r="I85"/>
  <c r="I84"/>
  <c r="I83"/>
  <c r="I82"/>
  <c r="I81"/>
  <c r="H81"/>
  <c r="H82" s="1"/>
  <c r="H83" s="1"/>
  <c r="H84" s="1"/>
  <c r="H85" s="1"/>
  <c r="H86" s="1"/>
  <c r="H87" s="1"/>
  <c r="H88" s="1"/>
  <c r="I80"/>
  <c r="G80"/>
  <c r="G112" s="1"/>
  <c r="K79"/>
  <c r="K78"/>
  <c r="K77"/>
  <c r="I76"/>
  <c r="I75"/>
  <c r="I74"/>
  <c r="I73"/>
  <c r="I72"/>
  <c r="H72"/>
  <c r="H73" s="1"/>
  <c r="H74" s="1"/>
  <c r="H75" s="1"/>
  <c r="H76" s="1"/>
  <c r="H77" s="1"/>
  <c r="H78" s="1"/>
  <c r="H79" s="1"/>
  <c r="I71"/>
  <c r="G71"/>
  <c r="G106" s="1"/>
  <c r="K70"/>
  <c r="K69"/>
  <c r="K68"/>
  <c r="I67"/>
  <c r="I66"/>
  <c r="I65"/>
  <c r="I64"/>
  <c r="I63"/>
  <c r="H63"/>
  <c r="H64" s="1"/>
  <c r="H65" s="1"/>
  <c r="H66" s="1"/>
  <c r="H67" s="1"/>
  <c r="H68" s="1"/>
  <c r="H69" s="1"/>
  <c r="H70" s="1"/>
  <c r="I62"/>
  <c r="G62"/>
  <c r="G100" s="1"/>
  <c r="L61"/>
  <c r="L70" s="1"/>
  <c r="L79" s="1"/>
  <c r="L88" s="1"/>
  <c r="K61"/>
  <c r="J61"/>
  <c r="J70" s="1"/>
  <c r="K60"/>
  <c r="L59"/>
  <c r="L68" s="1"/>
  <c r="L77" s="1"/>
  <c r="L86" s="1"/>
  <c r="K59"/>
  <c r="J59"/>
  <c r="J68" s="1"/>
  <c r="I58"/>
  <c r="I57"/>
  <c r="I56"/>
  <c r="I55"/>
  <c r="I54"/>
  <c r="H54"/>
  <c r="H55" s="1"/>
  <c r="H56" s="1"/>
  <c r="H57" s="1"/>
  <c r="H58" s="1"/>
  <c r="H59" s="1"/>
  <c r="H60" s="1"/>
  <c r="H61" s="1"/>
  <c r="I53"/>
  <c r="G53"/>
  <c r="G94" s="1"/>
  <c r="K52"/>
  <c r="K50"/>
  <c r="K51" s="1"/>
  <c r="K48"/>
  <c r="K89" s="1"/>
  <c r="K91" s="1"/>
  <c r="K92" s="1"/>
  <c r="H48"/>
  <c r="H49" s="1"/>
  <c r="H50" s="1"/>
  <c r="H51" s="1"/>
  <c r="H52" s="1"/>
  <c r="F48"/>
  <c r="F49" s="1"/>
  <c r="F50" s="1"/>
  <c r="F51" s="1"/>
  <c r="F52" s="1"/>
  <c r="F53" s="1"/>
  <c r="F54" s="1"/>
  <c r="F55" s="1"/>
  <c r="F56" s="1"/>
  <c r="F57" s="1"/>
  <c r="D48"/>
  <c r="D49" s="1"/>
  <c r="D50" s="1"/>
  <c r="D51" s="1"/>
  <c r="D52" s="1"/>
  <c r="D53" s="1"/>
  <c r="D54" s="1"/>
  <c r="D55" s="1"/>
  <c r="D56" s="1"/>
  <c r="D57" s="1"/>
  <c r="K44"/>
  <c r="H43"/>
  <c r="H44" s="1"/>
  <c r="L41"/>
  <c r="L44" s="1"/>
  <c r="K41"/>
  <c r="J41"/>
  <c r="N41" s="1"/>
  <c r="H40"/>
  <c r="H41" s="1"/>
  <c r="K38"/>
  <c r="H37"/>
  <c r="H38" s="1"/>
  <c r="L35"/>
  <c r="L38" s="1"/>
  <c r="K35"/>
  <c r="J35"/>
  <c r="N35" s="1"/>
  <c r="L34"/>
  <c r="L37" s="1"/>
  <c r="L40" s="1"/>
  <c r="L43" s="1"/>
  <c r="J34"/>
  <c r="J37" s="1"/>
  <c r="H34"/>
  <c r="H35" s="1"/>
  <c r="F34"/>
  <c r="F35" s="1"/>
  <c r="F36" s="1"/>
  <c r="F37" s="1"/>
  <c r="F38" s="1"/>
  <c r="F39" s="1"/>
  <c r="F40" s="1"/>
  <c r="F41" s="1"/>
  <c r="F42" s="1"/>
  <c r="F43" s="1"/>
  <c r="F44" s="1"/>
  <c r="F45" s="1"/>
  <c r="D34"/>
  <c r="D35" s="1"/>
  <c r="D36" s="1"/>
  <c r="D37" s="1"/>
  <c r="D38" s="1"/>
  <c r="D39" s="1"/>
  <c r="D40" s="1"/>
  <c r="D41" s="1"/>
  <c r="D42" s="1"/>
  <c r="D43" s="1"/>
  <c r="D44" s="1"/>
  <c r="D45" s="1"/>
  <c r="K31"/>
  <c r="K30"/>
  <c r="I29"/>
  <c r="H29"/>
  <c r="H30" s="1"/>
  <c r="H31" s="1"/>
  <c r="I28"/>
  <c r="K27"/>
  <c r="K26"/>
  <c r="I25"/>
  <c r="H25"/>
  <c r="H26" s="1"/>
  <c r="H27" s="1"/>
  <c r="I24"/>
  <c r="K23"/>
  <c r="K22"/>
  <c r="I21"/>
  <c r="H21"/>
  <c r="H22" s="1"/>
  <c r="H23" s="1"/>
  <c r="I20"/>
  <c r="L19"/>
  <c r="L23" s="1"/>
  <c r="L27" s="1"/>
  <c r="L31" s="1"/>
  <c r="K19"/>
  <c r="J19"/>
  <c r="J23" s="1"/>
  <c r="L18"/>
  <c r="L60" s="1"/>
  <c r="K18"/>
  <c r="N18" s="1"/>
  <c r="J18"/>
  <c r="J22" s="1"/>
  <c r="I17"/>
  <c r="H17"/>
  <c r="H18" s="1"/>
  <c r="H19" s="1"/>
  <c r="I16"/>
  <c r="F16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K15"/>
  <c r="L13"/>
  <c r="J13"/>
  <c r="H13"/>
  <c r="L11"/>
  <c r="J11"/>
  <c r="H11"/>
  <c r="H9"/>
  <c r="L7"/>
  <c r="L9" s="1"/>
  <c r="J7"/>
  <c r="J9" s="1"/>
  <c r="H7"/>
  <c r="K5"/>
  <c r="H5"/>
  <c r="F5"/>
  <c r="F6" s="1"/>
  <c r="F7" s="1"/>
  <c r="F8" s="1"/>
  <c r="F9" s="1"/>
  <c r="F10" s="1"/>
  <c r="F11" s="1"/>
  <c r="F12" s="1"/>
  <c r="F13" s="1"/>
  <c r="F14" s="1"/>
  <c r="D5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C5"/>
  <c r="B5" s="1"/>
  <c r="O4"/>
  <c r="B4"/>
  <c r="R3"/>
  <c r="Q3"/>
  <c r="E3"/>
  <c r="R1"/>
  <c r="K117" i="7"/>
  <c r="K116"/>
  <c r="I115"/>
  <c r="K114"/>
  <c r="I114"/>
  <c r="I113"/>
  <c r="H113"/>
  <c r="H114" s="1"/>
  <c r="H115" s="1"/>
  <c r="H116" s="1"/>
  <c r="H117" s="1"/>
  <c r="K112"/>
  <c r="I112"/>
  <c r="K111"/>
  <c r="K110"/>
  <c r="I109"/>
  <c r="K108"/>
  <c r="I108"/>
  <c r="I107"/>
  <c r="H107"/>
  <c r="H108" s="1"/>
  <c r="H109" s="1"/>
  <c r="H110" s="1"/>
  <c r="H111" s="1"/>
  <c r="K106"/>
  <c r="I106"/>
  <c r="K105"/>
  <c r="K104"/>
  <c r="I103"/>
  <c r="K102"/>
  <c r="I102"/>
  <c r="I101"/>
  <c r="H101"/>
  <c r="H102" s="1"/>
  <c r="H103" s="1"/>
  <c r="H104" s="1"/>
  <c r="H105" s="1"/>
  <c r="K100"/>
  <c r="I100"/>
  <c r="K99"/>
  <c r="L98"/>
  <c r="L99" s="1"/>
  <c r="L104" s="1"/>
  <c r="L105" s="1"/>
  <c r="L110" s="1"/>
  <c r="L111" s="1"/>
  <c r="L116" s="1"/>
  <c r="L117" s="1"/>
  <c r="K98"/>
  <c r="J98"/>
  <c r="J99" s="1"/>
  <c r="I97"/>
  <c r="K96"/>
  <c r="I96"/>
  <c r="I95"/>
  <c r="H95"/>
  <c r="H96" s="1"/>
  <c r="H97" s="1"/>
  <c r="H98" s="1"/>
  <c r="H99" s="1"/>
  <c r="K94"/>
  <c r="I94"/>
  <c r="L93"/>
  <c r="K93"/>
  <c r="N93" s="1"/>
  <c r="J93"/>
  <c r="H91"/>
  <c r="H92" s="1"/>
  <c r="H93" s="1"/>
  <c r="F91"/>
  <c r="F92" s="1"/>
  <c r="F93" s="1"/>
  <c r="F94" s="1"/>
  <c r="F95" s="1"/>
  <c r="F96" s="1"/>
  <c r="F97" s="1"/>
  <c r="F98" s="1"/>
  <c r="F99" s="1"/>
  <c r="F100" s="1"/>
  <c r="F101" s="1"/>
  <c r="F102" s="1"/>
  <c r="F103" s="1"/>
  <c r="F104" s="1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D9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O89"/>
  <c r="K88"/>
  <c r="K87"/>
  <c r="K86"/>
  <c r="I85"/>
  <c r="I84"/>
  <c r="I83"/>
  <c r="I82"/>
  <c r="I81"/>
  <c r="H81"/>
  <c r="H82" s="1"/>
  <c r="H83" s="1"/>
  <c r="H84" s="1"/>
  <c r="H85" s="1"/>
  <c r="H86" s="1"/>
  <c r="H87" s="1"/>
  <c r="H88" s="1"/>
  <c r="I80"/>
  <c r="G80"/>
  <c r="G112" s="1"/>
  <c r="K79"/>
  <c r="K78"/>
  <c r="K77"/>
  <c r="I76"/>
  <c r="I75"/>
  <c r="I74"/>
  <c r="I73"/>
  <c r="I72"/>
  <c r="H72"/>
  <c r="H73" s="1"/>
  <c r="H74" s="1"/>
  <c r="H75" s="1"/>
  <c r="H76" s="1"/>
  <c r="H77" s="1"/>
  <c r="H78" s="1"/>
  <c r="H79" s="1"/>
  <c r="I71"/>
  <c r="G71"/>
  <c r="G106" s="1"/>
  <c r="K70"/>
  <c r="K69"/>
  <c r="K68"/>
  <c r="I67"/>
  <c r="I66"/>
  <c r="I65"/>
  <c r="I64"/>
  <c r="I63"/>
  <c r="H63"/>
  <c r="H64" s="1"/>
  <c r="H65" s="1"/>
  <c r="H66" s="1"/>
  <c r="H67" s="1"/>
  <c r="H68" s="1"/>
  <c r="H69" s="1"/>
  <c r="H70" s="1"/>
  <c r="I62"/>
  <c r="G62"/>
  <c r="G100" s="1"/>
  <c r="L61"/>
  <c r="L70" s="1"/>
  <c r="L79" s="1"/>
  <c r="L88" s="1"/>
  <c r="K61"/>
  <c r="J61"/>
  <c r="J70" s="1"/>
  <c r="K60"/>
  <c r="L59"/>
  <c r="L68" s="1"/>
  <c r="L77" s="1"/>
  <c r="L86" s="1"/>
  <c r="K59"/>
  <c r="J59"/>
  <c r="J68" s="1"/>
  <c r="I58"/>
  <c r="I57"/>
  <c r="I56"/>
  <c r="I55"/>
  <c r="I54"/>
  <c r="H54"/>
  <c r="H55" s="1"/>
  <c r="H56" s="1"/>
  <c r="H57" s="1"/>
  <c r="H58" s="1"/>
  <c r="H59" s="1"/>
  <c r="H60" s="1"/>
  <c r="H61" s="1"/>
  <c r="I53"/>
  <c r="G53"/>
  <c r="G94" s="1"/>
  <c r="K52"/>
  <c r="K48"/>
  <c r="K50" s="1"/>
  <c r="K51" s="1"/>
  <c r="H48"/>
  <c r="H49" s="1"/>
  <c r="H50" s="1"/>
  <c r="H51" s="1"/>
  <c r="H52" s="1"/>
  <c r="F48"/>
  <c r="F49" s="1"/>
  <c r="F50" s="1"/>
  <c r="F51" s="1"/>
  <c r="F52" s="1"/>
  <c r="F53" s="1"/>
  <c r="F54" s="1"/>
  <c r="F55" s="1"/>
  <c r="F56" s="1"/>
  <c r="F57" s="1"/>
  <c r="D48"/>
  <c r="D49" s="1"/>
  <c r="D50" s="1"/>
  <c r="D51" s="1"/>
  <c r="D52" s="1"/>
  <c r="D53" s="1"/>
  <c r="D54" s="1"/>
  <c r="D55" s="1"/>
  <c r="D56" s="1"/>
  <c r="D57" s="1"/>
  <c r="K44"/>
  <c r="H43"/>
  <c r="H44" s="1"/>
  <c r="L41"/>
  <c r="L44" s="1"/>
  <c r="K41"/>
  <c r="J41"/>
  <c r="H40"/>
  <c r="H41" s="1"/>
  <c r="K38"/>
  <c r="H37"/>
  <c r="H38" s="1"/>
  <c r="L35"/>
  <c r="L38" s="1"/>
  <c r="K35"/>
  <c r="J35"/>
  <c r="F35"/>
  <c r="F36" s="1"/>
  <c r="F37" s="1"/>
  <c r="F38" s="1"/>
  <c r="F39" s="1"/>
  <c r="F40" s="1"/>
  <c r="F41" s="1"/>
  <c r="F42" s="1"/>
  <c r="F43" s="1"/>
  <c r="F44" s="1"/>
  <c r="F45" s="1"/>
  <c r="L34"/>
  <c r="L37" s="1"/>
  <c r="L40" s="1"/>
  <c r="L43" s="1"/>
  <c r="J34"/>
  <c r="J37" s="1"/>
  <c r="H34"/>
  <c r="H35" s="1"/>
  <c r="F34"/>
  <c r="D34"/>
  <c r="D35" s="1"/>
  <c r="D36" s="1"/>
  <c r="D37" s="1"/>
  <c r="D38" s="1"/>
  <c r="D39" s="1"/>
  <c r="D40" s="1"/>
  <c r="D41" s="1"/>
  <c r="D42" s="1"/>
  <c r="D43" s="1"/>
  <c r="D44" s="1"/>
  <c r="D45" s="1"/>
  <c r="K31"/>
  <c r="K30"/>
  <c r="I29"/>
  <c r="H29"/>
  <c r="H30" s="1"/>
  <c r="H31" s="1"/>
  <c r="I28"/>
  <c r="K27"/>
  <c r="K26"/>
  <c r="I25"/>
  <c r="H25"/>
  <c r="H26" s="1"/>
  <c r="H27" s="1"/>
  <c r="I24"/>
  <c r="K23"/>
  <c r="K22"/>
  <c r="I21"/>
  <c r="H21"/>
  <c r="H22" s="1"/>
  <c r="H23" s="1"/>
  <c r="I20"/>
  <c r="L19"/>
  <c r="L23" s="1"/>
  <c r="L27" s="1"/>
  <c r="L31" s="1"/>
  <c r="K19"/>
  <c r="J19"/>
  <c r="J23" s="1"/>
  <c r="L18"/>
  <c r="L60" s="1"/>
  <c r="K18"/>
  <c r="J18"/>
  <c r="J22" s="1"/>
  <c r="I17"/>
  <c r="H17"/>
  <c r="H18" s="1"/>
  <c r="H19" s="1"/>
  <c r="I16"/>
  <c r="F16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K15"/>
  <c r="H13"/>
  <c r="L11"/>
  <c r="L13" s="1"/>
  <c r="J11"/>
  <c r="J13" s="1"/>
  <c r="H11"/>
  <c r="H9"/>
  <c r="L7"/>
  <c r="L9" s="1"/>
  <c r="J7"/>
  <c r="J9" s="1"/>
  <c r="H7"/>
  <c r="K5"/>
  <c r="H5"/>
  <c r="F5"/>
  <c r="F6" s="1"/>
  <c r="F7" s="1"/>
  <c r="F8" s="1"/>
  <c r="F9" s="1"/>
  <c r="F10" s="1"/>
  <c r="F11" s="1"/>
  <c r="F12" s="1"/>
  <c r="F13" s="1"/>
  <c r="F14" s="1"/>
  <c r="D5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C5"/>
  <c r="B5" s="1"/>
  <c r="O4"/>
  <c r="B4"/>
  <c r="R3"/>
  <c r="Q3"/>
  <c r="E3"/>
  <c r="R1"/>
  <c r="K117" i="6"/>
  <c r="K116"/>
  <c r="I115"/>
  <c r="K114"/>
  <c r="I114"/>
  <c r="I113"/>
  <c r="H113"/>
  <c r="H114" s="1"/>
  <c r="H115" s="1"/>
  <c r="H116" s="1"/>
  <c r="H117" s="1"/>
  <c r="K112"/>
  <c r="I112"/>
  <c r="K111"/>
  <c r="K110"/>
  <c r="I109"/>
  <c r="K108"/>
  <c r="I108"/>
  <c r="I107"/>
  <c r="H107"/>
  <c r="H108" s="1"/>
  <c r="H109" s="1"/>
  <c r="H110" s="1"/>
  <c r="H111" s="1"/>
  <c r="K106"/>
  <c r="I106"/>
  <c r="G106"/>
  <c r="K105"/>
  <c r="K104"/>
  <c r="I103"/>
  <c r="I102"/>
  <c r="I101"/>
  <c r="H101"/>
  <c r="H102" s="1"/>
  <c r="H103" s="1"/>
  <c r="H104" s="1"/>
  <c r="H105" s="1"/>
  <c r="K100"/>
  <c r="I100"/>
  <c r="L99"/>
  <c r="L104" s="1"/>
  <c r="L105" s="1"/>
  <c r="L110" s="1"/>
  <c r="L111" s="1"/>
  <c r="L116" s="1"/>
  <c r="L117" s="1"/>
  <c r="K99"/>
  <c r="J99"/>
  <c r="J104" s="1"/>
  <c r="L98"/>
  <c r="K98"/>
  <c r="N98" s="1"/>
  <c r="J98"/>
  <c r="I97"/>
  <c r="K96"/>
  <c r="I96"/>
  <c r="I95"/>
  <c r="H95"/>
  <c r="H96" s="1"/>
  <c r="H97" s="1"/>
  <c r="H98" s="1"/>
  <c r="H99" s="1"/>
  <c r="K94"/>
  <c r="I94"/>
  <c r="G94"/>
  <c r="L93"/>
  <c r="K93"/>
  <c r="J93"/>
  <c r="H91"/>
  <c r="H92" s="1"/>
  <c r="H93" s="1"/>
  <c r="F91"/>
  <c r="F92" s="1"/>
  <c r="F93" s="1"/>
  <c r="F94" s="1"/>
  <c r="F95" s="1"/>
  <c r="F96" s="1"/>
  <c r="F97" s="1"/>
  <c r="F98" s="1"/>
  <c r="F99" s="1"/>
  <c r="F100" s="1"/>
  <c r="F101" s="1"/>
  <c r="F102" s="1"/>
  <c r="F103" s="1"/>
  <c r="F104" s="1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D9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O89"/>
  <c r="K88"/>
  <c r="K87"/>
  <c r="K86"/>
  <c r="I85"/>
  <c r="I84"/>
  <c r="I83"/>
  <c r="I82"/>
  <c r="I81"/>
  <c r="H81"/>
  <c r="H82" s="1"/>
  <c r="H83" s="1"/>
  <c r="H84" s="1"/>
  <c r="H85" s="1"/>
  <c r="H86" s="1"/>
  <c r="H87" s="1"/>
  <c r="H88" s="1"/>
  <c r="I80"/>
  <c r="G80"/>
  <c r="G112" s="1"/>
  <c r="K79"/>
  <c r="K78"/>
  <c r="K77"/>
  <c r="I76"/>
  <c r="I75"/>
  <c r="I74"/>
  <c r="I73"/>
  <c r="I72"/>
  <c r="H72"/>
  <c r="H73" s="1"/>
  <c r="H74" s="1"/>
  <c r="H75" s="1"/>
  <c r="H76" s="1"/>
  <c r="H77" s="1"/>
  <c r="H78" s="1"/>
  <c r="H79" s="1"/>
  <c r="I71"/>
  <c r="G71"/>
  <c r="K70"/>
  <c r="K69"/>
  <c r="K68"/>
  <c r="I67"/>
  <c r="I66"/>
  <c r="I65"/>
  <c r="I64"/>
  <c r="I63"/>
  <c r="H63"/>
  <c r="H64" s="1"/>
  <c r="H65" s="1"/>
  <c r="H66" s="1"/>
  <c r="H67" s="1"/>
  <c r="H68" s="1"/>
  <c r="H69" s="1"/>
  <c r="H70" s="1"/>
  <c r="I62"/>
  <c r="G62"/>
  <c r="G100" s="1"/>
  <c r="L61"/>
  <c r="L70" s="1"/>
  <c r="L79" s="1"/>
  <c r="L88" s="1"/>
  <c r="K61"/>
  <c r="J61"/>
  <c r="K60"/>
  <c r="L59"/>
  <c r="L68" s="1"/>
  <c r="L77" s="1"/>
  <c r="L86" s="1"/>
  <c r="K59"/>
  <c r="J59"/>
  <c r="I58"/>
  <c r="I57"/>
  <c r="I56"/>
  <c r="I55"/>
  <c r="I54"/>
  <c r="H54"/>
  <c r="H55" s="1"/>
  <c r="H56" s="1"/>
  <c r="H57" s="1"/>
  <c r="H58" s="1"/>
  <c r="H59" s="1"/>
  <c r="H60" s="1"/>
  <c r="H61" s="1"/>
  <c r="I53"/>
  <c r="G53"/>
  <c r="K52"/>
  <c r="F50"/>
  <c r="F51" s="1"/>
  <c r="F52" s="1"/>
  <c r="F53" s="1"/>
  <c r="F54" s="1"/>
  <c r="F55" s="1"/>
  <c r="F56" s="1"/>
  <c r="F57" s="1"/>
  <c r="K48"/>
  <c r="K89" s="1"/>
  <c r="K91" s="1"/>
  <c r="K92" s="1"/>
  <c r="H48"/>
  <c r="H49" s="1"/>
  <c r="H50" s="1"/>
  <c r="H51" s="1"/>
  <c r="H52" s="1"/>
  <c r="F48"/>
  <c r="F49" s="1"/>
  <c r="D48"/>
  <c r="D49" s="1"/>
  <c r="D50" s="1"/>
  <c r="D51" s="1"/>
  <c r="D52" s="1"/>
  <c r="D53" s="1"/>
  <c r="D54" s="1"/>
  <c r="D55" s="1"/>
  <c r="D56" s="1"/>
  <c r="D57" s="1"/>
  <c r="K44"/>
  <c r="H44"/>
  <c r="H43"/>
  <c r="L41"/>
  <c r="L44" s="1"/>
  <c r="K41"/>
  <c r="N41" s="1"/>
  <c r="J41"/>
  <c r="J44" s="1"/>
  <c r="H41"/>
  <c r="H40"/>
  <c r="K38"/>
  <c r="H38"/>
  <c r="H37"/>
  <c r="L35"/>
  <c r="L38" s="1"/>
  <c r="K35"/>
  <c r="N35" s="1"/>
  <c r="J35"/>
  <c r="J38" s="1"/>
  <c r="H35"/>
  <c r="D35"/>
  <c r="D36" s="1"/>
  <c r="D37" s="1"/>
  <c r="D38" s="1"/>
  <c r="D39" s="1"/>
  <c r="D40" s="1"/>
  <c r="D41" s="1"/>
  <c r="D42" s="1"/>
  <c r="D43" s="1"/>
  <c r="D44" s="1"/>
  <c r="D45" s="1"/>
  <c r="L34"/>
  <c r="J34" s="1"/>
  <c r="H34"/>
  <c r="F34"/>
  <c r="F35" s="1"/>
  <c r="F36" s="1"/>
  <c r="F37" s="1"/>
  <c r="F38" s="1"/>
  <c r="F39" s="1"/>
  <c r="F40" s="1"/>
  <c r="F41" s="1"/>
  <c r="F42" s="1"/>
  <c r="F43" s="1"/>
  <c r="F44" s="1"/>
  <c r="F45" s="1"/>
  <c r="D34"/>
  <c r="K31"/>
  <c r="K30"/>
  <c r="I29"/>
  <c r="H29"/>
  <c r="H30" s="1"/>
  <c r="H31" s="1"/>
  <c r="I28"/>
  <c r="K27"/>
  <c r="K26"/>
  <c r="I25"/>
  <c r="H25"/>
  <c r="H26" s="1"/>
  <c r="H27" s="1"/>
  <c r="I24"/>
  <c r="K23"/>
  <c r="K22"/>
  <c r="I21"/>
  <c r="H21"/>
  <c r="H22" s="1"/>
  <c r="H23" s="1"/>
  <c r="I20"/>
  <c r="L19"/>
  <c r="L23" s="1"/>
  <c r="L27" s="1"/>
  <c r="L31" s="1"/>
  <c r="K19"/>
  <c r="J19"/>
  <c r="J23" s="1"/>
  <c r="N23" s="1"/>
  <c r="L18"/>
  <c r="L60" s="1"/>
  <c r="J60" s="1"/>
  <c r="N60" s="1"/>
  <c r="K18"/>
  <c r="N18" s="1"/>
  <c r="J18"/>
  <c r="J22" s="1"/>
  <c r="I17"/>
  <c r="H17"/>
  <c r="H18" s="1"/>
  <c r="H19" s="1"/>
  <c r="I16"/>
  <c r="F16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K15"/>
  <c r="H13"/>
  <c r="L11"/>
  <c r="L13" s="1"/>
  <c r="J11"/>
  <c r="J13" s="1"/>
  <c r="H11"/>
  <c r="H9"/>
  <c r="L7"/>
  <c r="L9" s="1"/>
  <c r="J7"/>
  <c r="J9" s="1"/>
  <c r="H7"/>
  <c r="K5"/>
  <c r="H5"/>
  <c r="F5"/>
  <c r="F6" s="1"/>
  <c r="F7" s="1"/>
  <c r="F8" s="1"/>
  <c r="F9" s="1"/>
  <c r="F10" s="1"/>
  <c r="F11" s="1"/>
  <c r="F12" s="1"/>
  <c r="F13" s="1"/>
  <c r="F14" s="1"/>
  <c r="D5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C5"/>
  <c r="B5" s="1"/>
  <c r="O4"/>
  <c r="B4"/>
  <c r="R3"/>
  <c r="Q3"/>
  <c r="E3"/>
  <c r="R1"/>
  <c r="O4" i="1"/>
  <c r="K117" i="5"/>
  <c r="K116"/>
  <c r="I115"/>
  <c r="K114"/>
  <c r="I114"/>
  <c r="I113"/>
  <c r="H113"/>
  <c r="H114" s="1"/>
  <c r="H115" s="1"/>
  <c r="H116" s="1"/>
  <c r="H117" s="1"/>
  <c r="K112"/>
  <c r="I112"/>
  <c r="K111"/>
  <c r="K110"/>
  <c r="I109"/>
  <c r="K108"/>
  <c r="I108"/>
  <c r="I107"/>
  <c r="H107"/>
  <c r="H108" s="1"/>
  <c r="H109" s="1"/>
  <c r="H110" s="1"/>
  <c r="H111" s="1"/>
  <c r="K106"/>
  <c r="I106"/>
  <c r="K105"/>
  <c r="K104"/>
  <c r="I103"/>
  <c r="K102"/>
  <c r="I102"/>
  <c r="I101"/>
  <c r="H101"/>
  <c r="H102" s="1"/>
  <c r="H103" s="1"/>
  <c r="H104" s="1"/>
  <c r="H105" s="1"/>
  <c r="K100"/>
  <c r="I100"/>
  <c r="K99"/>
  <c r="L98"/>
  <c r="L99" s="1"/>
  <c r="L104" s="1"/>
  <c r="L105" s="1"/>
  <c r="L110" s="1"/>
  <c r="L111" s="1"/>
  <c r="L116" s="1"/>
  <c r="L117" s="1"/>
  <c r="K98"/>
  <c r="J98"/>
  <c r="J99" s="1"/>
  <c r="I97"/>
  <c r="K96"/>
  <c r="I96"/>
  <c r="I95"/>
  <c r="H95"/>
  <c r="H96" s="1"/>
  <c r="H97" s="1"/>
  <c r="H98" s="1"/>
  <c r="H99" s="1"/>
  <c r="K94"/>
  <c r="I94"/>
  <c r="L93"/>
  <c r="K93"/>
  <c r="J93"/>
  <c r="N93" s="1"/>
  <c r="H91"/>
  <c r="H92" s="1"/>
  <c r="H93" s="1"/>
  <c r="F91"/>
  <c r="F92" s="1"/>
  <c r="F93" s="1"/>
  <c r="F94" s="1"/>
  <c r="F95" s="1"/>
  <c r="F96" s="1"/>
  <c r="F97" s="1"/>
  <c r="F98" s="1"/>
  <c r="F99" s="1"/>
  <c r="F100" s="1"/>
  <c r="F101" s="1"/>
  <c r="F102" s="1"/>
  <c r="F103" s="1"/>
  <c r="F104" s="1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D9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O89"/>
  <c r="K88"/>
  <c r="K87"/>
  <c r="K86"/>
  <c r="I85"/>
  <c r="I84"/>
  <c r="I83"/>
  <c r="I82"/>
  <c r="I81"/>
  <c r="H81"/>
  <c r="H82" s="1"/>
  <c r="H83" s="1"/>
  <c r="H84" s="1"/>
  <c r="H85" s="1"/>
  <c r="H86" s="1"/>
  <c r="H87" s="1"/>
  <c r="H88" s="1"/>
  <c r="I80"/>
  <c r="G80"/>
  <c r="G112" s="1"/>
  <c r="K79"/>
  <c r="K78"/>
  <c r="K77"/>
  <c r="I76"/>
  <c r="I75"/>
  <c r="I74"/>
  <c r="I73"/>
  <c r="I72"/>
  <c r="H72"/>
  <c r="H73" s="1"/>
  <c r="H74" s="1"/>
  <c r="H75" s="1"/>
  <c r="H76" s="1"/>
  <c r="H77" s="1"/>
  <c r="H78" s="1"/>
  <c r="H79" s="1"/>
  <c r="I71"/>
  <c r="G71"/>
  <c r="G106" s="1"/>
  <c r="K70"/>
  <c r="K69"/>
  <c r="K68"/>
  <c r="I67"/>
  <c r="I66"/>
  <c r="I65"/>
  <c r="I64"/>
  <c r="I63"/>
  <c r="H63"/>
  <c r="H64" s="1"/>
  <c r="H65" s="1"/>
  <c r="H66" s="1"/>
  <c r="H67" s="1"/>
  <c r="H68" s="1"/>
  <c r="H69" s="1"/>
  <c r="H70" s="1"/>
  <c r="I62"/>
  <c r="G62"/>
  <c r="G100" s="1"/>
  <c r="L61"/>
  <c r="L70" s="1"/>
  <c r="L79" s="1"/>
  <c r="L88" s="1"/>
  <c r="K61"/>
  <c r="J61"/>
  <c r="J70" s="1"/>
  <c r="K60"/>
  <c r="L59"/>
  <c r="L68" s="1"/>
  <c r="L77" s="1"/>
  <c r="L86" s="1"/>
  <c r="K59"/>
  <c r="J59"/>
  <c r="J68" s="1"/>
  <c r="I58"/>
  <c r="I57"/>
  <c r="I56"/>
  <c r="I55"/>
  <c r="I54"/>
  <c r="H54"/>
  <c r="H55" s="1"/>
  <c r="H56" s="1"/>
  <c r="H57" s="1"/>
  <c r="H58" s="1"/>
  <c r="H59" s="1"/>
  <c r="H60" s="1"/>
  <c r="H61" s="1"/>
  <c r="I53"/>
  <c r="G53"/>
  <c r="G94" s="1"/>
  <c r="K52"/>
  <c r="K48"/>
  <c r="K50" s="1"/>
  <c r="K51" s="1"/>
  <c r="H48"/>
  <c r="H49" s="1"/>
  <c r="H50" s="1"/>
  <c r="H51" s="1"/>
  <c r="H52" s="1"/>
  <c r="F48"/>
  <c r="F49" s="1"/>
  <c r="F50" s="1"/>
  <c r="F51" s="1"/>
  <c r="F52" s="1"/>
  <c r="F53" s="1"/>
  <c r="F54" s="1"/>
  <c r="F55" s="1"/>
  <c r="F56" s="1"/>
  <c r="F57" s="1"/>
  <c r="D48"/>
  <c r="D49" s="1"/>
  <c r="D50" s="1"/>
  <c r="D51" s="1"/>
  <c r="D52" s="1"/>
  <c r="D53" s="1"/>
  <c r="D54" s="1"/>
  <c r="D55" s="1"/>
  <c r="D56" s="1"/>
  <c r="D57" s="1"/>
  <c r="K44"/>
  <c r="H43"/>
  <c r="H44" s="1"/>
  <c r="L41"/>
  <c r="L44" s="1"/>
  <c r="K41"/>
  <c r="J41"/>
  <c r="N41" s="1"/>
  <c r="H40"/>
  <c r="H41" s="1"/>
  <c r="K38"/>
  <c r="H37"/>
  <c r="H38" s="1"/>
  <c r="L35"/>
  <c r="L38" s="1"/>
  <c r="K35"/>
  <c r="J35"/>
  <c r="N35" s="1"/>
  <c r="F35"/>
  <c r="F36" s="1"/>
  <c r="F37" s="1"/>
  <c r="F38" s="1"/>
  <c r="F39" s="1"/>
  <c r="F40" s="1"/>
  <c r="F41" s="1"/>
  <c r="F42" s="1"/>
  <c r="F43" s="1"/>
  <c r="F44" s="1"/>
  <c r="F45" s="1"/>
  <c r="L34"/>
  <c r="L37" s="1"/>
  <c r="L40" s="1"/>
  <c r="L43" s="1"/>
  <c r="J34"/>
  <c r="J37" s="1"/>
  <c r="H34"/>
  <c r="H35" s="1"/>
  <c r="F34"/>
  <c r="D34"/>
  <c r="D35" s="1"/>
  <c r="D36" s="1"/>
  <c r="D37" s="1"/>
  <c r="D38" s="1"/>
  <c r="D39" s="1"/>
  <c r="D40" s="1"/>
  <c r="D41" s="1"/>
  <c r="D42" s="1"/>
  <c r="D43" s="1"/>
  <c r="D44" s="1"/>
  <c r="D45" s="1"/>
  <c r="K31"/>
  <c r="K30"/>
  <c r="I29"/>
  <c r="H29"/>
  <c r="H30" s="1"/>
  <c r="H31" s="1"/>
  <c r="I28"/>
  <c r="K27"/>
  <c r="K26"/>
  <c r="I25"/>
  <c r="H25"/>
  <c r="H26" s="1"/>
  <c r="H27" s="1"/>
  <c r="I24"/>
  <c r="K23"/>
  <c r="L22"/>
  <c r="L26" s="1"/>
  <c r="L30" s="1"/>
  <c r="K22"/>
  <c r="J22"/>
  <c r="J26" s="1"/>
  <c r="I21"/>
  <c r="H21"/>
  <c r="H22" s="1"/>
  <c r="H23" s="1"/>
  <c r="I20"/>
  <c r="L19"/>
  <c r="L23" s="1"/>
  <c r="L27" s="1"/>
  <c r="L31" s="1"/>
  <c r="K19"/>
  <c r="J19"/>
  <c r="J23" s="1"/>
  <c r="L18"/>
  <c r="L60" s="1"/>
  <c r="K18"/>
  <c r="N18" s="1"/>
  <c r="J18"/>
  <c r="I17"/>
  <c r="H17"/>
  <c r="H18" s="1"/>
  <c r="H19" s="1"/>
  <c r="I16"/>
  <c r="F16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K15"/>
  <c r="L13"/>
  <c r="J13"/>
  <c r="H13"/>
  <c r="L11"/>
  <c r="J11"/>
  <c r="H11"/>
  <c r="H9"/>
  <c r="L7"/>
  <c r="L9" s="1"/>
  <c r="J7"/>
  <c r="J9" s="1"/>
  <c r="H7"/>
  <c r="K5"/>
  <c r="K11" s="1"/>
  <c r="N11" s="1"/>
  <c r="H5"/>
  <c r="F5"/>
  <c r="F6" s="1"/>
  <c r="F7" s="1"/>
  <c r="F8" s="1"/>
  <c r="F9" s="1"/>
  <c r="F10" s="1"/>
  <c r="F11" s="1"/>
  <c r="F12" s="1"/>
  <c r="F13" s="1"/>
  <c r="F14" s="1"/>
  <c r="D5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C5"/>
  <c r="C6" s="1"/>
  <c r="B4"/>
  <c r="R3"/>
  <c r="Q3"/>
  <c r="E3"/>
  <c r="R1"/>
  <c r="E3" i="1"/>
  <c r="Q3"/>
  <c r="K68"/>
  <c r="B6" i="4"/>
  <c r="B7" s="1"/>
  <c r="B8" s="1"/>
  <c r="B9" s="1"/>
  <c r="B10" s="1"/>
  <c r="B11" s="1"/>
  <c r="B12" s="1"/>
  <c r="B13" s="1"/>
  <c r="B14" s="1"/>
  <c r="B15" s="1"/>
  <c r="B16" s="1"/>
  <c r="B17" s="1"/>
  <c r="B18" s="1"/>
  <c r="B5"/>
  <c r="L98" i="1"/>
  <c r="L99" s="1"/>
  <c r="L104" s="1"/>
  <c r="L105" s="1"/>
  <c r="L110" s="1"/>
  <c r="L111" s="1"/>
  <c r="L116" s="1"/>
  <c r="L117" s="1"/>
  <c r="L93"/>
  <c r="J93" s="1"/>
  <c r="E14" i="4"/>
  <c r="L61" i="1" s="1"/>
  <c r="L70" s="1"/>
  <c r="L79" s="1"/>
  <c r="L88" s="1"/>
  <c r="E13" i="4"/>
  <c r="J61" i="1" s="1"/>
  <c r="J70" s="1"/>
  <c r="J79" s="1"/>
  <c r="J88" s="1"/>
  <c r="L59"/>
  <c r="J59" s="1"/>
  <c r="J68" s="1"/>
  <c r="J77" s="1"/>
  <c r="F91"/>
  <c r="F92" s="1"/>
  <c r="F93" s="1"/>
  <c r="D91"/>
  <c r="D92" s="1"/>
  <c r="D93" s="1"/>
  <c r="D94" s="1"/>
  <c r="C92"/>
  <c r="C93" s="1"/>
  <c r="C91"/>
  <c r="H91"/>
  <c r="H92" s="1"/>
  <c r="H93" s="1"/>
  <c r="H52"/>
  <c r="H48"/>
  <c r="H49" s="1"/>
  <c r="H50" s="1"/>
  <c r="H51" s="1"/>
  <c r="F49"/>
  <c r="F50" s="1"/>
  <c r="F51" s="1"/>
  <c r="F52" s="1"/>
  <c r="F48"/>
  <c r="D49"/>
  <c r="D50" s="1"/>
  <c r="D51" s="1"/>
  <c r="D52" s="1"/>
  <c r="D48"/>
  <c r="C48"/>
  <c r="C49" s="1"/>
  <c r="L41"/>
  <c r="J41" s="1"/>
  <c r="J44" s="1"/>
  <c r="L35"/>
  <c r="J35" s="1"/>
  <c r="J38" s="1"/>
  <c r="L34"/>
  <c r="L37" s="1"/>
  <c r="L40" s="1"/>
  <c r="L43" s="1"/>
  <c r="E12" i="4"/>
  <c r="L19" i="1" s="1"/>
  <c r="L23" s="1"/>
  <c r="L27" s="1"/>
  <c r="L31" s="1"/>
  <c r="E11" i="4"/>
  <c r="J19" i="1" s="1"/>
  <c r="J23" s="1"/>
  <c r="J27" s="1"/>
  <c r="J31" s="1"/>
  <c r="L18"/>
  <c r="L22" s="1"/>
  <c r="L26" s="1"/>
  <c r="L30" s="1"/>
  <c r="L11"/>
  <c r="J11" s="1"/>
  <c r="J13" s="1"/>
  <c r="L7"/>
  <c r="L9" s="1"/>
  <c r="B4" i="4"/>
  <c r="C5" i="1"/>
  <c r="C6" s="1"/>
  <c r="D5"/>
  <c r="D6" s="1"/>
  <c r="F6"/>
  <c r="H5"/>
  <c r="F5"/>
  <c r="B4"/>
  <c r="K5"/>
  <c r="K96"/>
  <c r="O89"/>
  <c r="H86"/>
  <c r="H87" s="1"/>
  <c r="K86"/>
  <c r="G80"/>
  <c r="G71"/>
  <c r="K77"/>
  <c r="K59"/>
  <c r="K48"/>
  <c r="K50" s="1"/>
  <c r="K51" s="1"/>
  <c r="F9" i="3"/>
  <c r="G62" i="1"/>
  <c r="G53"/>
  <c r="C9" i="3"/>
  <c r="C4"/>
  <c r="C5" s="1"/>
  <c r="C6" s="1"/>
  <c r="C7" s="1"/>
  <c r="C8" s="1"/>
  <c r="I17" i="2"/>
  <c r="H17"/>
  <c r="G17"/>
  <c r="F17"/>
  <c r="E17"/>
  <c r="D17"/>
  <c r="C16"/>
  <c r="C15"/>
  <c r="C14"/>
  <c r="C13"/>
  <c r="C12"/>
  <c r="G6"/>
  <c r="G5"/>
  <c r="G7"/>
  <c r="C6"/>
  <c r="C5"/>
  <c r="C7"/>
  <c r="E5"/>
  <c r="F4"/>
  <c r="E4"/>
  <c r="G4" s="1"/>
  <c r="D4"/>
  <c r="N41" i="7" l="1"/>
  <c r="N35"/>
  <c r="J26" i="8"/>
  <c r="K43"/>
  <c r="K40"/>
  <c r="K37"/>
  <c r="K34"/>
  <c r="K45" s="1"/>
  <c r="L69"/>
  <c r="L78" s="1"/>
  <c r="L87" s="1"/>
  <c r="J60"/>
  <c r="D59"/>
  <c r="D58"/>
  <c r="D60" s="1"/>
  <c r="D61" s="1"/>
  <c r="D62" s="1"/>
  <c r="D63" s="1"/>
  <c r="D64" s="1"/>
  <c r="D65" s="1"/>
  <c r="D66" s="1"/>
  <c r="J77"/>
  <c r="N68"/>
  <c r="J79"/>
  <c r="N70"/>
  <c r="J104"/>
  <c r="N99"/>
  <c r="C6"/>
  <c r="K9"/>
  <c r="N9" s="1"/>
  <c r="K13"/>
  <c r="N13" s="1"/>
  <c r="N19"/>
  <c r="J27"/>
  <c r="N23"/>
  <c r="J40"/>
  <c r="N37"/>
  <c r="F59"/>
  <c r="F58"/>
  <c r="F60" s="1"/>
  <c r="F61" s="1"/>
  <c r="F62" s="1"/>
  <c r="F63" s="1"/>
  <c r="F64" s="1"/>
  <c r="F65" s="1"/>
  <c r="F66" s="1"/>
  <c r="K7"/>
  <c r="K11"/>
  <c r="N11" s="1"/>
  <c r="L22"/>
  <c r="L26" s="1"/>
  <c r="L30" s="1"/>
  <c r="N34"/>
  <c r="J38"/>
  <c r="N38" s="1"/>
  <c r="J44"/>
  <c r="N44" s="1"/>
  <c r="N59"/>
  <c r="N61"/>
  <c r="N98"/>
  <c r="J27" i="7"/>
  <c r="N23"/>
  <c r="J26"/>
  <c r="K43"/>
  <c r="K40"/>
  <c r="K37"/>
  <c r="K34"/>
  <c r="L69"/>
  <c r="L78" s="1"/>
  <c r="L87" s="1"/>
  <c r="J60"/>
  <c r="F59"/>
  <c r="F58"/>
  <c r="F60" s="1"/>
  <c r="F61" s="1"/>
  <c r="F62" s="1"/>
  <c r="F63" s="1"/>
  <c r="F64" s="1"/>
  <c r="F65" s="1"/>
  <c r="F66" s="1"/>
  <c r="J77"/>
  <c r="N68"/>
  <c r="J79"/>
  <c r="N70"/>
  <c r="J104"/>
  <c r="N99"/>
  <c r="C6"/>
  <c r="K9"/>
  <c r="N9" s="1"/>
  <c r="K13"/>
  <c r="N13" s="1"/>
  <c r="N19"/>
  <c r="J40"/>
  <c r="N37"/>
  <c r="D59"/>
  <c r="D58"/>
  <c r="D60" s="1"/>
  <c r="D61" s="1"/>
  <c r="D62" s="1"/>
  <c r="D63" s="1"/>
  <c r="D64" s="1"/>
  <c r="D65" s="1"/>
  <c r="D66" s="1"/>
  <c r="K7"/>
  <c r="N7" s="1"/>
  <c r="K11"/>
  <c r="N11" s="1"/>
  <c r="N18"/>
  <c r="L22"/>
  <c r="L26" s="1"/>
  <c r="L30" s="1"/>
  <c r="J38"/>
  <c r="N38" s="1"/>
  <c r="J44"/>
  <c r="N44" s="1"/>
  <c r="N59"/>
  <c r="N61"/>
  <c r="K89"/>
  <c r="K91" s="1"/>
  <c r="K92" s="1"/>
  <c r="N98"/>
  <c r="N93" i="6"/>
  <c r="N44"/>
  <c r="N38"/>
  <c r="K50"/>
  <c r="K51" s="1"/>
  <c r="D59"/>
  <c r="D58"/>
  <c r="D60" s="1"/>
  <c r="D61" s="1"/>
  <c r="D62" s="1"/>
  <c r="D63" s="1"/>
  <c r="D64" s="1"/>
  <c r="D65" s="1"/>
  <c r="D66" s="1"/>
  <c r="F59"/>
  <c r="F58"/>
  <c r="F60" s="1"/>
  <c r="F61" s="1"/>
  <c r="F62" s="1"/>
  <c r="F63" s="1"/>
  <c r="F64" s="1"/>
  <c r="F65" s="1"/>
  <c r="F66" s="1"/>
  <c r="J26"/>
  <c r="J37"/>
  <c r="K43"/>
  <c r="K40"/>
  <c r="K37"/>
  <c r="K34"/>
  <c r="J68"/>
  <c r="N59"/>
  <c r="J70"/>
  <c r="N61"/>
  <c r="J105"/>
  <c r="N104"/>
  <c r="C6"/>
  <c r="K9"/>
  <c r="N9" s="1"/>
  <c r="K13"/>
  <c r="N13" s="1"/>
  <c r="N19"/>
  <c r="J27"/>
  <c r="L37"/>
  <c r="L40" s="1"/>
  <c r="L43" s="1"/>
  <c r="J69"/>
  <c r="L69"/>
  <c r="L78" s="1"/>
  <c r="L87" s="1"/>
  <c r="K7"/>
  <c r="N7" s="1"/>
  <c r="K11"/>
  <c r="N11" s="1"/>
  <c r="L22"/>
  <c r="L26" s="1"/>
  <c r="L30" s="1"/>
  <c r="N99"/>
  <c r="J27" i="5"/>
  <c r="N23"/>
  <c r="C7"/>
  <c r="B6"/>
  <c r="J30"/>
  <c r="N30" s="1"/>
  <c r="N26"/>
  <c r="F59"/>
  <c r="F58"/>
  <c r="F60" s="1"/>
  <c r="F61" s="1"/>
  <c r="F62" s="1"/>
  <c r="F63" s="1"/>
  <c r="F64" s="1"/>
  <c r="F65" s="1"/>
  <c r="F66" s="1"/>
  <c r="J77"/>
  <c r="N68"/>
  <c r="J79"/>
  <c r="N70"/>
  <c r="J104"/>
  <c r="N99"/>
  <c r="B5"/>
  <c r="K7"/>
  <c r="K43"/>
  <c r="K40"/>
  <c r="K37"/>
  <c r="K34"/>
  <c r="L69"/>
  <c r="L78" s="1"/>
  <c r="L87" s="1"/>
  <c r="J60"/>
  <c r="J40"/>
  <c r="N37"/>
  <c r="D59"/>
  <c r="D58"/>
  <c r="D60" s="1"/>
  <c r="D61" s="1"/>
  <c r="D62" s="1"/>
  <c r="D63" s="1"/>
  <c r="D64" s="1"/>
  <c r="D65" s="1"/>
  <c r="D66" s="1"/>
  <c r="K9"/>
  <c r="N9" s="1"/>
  <c r="K13"/>
  <c r="N13" s="1"/>
  <c r="N19"/>
  <c r="N22"/>
  <c r="J38"/>
  <c r="N38" s="1"/>
  <c r="J44"/>
  <c r="N44" s="1"/>
  <c r="N59"/>
  <c r="N61"/>
  <c r="K89"/>
  <c r="K91" s="1"/>
  <c r="K92" s="1"/>
  <c r="N98"/>
  <c r="J34" i="1"/>
  <c r="J37" s="1"/>
  <c r="J40" s="1"/>
  <c r="J43" s="1"/>
  <c r="J98"/>
  <c r="J99" s="1"/>
  <c r="J104" s="1"/>
  <c r="J105" s="1"/>
  <c r="J110" s="1"/>
  <c r="J111" s="1"/>
  <c r="J116" s="1"/>
  <c r="J117" s="1"/>
  <c r="L68"/>
  <c r="L77" s="1"/>
  <c r="L86" s="1"/>
  <c r="L38"/>
  <c r="J18"/>
  <c r="J22" s="1"/>
  <c r="J26" s="1"/>
  <c r="J30" s="1"/>
  <c r="L13"/>
  <c r="L60"/>
  <c r="J60" s="1"/>
  <c r="J69" s="1"/>
  <c r="J78" s="1"/>
  <c r="J87" s="1"/>
  <c r="J86"/>
  <c r="B91"/>
  <c r="B92"/>
  <c r="L44"/>
  <c r="C50"/>
  <c r="B49"/>
  <c r="B48"/>
  <c r="J7"/>
  <c r="J9" s="1"/>
  <c r="B5"/>
  <c r="N59"/>
  <c r="B6"/>
  <c r="C9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3" s="1"/>
  <c r="C8"/>
  <c r="C7"/>
  <c r="D95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53"/>
  <c r="D54" s="1"/>
  <c r="D55" s="1"/>
  <c r="D56" s="1"/>
  <c r="D57" s="1"/>
  <c r="D35"/>
  <c r="D36" s="1"/>
  <c r="D37" s="1"/>
  <c r="D38" s="1"/>
  <c r="D39" s="1"/>
  <c r="D40" s="1"/>
  <c r="D41" s="1"/>
  <c r="D42" s="1"/>
  <c r="D43" s="1"/>
  <c r="D44" s="1"/>
  <c r="D45" s="1"/>
  <c r="D34"/>
  <c r="D8"/>
  <c r="D9" s="1"/>
  <c r="D10" s="1"/>
  <c r="D11" s="1"/>
  <c r="D12" s="1"/>
  <c r="D13" s="1"/>
  <c r="D14" s="1"/>
  <c r="D15" s="1"/>
  <c r="D7"/>
  <c r="B7" s="1"/>
  <c r="F16"/>
  <c r="F8"/>
  <c r="F9" s="1"/>
  <c r="F7"/>
  <c r="H9"/>
  <c r="H11" s="1"/>
  <c r="H13" s="1"/>
  <c r="H17" s="1"/>
  <c r="H18" s="1"/>
  <c r="H19" s="1"/>
  <c r="H21" s="1"/>
  <c r="H22" s="1"/>
  <c r="H23" s="1"/>
  <c r="H25" s="1"/>
  <c r="H26" s="1"/>
  <c r="H27" s="1"/>
  <c r="H29" s="1"/>
  <c r="H30" s="1"/>
  <c r="H31" s="1"/>
  <c r="H34" s="1"/>
  <c r="H35" s="1"/>
  <c r="H37" s="1"/>
  <c r="H38" s="1"/>
  <c r="H40" s="1"/>
  <c r="H41" s="1"/>
  <c r="H43" s="1"/>
  <c r="H44" s="1"/>
  <c r="H54" s="1"/>
  <c r="H55" s="1"/>
  <c r="H56" s="1"/>
  <c r="H57" s="1"/>
  <c r="H58" s="1"/>
  <c r="H7"/>
  <c r="K117"/>
  <c r="K116"/>
  <c r="N116" s="1"/>
  <c r="K114"/>
  <c r="K112"/>
  <c r="G112"/>
  <c r="I115"/>
  <c r="I114"/>
  <c r="I113"/>
  <c r="I112"/>
  <c r="K111"/>
  <c r="N111" s="1"/>
  <c r="K110"/>
  <c r="K108"/>
  <c r="K106"/>
  <c r="G106"/>
  <c r="I109"/>
  <c r="I108"/>
  <c r="I107"/>
  <c r="I106"/>
  <c r="K104"/>
  <c r="K102"/>
  <c r="K100"/>
  <c r="G100"/>
  <c r="K105"/>
  <c r="I103"/>
  <c r="I102"/>
  <c r="I101"/>
  <c r="I100"/>
  <c r="K99"/>
  <c r="K98"/>
  <c r="G94"/>
  <c r="K94"/>
  <c r="I96"/>
  <c r="I97"/>
  <c r="I94"/>
  <c r="I95"/>
  <c r="K88"/>
  <c r="N88" s="1"/>
  <c r="K87"/>
  <c r="I85"/>
  <c r="I84"/>
  <c r="I83"/>
  <c r="I82"/>
  <c r="I81"/>
  <c r="I80"/>
  <c r="K79"/>
  <c r="N79" s="1"/>
  <c r="K78"/>
  <c r="I76"/>
  <c r="I75"/>
  <c r="I74"/>
  <c r="I73"/>
  <c r="I72"/>
  <c r="I71"/>
  <c r="K70"/>
  <c r="N70" s="1"/>
  <c r="K69"/>
  <c r="I67"/>
  <c r="I66"/>
  <c r="I65"/>
  <c r="I64"/>
  <c r="I63"/>
  <c r="I62"/>
  <c r="I54"/>
  <c r="I55"/>
  <c r="I57"/>
  <c r="I58"/>
  <c r="R1"/>
  <c r="K52"/>
  <c r="K61"/>
  <c r="N61" s="1"/>
  <c r="K60"/>
  <c r="I56"/>
  <c r="I53"/>
  <c r="K44"/>
  <c r="K41"/>
  <c r="N41" s="1"/>
  <c r="K38"/>
  <c r="R3"/>
  <c r="K35"/>
  <c r="N35" s="1"/>
  <c r="K89"/>
  <c r="K91" s="1"/>
  <c r="K92" s="1"/>
  <c r="K43"/>
  <c r="N43" s="1"/>
  <c r="K40"/>
  <c r="N40" s="1"/>
  <c r="K37"/>
  <c r="N37" s="1"/>
  <c r="K34"/>
  <c r="N34" s="1"/>
  <c r="I29"/>
  <c r="I28"/>
  <c r="I25"/>
  <c r="I24"/>
  <c r="I21"/>
  <c r="I20"/>
  <c r="I17"/>
  <c r="I16"/>
  <c r="K15"/>
  <c r="K31"/>
  <c r="N31" s="1"/>
  <c r="K30"/>
  <c r="N30" s="1"/>
  <c r="K27"/>
  <c r="N27" s="1"/>
  <c r="K26"/>
  <c r="K23"/>
  <c r="N23" s="1"/>
  <c r="K22"/>
  <c r="N22" s="1"/>
  <c r="K19"/>
  <c r="N19" s="1"/>
  <c r="K18"/>
  <c r="N18" s="1"/>
  <c r="K13"/>
  <c r="K11"/>
  <c r="N11" s="1"/>
  <c r="K9"/>
  <c r="N9" s="1"/>
  <c r="K7"/>
  <c r="K14" i="7" l="1"/>
  <c r="K14" i="8"/>
  <c r="N7"/>
  <c r="J43"/>
  <c r="N43" s="1"/>
  <c r="N40"/>
  <c r="J31"/>
  <c r="N31" s="1"/>
  <c r="N27"/>
  <c r="B6"/>
  <c r="C7"/>
  <c r="J105"/>
  <c r="N104"/>
  <c r="J88"/>
  <c r="N88" s="1"/>
  <c r="N79"/>
  <c r="J86"/>
  <c r="N86" s="1"/>
  <c r="N77"/>
  <c r="N22"/>
  <c r="F68"/>
  <c r="F67"/>
  <c r="F69" s="1"/>
  <c r="F70" s="1"/>
  <c r="F71" s="1"/>
  <c r="F72" s="1"/>
  <c r="F73" s="1"/>
  <c r="F74" s="1"/>
  <c r="F75" s="1"/>
  <c r="F76" s="1"/>
  <c r="D68"/>
  <c r="D67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J69"/>
  <c r="N60"/>
  <c r="J30"/>
  <c r="N30" s="1"/>
  <c r="N26"/>
  <c r="J43" i="7"/>
  <c r="N43" s="1"/>
  <c r="N40"/>
  <c r="B6"/>
  <c r="C7"/>
  <c r="J105"/>
  <c r="N104"/>
  <c r="J88"/>
  <c r="N88" s="1"/>
  <c r="N79"/>
  <c r="J86"/>
  <c r="N86" s="1"/>
  <c r="N77"/>
  <c r="J30"/>
  <c r="N30" s="1"/>
  <c r="N26"/>
  <c r="J31"/>
  <c r="N31" s="1"/>
  <c r="N27"/>
  <c r="D68"/>
  <c r="D67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F68"/>
  <c r="F67"/>
  <c r="F69" s="1"/>
  <c r="F70" s="1"/>
  <c r="F71" s="1"/>
  <c r="F72" s="1"/>
  <c r="F73" s="1"/>
  <c r="F74" s="1"/>
  <c r="F75" s="1"/>
  <c r="F76" s="1"/>
  <c r="J69"/>
  <c r="N60"/>
  <c r="K45"/>
  <c r="N34"/>
  <c r="N22"/>
  <c r="K45" i="6"/>
  <c r="J78"/>
  <c r="N69"/>
  <c r="J31"/>
  <c r="N31" s="1"/>
  <c r="N27"/>
  <c r="B6"/>
  <c r="C7"/>
  <c r="J110"/>
  <c r="N105"/>
  <c r="J79"/>
  <c r="N70"/>
  <c r="J77"/>
  <c r="N68"/>
  <c r="N26"/>
  <c r="J30"/>
  <c r="N30" s="1"/>
  <c r="K14"/>
  <c r="N34"/>
  <c r="N37"/>
  <c r="J40"/>
  <c r="F68"/>
  <c r="F67"/>
  <c r="F69" s="1"/>
  <c r="F70" s="1"/>
  <c r="F71" s="1"/>
  <c r="F72" s="1"/>
  <c r="F73" s="1"/>
  <c r="F74" s="1"/>
  <c r="F75" s="1"/>
  <c r="F76" s="1"/>
  <c r="D68"/>
  <c r="D67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N22"/>
  <c r="J43" i="5"/>
  <c r="N43" s="1"/>
  <c r="N40"/>
  <c r="J105"/>
  <c r="N104"/>
  <c r="J88"/>
  <c r="N88" s="1"/>
  <c r="N79"/>
  <c r="J86"/>
  <c r="N86" s="1"/>
  <c r="N77"/>
  <c r="J31"/>
  <c r="N31" s="1"/>
  <c r="N27"/>
  <c r="D68"/>
  <c r="D67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J69"/>
  <c r="N60"/>
  <c r="K45"/>
  <c r="N34"/>
  <c r="K14"/>
  <c r="N7"/>
  <c r="F68"/>
  <c r="F67"/>
  <c r="F69" s="1"/>
  <c r="F70" s="1"/>
  <c r="F71" s="1"/>
  <c r="F72" s="1"/>
  <c r="F73" s="1"/>
  <c r="F74" s="1"/>
  <c r="F75" s="1"/>
  <c r="F76" s="1"/>
  <c r="C8"/>
  <c r="B7"/>
  <c r="N99" i="1"/>
  <c r="N98"/>
  <c r="N117"/>
  <c r="N105"/>
  <c r="N104"/>
  <c r="N110"/>
  <c r="N77"/>
  <c r="N86"/>
  <c r="L69"/>
  <c r="L78" s="1"/>
  <c r="L87" s="1"/>
  <c r="N87" s="1"/>
  <c r="N38"/>
  <c r="N44"/>
  <c r="N13"/>
  <c r="N69"/>
  <c r="C51"/>
  <c r="B50"/>
  <c r="N7"/>
  <c r="B33"/>
  <c r="C34"/>
  <c r="B15"/>
  <c r="B8"/>
  <c r="B9"/>
  <c r="F10"/>
  <c r="B10" s="1"/>
  <c r="N60"/>
  <c r="N68"/>
  <c r="D58"/>
  <c r="D60" s="1"/>
  <c r="D61" s="1"/>
  <c r="D62" s="1"/>
  <c r="D63" s="1"/>
  <c r="D64" s="1"/>
  <c r="D65" s="1"/>
  <c r="D66" s="1"/>
  <c r="D59"/>
  <c r="H61"/>
  <c r="H63" s="1"/>
  <c r="H64" s="1"/>
  <c r="H65" s="1"/>
  <c r="H66" s="1"/>
  <c r="H67" s="1"/>
  <c r="H59"/>
  <c r="H60" s="1"/>
  <c r="D16"/>
  <c r="F11"/>
  <c r="B11" s="1"/>
  <c r="K93"/>
  <c r="N93" s="1"/>
  <c r="K45"/>
  <c r="N26"/>
  <c r="K14"/>
  <c r="F77" i="8" l="1"/>
  <c r="F78"/>
  <c r="F79" s="1"/>
  <c r="F80" s="1"/>
  <c r="F81" s="1"/>
  <c r="F82" s="1"/>
  <c r="F83" s="1"/>
  <c r="F84" s="1"/>
  <c r="F85" s="1"/>
  <c r="F86" s="1"/>
  <c r="F87" s="1"/>
  <c r="F88" s="1"/>
  <c r="J110"/>
  <c r="N105"/>
  <c r="J78"/>
  <c r="N69"/>
  <c r="C8"/>
  <c r="B7"/>
  <c r="J78" i="7"/>
  <c r="N69"/>
  <c r="J110"/>
  <c r="N105"/>
  <c r="F77"/>
  <c r="F78"/>
  <c r="F79" s="1"/>
  <c r="F80" s="1"/>
  <c r="F81" s="1"/>
  <c r="F82" s="1"/>
  <c r="F83" s="1"/>
  <c r="F84" s="1"/>
  <c r="F85" s="1"/>
  <c r="F86" s="1"/>
  <c r="F87" s="1"/>
  <c r="F88" s="1"/>
  <c r="C8"/>
  <c r="B7"/>
  <c r="J86" i="6"/>
  <c r="N86" s="1"/>
  <c r="N77"/>
  <c r="J88"/>
  <c r="N88" s="1"/>
  <c r="N79"/>
  <c r="J111"/>
  <c r="N110"/>
  <c r="J87"/>
  <c r="N87" s="1"/>
  <c r="N78"/>
  <c r="F77"/>
  <c r="F78"/>
  <c r="F79" s="1"/>
  <c r="F80" s="1"/>
  <c r="F81" s="1"/>
  <c r="F82" s="1"/>
  <c r="F83" s="1"/>
  <c r="F84" s="1"/>
  <c r="F85" s="1"/>
  <c r="F86" s="1"/>
  <c r="F87" s="1"/>
  <c r="F88" s="1"/>
  <c r="N40"/>
  <c r="J43"/>
  <c r="N43" s="1"/>
  <c r="C8"/>
  <c r="B7"/>
  <c r="B8" i="5"/>
  <c r="C9"/>
  <c r="J78"/>
  <c r="N69"/>
  <c r="J110"/>
  <c r="N105"/>
  <c r="F77"/>
  <c r="F78"/>
  <c r="F79" s="1"/>
  <c r="F80" s="1"/>
  <c r="F81" s="1"/>
  <c r="F82" s="1"/>
  <c r="F83" s="1"/>
  <c r="F84" s="1"/>
  <c r="F85" s="1"/>
  <c r="F86" s="1"/>
  <c r="F87" s="1"/>
  <c r="F88" s="1"/>
  <c r="N78" i="1"/>
  <c r="C52"/>
  <c r="B52" s="1"/>
  <c r="B51"/>
  <c r="B34"/>
  <c r="C35"/>
  <c r="D17"/>
  <c r="B16"/>
  <c r="D67"/>
  <c r="D69" s="1"/>
  <c r="D70" s="1"/>
  <c r="D71" s="1"/>
  <c r="D72" s="1"/>
  <c r="D73" s="1"/>
  <c r="D74" s="1"/>
  <c r="D68"/>
  <c r="H70"/>
  <c r="H72" s="1"/>
  <c r="H73" s="1"/>
  <c r="H74" s="1"/>
  <c r="H75" s="1"/>
  <c r="H76" s="1"/>
  <c r="H68"/>
  <c r="H69" s="1"/>
  <c r="F12"/>
  <c r="C9" i="8" l="1"/>
  <c r="B8"/>
  <c r="J87"/>
  <c r="N87" s="1"/>
  <c r="N78"/>
  <c r="J111"/>
  <c r="N110"/>
  <c r="C9" i="7"/>
  <c r="B8"/>
  <c r="J111"/>
  <c r="N110"/>
  <c r="J87"/>
  <c r="N87" s="1"/>
  <c r="N78"/>
  <c r="C9" i="6"/>
  <c r="B8"/>
  <c r="J116"/>
  <c r="N111"/>
  <c r="J111" i="5"/>
  <c r="N110"/>
  <c r="J87"/>
  <c r="N87" s="1"/>
  <c r="N78"/>
  <c r="C10"/>
  <c r="B9"/>
  <c r="B35" i="1"/>
  <c r="C36"/>
  <c r="D18"/>
  <c r="F13"/>
  <c r="F14" s="1"/>
  <c r="B12"/>
  <c r="D75"/>
  <c r="D76" s="1"/>
  <c r="D77" s="1"/>
  <c r="D78" s="1"/>
  <c r="D79" s="1"/>
  <c r="D80" s="1"/>
  <c r="D81" s="1"/>
  <c r="D82" s="1"/>
  <c r="D83" s="1"/>
  <c r="D84" s="1"/>
  <c r="D85" s="1"/>
  <c r="H77"/>
  <c r="H78" s="1"/>
  <c r="H79" s="1"/>
  <c r="H81" s="1"/>
  <c r="H82" s="1"/>
  <c r="H83" s="1"/>
  <c r="H84" s="1"/>
  <c r="H85" s="1"/>
  <c r="H88" s="1"/>
  <c r="H95" s="1"/>
  <c r="H96" s="1"/>
  <c r="H97" s="1"/>
  <c r="H98" s="1"/>
  <c r="H99" s="1"/>
  <c r="H101" s="1"/>
  <c r="H102" s="1"/>
  <c r="H103" s="1"/>
  <c r="H104" s="1"/>
  <c r="H105" s="1"/>
  <c r="H107" s="1"/>
  <c r="H108" s="1"/>
  <c r="H109" s="1"/>
  <c r="H110" s="1"/>
  <c r="H111" s="1"/>
  <c r="H113" s="1"/>
  <c r="H114" s="1"/>
  <c r="H115" s="1"/>
  <c r="H116" s="1"/>
  <c r="H117" s="1"/>
  <c r="J116" i="8" l="1"/>
  <c r="N111"/>
  <c r="C10"/>
  <c r="B9"/>
  <c r="J116" i="7"/>
  <c r="N111"/>
  <c r="C10"/>
  <c r="B9"/>
  <c r="J117" i="6"/>
  <c r="N117" s="1"/>
  <c r="N116"/>
  <c r="C10"/>
  <c r="B9"/>
  <c r="C11" i="5"/>
  <c r="B10"/>
  <c r="J116"/>
  <c r="N111"/>
  <c r="D86" i="1"/>
  <c r="D87" s="1"/>
  <c r="D88" s="1"/>
  <c r="C37"/>
  <c r="D19"/>
  <c r="B13"/>
  <c r="B10" i="8" l="1"/>
  <c r="C11"/>
  <c r="J117"/>
  <c r="N117" s="1"/>
  <c r="N116"/>
  <c r="B10" i="7"/>
  <c r="C11"/>
  <c r="J117"/>
  <c r="N117" s="1"/>
  <c r="N116"/>
  <c r="B10" i="6"/>
  <c r="C11"/>
  <c r="J117" i="5"/>
  <c r="N117" s="1"/>
  <c r="N116"/>
  <c r="C12"/>
  <c r="B11"/>
  <c r="C38" i="1"/>
  <c r="D20"/>
  <c r="F17"/>
  <c r="B14"/>
  <c r="F36"/>
  <c r="C12" i="8" l="1"/>
  <c r="B11"/>
  <c r="C12" i="7"/>
  <c r="B11"/>
  <c r="C12" i="6"/>
  <c r="B11"/>
  <c r="B12" i="5"/>
  <c r="C13"/>
  <c r="F37" i="1"/>
  <c r="B36"/>
  <c r="F18"/>
  <c r="B17"/>
  <c r="C39"/>
  <c r="D21"/>
  <c r="C13" i="8" l="1"/>
  <c r="B12"/>
  <c r="C13" i="7"/>
  <c r="B12"/>
  <c r="C13" i="6"/>
  <c r="B12"/>
  <c r="C14" i="5"/>
  <c r="B13"/>
  <c r="F38" i="1"/>
  <c r="B37"/>
  <c r="F19"/>
  <c r="B18"/>
  <c r="C40"/>
  <c r="D22"/>
  <c r="C14" i="8" l="1"/>
  <c r="B13"/>
  <c r="C14" i="7"/>
  <c r="B13"/>
  <c r="C14" i="6"/>
  <c r="B13"/>
  <c r="C15" i="5"/>
  <c r="B14"/>
  <c r="F39" i="1"/>
  <c r="B38"/>
  <c r="F20"/>
  <c r="B19"/>
  <c r="C41"/>
  <c r="D23"/>
  <c r="C15" i="8" l="1"/>
  <c r="B14"/>
  <c r="C15" i="7"/>
  <c r="B14"/>
  <c r="C15" i="6"/>
  <c r="B14"/>
  <c r="B15" i="5"/>
  <c r="C16"/>
  <c r="F40" i="1"/>
  <c r="B39"/>
  <c r="F21"/>
  <c r="B20"/>
  <c r="C42"/>
  <c r="D24"/>
  <c r="F53"/>
  <c r="C16" i="8" l="1"/>
  <c r="B15"/>
  <c r="C16" i="7"/>
  <c r="B15"/>
  <c r="C16" i="6"/>
  <c r="B15"/>
  <c r="C17" i="5"/>
  <c r="B16"/>
  <c r="F41" i="1"/>
  <c r="B40"/>
  <c r="F22"/>
  <c r="B21"/>
  <c r="C43"/>
  <c r="D25"/>
  <c r="F54"/>
  <c r="C17" i="8" l="1"/>
  <c r="B16"/>
  <c r="C17" i="7"/>
  <c r="B16"/>
  <c r="C17" i="6"/>
  <c r="B16"/>
  <c r="C18" i="5"/>
  <c r="B17"/>
  <c r="F42" i="1"/>
  <c r="B41"/>
  <c r="F23"/>
  <c r="B22"/>
  <c r="C44"/>
  <c r="D26"/>
  <c r="F55"/>
  <c r="B17" i="8" l="1"/>
  <c r="C18"/>
  <c r="B17" i="7"/>
  <c r="C18"/>
  <c r="B17" i="6"/>
  <c r="C18"/>
  <c r="C19" i="5"/>
  <c r="B18"/>
  <c r="F43" i="1"/>
  <c r="B42"/>
  <c r="F24"/>
  <c r="B23"/>
  <c r="C45"/>
  <c r="D27"/>
  <c r="F56"/>
  <c r="C19" i="8" l="1"/>
  <c r="B18"/>
  <c r="C19" i="7"/>
  <c r="B18"/>
  <c r="C19" i="6"/>
  <c r="B18"/>
  <c r="C20" i="5"/>
  <c r="B19"/>
  <c r="F44" i="1"/>
  <c r="B43"/>
  <c r="F25"/>
  <c r="B24"/>
  <c r="C47"/>
  <c r="D28"/>
  <c r="F57"/>
  <c r="F59" s="1"/>
  <c r="C20" i="8" l="1"/>
  <c r="B19"/>
  <c r="C20" i="7"/>
  <c r="B19"/>
  <c r="C20" i="6"/>
  <c r="B19"/>
  <c r="C21" i="5"/>
  <c r="B20"/>
  <c r="F45" i="1"/>
  <c r="B45" s="1"/>
  <c r="B44"/>
  <c r="F26"/>
  <c r="B25"/>
  <c r="B47"/>
  <c r="D29"/>
  <c r="F58"/>
  <c r="C21" i="8" l="1"/>
  <c r="B20"/>
  <c r="C21" i="7"/>
  <c r="B20"/>
  <c r="C21" i="6"/>
  <c r="B20"/>
  <c r="B21" i="5"/>
  <c r="C22"/>
  <c r="F27" i="1"/>
  <c r="B26"/>
  <c r="C53"/>
  <c r="D30"/>
  <c r="F60"/>
  <c r="C22" i="8" l="1"/>
  <c r="B21"/>
  <c r="C22" i="7"/>
  <c r="B21"/>
  <c r="C22" i="6"/>
  <c r="B21"/>
  <c r="C23" i="5"/>
  <c r="B22"/>
  <c r="F28" i="1"/>
  <c r="B27"/>
  <c r="C54"/>
  <c r="B53"/>
  <c r="D31"/>
  <c r="F61"/>
  <c r="C23" i="8" l="1"/>
  <c r="B22"/>
  <c r="C23" i="7"/>
  <c r="B22"/>
  <c r="C23" i="6"/>
  <c r="B22"/>
  <c r="C24" i="5"/>
  <c r="B23"/>
  <c r="F29" i="1"/>
  <c r="B28"/>
  <c r="C55"/>
  <c r="B54"/>
  <c r="F62"/>
  <c r="C24" i="8" l="1"/>
  <c r="B23"/>
  <c r="C24" i="7"/>
  <c r="B23"/>
  <c r="B23" i="6"/>
  <c r="C24"/>
  <c r="C25" i="5"/>
  <c r="B24"/>
  <c r="F30" i="1"/>
  <c r="B29"/>
  <c r="C56"/>
  <c r="B55"/>
  <c r="F63"/>
  <c r="C25" i="8" l="1"/>
  <c r="B24"/>
  <c r="C25" i="7"/>
  <c r="B24"/>
  <c r="C25" i="6"/>
  <c r="B24"/>
  <c r="B25" i="5"/>
  <c r="C26"/>
  <c r="F31" i="1"/>
  <c r="B30"/>
  <c r="C57"/>
  <c r="B56"/>
  <c r="F64"/>
  <c r="B25" i="8" l="1"/>
  <c r="C26"/>
  <c r="B25" i="7"/>
  <c r="C26"/>
  <c r="C26" i="6"/>
  <c r="B25"/>
  <c r="C27" i="5"/>
  <c r="B26"/>
  <c r="F34" i="1"/>
  <c r="F35" s="1"/>
  <c r="B31"/>
  <c r="C59"/>
  <c r="B59" s="1"/>
  <c r="C58"/>
  <c r="B57"/>
  <c r="F65"/>
  <c r="C27" i="8" l="1"/>
  <c r="B26"/>
  <c r="C27" i="7"/>
  <c r="B26"/>
  <c r="B26" i="6"/>
  <c r="C27"/>
  <c r="C28" i="5"/>
  <c r="B27"/>
  <c r="C60" i="1"/>
  <c r="B58"/>
  <c r="F66"/>
  <c r="F68" s="1"/>
  <c r="C28" i="8" l="1"/>
  <c r="B27"/>
  <c r="C28" i="7"/>
  <c r="B27"/>
  <c r="C28" i="6"/>
  <c r="B27"/>
  <c r="C29" i="5"/>
  <c r="B28"/>
  <c r="C61" i="1"/>
  <c r="B60"/>
  <c r="F67"/>
  <c r="C29" i="8" l="1"/>
  <c r="B28"/>
  <c r="C29" i="7"/>
  <c r="B28"/>
  <c r="B28" i="6"/>
  <c r="C29"/>
  <c r="C30" i="5"/>
  <c r="B29"/>
  <c r="C62" i="1"/>
  <c r="B61"/>
  <c r="F69"/>
  <c r="C30" i="8" l="1"/>
  <c r="B29"/>
  <c r="C30" i="7"/>
  <c r="B29"/>
  <c r="B29" i="6"/>
  <c r="C30"/>
  <c r="C31" i="5"/>
  <c r="B30"/>
  <c r="C63" i="1"/>
  <c r="B62"/>
  <c r="F70"/>
  <c r="C31" i="8" l="1"/>
  <c r="B30"/>
  <c r="C31" i="7"/>
  <c r="B30"/>
  <c r="C31" i="6"/>
  <c r="B30"/>
  <c r="C33" i="5"/>
  <c r="B31"/>
  <c r="C64" i="1"/>
  <c r="B63"/>
  <c r="F71"/>
  <c r="C33" i="8" l="1"/>
  <c r="B31"/>
  <c r="C33" i="7"/>
  <c r="B31"/>
  <c r="B31" i="6"/>
  <c r="C33"/>
  <c r="C34" i="5"/>
  <c r="B33"/>
  <c r="C65" i="1"/>
  <c r="B64"/>
  <c r="F72"/>
  <c r="C34" i="8" l="1"/>
  <c r="B33"/>
  <c r="C34" i="7"/>
  <c r="B33"/>
  <c r="B33" i="6"/>
  <c r="C34"/>
  <c r="C35" i="5"/>
  <c r="B34"/>
  <c r="C66" i="1"/>
  <c r="B65"/>
  <c r="F73"/>
  <c r="C35" i="8" l="1"/>
  <c r="B34"/>
  <c r="C35" i="7"/>
  <c r="B34"/>
  <c r="C35" i="6"/>
  <c r="B34"/>
  <c r="C36" i="5"/>
  <c r="B35"/>
  <c r="C68" i="1"/>
  <c r="B68" s="1"/>
  <c r="C67"/>
  <c r="B66"/>
  <c r="F74"/>
  <c r="F75" s="1"/>
  <c r="F76" s="1"/>
  <c r="F77" s="1"/>
  <c r="C36" i="8" l="1"/>
  <c r="B35"/>
  <c r="C36" i="7"/>
  <c r="B35"/>
  <c r="B35" i="6"/>
  <c r="C36"/>
  <c r="C37" i="5"/>
  <c r="B36"/>
  <c r="C69" i="1"/>
  <c r="B67"/>
  <c r="C37" i="8" l="1"/>
  <c r="B36"/>
  <c r="C37" i="7"/>
  <c r="B36"/>
  <c r="B36" i="6"/>
  <c r="C37"/>
  <c r="C38" i="5"/>
  <c r="B37"/>
  <c r="C70" i="1"/>
  <c r="B69"/>
  <c r="C38" i="8" l="1"/>
  <c r="B37"/>
  <c r="C38" i="7"/>
  <c r="B37"/>
  <c r="C38" i="6"/>
  <c r="B37"/>
  <c r="C39" i="5"/>
  <c r="B38"/>
  <c r="C71" i="1"/>
  <c r="B70"/>
  <c r="F78"/>
  <c r="C39" i="8" l="1"/>
  <c r="B38"/>
  <c r="C39" i="7"/>
  <c r="B38"/>
  <c r="B38" i="6"/>
  <c r="C39"/>
  <c r="C40" i="5"/>
  <c r="B39"/>
  <c r="C72" i="1"/>
  <c r="B71"/>
  <c r="F79"/>
  <c r="C40" i="8" l="1"/>
  <c r="B39"/>
  <c r="C40" i="7"/>
  <c r="B39"/>
  <c r="B39" i="6"/>
  <c r="C40"/>
  <c r="C41" i="5"/>
  <c r="B40"/>
  <c r="C73" i="1"/>
  <c r="B72"/>
  <c r="F80"/>
  <c r="C41" i="8" l="1"/>
  <c r="B40"/>
  <c r="C41" i="7"/>
  <c r="B40"/>
  <c r="C41" i="6"/>
  <c r="B40"/>
  <c r="C42" i="5"/>
  <c r="B41"/>
  <c r="C74" i="1"/>
  <c r="B73"/>
  <c r="F81"/>
  <c r="C42" i="8" l="1"/>
  <c r="B41"/>
  <c r="C42" i="7"/>
  <c r="B41"/>
  <c r="B41" i="6"/>
  <c r="C42"/>
  <c r="C43" i="5"/>
  <c r="B42"/>
  <c r="C75" i="1"/>
  <c r="B74"/>
  <c r="F82"/>
  <c r="C43" i="8" l="1"/>
  <c r="B42"/>
  <c r="C43" i="7"/>
  <c r="B42"/>
  <c r="B42" i="6"/>
  <c r="C43"/>
  <c r="C44" i="5"/>
  <c r="B43"/>
  <c r="C76" i="1"/>
  <c r="B75"/>
  <c r="F83"/>
  <c r="C44" i="8" l="1"/>
  <c r="B43"/>
  <c r="C44" i="7"/>
  <c r="B43"/>
  <c r="C44" i="6"/>
  <c r="B43"/>
  <c r="C45" i="5"/>
  <c r="B44"/>
  <c r="C77" i="1"/>
  <c r="B76"/>
  <c r="F84"/>
  <c r="C45" i="8" l="1"/>
  <c r="B44"/>
  <c r="C45" i="7"/>
  <c r="B44"/>
  <c r="B44" i="6"/>
  <c r="C45"/>
  <c r="C47" i="5"/>
  <c r="B45"/>
  <c r="C78" i="1"/>
  <c r="B77"/>
  <c r="F85"/>
  <c r="F86" s="1"/>
  <c r="F87" s="1"/>
  <c r="C47" i="8" l="1"/>
  <c r="B45"/>
  <c r="C47" i="7"/>
  <c r="B45"/>
  <c r="C47" i="6"/>
  <c r="B45"/>
  <c r="B47" i="5"/>
  <c r="C48"/>
  <c r="C79" i="1"/>
  <c r="B78"/>
  <c r="B47" i="8" l="1"/>
  <c r="C48"/>
  <c r="B47" i="7"/>
  <c r="C48"/>
  <c r="C48" i="6"/>
  <c r="B47"/>
  <c r="B48" i="5"/>
  <c r="C49"/>
  <c r="C80" i="1"/>
  <c r="B79"/>
  <c r="F88"/>
  <c r="B48" i="8" l="1"/>
  <c r="C49"/>
  <c r="B48" i="7"/>
  <c r="C49"/>
  <c r="C49" i="6"/>
  <c r="B48"/>
  <c r="C50" i="5"/>
  <c r="B49"/>
  <c r="C81" i="1"/>
  <c r="B80"/>
  <c r="F94"/>
  <c r="F95" s="1"/>
  <c r="F96" s="1"/>
  <c r="F97" s="1"/>
  <c r="F98" s="1"/>
  <c r="F99" s="1"/>
  <c r="F100" s="1"/>
  <c r="F101" s="1"/>
  <c r="F102" s="1"/>
  <c r="F103" s="1"/>
  <c r="F104" s="1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C50" i="8" l="1"/>
  <c r="B49"/>
  <c r="C50" i="7"/>
  <c r="B49"/>
  <c r="C50" i="6"/>
  <c r="B49"/>
  <c r="C51" i="5"/>
  <c r="B50"/>
  <c r="C82" i="1"/>
  <c r="B81"/>
  <c r="C51" i="8" l="1"/>
  <c r="B50"/>
  <c r="C51" i="7"/>
  <c r="B50"/>
  <c r="B50" i="6"/>
  <c r="C51"/>
  <c r="C52" i="5"/>
  <c r="B51"/>
  <c r="C83" i="1"/>
  <c r="B82"/>
  <c r="C52" i="8" l="1"/>
  <c r="B51"/>
  <c r="C52" i="7"/>
  <c r="B51"/>
  <c r="B51" i="6"/>
  <c r="C52"/>
  <c r="C53" i="5"/>
  <c r="B52"/>
  <c r="C84" i="1"/>
  <c r="B83"/>
  <c r="C53" i="8" l="1"/>
  <c r="B52"/>
  <c r="C53" i="7"/>
  <c r="B52"/>
  <c r="B52" i="6"/>
  <c r="C53"/>
  <c r="C54" i="5"/>
  <c r="B53"/>
  <c r="C85" i="1"/>
  <c r="B84"/>
  <c r="C54" i="8" l="1"/>
  <c r="B53"/>
  <c r="C54" i="7"/>
  <c r="B53"/>
  <c r="B53" i="6"/>
  <c r="C54"/>
  <c r="C55" i="5"/>
  <c r="B54"/>
  <c r="C86" i="1"/>
  <c r="B85"/>
  <c r="C55" i="8" l="1"/>
  <c r="B54"/>
  <c r="C55" i="7"/>
  <c r="B54"/>
  <c r="B54" i="6"/>
  <c r="C55"/>
  <c r="C56" i="5"/>
  <c r="B55"/>
  <c r="C87" i="1"/>
  <c r="B86"/>
  <c r="C56" i="8" l="1"/>
  <c r="B55"/>
  <c r="C56" i="7"/>
  <c r="B55"/>
  <c r="B55" i="6"/>
  <c r="C56"/>
  <c r="C57" i="5"/>
  <c r="B56"/>
  <c r="C88" i="1"/>
  <c r="B87"/>
  <c r="C57" i="8" l="1"/>
  <c r="B56"/>
  <c r="C57" i="7"/>
  <c r="B56"/>
  <c r="B56" i="6"/>
  <c r="C57"/>
  <c r="C59" i="5"/>
  <c r="B59" s="1"/>
  <c r="C58"/>
  <c r="B57"/>
  <c r="C90" i="1"/>
  <c r="B88"/>
  <c r="C59" i="8" l="1"/>
  <c r="B59" s="1"/>
  <c r="C58"/>
  <c r="B57"/>
  <c r="C59" i="7"/>
  <c r="B59" s="1"/>
  <c r="C58"/>
  <c r="B57"/>
  <c r="B57" i="6"/>
  <c r="C58"/>
  <c r="C59"/>
  <c r="B59" s="1"/>
  <c r="C60" i="5"/>
  <c r="B58"/>
  <c r="B90" i="1"/>
  <c r="C60" i="8" l="1"/>
  <c r="B58"/>
  <c r="C60" i="7"/>
  <c r="B58"/>
  <c r="C60" i="6"/>
  <c r="B58"/>
  <c r="C61" i="5"/>
  <c r="B60"/>
  <c r="B93" i="1"/>
  <c r="C94"/>
  <c r="C61" i="8" l="1"/>
  <c r="B60"/>
  <c r="C61" i="7"/>
  <c r="B60"/>
  <c r="B60" i="6"/>
  <c r="C61"/>
  <c r="C62" i="5"/>
  <c r="B61"/>
  <c r="C95" i="1"/>
  <c r="B94"/>
  <c r="C62" i="8" l="1"/>
  <c r="B61"/>
  <c r="C62" i="7"/>
  <c r="B61"/>
  <c r="C62" i="6"/>
  <c r="B61"/>
  <c r="B62" i="5"/>
  <c r="C63"/>
  <c r="C96" i="1"/>
  <c r="B95"/>
  <c r="B62" i="8" l="1"/>
  <c r="C63"/>
  <c r="B62" i="7"/>
  <c r="C63"/>
  <c r="C63" i="6"/>
  <c r="B62"/>
  <c r="B63" i="5"/>
  <c r="C64"/>
  <c r="C97" i="1"/>
  <c r="B96"/>
  <c r="B63" i="8" l="1"/>
  <c r="C64"/>
  <c r="B63" i="7"/>
  <c r="C64"/>
  <c r="C64" i="6"/>
  <c r="B63"/>
  <c r="B64" i="5"/>
  <c r="C65"/>
  <c r="C98" i="1"/>
  <c r="B97"/>
  <c r="B64" i="8" l="1"/>
  <c r="C65"/>
  <c r="B64" i="7"/>
  <c r="C65"/>
  <c r="C65" i="6"/>
  <c r="B64"/>
  <c r="B65" i="5"/>
  <c r="C66"/>
  <c r="C99" i="1"/>
  <c r="B98"/>
  <c r="B65" i="8" l="1"/>
  <c r="C66"/>
  <c r="B65" i="7"/>
  <c r="C66"/>
  <c r="C66" i="6"/>
  <c r="B65"/>
  <c r="B66" i="5"/>
  <c r="C68"/>
  <c r="B68" s="1"/>
  <c r="C67"/>
  <c r="B99" i="1"/>
  <c r="C100"/>
  <c r="B66" i="8" l="1"/>
  <c r="C68"/>
  <c r="B68" s="1"/>
  <c r="C67"/>
  <c r="B66" i="7"/>
  <c r="C68"/>
  <c r="B68" s="1"/>
  <c r="C67"/>
  <c r="C68" i="6"/>
  <c r="B68" s="1"/>
  <c r="C67"/>
  <c r="B66"/>
  <c r="C69" i="5"/>
  <c r="B67"/>
  <c r="B100" i="1"/>
  <c r="C101"/>
  <c r="C69" i="8" l="1"/>
  <c r="B67"/>
  <c r="C69" i="7"/>
  <c r="B67"/>
  <c r="B67" i="6"/>
  <c r="C69"/>
  <c r="C70" i="5"/>
  <c r="B69"/>
  <c r="B101" i="1"/>
  <c r="C102"/>
  <c r="C70" i="8" l="1"/>
  <c r="B69"/>
  <c r="C70" i="7"/>
  <c r="B69"/>
  <c r="C70" i="6"/>
  <c r="B69"/>
  <c r="C71" i="5"/>
  <c r="B70"/>
  <c r="C103" i="1"/>
  <c r="B102"/>
  <c r="C71" i="8" l="1"/>
  <c r="B70"/>
  <c r="C71" i="7"/>
  <c r="B70"/>
  <c r="B70" i="6"/>
  <c r="C71"/>
  <c r="C72" i="5"/>
  <c r="B71"/>
  <c r="B103" i="1"/>
  <c r="C104"/>
  <c r="C72" i="8" l="1"/>
  <c r="B71"/>
  <c r="C72" i="7"/>
  <c r="B71"/>
  <c r="B71" i="6"/>
  <c r="C72"/>
  <c r="C73" i="5"/>
  <c r="B72"/>
  <c r="B104" i="1"/>
  <c r="C105"/>
  <c r="C73" i="8" l="1"/>
  <c r="B72"/>
  <c r="C73" i="7"/>
  <c r="B72"/>
  <c r="B72" i="6"/>
  <c r="C73"/>
  <c r="C74" i="5"/>
  <c r="B73"/>
  <c r="B105" i="1"/>
  <c r="C106"/>
  <c r="C74" i="8" l="1"/>
  <c r="B73"/>
  <c r="C74" i="7"/>
  <c r="B73"/>
  <c r="B73" i="6"/>
  <c r="C74"/>
  <c r="C75" i="5"/>
  <c r="B74"/>
  <c r="B106" i="1"/>
  <c r="C107"/>
  <c r="C75" i="8" l="1"/>
  <c r="B74"/>
  <c r="C75" i="7"/>
  <c r="B74"/>
  <c r="C75" i="6"/>
  <c r="B74"/>
  <c r="C76" i="5"/>
  <c r="B75"/>
  <c r="B107" i="1"/>
  <c r="C108"/>
  <c r="C76" i="8" l="1"/>
  <c r="B75"/>
  <c r="C76" i="7"/>
  <c r="B75"/>
  <c r="C76" i="6"/>
  <c r="B75"/>
  <c r="C77" i="5"/>
  <c r="B76"/>
  <c r="B108" i="1"/>
  <c r="C109"/>
  <c r="C77" i="8" l="1"/>
  <c r="B76"/>
  <c r="C77" i="7"/>
  <c r="B76"/>
  <c r="C77" i="6"/>
  <c r="B76"/>
  <c r="C78" i="5"/>
  <c r="B77"/>
  <c r="B109" i="1"/>
  <c r="C110"/>
  <c r="C78" i="8" l="1"/>
  <c r="B77"/>
  <c r="C78" i="7"/>
  <c r="B77"/>
  <c r="C78" i="6"/>
  <c r="B77"/>
  <c r="C79" i="5"/>
  <c r="B78"/>
  <c r="B110" i="1"/>
  <c r="C111"/>
  <c r="C79" i="8" l="1"/>
  <c r="B78"/>
  <c r="C79" i="7"/>
  <c r="B78"/>
  <c r="C79" i="6"/>
  <c r="B78"/>
  <c r="C80" i="5"/>
  <c r="B79"/>
  <c r="B111" i="1"/>
  <c r="C112"/>
  <c r="C80" i="8" l="1"/>
  <c r="B79"/>
  <c r="C80" i="7"/>
  <c r="B79"/>
  <c r="C80" i="6"/>
  <c r="B79"/>
  <c r="B80" i="5"/>
  <c r="C81"/>
  <c r="C113" i="1"/>
  <c r="B112"/>
  <c r="B80" i="8" l="1"/>
  <c r="C81"/>
  <c r="B80" i="7"/>
  <c r="C81"/>
  <c r="B80" i="6"/>
  <c r="C81"/>
  <c r="B81" i="5"/>
  <c r="C82"/>
  <c r="B113" i="1"/>
  <c r="C114"/>
  <c r="B81" i="8" l="1"/>
  <c r="C82"/>
  <c r="B81" i="7"/>
  <c r="C82"/>
  <c r="B81" i="6"/>
  <c r="C82"/>
  <c r="B82" i="5"/>
  <c r="C83"/>
  <c r="B114" i="1"/>
  <c r="C115"/>
  <c r="B82" i="8" l="1"/>
  <c r="C83"/>
  <c r="B82" i="7"/>
  <c r="C83"/>
  <c r="B82" i="6"/>
  <c r="C83"/>
  <c r="B83" i="5"/>
  <c r="C84"/>
  <c r="B115" i="1"/>
  <c r="C116"/>
  <c r="B83" i="8" l="1"/>
  <c r="C84"/>
  <c r="B83" i="7"/>
  <c r="C84"/>
  <c r="B83" i="6"/>
  <c r="C84"/>
  <c r="B84" i="5"/>
  <c r="C85"/>
  <c r="B116" i="1"/>
  <c r="C117"/>
  <c r="B117" s="1"/>
  <c r="B84" i="8" l="1"/>
  <c r="C85"/>
  <c r="B84" i="7"/>
  <c r="C85"/>
  <c r="B84" i="6"/>
  <c r="C85"/>
  <c r="B85" i="5"/>
  <c r="C86"/>
  <c r="B85" i="8" l="1"/>
  <c r="C86"/>
  <c r="B85" i="7"/>
  <c r="C86"/>
  <c r="B85" i="6"/>
  <c r="C86"/>
  <c r="C87" i="5"/>
  <c r="B86"/>
  <c r="C87" i="8" l="1"/>
  <c r="B86"/>
  <c r="C87" i="7"/>
  <c r="B86"/>
  <c r="C87" i="6"/>
  <c r="B86"/>
  <c r="C88" i="5"/>
  <c r="B87"/>
  <c r="C88" i="8" l="1"/>
  <c r="B87"/>
  <c r="C88" i="7"/>
  <c r="B87"/>
  <c r="C88" i="6"/>
  <c r="B87"/>
  <c r="C90" i="5"/>
  <c r="B88"/>
  <c r="C90" i="8" l="1"/>
  <c r="B88"/>
  <c r="C90" i="7"/>
  <c r="B88"/>
  <c r="C90" i="6"/>
  <c r="B88"/>
  <c r="C91" i="5"/>
  <c r="B90"/>
  <c r="C91" i="8" l="1"/>
  <c r="B90"/>
  <c r="C91" i="7"/>
  <c r="B90"/>
  <c r="C91" i="6"/>
  <c r="B90"/>
  <c r="C92" i="5"/>
  <c r="B91"/>
  <c r="C92" i="8" l="1"/>
  <c r="B91"/>
  <c r="C92" i="7"/>
  <c r="B91"/>
  <c r="C92" i="6"/>
  <c r="B91"/>
  <c r="C93" i="5"/>
  <c r="B92"/>
  <c r="C93" i="8" l="1"/>
  <c r="B92"/>
  <c r="C93" i="7"/>
  <c r="B92"/>
  <c r="C93" i="6"/>
  <c r="B92"/>
  <c r="C94" i="5"/>
  <c r="B93"/>
  <c r="C94" i="8" l="1"/>
  <c r="B93"/>
  <c r="C94" i="7"/>
  <c r="B93"/>
  <c r="C94" i="6"/>
  <c r="B93"/>
  <c r="C95" i="5"/>
  <c r="B94"/>
  <c r="C95" i="8" l="1"/>
  <c r="B94"/>
  <c r="C95" i="7"/>
  <c r="B94"/>
  <c r="C95" i="6"/>
  <c r="B94"/>
  <c r="C96" i="5"/>
  <c r="B95"/>
  <c r="C96" i="8" l="1"/>
  <c r="B95"/>
  <c r="C96" i="7"/>
  <c r="B95"/>
  <c r="C96" i="6"/>
  <c r="B95"/>
  <c r="C97" i="5"/>
  <c r="B96"/>
  <c r="C97" i="8" l="1"/>
  <c r="B96"/>
  <c r="C97" i="7"/>
  <c r="B96"/>
  <c r="C97" i="6"/>
  <c r="B96"/>
  <c r="B97" i="5"/>
  <c r="C98"/>
  <c r="B97" i="8" l="1"/>
  <c r="C98"/>
  <c r="B97" i="7"/>
  <c r="C98"/>
  <c r="B97" i="6"/>
  <c r="C98"/>
  <c r="C99" i="5"/>
  <c r="B98"/>
  <c r="C99" i="8" l="1"/>
  <c r="B98"/>
  <c r="C99" i="7"/>
  <c r="B98"/>
  <c r="C99" i="6"/>
  <c r="B98"/>
  <c r="C100" i="5"/>
  <c r="B99"/>
  <c r="C100" i="8" l="1"/>
  <c r="B99"/>
  <c r="C100" i="7"/>
  <c r="B99"/>
  <c r="C100" i="6"/>
  <c r="B99"/>
  <c r="C101" i="5"/>
  <c r="B100"/>
  <c r="C101" i="8" l="1"/>
  <c r="B100"/>
  <c r="C101" i="7"/>
  <c r="B100"/>
  <c r="C101" i="6"/>
  <c r="B100"/>
  <c r="C102" i="5"/>
  <c r="B101"/>
  <c r="C102" i="8" l="1"/>
  <c r="B101"/>
  <c r="C102" i="7"/>
  <c r="B101"/>
  <c r="C102" i="6"/>
  <c r="B101"/>
  <c r="C103" i="5"/>
  <c r="B102"/>
  <c r="C103" i="8" l="1"/>
  <c r="B102"/>
  <c r="C103" i="7"/>
  <c r="B102"/>
  <c r="C103" i="6"/>
  <c r="B102"/>
  <c r="B103" i="5"/>
  <c r="C104"/>
  <c r="B103" i="8" l="1"/>
  <c r="C104"/>
  <c r="B103" i="7"/>
  <c r="C104"/>
  <c r="B103" i="6"/>
  <c r="C104"/>
  <c r="C105" i="5"/>
  <c r="B104"/>
  <c r="C105" i="8" l="1"/>
  <c r="B104"/>
  <c r="C105" i="7"/>
  <c r="B104"/>
  <c r="C105" i="6"/>
  <c r="B104"/>
  <c r="C106" i="5"/>
  <c r="B105"/>
  <c r="C106" i="8" l="1"/>
  <c r="B105"/>
  <c r="C106" i="7"/>
  <c r="B105"/>
  <c r="C106" i="6"/>
  <c r="B105"/>
  <c r="C107" i="5"/>
  <c r="B106"/>
  <c r="C107" i="8" l="1"/>
  <c r="B106"/>
  <c r="C107" i="7"/>
  <c r="B106"/>
  <c r="C107" i="6"/>
  <c r="B106"/>
  <c r="C108" i="5"/>
  <c r="B107"/>
  <c r="C108" i="8" l="1"/>
  <c r="B107"/>
  <c r="C108" i="7"/>
  <c r="B107"/>
  <c r="C108" i="6"/>
  <c r="B107"/>
  <c r="C109" i="5"/>
  <c r="B108"/>
  <c r="C109" i="8" l="1"/>
  <c r="B108"/>
  <c r="C109" i="7"/>
  <c r="B108"/>
  <c r="C109" i="6"/>
  <c r="B108"/>
  <c r="B109" i="5"/>
  <c r="C110"/>
  <c r="B109" i="8" l="1"/>
  <c r="C110"/>
  <c r="B109" i="7"/>
  <c r="C110"/>
  <c r="B109" i="6"/>
  <c r="C110"/>
  <c r="C111" i="5"/>
  <c r="B110"/>
  <c r="C111" i="8" l="1"/>
  <c r="B110"/>
  <c r="C111" i="7"/>
  <c r="B110"/>
  <c r="C111" i="6"/>
  <c r="B110"/>
  <c r="C112" i="5"/>
  <c r="B111"/>
  <c r="C112" i="8" l="1"/>
  <c r="B111"/>
  <c r="C112" i="7"/>
  <c r="B111"/>
  <c r="C112" i="6"/>
  <c r="B111"/>
  <c r="C113" i="5"/>
  <c r="B112"/>
  <c r="C113" i="8" l="1"/>
  <c r="B112"/>
  <c r="C113" i="7"/>
  <c r="B112"/>
  <c r="C113" i="6"/>
  <c r="B112"/>
  <c r="C114" i="5"/>
  <c r="B113"/>
  <c r="C114" i="8" l="1"/>
  <c r="B113"/>
  <c r="C114" i="7"/>
  <c r="B113"/>
  <c r="C114" i="6"/>
  <c r="B113"/>
  <c r="C115" i="5"/>
  <c r="B114"/>
  <c r="C115" i="8" l="1"/>
  <c r="B114"/>
  <c r="C115" i="7"/>
  <c r="B114"/>
  <c r="C115" i="6"/>
  <c r="B114"/>
  <c r="B115" i="5"/>
  <c r="C116"/>
  <c r="B115" i="8" l="1"/>
  <c r="C116"/>
  <c r="B115" i="7"/>
  <c r="C116"/>
  <c r="B115" i="6"/>
  <c r="C116"/>
  <c r="C117" i="5"/>
  <c r="B117" s="1"/>
  <c r="B116"/>
  <c r="C117" i="8" l="1"/>
  <c r="B117" s="1"/>
  <c r="B116"/>
  <c r="C117" i="7"/>
  <c r="B117" s="1"/>
  <c r="B116"/>
  <c r="C117" i="6"/>
  <c r="B117" s="1"/>
  <c r="B116"/>
</calcChain>
</file>

<file path=xl/sharedStrings.xml><?xml version="1.0" encoding="utf-8"?>
<sst xmlns="http://schemas.openxmlformats.org/spreadsheetml/2006/main" count="1368" uniqueCount="103">
  <si>
    <t>Lux in=</t>
  </si>
  <si>
    <t>Range 1</t>
  </si>
  <si>
    <t>Range 2</t>
  </si>
  <si>
    <t>Range 3</t>
  </si>
  <si>
    <t>Min</t>
  </si>
  <si>
    <t>Max</t>
  </si>
  <si>
    <t>Result</t>
  </si>
  <si>
    <t>Value</t>
  </si>
  <si>
    <t>Mismatch</t>
  </si>
  <si>
    <t>Lux out</t>
  </si>
  <si>
    <t>Error</t>
  </si>
  <si>
    <t>Range 4</t>
  </si>
  <si>
    <t>Range</t>
  </si>
  <si>
    <t>Test #</t>
  </si>
  <si>
    <t>Center</t>
  </si>
  <si>
    <t xml:space="preserve">Set to range 1, record value </t>
  </si>
  <si>
    <t xml:space="preserve">Set to range 2, record value </t>
  </si>
  <si>
    <t xml:space="preserve">Set to range 3, record value </t>
  </si>
  <si>
    <t xml:space="preserve">Set to range4, record value </t>
  </si>
  <si>
    <t>Instructions</t>
  </si>
  <si>
    <r>
      <t>adjust polar from 270° to 0°, until half magnitude of 0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, record value</t>
    </r>
  </si>
  <si>
    <r>
      <t>adjust polar from 90° to 0°, until half magnitude of 0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, record value</t>
    </r>
  </si>
  <si>
    <t>FWHM</t>
  </si>
  <si>
    <t>Unit</t>
  </si>
  <si>
    <t>Label</t>
  </si>
  <si>
    <t>Informational Only</t>
  </si>
  <si>
    <t>Azimuth=0°</t>
  </si>
  <si>
    <t>Azimuth=45°</t>
  </si>
  <si>
    <t>%</t>
  </si>
  <si>
    <t>Lux</t>
  </si>
  <si>
    <t>°</t>
  </si>
  <si>
    <t>Half Magnitude</t>
  </si>
  <si>
    <t>Target Lux for angular test</t>
  </si>
  <si>
    <t>Gain: Visible</t>
  </si>
  <si>
    <t>Angular Visible (Range 1)</t>
  </si>
  <si>
    <t>LS2LS</t>
  </si>
  <si>
    <t>Meas</t>
  </si>
  <si>
    <t>P/F</t>
  </si>
  <si>
    <t>sec/meas</t>
  </si>
  <si>
    <t>Gain/LS2LS: Blackbody</t>
  </si>
  <si>
    <r>
      <t>find peak between -HM &amp; 0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, record Lux</t>
    </r>
  </si>
  <si>
    <t>record angle</t>
  </si>
  <si>
    <r>
      <t>find peak between +HM &amp; 0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, record Lux</t>
    </r>
  </si>
  <si>
    <t>Condition: 30G &amp; photopic</t>
  </si>
  <si>
    <r>
      <t>LS2LS:0</t>
    </r>
    <r>
      <rPr>
        <sz val="11"/>
        <color theme="1"/>
        <rFont val="Calibri"/>
        <family val="2"/>
      </rPr>
      <t>°</t>
    </r>
  </si>
  <si>
    <t>LS2LS:-peak</t>
  </si>
  <si>
    <t>LS2LS:+peak</t>
  </si>
  <si>
    <t>Gain</t>
  </si>
  <si>
    <t>Divide</t>
  </si>
  <si>
    <t>Divider</t>
  </si>
  <si>
    <t>OD</t>
  </si>
  <si>
    <t>Reflective</t>
  </si>
  <si>
    <t>Absorptive</t>
  </si>
  <si>
    <t>Usage</t>
  </si>
  <si>
    <t>Devices</t>
  </si>
  <si>
    <t>Total</t>
  </si>
  <si>
    <t>amps</t>
  </si>
  <si>
    <t>OD=0.4</t>
  </si>
  <si>
    <t>Photopic</t>
  </si>
  <si>
    <t>Set Power to 12Volts, record current</t>
  </si>
  <si>
    <t>install ND: 0.4OD, record Lux @ each filter position</t>
  </si>
  <si>
    <r>
      <t>Azimuth=270</t>
    </r>
    <r>
      <rPr>
        <sz val="11"/>
        <color theme="1"/>
        <rFont val="Calibri"/>
        <family val="2"/>
      </rPr>
      <t>°</t>
    </r>
  </si>
  <si>
    <t>Azimuth=315°</t>
  </si>
  <si>
    <t>Condition: 30G &amp; 0.4ND</t>
  </si>
  <si>
    <t>Overshoot</t>
  </si>
  <si>
    <t>Filter Position</t>
  </si>
  <si>
    <t>Glass Trans.</t>
  </si>
  <si>
    <t>Glass Attn.</t>
  </si>
  <si>
    <t>Filter #</t>
  </si>
  <si>
    <t>Input Lux from Calibration Table</t>
  </si>
  <si>
    <t>As measured by the device</t>
  </si>
  <si>
    <t>Minutes</t>
  </si>
  <si>
    <t>FW #</t>
  </si>
  <si>
    <t>Lux in</t>
  </si>
  <si>
    <t>Set QTH power to 12v, set filter wheel such that DUT outputs ~½ Range 1 FS, record FW#</t>
  </si>
  <si>
    <t>Setup</t>
  </si>
  <si>
    <t>Visible Accuracy: Hi ranges</t>
  </si>
  <si>
    <t>Visible Accuracy: Lo ranges</t>
  </si>
  <si>
    <t>FSR</t>
  </si>
  <si>
    <t>Degrees</t>
  </si>
  <si>
    <t>#</t>
  </si>
  <si>
    <t>Parameter</t>
  </si>
  <si>
    <t>FWHM Nominal</t>
  </si>
  <si>
    <t>FWHM Visible Tolerance</t>
  </si>
  <si>
    <t>FWHM Visible Lo</t>
  </si>
  <si>
    <t>FWHM Visible Hi</t>
  </si>
  <si>
    <t>LS2LS NG Lo</t>
  </si>
  <si>
    <t>LS2LS NG Hi</t>
  </si>
  <si>
    <t>BB Accuracy</t>
  </si>
  <si>
    <t>Adjust filter wheel to ~½ Range 1 FS on range 1, record filter #</t>
  </si>
  <si>
    <t>Radiation Overshoot BB+G</t>
  </si>
  <si>
    <t>FWHM BB+G Tolerance</t>
  </si>
  <si>
    <t>FWHM BB+G Lo</t>
  </si>
  <si>
    <t>FWHM BB+G Hi</t>
  </si>
  <si>
    <r>
      <t>LS2LS 0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 xml:space="preserve"> 30xG Lo</t>
    </r>
  </si>
  <si>
    <t>LS2LS off angle peak 30xG Lo</t>
  </si>
  <si>
    <t>Radiation Center Tol</t>
  </si>
  <si>
    <t>Accuracy</t>
  </si>
  <si>
    <t>Radiation</t>
  </si>
  <si>
    <t>Group</t>
  </si>
  <si>
    <t>Condition: 0.4ND, QTH=12V</t>
  </si>
  <si>
    <t>Angular G30 +IR (Range 2)</t>
  </si>
  <si>
    <t>Condition: 30G &amp; 0.4ND, QTH=12V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</si>
</sst>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0" borderId="0" xfId="0" applyBorder="1" applyAlignment="1"/>
    <xf numFmtId="0" fontId="0" fillId="0" borderId="0" xfId="0" applyBorder="1"/>
    <xf numFmtId="0" fontId="0" fillId="0" borderId="1" xfId="0" applyBorder="1" applyAlignment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165" fontId="0" fillId="3" borderId="1" xfId="0" applyNumberForma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0" xfId="0" applyNumberFormat="1"/>
    <xf numFmtId="1" fontId="0" fillId="0" borderId="1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9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9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" fontId="0" fillId="0" borderId="0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9" fontId="0" fillId="2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21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5" fontId="0" fillId="0" borderId="20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22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10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N14"/>
  <sheetViews>
    <sheetView workbookViewId="0">
      <selection activeCell="D9" sqref="D9"/>
    </sheetView>
  </sheetViews>
  <sheetFormatPr defaultRowHeight="15"/>
  <cols>
    <col min="1" max="2" width="9.140625" style="43"/>
    <col min="3" max="3" width="14" style="43" bestFit="1" customWidth="1"/>
    <col min="4" max="4" width="6" style="43" bestFit="1" customWidth="1"/>
    <col min="5" max="16384" width="9.140625" style="43"/>
  </cols>
  <sheetData>
    <row r="2" spans="2:14">
      <c r="C2" s="43" t="s">
        <v>65</v>
      </c>
      <c r="D2" s="56">
        <v>8.4700000000000006</v>
      </c>
      <c r="E2" s="43" t="s">
        <v>56</v>
      </c>
      <c r="F2" s="67" t="s">
        <v>59</v>
      </c>
      <c r="G2" s="67"/>
      <c r="H2" s="67"/>
      <c r="I2" s="67"/>
      <c r="J2" s="67"/>
      <c r="K2" s="67"/>
      <c r="L2" s="67"/>
      <c r="M2" s="67"/>
      <c r="N2" s="67"/>
    </row>
    <row r="3" spans="2:14">
      <c r="B3" s="68" t="s">
        <v>57</v>
      </c>
      <c r="C3" s="44">
        <v>1</v>
      </c>
      <c r="D3" s="56">
        <v>15680</v>
      </c>
      <c r="E3" s="68" t="s">
        <v>29</v>
      </c>
      <c r="F3" s="67" t="s">
        <v>60</v>
      </c>
      <c r="G3" s="67"/>
      <c r="H3" s="67"/>
      <c r="I3" s="67"/>
      <c r="J3" s="67"/>
      <c r="K3" s="67"/>
      <c r="L3" s="67"/>
      <c r="M3" s="67"/>
      <c r="N3" s="67"/>
    </row>
    <row r="4" spans="2:14">
      <c r="B4" s="68"/>
      <c r="C4" s="44">
        <f>C3+1</f>
        <v>2</v>
      </c>
      <c r="D4" s="56">
        <v>8440</v>
      </c>
      <c r="E4" s="68"/>
      <c r="F4" s="67"/>
      <c r="G4" s="67"/>
      <c r="H4" s="67"/>
      <c r="I4" s="67"/>
      <c r="J4" s="67"/>
      <c r="K4" s="67"/>
      <c r="L4" s="67"/>
      <c r="M4" s="67"/>
      <c r="N4" s="67"/>
    </row>
    <row r="5" spans="2:14">
      <c r="B5" s="68"/>
      <c r="C5" s="44">
        <f t="shared" ref="C5:C8" si="0">C4+1</f>
        <v>3</v>
      </c>
      <c r="D5" s="56">
        <v>4170</v>
      </c>
      <c r="E5" s="68"/>
      <c r="F5" s="67"/>
      <c r="G5" s="67"/>
      <c r="H5" s="67"/>
      <c r="I5" s="67"/>
      <c r="J5" s="67"/>
      <c r="K5" s="67"/>
      <c r="L5" s="67"/>
      <c r="M5" s="67"/>
      <c r="N5" s="67"/>
    </row>
    <row r="6" spans="2:14">
      <c r="B6" s="68"/>
      <c r="C6" s="44">
        <f t="shared" si="0"/>
        <v>4</v>
      </c>
      <c r="D6" s="56">
        <v>887</v>
      </c>
      <c r="E6" s="68"/>
      <c r="F6" s="67"/>
      <c r="G6" s="67"/>
      <c r="H6" s="67"/>
      <c r="I6" s="67"/>
      <c r="J6" s="67"/>
      <c r="K6" s="67"/>
      <c r="L6" s="67"/>
      <c r="M6" s="67"/>
      <c r="N6" s="67"/>
    </row>
    <row r="7" spans="2:14">
      <c r="B7" s="68"/>
      <c r="C7" s="44">
        <f t="shared" si="0"/>
        <v>5</v>
      </c>
      <c r="D7" s="56">
        <v>555</v>
      </c>
      <c r="E7" s="68"/>
      <c r="F7" s="67"/>
      <c r="G7" s="67"/>
      <c r="H7" s="67"/>
      <c r="I7" s="67"/>
      <c r="J7" s="67"/>
      <c r="K7" s="67"/>
      <c r="L7" s="67"/>
      <c r="M7" s="67"/>
      <c r="N7" s="67"/>
    </row>
    <row r="8" spans="2:14">
      <c r="B8" s="68"/>
      <c r="C8" s="44">
        <f t="shared" si="0"/>
        <v>6</v>
      </c>
      <c r="D8" s="56">
        <v>225</v>
      </c>
      <c r="E8" s="68"/>
      <c r="F8" s="67"/>
      <c r="G8" s="67"/>
      <c r="H8" s="67"/>
      <c r="I8" s="67"/>
      <c r="J8" s="67"/>
      <c r="K8" s="67"/>
      <c r="L8" s="67"/>
      <c r="M8" s="67"/>
      <c r="N8" s="67"/>
    </row>
    <row r="9" spans="2:14" ht="15" customHeight="1">
      <c r="B9" s="43" t="s">
        <v>58</v>
      </c>
      <c r="C9" s="44">
        <f>C3</f>
        <v>1</v>
      </c>
      <c r="D9" s="56">
        <v>8.36</v>
      </c>
      <c r="E9" s="43" t="s">
        <v>56</v>
      </c>
      <c r="F9" s="69" t="str">
        <f>"Replace ND with Photopic, adjust current until Lux=" &amp;D3&amp;" record current"</f>
        <v>Replace ND with Photopic, adjust current until Lux=15680 record current</v>
      </c>
      <c r="G9" s="69"/>
      <c r="H9" s="69"/>
      <c r="I9" s="69"/>
      <c r="J9" s="69"/>
      <c r="K9" s="69"/>
      <c r="L9" s="69"/>
      <c r="M9" s="69"/>
      <c r="N9" s="69"/>
    </row>
    <row r="10" spans="2:14">
      <c r="C10" s="44"/>
      <c r="E10" s="68"/>
    </row>
    <row r="11" spans="2:14">
      <c r="C11" s="44"/>
      <c r="E11" s="68"/>
    </row>
    <row r="12" spans="2:14">
      <c r="C12" s="44"/>
      <c r="E12" s="68"/>
    </row>
    <row r="13" spans="2:14">
      <c r="C13" s="44"/>
      <c r="E13" s="68"/>
    </row>
    <row r="14" spans="2:14">
      <c r="C14" s="44"/>
      <c r="E14" s="68"/>
    </row>
  </sheetData>
  <mergeCells count="6">
    <mergeCell ref="F2:N2"/>
    <mergeCell ref="F3:N8"/>
    <mergeCell ref="B3:B8"/>
    <mergeCell ref="E3:E8"/>
    <mergeCell ref="E10:E14"/>
    <mergeCell ref="F9:N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T117"/>
  <sheetViews>
    <sheetView tabSelected="1" zoomScale="85" zoomScaleNormal="85" workbookViewId="0">
      <selection activeCell="P1" sqref="P1"/>
    </sheetView>
  </sheetViews>
  <sheetFormatPr defaultRowHeight="15"/>
  <cols>
    <col min="1" max="2" width="9.140625" customWidth="1"/>
    <col min="3" max="3" width="9.140625" style="24" hidden="1" customWidth="1"/>
    <col min="4" max="4" width="3.42578125" style="24" hidden="1" customWidth="1"/>
    <col min="5" max="5" width="16.7109375" customWidth="1"/>
    <col min="6" max="6" width="2.28515625" hidden="1" customWidth="1"/>
    <col min="7" max="7" width="13.7109375" style="1" customWidth="1"/>
    <col min="8" max="8" width="3.85546875" style="21" hidden="1" customWidth="1"/>
    <col min="9" max="9" width="14.7109375" customWidth="1"/>
    <col min="10" max="10" width="9.140625" style="1" customWidth="1"/>
    <col min="11" max="11" width="9.85546875" style="1" bestFit="1" customWidth="1"/>
    <col min="12" max="14" width="9.140625" style="1" customWidth="1"/>
    <col min="15" max="15" width="79.42578125" style="14" customWidth="1"/>
    <col min="16" max="16" width="9.140625" style="14" customWidth="1"/>
    <col min="17" max="17" width="10.7109375" style="17" bestFit="1" customWidth="1"/>
    <col min="18" max="18" width="9.140625" style="17"/>
    <col min="19" max="20" width="9.140625" style="14"/>
  </cols>
  <sheetData>
    <row r="1" spans="2:20">
      <c r="P1" s="51">
        <v>60</v>
      </c>
      <c r="Q1" s="52" t="s">
        <v>38</v>
      </c>
      <c r="R1" s="53">
        <f>60*P1/Q3</f>
        <v>69.230769230769226</v>
      </c>
      <c r="S1" s="14" t="s">
        <v>71</v>
      </c>
    </row>
    <row r="2" spans="2:20">
      <c r="B2" s="86" t="s">
        <v>13</v>
      </c>
      <c r="C2" s="96"/>
      <c r="D2" s="97"/>
      <c r="E2" s="86" t="s">
        <v>24</v>
      </c>
      <c r="F2" s="86"/>
      <c r="G2" s="86"/>
      <c r="H2" s="86"/>
      <c r="I2" s="86"/>
      <c r="J2" s="2" t="s">
        <v>4</v>
      </c>
      <c r="K2" s="2" t="s">
        <v>7</v>
      </c>
      <c r="L2" s="2" t="s">
        <v>5</v>
      </c>
      <c r="M2" s="2" t="s">
        <v>23</v>
      </c>
      <c r="N2" s="2" t="s">
        <v>6</v>
      </c>
      <c r="O2" s="15" t="s">
        <v>19</v>
      </c>
      <c r="P2" s="13"/>
      <c r="Q2" s="16" t="s">
        <v>36</v>
      </c>
      <c r="R2" s="16" t="s">
        <v>37</v>
      </c>
      <c r="S2" s="13"/>
      <c r="T2" s="13"/>
    </row>
    <row r="3" spans="2:20">
      <c r="B3" s="86"/>
      <c r="C3" s="98"/>
      <c r="D3" s="99"/>
      <c r="E3" s="78" t="str">
        <f>"Condition: photopic filter, QTH @"&amp;Calibration!D9&amp;"amps"</f>
        <v>Condition: photopic filter, QTH @8.36amps</v>
      </c>
      <c r="F3" s="79"/>
      <c r="G3" s="79"/>
      <c r="H3" s="79"/>
      <c r="I3" s="79"/>
      <c r="J3" s="79"/>
      <c r="K3" s="79"/>
      <c r="L3" s="79"/>
      <c r="M3" s="79"/>
      <c r="N3" s="79"/>
      <c r="O3" s="80"/>
      <c r="P3" s="13"/>
      <c r="Q3" s="17">
        <f>SUM(Q4:Q196)</f>
        <v>52</v>
      </c>
      <c r="R3" s="17">
        <f>SUM(R6:R196)</f>
        <v>41</v>
      </c>
      <c r="S3" s="13"/>
      <c r="T3" s="13"/>
    </row>
    <row r="4" spans="2:20">
      <c r="B4" s="3">
        <f>C4+D4+F4+H4</f>
        <v>100</v>
      </c>
      <c r="C4" s="25">
        <v>100</v>
      </c>
      <c r="D4" s="25">
        <v>0</v>
      </c>
      <c r="E4" s="74" t="s">
        <v>33</v>
      </c>
      <c r="F4" s="46">
        <v>0</v>
      </c>
      <c r="G4" s="74" t="s">
        <v>75</v>
      </c>
      <c r="H4" s="22">
        <v>0</v>
      </c>
      <c r="I4" s="8" t="s">
        <v>72</v>
      </c>
      <c r="J4" s="45"/>
      <c r="K4" s="5"/>
      <c r="L4" s="45"/>
      <c r="M4" s="45"/>
      <c r="N4" s="45"/>
      <c r="O4" s="72" t="str">
        <f>"Set QTH power to " &amp;Calibration!D9&amp;"amps, set filter wheel such that DUT outputs ~½ Range 1 FS, record FW#"</f>
        <v>Set QTH power to 8.36amps, set filter wheel such that DUT outputs ~½ Range 1 FS, record FW#</v>
      </c>
      <c r="P4" s="13"/>
      <c r="Q4" s="17">
        <v>1</v>
      </c>
      <c r="S4" s="13"/>
      <c r="T4" s="13"/>
    </row>
    <row r="5" spans="2:20">
      <c r="B5" s="3">
        <f t="shared" ref="B5" si="0">C5+D5+F5+H5</f>
        <v>100.1</v>
      </c>
      <c r="C5" s="25">
        <f t="shared" ref="C5:C6" si="1">C4</f>
        <v>100</v>
      </c>
      <c r="D5" s="25">
        <f t="shared" ref="D5:D6" si="2">D4</f>
        <v>0</v>
      </c>
      <c r="E5" s="75"/>
      <c r="F5" s="46">
        <f>F4</f>
        <v>0</v>
      </c>
      <c r="G5" s="76"/>
      <c r="H5" s="22">
        <f>H4+0.1</f>
        <v>0.1</v>
      </c>
      <c r="I5" s="8" t="s">
        <v>73</v>
      </c>
      <c r="J5" s="45"/>
      <c r="K5" s="10" t="e">
        <f>VLOOKUP(K4,Calibration!$C$3:$D$8,2)</f>
        <v>#N/A</v>
      </c>
      <c r="L5" s="45"/>
      <c r="M5" s="45" t="s">
        <v>29</v>
      </c>
      <c r="N5" s="45"/>
      <c r="O5" s="73"/>
      <c r="P5" s="13"/>
      <c r="S5" s="13"/>
      <c r="T5" s="13"/>
    </row>
    <row r="6" spans="2:20">
      <c r="B6" s="3">
        <f>C6+D6+F6+H6</f>
        <v>101</v>
      </c>
      <c r="C6" s="25">
        <f t="shared" si="1"/>
        <v>100</v>
      </c>
      <c r="D6" s="25">
        <f t="shared" si="2"/>
        <v>0</v>
      </c>
      <c r="E6" s="75"/>
      <c r="F6" s="46">
        <f>F5+1</f>
        <v>1</v>
      </c>
      <c r="G6" s="77" t="s">
        <v>1</v>
      </c>
      <c r="H6" s="22">
        <v>0</v>
      </c>
      <c r="I6" s="8" t="s">
        <v>9</v>
      </c>
      <c r="J6" s="2"/>
      <c r="K6" s="5"/>
      <c r="L6" s="2"/>
      <c r="M6" s="2" t="s">
        <v>29</v>
      </c>
      <c r="N6" s="2"/>
      <c r="O6" s="15" t="s">
        <v>15</v>
      </c>
      <c r="P6" s="13"/>
      <c r="Q6" s="17">
        <v>1</v>
      </c>
      <c r="S6" s="13"/>
      <c r="T6" s="13"/>
    </row>
    <row r="7" spans="2:20">
      <c r="B7" s="3">
        <f t="shared" ref="B7:B31" si="3">C7+D7+F7+H7</f>
        <v>101.1</v>
      </c>
      <c r="C7" s="25">
        <f>C6</f>
        <v>100</v>
      </c>
      <c r="D7" s="25">
        <f>D6</f>
        <v>0</v>
      </c>
      <c r="E7" s="75"/>
      <c r="F7" s="4">
        <f>F6</f>
        <v>1</v>
      </c>
      <c r="G7" s="77"/>
      <c r="H7" s="22">
        <f>H6+0.1</f>
        <v>0.1</v>
      </c>
      <c r="I7" s="8" t="s">
        <v>10</v>
      </c>
      <c r="J7" s="49">
        <f>-L7</f>
        <v>-0.25</v>
      </c>
      <c r="K7" s="7" t="e">
        <f>K6/K$5-1</f>
        <v>#N/A</v>
      </c>
      <c r="L7" s="47">
        <f>Specifications!E3</f>
        <v>0.25</v>
      </c>
      <c r="M7" s="6" t="s">
        <v>28</v>
      </c>
      <c r="N7" s="2" t="e">
        <f>IF((J7&lt;K7)* (K7&lt;L7),"PASS","FAIL")</f>
        <v>#N/A</v>
      </c>
      <c r="O7" s="15"/>
      <c r="P7" s="13"/>
      <c r="R7" s="17">
        <v>1</v>
      </c>
      <c r="S7" s="13"/>
      <c r="T7" s="13"/>
    </row>
    <row r="8" spans="2:20">
      <c r="B8" s="3">
        <f t="shared" si="3"/>
        <v>102</v>
      </c>
      <c r="C8" s="25">
        <f t="shared" ref="C8:C31" si="4">C7</f>
        <v>100</v>
      </c>
      <c r="D8" s="25">
        <f t="shared" ref="D8:D31" si="5">D7</f>
        <v>0</v>
      </c>
      <c r="E8" s="75"/>
      <c r="F8" s="4">
        <f>F7+1</f>
        <v>2</v>
      </c>
      <c r="G8" s="77" t="s">
        <v>2</v>
      </c>
      <c r="H8" s="22">
        <v>0</v>
      </c>
      <c r="I8" s="8" t="s">
        <v>9</v>
      </c>
      <c r="J8" s="2"/>
      <c r="K8" s="5"/>
      <c r="L8" s="2"/>
      <c r="M8" s="2" t="s">
        <v>29</v>
      </c>
      <c r="N8" s="2"/>
      <c r="O8" s="15" t="s">
        <v>16</v>
      </c>
      <c r="P8" s="13"/>
      <c r="Q8" s="17">
        <v>1</v>
      </c>
      <c r="S8" s="13"/>
      <c r="T8" s="13"/>
    </row>
    <row r="9" spans="2:20">
      <c r="B9" s="3">
        <f t="shared" si="3"/>
        <v>102.1</v>
      </c>
      <c r="C9" s="25">
        <f t="shared" si="4"/>
        <v>100</v>
      </c>
      <c r="D9" s="25">
        <f t="shared" si="5"/>
        <v>0</v>
      </c>
      <c r="E9" s="75"/>
      <c r="F9" s="4">
        <f t="shared" ref="F9:F31" si="6">F8</f>
        <v>2</v>
      </c>
      <c r="G9" s="77"/>
      <c r="H9" s="22">
        <f t="shared" ref="H9:H13" si="7">H8+0.1</f>
        <v>0.1</v>
      </c>
      <c r="I9" s="8" t="s">
        <v>10</v>
      </c>
      <c r="J9" s="6">
        <f>J7</f>
        <v>-0.25</v>
      </c>
      <c r="K9" s="7" t="e">
        <f>K8/K$5-1</f>
        <v>#N/A</v>
      </c>
      <c r="L9" s="6">
        <f>L7</f>
        <v>0.25</v>
      </c>
      <c r="M9" s="6" t="s">
        <v>28</v>
      </c>
      <c r="N9" s="2" t="e">
        <f>IF((J9&lt;K9)* (K9&lt;L9),"PASS","FAIL")</f>
        <v>#N/A</v>
      </c>
      <c r="O9" s="15"/>
      <c r="P9" s="13"/>
      <c r="R9" s="17">
        <v>1</v>
      </c>
      <c r="S9" s="13"/>
      <c r="T9" s="13"/>
    </row>
    <row r="10" spans="2:20">
      <c r="B10" s="3">
        <f t="shared" si="3"/>
        <v>103</v>
      </c>
      <c r="C10" s="25">
        <f t="shared" si="4"/>
        <v>100</v>
      </c>
      <c r="D10" s="25">
        <f t="shared" si="5"/>
        <v>0</v>
      </c>
      <c r="E10" s="75"/>
      <c r="F10" s="4">
        <f>F9+1</f>
        <v>3</v>
      </c>
      <c r="G10" s="77" t="s">
        <v>3</v>
      </c>
      <c r="H10" s="22">
        <v>0</v>
      </c>
      <c r="I10" s="8" t="s">
        <v>9</v>
      </c>
      <c r="J10" s="2"/>
      <c r="K10" s="5"/>
      <c r="L10" s="2"/>
      <c r="M10" s="2" t="s">
        <v>29</v>
      </c>
      <c r="N10" s="2"/>
      <c r="O10" s="15" t="s">
        <v>17</v>
      </c>
      <c r="P10" s="13"/>
      <c r="Q10" s="17">
        <v>1</v>
      </c>
      <c r="S10" s="13"/>
      <c r="T10" s="13"/>
    </row>
    <row r="11" spans="2:20">
      <c r="B11" s="3">
        <f t="shared" si="3"/>
        <v>103.1</v>
      </c>
      <c r="C11" s="25">
        <f t="shared" si="4"/>
        <v>100</v>
      </c>
      <c r="D11" s="25">
        <f t="shared" si="5"/>
        <v>0</v>
      </c>
      <c r="E11" s="75"/>
      <c r="F11" s="4">
        <f t="shared" si="6"/>
        <v>3</v>
      </c>
      <c r="G11" s="77"/>
      <c r="H11" s="22">
        <f t="shared" si="7"/>
        <v>0.1</v>
      </c>
      <c r="I11" s="8" t="s">
        <v>10</v>
      </c>
      <c r="J11" s="49">
        <f>-L11</f>
        <v>-0.35</v>
      </c>
      <c r="K11" s="7" t="e">
        <f>K10/K$5-1</f>
        <v>#N/A</v>
      </c>
      <c r="L11" s="47">
        <f>Specifications!E4</f>
        <v>0.35</v>
      </c>
      <c r="M11" s="6" t="s">
        <v>28</v>
      </c>
      <c r="N11" s="2" t="e">
        <f>IF((J11&lt;K11)* (K11&lt;L11),"PASS","FAIL")</f>
        <v>#N/A</v>
      </c>
      <c r="O11" s="15"/>
      <c r="P11" s="13"/>
      <c r="R11" s="17">
        <v>1</v>
      </c>
      <c r="S11" s="13"/>
      <c r="T11" s="13"/>
    </row>
    <row r="12" spans="2:20">
      <c r="B12" s="3">
        <f t="shared" si="3"/>
        <v>104</v>
      </c>
      <c r="C12" s="25">
        <f t="shared" si="4"/>
        <v>100</v>
      </c>
      <c r="D12" s="25">
        <f t="shared" si="5"/>
        <v>0</v>
      </c>
      <c r="E12" s="75"/>
      <c r="F12" s="4">
        <f>F11+1</f>
        <v>4</v>
      </c>
      <c r="G12" s="77" t="s">
        <v>11</v>
      </c>
      <c r="H12" s="22">
        <v>0</v>
      </c>
      <c r="I12" s="8" t="s">
        <v>9</v>
      </c>
      <c r="J12" s="2"/>
      <c r="K12" s="5"/>
      <c r="L12" s="2"/>
      <c r="M12" s="2" t="s">
        <v>29</v>
      </c>
      <c r="N12" s="2"/>
      <c r="O12" s="15" t="s">
        <v>18</v>
      </c>
      <c r="P12" s="13"/>
      <c r="Q12" s="17">
        <v>1</v>
      </c>
      <c r="S12" s="13"/>
      <c r="T12" s="13"/>
    </row>
    <row r="13" spans="2:20">
      <c r="B13" s="3">
        <f t="shared" si="3"/>
        <v>104.1</v>
      </c>
      <c r="C13" s="25">
        <f t="shared" si="4"/>
        <v>100</v>
      </c>
      <c r="D13" s="25">
        <f t="shared" si="5"/>
        <v>0</v>
      </c>
      <c r="E13" s="75"/>
      <c r="F13" s="4">
        <f t="shared" si="6"/>
        <v>4</v>
      </c>
      <c r="G13" s="77"/>
      <c r="H13" s="22">
        <f t="shared" si="7"/>
        <v>0.1</v>
      </c>
      <c r="I13" s="8" t="s">
        <v>10</v>
      </c>
      <c r="J13" s="6">
        <f>J11</f>
        <v>-0.35</v>
      </c>
      <c r="K13" s="7" t="e">
        <f>K12/K$5-1</f>
        <v>#N/A</v>
      </c>
      <c r="L13" s="6">
        <f>L11</f>
        <v>0.35</v>
      </c>
      <c r="M13" s="6" t="s">
        <v>28</v>
      </c>
      <c r="N13" s="2" t="e">
        <f>IF((J13&lt;K13)* (K13&lt;L13),"PASS","FAIL")</f>
        <v>#N/A</v>
      </c>
      <c r="O13" s="15"/>
      <c r="P13" s="13"/>
      <c r="R13" s="17">
        <v>1</v>
      </c>
      <c r="S13" s="13"/>
      <c r="T13" s="13"/>
    </row>
    <row r="14" spans="2:20">
      <c r="B14" s="3">
        <f t="shared" si="3"/>
        <v>105</v>
      </c>
      <c r="C14" s="25">
        <f t="shared" si="4"/>
        <v>100</v>
      </c>
      <c r="D14" s="25">
        <f t="shared" si="5"/>
        <v>0</v>
      </c>
      <c r="E14" s="76"/>
      <c r="F14" s="46">
        <f>F13+1</f>
        <v>5</v>
      </c>
      <c r="G14" s="2" t="s">
        <v>12</v>
      </c>
      <c r="H14" s="22">
        <v>0</v>
      </c>
      <c r="I14" s="8" t="s">
        <v>8</v>
      </c>
      <c r="J14" s="2"/>
      <c r="K14" s="7" t="e">
        <f>((MAX(K7,K9,K11,K13)-MIN(K7,K9,K11,K13))/2)</f>
        <v>#N/A</v>
      </c>
      <c r="L14" s="2"/>
      <c r="M14" s="6" t="s">
        <v>28</v>
      </c>
      <c r="N14" s="2"/>
      <c r="O14" s="15" t="s">
        <v>25</v>
      </c>
      <c r="P14" s="13"/>
      <c r="S14" s="13"/>
      <c r="T14" s="13"/>
    </row>
    <row r="15" spans="2:20">
      <c r="B15" s="3">
        <f t="shared" si="3"/>
        <v>110</v>
      </c>
      <c r="C15" s="25">
        <f t="shared" si="4"/>
        <v>100</v>
      </c>
      <c r="D15" s="25">
        <f>D14+10</f>
        <v>10</v>
      </c>
      <c r="E15" s="84" t="s">
        <v>34</v>
      </c>
      <c r="F15" s="4">
        <v>0</v>
      </c>
      <c r="G15" s="85" t="s">
        <v>31</v>
      </c>
      <c r="H15" s="85"/>
      <c r="I15" s="85"/>
      <c r="J15" s="85"/>
      <c r="K15" s="12">
        <f>K6/2</f>
        <v>0</v>
      </c>
      <c r="L15" s="2"/>
      <c r="M15" s="9" t="s">
        <v>30</v>
      </c>
      <c r="N15" s="2"/>
      <c r="O15" s="15" t="s">
        <v>32</v>
      </c>
      <c r="P15" s="13"/>
      <c r="S15" s="13"/>
      <c r="T15" s="13"/>
    </row>
    <row r="16" spans="2:20">
      <c r="B16" s="3">
        <f t="shared" si="3"/>
        <v>111</v>
      </c>
      <c r="C16" s="25">
        <f t="shared" si="4"/>
        <v>100</v>
      </c>
      <c r="D16" s="25">
        <f t="shared" si="5"/>
        <v>10</v>
      </c>
      <c r="E16" s="84"/>
      <c r="F16" s="4">
        <f>F15+1</f>
        <v>1</v>
      </c>
      <c r="G16" s="77" t="s">
        <v>61</v>
      </c>
      <c r="H16" s="22">
        <v>0</v>
      </c>
      <c r="I16" s="8" t="str">
        <f>"-polar @ HM"</f>
        <v>-polar @ HM</v>
      </c>
      <c r="J16" s="2"/>
      <c r="K16" s="5"/>
      <c r="L16" s="2"/>
      <c r="M16" s="9" t="s">
        <v>30</v>
      </c>
      <c r="N16" s="2"/>
      <c r="O16" s="15" t="s">
        <v>20</v>
      </c>
      <c r="P16" s="13"/>
      <c r="Q16" s="17">
        <v>1</v>
      </c>
      <c r="S16" s="13"/>
      <c r="T16" s="13"/>
    </row>
    <row r="17" spans="2:20">
      <c r="B17" s="3">
        <f t="shared" si="3"/>
        <v>111.1</v>
      </c>
      <c r="C17" s="25">
        <f t="shared" si="4"/>
        <v>100</v>
      </c>
      <c r="D17" s="25">
        <f t="shared" si="5"/>
        <v>10</v>
      </c>
      <c r="E17" s="84"/>
      <c r="F17" s="4">
        <f t="shared" si="6"/>
        <v>1</v>
      </c>
      <c r="G17" s="77"/>
      <c r="H17" s="22">
        <f>H16+0.1</f>
        <v>0.1</v>
      </c>
      <c r="I17" s="8" t="str">
        <f>"+polar @ HM"</f>
        <v>+polar @ HM</v>
      </c>
      <c r="J17" s="2"/>
      <c r="K17" s="5"/>
      <c r="L17" s="2"/>
      <c r="M17" s="9" t="s">
        <v>30</v>
      </c>
      <c r="N17" s="2"/>
      <c r="O17" s="15" t="s">
        <v>21</v>
      </c>
      <c r="P17" s="13"/>
      <c r="Q17" s="17">
        <v>1</v>
      </c>
      <c r="S17" s="13"/>
      <c r="T17" s="13"/>
    </row>
    <row r="18" spans="2:20">
      <c r="B18" s="3">
        <f t="shared" si="3"/>
        <v>111.2</v>
      </c>
      <c r="C18" s="25">
        <f t="shared" si="4"/>
        <v>100</v>
      </c>
      <c r="D18" s="25">
        <f t="shared" si="5"/>
        <v>10</v>
      </c>
      <c r="E18" s="84"/>
      <c r="F18" s="4">
        <f t="shared" si="6"/>
        <v>1</v>
      </c>
      <c r="G18" s="77"/>
      <c r="H18" s="22">
        <f t="shared" ref="H18:H31" si="8">H17+0.1</f>
        <v>0.2</v>
      </c>
      <c r="I18" s="8" t="s">
        <v>14</v>
      </c>
      <c r="J18" s="50">
        <f>-L18</f>
        <v>-15</v>
      </c>
      <c r="K18" s="10">
        <f>(K17+(K16-360))/2</f>
        <v>-180</v>
      </c>
      <c r="L18" s="48">
        <f>Specifications!E6</f>
        <v>15</v>
      </c>
      <c r="M18" s="9" t="s">
        <v>30</v>
      </c>
      <c r="N18" s="2" t="str">
        <f>IF((J18&lt;K18)* (K18&lt;L18),"PASS","FAIL")</f>
        <v>FAIL</v>
      </c>
      <c r="O18" s="15"/>
      <c r="P18" s="13"/>
      <c r="R18" s="17">
        <v>1</v>
      </c>
      <c r="S18" s="13"/>
      <c r="T18" s="13"/>
    </row>
    <row r="19" spans="2:20">
      <c r="B19" s="3">
        <f t="shared" si="3"/>
        <v>111.3</v>
      </c>
      <c r="C19" s="25">
        <f t="shared" si="4"/>
        <v>100</v>
      </c>
      <c r="D19" s="25">
        <f t="shared" si="5"/>
        <v>10</v>
      </c>
      <c r="E19" s="84"/>
      <c r="F19" s="4">
        <f t="shared" si="6"/>
        <v>1</v>
      </c>
      <c r="G19" s="77"/>
      <c r="H19" s="22">
        <f t="shared" si="8"/>
        <v>0.30000000000000004</v>
      </c>
      <c r="I19" s="8" t="s">
        <v>22</v>
      </c>
      <c r="J19" s="48">
        <f>Specifications!E11</f>
        <v>50</v>
      </c>
      <c r="K19" s="10">
        <f>K17-(K16-360)</f>
        <v>360</v>
      </c>
      <c r="L19" s="48">
        <f>Specifications!E12</f>
        <v>70</v>
      </c>
      <c r="M19" s="9" t="s">
        <v>30</v>
      </c>
      <c r="N19" s="2" t="str">
        <f>IF((J19&lt;K19)* (K19&lt;L19),"PASS","FAIL")</f>
        <v>FAIL</v>
      </c>
      <c r="O19" s="15"/>
      <c r="P19" s="13"/>
      <c r="R19" s="17">
        <v>1</v>
      </c>
      <c r="S19" s="13"/>
      <c r="T19" s="13"/>
    </row>
    <row r="20" spans="2:20">
      <c r="B20" s="3">
        <f t="shared" si="3"/>
        <v>112</v>
      </c>
      <c r="C20" s="25">
        <f t="shared" si="4"/>
        <v>100</v>
      </c>
      <c r="D20" s="25">
        <f t="shared" si="5"/>
        <v>10</v>
      </c>
      <c r="E20" s="84"/>
      <c r="F20" s="4">
        <f>F19+1</f>
        <v>2</v>
      </c>
      <c r="G20" s="77" t="s">
        <v>62</v>
      </c>
      <c r="H20" s="22">
        <v>0</v>
      </c>
      <c r="I20" s="8" t="str">
        <f>"-polar @ HM"</f>
        <v>-polar @ HM</v>
      </c>
      <c r="J20" s="2"/>
      <c r="K20" s="5"/>
      <c r="L20" s="2"/>
      <c r="M20" s="9" t="s">
        <v>30</v>
      </c>
      <c r="N20" s="2"/>
      <c r="O20" s="15" t="s">
        <v>20</v>
      </c>
      <c r="P20" s="13"/>
      <c r="Q20" s="17">
        <v>1</v>
      </c>
      <c r="S20" s="13"/>
      <c r="T20" s="13"/>
    </row>
    <row r="21" spans="2:20">
      <c r="B21" s="3">
        <f t="shared" si="3"/>
        <v>112.1</v>
      </c>
      <c r="C21" s="25">
        <f t="shared" si="4"/>
        <v>100</v>
      </c>
      <c r="D21" s="25">
        <f t="shared" si="5"/>
        <v>10</v>
      </c>
      <c r="E21" s="84"/>
      <c r="F21" s="4">
        <f t="shared" si="6"/>
        <v>2</v>
      </c>
      <c r="G21" s="77"/>
      <c r="H21" s="22">
        <f t="shared" si="8"/>
        <v>0.1</v>
      </c>
      <c r="I21" s="8" t="str">
        <f>"+polar @ HM"</f>
        <v>+polar @ HM</v>
      </c>
      <c r="J21" s="2"/>
      <c r="K21" s="5"/>
      <c r="L21" s="2"/>
      <c r="M21" s="9" t="s">
        <v>30</v>
      </c>
      <c r="N21" s="2"/>
      <c r="O21" s="15" t="s">
        <v>21</v>
      </c>
      <c r="P21" s="13"/>
      <c r="Q21" s="16">
        <v>1</v>
      </c>
      <c r="S21" s="13"/>
      <c r="T21" s="13"/>
    </row>
    <row r="22" spans="2:20">
      <c r="B22" s="3">
        <f t="shared" si="3"/>
        <v>112.2</v>
      </c>
      <c r="C22" s="25">
        <f t="shared" si="4"/>
        <v>100</v>
      </c>
      <c r="D22" s="25">
        <f t="shared" si="5"/>
        <v>10</v>
      </c>
      <c r="E22" s="84"/>
      <c r="F22" s="4">
        <f t="shared" si="6"/>
        <v>2</v>
      </c>
      <c r="G22" s="77"/>
      <c r="H22" s="22">
        <f t="shared" si="8"/>
        <v>0.2</v>
      </c>
      <c r="I22" s="8" t="s">
        <v>14</v>
      </c>
      <c r="J22" s="2">
        <f>J18</f>
        <v>-15</v>
      </c>
      <c r="K22" s="10">
        <f>(K21+(K20-360))/2</f>
        <v>-180</v>
      </c>
      <c r="L22" s="2">
        <f>L18</f>
        <v>15</v>
      </c>
      <c r="M22" s="9" t="s">
        <v>30</v>
      </c>
      <c r="N22" s="2" t="str">
        <f>IF((J22&lt;K22)* (K22&lt;L22),"PASS","FAIL")</f>
        <v>FAIL</v>
      </c>
      <c r="O22" s="15"/>
      <c r="P22" s="13"/>
      <c r="R22" s="17">
        <v>1</v>
      </c>
      <c r="S22" s="13"/>
      <c r="T22" s="13"/>
    </row>
    <row r="23" spans="2:20">
      <c r="B23" s="3">
        <f t="shared" si="3"/>
        <v>112.3</v>
      </c>
      <c r="C23" s="25">
        <f t="shared" si="4"/>
        <v>100</v>
      </c>
      <c r="D23" s="25">
        <f t="shared" si="5"/>
        <v>10</v>
      </c>
      <c r="E23" s="84"/>
      <c r="F23" s="4">
        <f t="shared" si="6"/>
        <v>2</v>
      </c>
      <c r="G23" s="77"/>
      <c r="H23" s="22">
        <f t="shared" si="8"/>
        <v>0.30000000000000004</v>
      </c>
      <c r="I23" s="8" t="s">
        <v>22</v>
      </c>
      <c r="J23" s="41">
        <f>J19</f>
        <v>50</v>
      </c>
      <c r="K23" s="10">
        <f>K21-(K20-360)</f>
        <v>360</v>
      </c>
      <c r="L23" s="41">
        <f>L19</f>
        <v>70</v>
      </c>
      <c r="M23" s="9" t="s">
        <v>30</v>
      </c>
      <c r="N23" s="2" t="str">
        <f>IF((J23&lt;K23)* (K23&lt;L23),"PASS","FAIL")</f>
        <v>FAIL</v>
      </c>
      <c r="O23" s="15"/>
      <c r="P23" s="13"/>
      <c r="R23" s="17">
        <v>1</v>
      </c>
      <c r="S23" s="13"/>
      <c r="T23" s="13"/>
    </row>
    <row r="24" spans="2:20">
      <c r="B24" s="3">
        <f t="shared" si="3"/>
        <v>113</v>
      </c>
      <c r="C24" s="25">
        <f t="shared" si="4"/>
        <v>100</v>
      </c>
      <c r="D24" s="25">
        <f t="shared" si="5"/>
        <v>10</v>
      </c>
      <c r="E24" s="84"/>
      <c r="F24" s="4">
        <f>F23+1</f>
        <v>3</v>
      </c>
      <c r="G24" s="77" t="s">
        <v>26</v>
      </c>
      <c r="H24" s="22">
        <v>0</v>
      </c>
      <c r="I24" s="8" t="str">
        <f>"-polar @ HM"</f>
        <v>-polar @ HM</v>
      </c>
      <c r="J24" s="2"/>
      <c r="K24" s="5"/>
      <c r="L24" s="2"/>
      <c r="M24" s="9" t="s">
        <v>30</v>
      </c>
      <c r="N24" s="2"/>
      <c r="O24" s="15" t="s">
        <v>20</v>
      </c>
      <c r="P24" s="13"/>
      <c r="Q24" s="17">
        <v>1</v>
      </c>
      <c r="S24" s="13"/>
      <c r="T24" s="13"/>
    </row>
    <row r="25" spans="2:20">
      <c r="B25" s="3">
        <f t="shared" si="3"/>
        <v>113.1</v>
      </c>
      <c r="C25" s="25">
        <f t="shared" si="4"/>
        <v>100</v>
      </c>
      <c r="D25" s="25">
        <f t="shared" si="5"/>
        <v>10</v>
      </c>
      <c r="E25" s="84"/>
      <c r="F25" s="4">
        <f t="shared" si="6"/>
        <v>3</v>
      </c>
      <c r="G25" s="77"/>
      <c r="H25" s="22">
        <f t="shared" si="8"/>
        <v>0.1</v>
      </c>
      <c r="I25" s="8" t="str">
        <f>"+polar @ HM"</f>
        <v>+polar @ HM</v>
      </c>
      <c r="J25" s="2"/>
      <c r="K25" s="5"/>
      <c r="L25" s="2"/>
      <c r="M25" s="9" t="s">
        <v>30</v>
      </c>
      <c r="N25" s="2"/>
      <c r="O25" s="15" t="s">
        <v>21</v>
      </c>
      <c r="P25" s="13"/>
      <c r="Q25" s="16">
        <v>1</v>
      </c>
      <c r="S25" s="13"/>
      <c r="T25" s="13"/>
    </row>
    <row r="26" spans="2:20">
      <c r="B26" s="3">
        <f t="shared" si="3"/>
        <v>113.2</v>
      </c>
      <c r="C26" s="25">
        <f t="shared" si="4"/>
        <v>100</v>
      </c>
      <c r="D26" s="25">
        <f t="shared" si="5"/>
        <v>10</v>
      </c>
      <c r="E26" s="84"/>
      <c r="F26" s="4">
        <f t="shared" si="6"/>
        <v>3</v>
      </c>
      <c r="G26" s="77"/>
      <c r="H26" s="22">
        <f t="shared" si="8"/>
        <v>0.2</v>
      </c>
      <c r="I26" s="8" t="s">
        <v>14</v>
      </c>
      <c r="J26" s="41">
        <f>J22</f>
        <v>-15</v>
      </c>
      <c r="K26" s="10">
        <f>(K25+(K24-360))/2</f>
        <v>-180</v>
      </c>
      <c r="L26" s="41">
        <f>L22</f>
        <v>15</v>
      </c>
      <c r="M26" s="9" t="s">
        <v>30</v>
      </c>
      <c r="N26" s="2" t="str">
        <f>IF((J26&lt;K26)* (K26&lt;L26),"PASS","FAIL")</f>
        <v>FAIL</v>
      </c>
      <c r="O26" s="15"/>
      <c r="P26" s="13"/>
      <c r="R26" s="17">
        <v>1</v>
      </c>
      <c r="S26" s="13"/>
      <c r="T26" s="13"/>
    </row>
    <row r="27" spans="2:20">
      <c r="B27" s="3">
        <f t="shared" si="3"/>
        <v>113.3</v>
      </c>
      <c r="C27" s="25">
        <f t="shared" si="4"/>
        <v>100</v>
      </c>
      <c r="D27" s="25">
        <f t="shared" si="5"/>
        <v>10</v>
      </c>
      <c r="E27" s="84"/>
      <c r="F27" s="4">
        <f t="shared" si="6"/>
        <v>3</v>
      </c>
      <c r="G27" s="77"/>
      <c r="H27" s="22">
        <f t="shared" si="8"/>
        <v>0.30000000000000004</v>
      </c>
      <c r="I27" s="8" t="s">
        <v>22</v>
      </c>
      <c r="J27" s="41">
        <f>J23</f>
        <v>50</v>
      </c>
      <c r="K27" s="10">
        <f>K25-(K24-360)</f>
        <v>360</v>
      </c>
      <c r="L27" s="41">
        <f>L23</f>
        <v>70</v>
      </c>
      <c r="M27" s="9" t="s">
        <v>30</v>
      </c>
      <c r="N27" s="2" t="str">
        <f>IF((J27&lt;K27)* (K27&lt;L27),"PASS","FAIL")</f>
        <v>FAIL</v>
      </c>
      <c r="O27" s="15"/>
      <c r="P27" s="13"/>
      <c r="R27" s="17">
        <v>1</v>
      </c>
      <c r="S27" s="13"/>
      <c r="T27" s="13"/>
    </row>
    <row r="28" spans="2:20">
      <c r="B28" s="3">
        <f t="shared" si="3"/>
        <v>114</v>
      </c>
      <c r="C28" s="25">
        <f t="shared" si="4"/>
        <v>100</v>
      </c>
      <c r="D28" s="25">
        <f t="shared" si="5"/>
        <v>10</v>
      </c>
      <c r="E28" s="84"/>
      <c r="F28" s="4">
        <f>F27+1</f>
        <v>4</v>
      </c>
      <c r="G28" s="77" t="s">
        <v>27</v>
      </c>
      <c r="H28" s="22">
        <v>0</v>
      </c>
      <c r="I28" s="8" t="str">
        <f>"-polar @ HM"</f>
        <v>-polar @ HM</v>
      </c>
      <c r="J28" s="2"/>
      <c r="K28" s="5"/>
      <c r="L28" s="2"/>
      <c r="M28" s="9" t="s">
        <v>30</v>
      </c>
      <c r="N28" s="2"/>
      <c r="O28" s="15" t="s">
        <v>20</v>
      </c>
      <c r="P28" s="13"/>
      <c r="Q28" s="17">
        <v>1</v>
      </c>
      <c r="S28" s="13"/>
      <c r="T28" s="13"/>
    </row>
    <row r="29" spans="2:20">
      <c r="B29" s="3">
        <f t="shared" si="3"/>
        <v>114.1</v>
      </c>
      <c r="C29" s="25">
        <f t="shared" si="4"/>
        <v>100</v>
      </c>
      <c r="D29" s="25">
        <f t="shared" si="5"/>
        <v>10</v>
      </c>
      <c r="E29" s="84"/>
      <c r="F29" s="4">
        <f t="shared" si="6"/>
        <v>4</v>
      </c>
      <c r="G29" s="77"/>
      <c r="H29" s="22">
        <f t="shared" si="8"/>
        <v>0.1</v>
      </c>
      <c r="I29" s="8" t="str">
        <f>"+polar @ HM"</f>
        <v>+polar @ HM</v>
      </c>
      <c r="J29" s="2"/>
      <c r="K29" s="5"/>
      <c r="L29" s="2"/>
      <c r="M29" s="9" t="s">
        <v>30</v>
      </c>
      <c r="N29" s="2"/>
      <c r="O29" s="15" t="s">
        <v>21</v>
      </c>
      <c r="P29" s="13"/>
      <c r="Q29" s="16">
        <v>1</v>
      </c>
      <c r="S29" s="13"/>
      <c r="T29" s="13"/>
    </row>
    <row r="30" spans="2:20">
      <c r="B30" s="3">
        <f t="shared" si="3"/>
        <v>114.2</v>
      </c>
      <c r="C30" s="25">
        <f t="shared" si="4"/>
        <v>100</v>
      </c>
      <c r="D30" s="25">
        <f t="shared" si="5"/>
        <v>10</v>
      </c>
      <c r="E30" s="84"/>
      <c r="F30" s="4">
        <f t="shared" si="6"/>
        <v>4</v>
      </c>
      <c r="G30" s="77"/>
      <c r="H30" s="22">
        <f t="shared" si="8"/>
        <v>0.2</v>
      </c>
      <c r="I30" s="8" t="s">
        <v>14</v>
      </c>
      <c r="J30" s="41">
        <f>J26</f>
        <v>-15</v>
      </c>
      <c r="K30" s="10">
        <f>(K29+(K28-360))/2</f>
        <v>-180</v>
      </c>
      <c r="L30" s="41">
        <f>L26</f>
        <v>15</v>
      </c>
      <c r="M30" s="9" t="s">
        <v>30</v>
      </c>
      <c r="N30" s="2" t="str">
        <f>IF((J30&lt;K30)* (K30&lt;L30),"PASS","FAIL")</f>
        <v>FAIL</v>
      </c>
      <c r="O30" s="15"/>
      <c r="P30" s="13"/>
      <c r="R30" s="17">
        <v>1</v>
      </c>
      <c r="S30" s="13"/>
      <c r="T30" s="13"/>
    </row>
    <row r="31" spans="2:20">
      <c r="B31" s="3">
        <f t="shared" si="3"/>
        <v>114.3</v>
      </c>
      <c r="C31" s="25">
        <f t="shared" si="4"/>
        <v>100</v>
      </c>
      <c r="D31" s="25">
        <f t="shared" si="5"/>
        <v>10</v>
      </c>
      <c r="E31" s="84"/>
      <c r="F31" s="4">
        <f t="shared" si="6"/>
        <v>4</v>
      </c>
      <c r="G31" s="77"/>
      <c r="H31" s="22">
        <f t="shared" si="8"/>
        <v>0.30000000000000004</v>
      </c>
      <c r="I31" s="8" t="s">
        <v>22</v>
      </c>
      <c r="J31" s="41">
        <f>J27</f>
        <v>50</v>
      </c>
      <c r="K31" s="10">
        <f>K29-(K28-360)</f>
        <v>360</v>
      </c>
      <c r="L31" s="41">
        <f>L27</f>
        <v>70</v>
      </c>
      <c r="M31" s="9" t="s">
        <v>30</v>
      </c>
      <c r="N31" s="2" t="str">
        <f>IF((J31&lt;K31)* (K31&lt;L31),"PASS","FAIL")</f>
        <v>FAIL</v>
      </c>
      <c r="O31" s="15"/>
      <c r="P31" s="13"/>
      <c r="R31" s="17">
        <v>1</v>
      </c>
      <c r="S31" s="13"/>
      <c r="T31" s="13"/>
    </row>
    <row r="32" spans="2:20">
      <c r="B32" s="90"/>
      <c r="C32" s="91"/>
      <c r="D32" s="92"/>
      <c r="E32" s="78" t="s">
        <v>100</v>
      </c>
      <c r="F32" s="79"/>
      <c r="G32" s="79"/>
      <c r="H32" s="79"/>
      <c r="I32" s="79"/>
      <c r="J32" s="79"/>
      <c r="K32" s="79"/>
      <c r="L32" s="79"/>
      <c r="M32" s="79"/>
      <c r="N32" s="79"/>
      <c r="O32" s="80"/>
      <c r="P32" s="13"/>
      <c r="S32" s="13"/>
      <c r="T32" s="13"/>
    </row>
    <row r="33" spans="2:20">
      <c r="B33" s="3">
        <f t="shared" ref="B33:B45" si="9">C33+D33+F33+H33</f>
        <v>200</v>
      </c>
      <c r="C33" s="26">
        <f>C31+100</f>
        <v>200</v>
      </c>
      <c r="D33" s="26">
        <v>0</v>
      </c>
      <c r="E33" s="81" t="s">
        <v>39</v>
      </c>
      <c r="F33" s="19">
        <v>0</v>
      </c>
      <c r="G33" s="74" t="s">
        <v>1</v>
      </c>
      <c r="H33" s="22">
        <v>0</v>
      </c>
      <c r="I33" s="8" t="s">
        <v>9</v>
      </c>
      <c r="J33" s="2"/>
      <c r="K33" s="5"/>
      <c r="L33" s="2"/>
      <c r="M33" s="2" t="s">
        <v>29</v>
      </c>
      <c r="N33" s="2"/>
      <c r="O33" s="15" t="s">
        <v>15</v>
      </c>
      <c r="P33" s="13"/>
      <c r="Q33" s="17">
        <v>1</v>
      </c>
      <c r="S33" s="13"/>
      <c r="T33" s="13"/>
    </row>
    <row r="34" spans="2:20">
      <c r="B34" s="3">
        <f t="shared" si="9"/>
        <v>200.1</v>
      </c>
      <c r="C34" s="25">
        <f t="shared" ref="C34:C45" si="10">C33</f>
        <v>200</v>
      </c>
      <c r="D34" s="25">
        <f t="shared" ref="D34:D45" si="11">D33</f>
        <v>0</v>
      </c>
      <c r="E34" s="82"/>
      <c r="F34" s="4">
        <f t="shared" ref="F34:F44" si="12">F33</f>
        <v>0</v>
      </c>
      <c r="G34" s="75"/>
      <c r="H34" s="22">
        <f t="shared" ref="H34:H44" si="13">H33+0.1</f>
        <v>0.1</v>
      </c>
      <c r="I34" s="8" t="s">
        <v>10</v>
      </c>
      <c r="J34" s="6">
        <f>-L34</f>
        <v>-0.35</v>
      </c>
      <c r="K34" s="7" t="e">
        <f>K33/K$5-1</f>
        <v>#N/A</v>
      </c>
      <c r="L34" s="47">
        <f>Specifications!E5</f>
        <v>0.35</v>
      </c>
      <c r="M34" s="6" t="s">
        <v>28</v>
      </c>
      <c r="N34" s="2" t="e">
        <f>IF((J34&lt;K34)* (K34&lt;L34),"PASS","FAIL")</f>
        <v>#N/A</v>
      </c>
      <c r="O34" s="15"/>
      <c r="P34" s="13"/>
      <c r="R34" s="17">
        <v>1</v>
      </c>
      <c r="S34" s="13"/>
      <c r="T34" s="13"/>
    </row>
    <row r="35" spans="2:20">
      <c r="B35" s="3">
        <f t="shared" si="9"/>
        <v>200.2</v>
      </c>
      <c r="C35" s="25">
        <f t="shared" si="10"/>
        <v>200</v>
      </c>
      <c r="D35" s="25">
        <f t="shared" si="11"/>
        <v>0</v>
      </c>
      <c r="E35" s="82"/>
      <c r="F35" s="4">
        <f t="shared" si="12"/>
        <v>0</v>
      </c>
      <c r="G35" s="76"/>
      <c r="H35" s="22">
        <f t="shared" si="13"/>
        <v>0.2</v>
      </c>
      <c r="I35" s="8" t="s">
        <v>35</v>
      </c>
      <c r="J35" s="6">
        <f>-L35</f>
        <v>-0.15</v>
      </c>
      <c r="K35" s="7" t="e">
        <f>K33/K6-1</f>
        <v>#DIV/0!</v>
      </c>
      <c r="L35" s="47">
        <f>Specifications!E15</f>
        <v>0.15</v>
      </c>
      <c r="M35" s="6" t="s">
        <v>28</v>
      </c>
      <c r="N35" s="2" t="e">
        <f>IF((J35&lt;K35)* (K35&lt;L35),"PASS","FAIL")</f>
        <v>#DIV/0!</v>
      </c>
      <c r="O35" s="15"/>
      <c r="P35" s="13"/>
      <c r="R35" s="17">
        <v>1</v>
      </c>
      <c r="S35" s="13"/>
      <c r="T35" s="13"/>
    </row>
    <row r="36" spans="2:20">
      <c r="B36" s="3">
        <f t="shared" si="9"/>
        <v>201</v>
      </c>
      <c r="C36" s="25">
        <f t="shared" si="10"/>
        <v>200</v>
      </c>
      <c r="D36" s="25">
        <f t="shared" si="11"/>
        <v>0</v>
      </c>
      <c r="E36" s="82"/>
      <c r="F36" s="4">
        <f>F35+1</f>
        <v>1</v>
      </c>
      <c r="G36" s="74" t="s">
        <v>2</v>
      </c>
      <c r="H36" s="22">
        <v>0</v>
      </c>
      <c r="I36" s="8" t="s">
        <v>9</v>
      </c>
      <c r="J36" s="2"/>
      <c r="K36" s="5"/>
      <c r="L36" s="2"/>
      <c r="M36" s="2" t="s">
        <v>29</v>
      </c>
      <c r="N36" s="2"/>
      <c r="O36" s="15" t="s">
        <v>16</v>
      </c>
      <c r="P36" s="13"/>
      <c r="Q36" s="17">
        <v>1</v>
      </c>
      <c r="S36" s="13"/>
      <c r="T36" s="13"/>
    </row>
    <row r="37" spans="2:20">
      <c r="B37" s="3">
        <f t="shared" si="9"/>
        <v>201.1</v>
      </c>
      <c r="C37" s="25">
        <f t="shared" si="10"/>
        <v>200</v>
      </c>
      <c r="D37" s="25">
        <f t="shared" si="11"/>
        <v>0</v>
      </c>
      <c r="E37" s="82"/>
      <c r="F37" s="4">
        <f t="shared" si="12"/>
        <v>1</v>
      </c>
      <c r="G37" s="75"/>
      <c r="H37" s="22">
        <f t="shared" si="13"/>
        <v>0.1</v>
      </c>
      <c r="I37" s="8" t="s">
        <v>10</v>
      </c>
      <c r="J37" s="6">
        <f>J34</f>
        <v>-0.35</v>
      </c>
      <c r="K37" s="7" t="e">
        <f>K36/K$5-1</f>
        <v>#N/A</v>
      </c>
      <c r="L37" s="6">
        <f>L34</f>
        <v>0.35</v>
      </c>
      <c r="M37" s="6" t="s">
        <v>28</v>
      </c>
      <c r="N37" s="2" t="e">
        <f>IF((J37&lt;K37)* (K37&lt;L37),"PASS","FAIL")</f>
        <v>#N/A</v>
      </c>
      <c r="O37" s="15"/>
      <c r="P37" s="13"/>
      <c r="R37" s="17">
        <v>1</v>
      </c>
      <c r="S37" s="13"/>
      <c r="T37" s="13"/>
    </row>
    <row r="38" spans="2:20">
      <c r="B38" s="3">
        <f t="shared" si="9"/>
        <v>201.2</v>
      </c>
      <c r="C38" s="25">
        <f t="shared" si="10"/>
        <v>200</v>
      </c>
      <c r="D38" s="25">
        <f t="shared" si="11"/>
        <v>0</v>
      </c>
      <c r="E38" s="82"/>
      <c r="F38" s="4">
        <f t="shared" si="12"/>
        <v>1</v>
      </c>
      <c r="G38" s="76"/>
      <c r="H38" s="22">
        <f t="shared" si="13"/>
        <v>0.2</v>
      </c>
      <c r="I38" s="8" t="s">
        <v>35</v>
      </c>
      <c r="J38" s="6">
        <f>J35</f>
        <v>-0.15</v>
      </c>
      <c r="K38" s="7" t="e">
        <f>K36/K8-1</f>
        <v>#DIV/0!</v>
      </c>
      <c r="L38" s="6">
        <f>L35</f>
        <v>0.15</v>
      </c>
      <c r="M38" s="6" t="s">
        <v>28</v>
      </c>
      <c r="N38" s="2" t="e">
        <f>IF((J38&lt;K38)* (K38&lt;L38),"PASS","FAIL")</f>
        <v>#DIV/0!</v>
      </c>
      <c r="O38" s="15"/>
      <c r="P38" s="13"/>
      <c r="R38" s="17">
        <v>1</v>
      </c>
      <c r="S38" s="13"/>
      <c r="T38" s="13"/>
    </row>
    <row r="39" spans="2:20">
      <c r="B39" s="3">
        <f t="shared" si="9"/>
        <v>202</v>
      </c>
      <c r="C39" s="25">
        <f t="shared" si="10"/>
        <v>200</v>
      </c>
      <c r="D39" s="25">
        <f t="shared" si="11"/>
        <v>0</v>
      </c>
      <c r="E39" s="82"/>
      <c r="F39" s="4">
        <f>F38+1</f>
        <v>2</v>
      </c>
      <c r="G39" s="74" t="s">
        <v>3</v>
      </c>
      <c r="H39" s="22">
        <v>0</v>
      </c>
      <c r="I39" s="8" t="s">
        <v>9</v>
      </c>
      <c r="J39" s="2"/>
      <c r="K39" s="5"/>
      <c r="L39" s="2"/>
      <c r="M39" s="2" t="s">
        <v>29</v>
      </c>
      <c r="N39" s="2"/>
      <c r="O39" s="15" t="s">
        <v>17</v>
      </c>
      <c r="P39" s="13"/>
      <c r="Q39" s="17">
        <v>1</v>
      </c>
      <c r="S39" s="13"/>
      <c r="T39" s="13"/>
    </row>
    <row r="40" spans="2:20">
      <c r="B40" s="3">
        <f t="shared" si="9"/>
        <v>202.1</v>
      </c>
      <c r="C40" s="25">
        <f t="shared" si="10"/>
        <v>200</v>
      </c>
      <c r="D40" s="25">
        <f t="shared" si="11"/>
        <v>0</v>
      </c>
      <c r="E40" s="82"/>
      <c r="F40" s="4">
        <f t="shared" si="12"/>
        <v>2</v>
      </c>
      <c r="G40" s="75"/>
      <c r="H40" s="22">
        <f t="shared" si="13"/>
        <v>0.1</v>
      </c>
      <c r="I40" s="8" t="s">
        <v>10</v>
      </c>
      <c r="J40" s="6">
        <f>J37</f>
        <v>-0.35</v>
      </c>
      <c r="K40" s="7" t="e">
        <f>K39/K$5-1</f>
        <v>#N/A</v>
      </c>
      <c r="L40" s="6">
        <f>L37</f>
        <v>0.35</v>
      </c>
      <c r="M40" s="6" t="s">
        <v>28</v>
      </c>
      <c r="N40" s="2" t="e">
        <f>IF((J40&lt;K40)* (K40&lt;L40),"PASS","FAIL")</f>
        <v>#N/A</v>
      </c>
      <c r="O40" s="15"/>
      <c r="P40" s="13"/>
      <c r="R40" s="17">
        <v>1</v>
      </c>
      <c r="S40" s="13"/>
      <c r="T40" s="13"/>
    </row>
    <row r="41" spans="2:20">
      <c r="B41" s="3">
        <f t="shared" si="9"/>
        <v>202.2</v>
      </c>
      <c r="C41" s="25">
        <f t="shared" si="10"/>
        <v>200</v>
      </c>
      <c r="D41" s="25">
        <f t="shared" si="11"/>
        <v>0</v>
      </c>
      <c r="E41" s="82"/>
      <c r="F41" s="4">
        <f t="shared" si="12"/>
        <v>2</v>
      </c>
      <c r="G41" s="76"/>
      <c r="H41" s="22">
        <f t="shared" si="13"/>
        <v>0.2</v>
      </c>
      <c r="I41" s="8" t="s">
        <v>35</v>
      </c>
      <c r="J41" s="6">
        <f>-L41</f>
        <v>-0.3</v>
      </c>
      <c r="K41" s="7" t="e">
        <f>K39/K10-1</f>
        <v>#DIV/0!</v>
      </c>
      <c r="L41" s="47">
        <f>Specifications!E16</f>
        <v>0.3</v>
      </c>
      <c r="M41" s="6" t="s">
        <v>28</v>
      </c>
      <c r="N41" s="2" t="e">
        <f>IF((J41&lt;K41)* (K41&lt;L41),"PASS","FAIL")</f>
        <v>#DIV/0!</v>
      </c>
      <c r="O41" s="15"/>
      <c r="P41" s="13"/>
      <c r="R41" s="17">
        <v>1</v>
      </c>
      <c r="S41" s="13"/>
      <c r="T41" s="13"/>
    </row>
    <row r="42" spans="2:20">
      <c r="B42" s="3">
        <f t="shared" si="9"/>
        <v>203</v>
      </c>
      <c r="C42" s="25">
        <f t="shared" si="10"/>
        <v>200</v>
      </c>
      <c r="D42" s="25">
        <f t="shared" si="11"/>
        <v>0</v>
      </c>
      <c r="E42" s="82"/>
      <c r="F42" s="4">
        <f>F41+1</f>
        <v>3</v>
      </c>
      <c r="G42" s="74" t="s">
        <v>11</v>
      </c>
      <c r="H42" s="22">
        <v>0</v>
      </c>
      <c r="I42" s="8" t="s">
        <v>9</v>
      </c>
      <c r="J42" s="2"/>
      <c r="K42" s="5"/>
      <c r="L42" s="2"/>
      <c r="M42" s="2" t="s">
        <v>29</v>
      </c>
      <c r="N42" s="2"/>
      <c r="O42" s="15" t="s">
        <v>18</v>
      </c>
      <c r="P42" s="13"/>
      <c r="Q42" s="17">
        <v>1</v>
      </c>
      <c r="S42" s="13"/>
      <c r="T42" s="13"/>
    </row>
    <row r="43" spans="2:20">
      <c r="B43" s="3">
        <f t="shared" si="9"/>
        <v>203.1</v>
      </c>
      <c r="C43" s="25">
        <f t="shared" si="10"/>
        <v>200</v>
      </c>
      <c r="D43" s="25">
        <f t="shared" si="11"/>
        <v>0</v>
      </c>
      <c r="E43" s="82"/>
      <c r="F43" s="4">
        <f t="shared" si="12"/>
        <v>3</v>
      </c>
      <c r="G43" s="75"/>
      <c r="H43" s="22">
        <f t="shared" si="13"/>
        <v>0.1</v>
      </c>
      <c r="I43" s="8" t="s">
        <v>10</v>
      </c>
      <c r="J43" s="6">
        <f>J40</f>
        <v>-0.35</v>
      </c>
      <c r="K43" s="7" t="e">
        <f>K42/K$5-1</f>
        <v>#N/A</v>
      </c>
      <c r="L43" s="6">
        <f>L40</f>
        <v>0.35</v>
      </c>
      <c r="M43" s="6" t="s">
        <v>28</v>
      </c>
      <c r="N43" s="2" t="e">
        <f>IF((J43&lt;K43)* (K43&lt;L43),"PASS","FAIL")</f>
        <v>#N/A</v>
      </c>
      <c r="O43" s="15"/>
      <c r="P43" s="13"/>
      <c r="R43" s="17">
        <v>1</v>
      </c>
      <c r="S43" s="13"/>
      <c r="T43" s="13"/>
    </row>
    <row r="44" spans="2:20">
      <c r="B44" s="3">
        <f t="shared" si="9"/>
        <v>203.2</v>
      </c>
      <c r="C44" s="25">
        <f t="shared" si="10"/>
        <v>200</v>
      </c>
      <c r="D44" s="25">
        <f t="shared" si="11"/>
        <v>0</v>
      </c>
      <c r="E44" s="82"/>
      <c r="F44" s="4">
        <f t="shared" si="12"/>
        <v>3</v>
      </c>
      <c r="G44" s="76"/>
      <c r="H44" s="22">
        <f t="shared" si="13"/>
        <v>0.2</v>
      </c>
      <c r="I44" s="8" t="s">
        <v>35</v>
      </c>
      <c r="J44" s="6">
        <f>J41</f>
        <v>-0.3</v>
      </c>
      <c r="K44" s="7" t="e">
        <f>K42/K12-1</f>
        <v>#DIV/0!</v>
      </c>
      <c r="L44" s="6">
        <f>L41</f>
        <v>0.3</v>
      </c>
      <c r="M44" s="6" t="s">
        <v>28</v>
      </c>
      <c r="N44" s="2" t="e">
        <f>IF((J44&lt;K44)* (K44&lt;L44),"PASS","FAIL")</f>
        <v>#DIV/0!</v>
      </c>
      <c r="O44" s="15"/>
      <c r="P44" s="13"/>
      <c r="R44" s="17">
        <v>1</v>
      </c>
      <c r="S44" s="13"/>
      <c r="T44" s="13"/>
    </row>
    <row r="45" spans="2:20">
      <c r="B45" s="3">
        <f t="shared" si="9"/>
        <v>204</v>
      </c>
      <c r="C45" s="25">
        <f t="shared" si="10"/>
        <v>200</v>
      </c>
      <c r="D45" s="25">
        <f t="shared" si="11"/>
        <v>0</v>
      </c>
      <c r="E45" s="83"/>
      <c r="F45" s="4">
        <f>F44+1</f>
        <v>4</v>
      </c>
      <c r="G45" s="2" t="s">
        <v>12</v>
      </c>
      <c r="H45" s="22">
        <v>0</v>
      </c>
      <c r="I45" s="8" t="s">
        <v>8</v>
      </c>
      <c r="J45" s="2"/>
      <c r="K45" s="7" t="e">
        <f>((MAX(K34,K37,K40,K43)-MIN(K34,K37,K40,K43))/2)</f>
        <v>#N/A</v>
      </c>
      <c r="L45" s="2"/>
      <c r="M45" s="6" t="s">
        <v>28</v>
      </c>
      <c r="N45" s="2"/>
      <c r="O45" s="15" t="s">
        <v>25</v>
      </c>
      <c r="P45" s="13"/>
      <c r="S45" s="13"/>
      <c r="T45" s="13"/>
    </row>
    <row r="46" spans="2:20">
      <c r="B46" s="93"/>
      <c r="C46" s="94"/>
      <c r="D46" s="95"/>
      <c r="E46" s="87" t="s">
        <v>63</v>
      </c>
      <c r="F46" s="88"/>
      <c r="G46" s="88"/>
      <c r="H46" s="88"/>
      <c r="I46" s="88"/>
      <c r="J46" s="88"/>
      <c r="K46" s="88"/>
      <c r="L46" s="88"/>
      <c r="M46" s="88"/>
      <c r="N46" s="88"/>
      <c r="O46" s="89"/>
      <c r="P46" s="13"/>
      <c r="S46" s="13"/>
      <c r="T46" s="13"/>
    </row>
    <row r="47" spans="2:20" ht="15" customHeight="1">
      <c r="B47" s="3">
        <f>C47+D47+F47+H49</f>
        <v>300.2</v>
      </c>
      <c r="C47" s="26">
        <f>C45+100</f>
        <v>300</v>
      </c>
      <c r="D47" s="26">
        <v>0</v>
      </c>
      <c r="E47" s="81" t="s">
        <v>101</v>
      </c>
      <c r="F47" s="19">
        <v>0</v>
      </c>
      <c r="G47" s="74" t="s">
        <v>2</v>
      </c>
      <c r="H47" s="22">
        <v>0</v>
      </c>
      <c r="I47" s="8" t="s">
        <v>68</v>
      </c>
      <c r="J47" s="2"/>
      <c r="K47" s="5"/>
      <c r="L47" s="2"/>
      <c r="M47" s="2"/>
      <c r="N47" s="2"/>
      <c r="O47" s="15" t="s">
        <v>89</v>
      </c>
      <c r="P47" s="13"/>
      <c r="Q47" s="17">
        <v>1</v>
      </c>
      <c r="S47" s="13"/>
      <c r="T47" s="13"/>
    </row>
    <row r="48" spans="2:20">
      <c r="B48" s="3">
        <f t="shared" ref="B48:B52" si="14">C48+D48+F48+H48</f>
        <v>300.10000000000002</v>
      </c>
      <c r="C48" s="25">
        <f t="shared" ref="C48:D52" si="15">C47</f>
        <v>300</v>
      </c>
      <c r="D48" s="25">
        <f t="shared" si="15"/>
        <v>0</v>
      </c>
      <c r="E48" s="82"/>
      <c r="F48" s="46">
        <f t="shared" ref="F48:F52" si="16">F47</f>
        <v>0</v>
      </c>
      <c r="G48" s="75"/>
      <c r="H48" s="22">
        <f t="shared" ref="H48:H52" si="17">H47+0.1</f>
        <v>0.1</v>
      </c>
      <c r="I48" s="8" t="s">
        <v>0</v>
      </c>
      <c r="J48" s="41"/>
      <c r="K48" s="10" t="e">
        <f>VLOOKUP(K47,Calibration!C3:D8,2)</f>
        <v>#N/A</v>
      </c>
      <c r="L48" s="41"/>
      <c r="M48" s="41"/>
      <c r="N48" s="41"/>
      <c r="O48" s="15" t="s">
        <v>69</v>
      </c>
      <c r="P48" s="13"/>
      <c r="S48" s="13"/>
      <c r="T48" s="13"/>
    </row>
    <row r="49" spans="2:20" ht="15" customHeight="1">
      <c r="B49" s="3">
        <f>C49+D49+F47+H49</f>
        <v>300.2</v>
      </c>
      <c r="C49" s="25">
        <f t="shared" si="15"/>
        <v>300</v>
      </c>
      <c r="D49" s="25">
        <f t="shared" si="15"/>
        <v>0</v>
      </c>
      <c r="E49" s="82"/>
      <c r="F49" s="46">
        <f t="shared" si="16"/>
        <v>0</v>
      </c>
      <c r="G49" s="75"/>
      <c r="H49" s="22">
        <f t="shared" si="17"/>
        <v>0.2</v>
      </c>
      <c r="I49" s="8" t="s">
        <v>9</v>
      </c>
      <c r="J49" s="2"/>
      <c r="K49" s="18"/>
      <c r="L49" s="2"/>
      <c r="M49" s="2" t="s">
        <v>29</v>
      </c>
      <c r="N49" s="2"/>
      <c r="O49" s="15" t="s">
        <v>16</v>
      </c>
      <c r="P49" s="13"/>
      <c r="Q49" s="17">
        <v>1</v>
      </c>
      <c r="S49" s="13"/>
      <c r="T49" s="13"/>
    </row>
    <row r="50" spans="2:20" ht="15" customHeight="1">
      <c r="B50" s="3">
        <f t="shared" si="14"/>
        <v>300.3</v>
      </c>
      <c r="C50" s="25">
        <f t="shared" si="15"/>
        <v>300</v>
      </c>
      <c r="D50" s="25">
        <f t="shared" si="15"/>
        <v>0</v>
      </c>
      <c r="E50" s="82"/>
      <c r="F50" s="46">
        <f t="shared" si="16"/>
        <v>0</v>
      </c>
      <c r="G50" s="75"/>
      <c r="H50" s="22">
        <f t="shared" si="17"/>
        <v>0.30000000000000004</v>
      </c>
      <c r="I50" s="8" t="s">
        <v>66</v>
      </c>
      <c r="J50" s="41"/>
      <c r="K50" s="7" t="e">
        <f>K49/K48</f>
        <v>#N/A</v>
      </c>
      <c r="L50" s="41"/>
      <c r="M50" s="41"/>
      <c r="N50" s="41"/>
      <c r="O50" s="70" t="s">
        <v>70</v>
      </c>
      <c r="P50" s="13"/>
      <c r="S50" s="13"/>
      <c r="T50" s="13"/>
    </row>
    <row r="51" spans="2:20" ht="15" customHeight="1">
      <c r="B51" s="3">
        <f t="shared" si="14"/>
        <v>300.39999999999998</v>
      </c>
      <c r="C51" s="25">
        <f t="shared" si="15"/>
        <v>300</v>
      </c>
      <c r="D51" s="25">
        <f t="shared" si="15"/>
        <v>0</v>
      </c>
      <c r="E51" s="82"/>
      <c r="F51" s="42">
        <f t="shared" si="16"/>
        <v>0</v>
      </c>
      <c r="G51" s="75"/>
      <c r="H51" s="22">
        <f t="shared" si="17"/>
        <v>0.4</v>
      </c>
      <c r="I51" s="8" t="s">
        <v>67</v>
      </c>
      <c r="J51" s="41"/>
      <c r="K51" s="20" t="e">
        <f>1/K50</f>
        <v>#N/A</v>
      </c>
      <c r="L51" s="41"/>
      <c r="M51" s="41"/>
      <c r="N51" s="41"/>
      <c r="O51" s="71"/>
      <c r="P51" s="13"/>
      <c r="S51" s="13"/>
      <c r="T51" s="13"/>
    </row>
    <row r="52" spans="2:20" ht="15" customHeight="1">
      <c r="B52" s="3">
        <f t="shared" si="14"/>
        <v>300.5</v>
      </c>
      <c r="C52" s="25">
        <f t="shared" si="15"/>
        <v>300</v>
      </c>
      <c r="D52" s="25">
        <f t="shared" si="15"/>
        <v>0</v>
      </c>
      <c r="E52" s="82"/>
      <c r="F52" s="42">
        <f t="shared" si="16"/>
        <v>0</v>
      </c>
      <c r="G52" s="76"/>
      <c r="H52" s="22">
        <f t="shared" si="17"/>
        <v>0.5</v>
      </c>
      <c r="I52" s="8" t="s">
        <v>31</v>
      </c>
      <c r="J52" s="45"/>
      <c r="K52" s="20">
        <f>K49/2</f>
        <v>0</v>
      </c>
      <c r="L52" s="2"/>
      <c r="M52" s="9" t="s">
        <v>30</v>
      </c>
      <c r="N52" s="2"/>
      <c r="O52" s="15" t="s">
        <v>32</v>
      </c>
      <c r="P52" s="13"/>
      <c r="S52" s="13"/>
      <c r="T52" s="13"/>
    </row>
    <row r="53" spans="2:20">
      <c r="B53" s="3">
        <f t="shared" ref="B53:B88" si="18">C53+D53+F53+H53</f>
        <v>301</v>
      </c>
      <c r="C53" s="25">
        <f t="shared" ref="C53:C88" si="19">C52</f>
        <v>300</v>
      </c>
      <c r="D53" s="25">
        <f t="shared" ref="D53:D88" si="20">D52</f>
        <v>0</v>
      </c>
      <c r="E53" s="82"/>
      <c r="F53" s="4">
        <f>F52+1</f>
        <v>1</v>
      </c>
      <c r="G53" s="77" t="str">
        <f>G16</f>
        <v>Azimuth=270°</v>
      </c>
      <c r="H53" s="22">
        <v>0</v>
      </c>
      <c r="I53" s="8" t="str">
        <f>"-polar @ HM"</f>
        <v>-polar @ HM</v>
      </c>
      <c r="J53" s="2"/>
      <c r="K53" s="5"/>
      <c r="L53" s="2"/>
      <c r="M53" s="9" t="s">
        <v>30</v>
      </c>
      <c r="N53" s="2"/>
      <c r="O53" s="15" t="s">
        <v>20</v>
      </c>
      <c r="P53" s="13"/>
      <c r="Q53" s="17">
        <v>1</v>
      </c>
      <c r="S53" s="13"/>
      <c r="T53" s="13"/>
    </row>
    <row r="54" spans="2:20">
      <c r="B54" s="3">
        <f t="shared" si="18"/>
        <v>301.10000000000002</v>
      </c>
      <c r="C54" s="25">
        <f t="shared" si="19"/>
        <v>300</v>
      </c>
      <c r="D54" s="25">
        <f t="shared" si="20"/>
        <v>0</v>
      </c>
      <c r="E54" s="82"/>
      <c r="F54" s="4">
        <f t="shared" ref="F54:F88" si="21">F53</f>
        <v>1</v>
      </c>
      <c r="G54" s="77"/>
      <c r="H54" s="22">
        <f t="shared" ref="H54:H88" si="22">H53+0.1</f>
        <v>0.1</v>
      </c>
      <c r="I54" s="8" t="str">
        <f>"-magnitude"</f>
        <v>-magnitude</v>
      </c>
      <c r="J54" s="2"/>
      <c r="K54" s="5"/>
      <c r="L54" s="2"/>
      <c r="M54" s="2" t="s">
        <v>29</v>
      </c>
      <c r="N54" s="2"/>
      <c r="O54" s="15" t="s">
        <v>40</v>
      </c>
      <c r="P54" s="13"/>
      <c r="Q54" s="17">
        <v>1</v>
      </c>
      <c r="S54" s="13"/>
      <c r="T54" s="13"/>
    </row>
    <row r="55" spans="2:20">
      <c r="B55" s="3">
        <f t="shared" si="18"/>
        <v>301.2</v>
      </c>
      <c r="C55" s="25">
        <f t="shared" si="19"/>
        <v>300</v>
      </c>
      <c r="D55" s="25">
        <f t="shared" si="20"/>
        <v>0</v>
      </c>
      <c r="E55" s="82"/>
      <c r="F55" s="4">
        <f t="shared" si="21"/>
        <v>1</v>
      </c>
      <c r="G55" s="77"/>
      <c r="H55" s="22">
        <f t="shared" si="22"/>
        <v>0.2</v>
      </c>
      <c r="I55" s="8" t="str">
        <f>"-peak angle"</f>
        <v>-peak angle</v>
      </c>
      <c r="J55" s="2"/>
      <c r="K55" s="5"/>
      <c r="L55" s="2"/>
      <c r="M55" s="9" t="s">
        <v>30</v>
      </c>
      <c r="N55" s="2"/>
      <c r="O55" s="15" t="s">
        <v>41</v>
      </c>
      <c r="P55" s="13"/>
      <c r="Q55" s="17">
        <v>1</v>
      </c>
      <c r="S55" s="13"/>
      <c r="T55" s="13"/>
    </row>
    <row r="56" spans="2:20">
      <c r="B56" s="3">
        <f t="shared" si="18"/>
        <v>301.3</v>
      </c>
      <c r="C56" s="25">
        <f t="shared" si="19"/>
        <v>300</v>
      </c>
      <c r="D56" s="25">
        <f t="shared" si="20"/>
        <v>0</v>
      </c>
      <c r="E56" s="82"/>
      <c r="F56" s="4">
        <f t="shared" si="21"/>
        <v>1</v>
      </c>
      <c r="G56" s="77"/>
      <c r="H56" s="22">
        <f t="shared" si="22"/>
        <v>0.30000000000000004</v>
      </c>
      <c r="I56" s="8" t="str">
        <f>"+polar @ HM"</f>
        <v>+polar @ HM</v>
      </c>
      <c r="J56" s="2"/>
      <c r="K56" s="5"/>
      <c r="L56" s="2"/>
      <c r="M56" s="9" t="s">
        <v>30</v>
      </c>
      <c r="N56" s="2"/>
      <c r="O56" s="15" t="s">
        <v>21</v>
      </c>
      <c r="P56" s="13"/>
      <c r="Q56" s="17">
        <v>1</v>
      </c>
      <c r="S56" s="13"/>
      <c r="T56" s="13"/>
    </row>
    <row r="57" spans="2:20">
      <c r="B57" s="3">
        <f t="shared" si="18"/>
        <v>301.39999999999998</v>
      </c>
      <c r="C57" s="25">
        <f t="shared" si="19"/>
        <v>300</v>
      </c>
      <c r="D57" s="25">
        <f t="shared" si="20"/>
        <v>0</v>
      </c>
      <c r="E57" s="82"/>
      <c r="F57" s="4">
        <f t="shared" si="21"/>
        <v>1</v>
      </c>
      <c r="G57" s="77"/>
      <c r="H57" s="22">
        <f t="shared" si="22"/>
        <v>0.4</v>
      </c>
      <c r="I57" s="8" t="str">
        <f>"+magnitude"</f>
        <v>+magnitude</v>
      </c>
      <c r="J57" s="2"/>
      <c r="K57" s="5"/>
      <c r="L57" s="2"/>
      <c r="M57" s="2" t="s">
        <v>29</v>
      </c>
      <c r="N57" s="2"/>
      <c r="O57" s="15" t="s">
        <v>42</v>
      </c>
      <c r="P57" s="13"/>
      <c r="Q57" s="17">
        <v>1</v>
      </c>
      <c r="S57" s="13"/>
      <c r="T57" s="13"/>
    </row>
    <row r="58" spans="2:20">
      <c r="B58" s="3">
        <f t="shared" si="18"/>
        <v>301.5</v>
      </c>
      <c r="C58" s="25">
        <f t="shared" si="19"/>
        <v>300</v>
      </c>
      <c r="D58" s="25">
        <f t="shared" si="20"/>
        <v>0</v>
      </c>
      <c r="E58" s="82"/>
      <c r="F58" s="4">
        <f t="shared" si="21"/>
        <v>1</v>
      </c>
      <c r="G58" s="77"/>
      <c r="H58" s="22">
        <f t="shared" si="22"/>
        <v>0.5</v>
      </c>
      <c r="I58" s="8" t="str">
        <f>"+peak angle"</f>
        <v>+peak angle</v>
      </c>
      <c r="J58" s="2"/>
      <c r="K58" s="5"/>
      <c r="L58" s="2"/>
      <c r="M58" s="9" t="s">
        <v>30</v>
      </c>
      <c r="N58" s="2"/>
      <c r="O58" s="15" t="s">
        <v>41</v>
      </c>
      <c r="P58" s="13"/>
      <c r="Q58" s="17">
        <v>1</v>
      </c>
      <c r="S58" s="13"/>
      <c r="T58" s="13"/>
    </row>
    <row r="59" spans="2:20">
      <c r="B59" s="3">
        <f t="shared" ref="B59" si="23">C59+D59+F59+H59</f>
        <v>301.60000000000002</v>
      </c>
      <c r="C59" s="25">
        <f>C57</f>
        <v>300</v>
      </c>
      <c r="D59" s="25">
        <f>D57</f>
        <v>0</v>
      </c>
      <c r="E59" s="82"/>
      <c r="F59" s="42">
        <f>F57</f>
        <v>1</v>
      </c>
      <c r="G59" s="77"/>
      <c r="H59" s="22">
        <f t="shared" si="22"/>
        <v>0.6</v>
      </c>
      <c r="I59" s="8" t="s">
        <v>64</v>
      </c>
      <c r="J59" s="6">
        <f>-L59</f>
        <v>-2</v>
      </c>
      <c r="K59" s="7" t="e">
        <f>MAX(K54,K57)/K$49-1</f>
        <v>#DIV/0!</v>
      </c>
      <c r="L59" s="47">
        <f>Specifications!E10</f>
        <v>2</v>
      </c>
      <c r="M59" s="9" t="s">
        <v>30</v>
      </c>
      <c r="N59" s="41" t="e">
        <f>IF((J59&lt;K59)* (K59&lt;L59),"PASS","FAIL")</f>
        <v>#DIV/0!</v>
      </c>
      <c r="O59" s="15"/>
      <c r="P59" s="13"/>
      <c r="R59" s="17">
        <v>1</v>
      </c>
      <c r="S59" s="13"/>
      <c r="T59" s="13"/>
    </row>
    <row r="60" spans="2:20">
      <c r="B60" s="3">
        <f t="shared" si="18"/>
        <v>301.7</v>
      </c>
      <c r="C60" s="25">
        <f>C58</f>
        <v>300</v>
      </c>
      <c r="D60" s="25">
        <f>D58</f>
        <v>0</v>
      </c>
      <c r="E60" s="82"/>
      <c r="F60" s="4">
        <f>F58</f>
        <v>1</v>
      </c>
      <c r="G60" s="77"/>
      <c r="H60" s="22">
        <f t="shared" si="22"/>
        <v>0.7</v>
      </c>
      <c r="I60" s="8" t="s">
        <v>14</v>
      </c>
      <c r="J60" s="2">
        <f>-L60</f>
        <v>-15</v>
      </c>
      <c r="K60" s="10">
        <f>(K56+(K53-360))/2</f>
        <v>-180</v>
      </c>
      <c r="L60" s="2">
        <f>L18</f>
        <v>15</v>
      </c>
      <c r="M60" s="9" t="s">
        <v>30</v>
      </c>
      <c r="N60" s="2" t="str">
        <f>IF((J60&lt;K60)* (K60&lt;L60),"PASS","FAIL")</f>
        <v>FAIL</v>
      </c>
      <c r="O60" s="15"/>
      <c r="P60" s="13"/>
      <c r="R60" s="17">
        <v>1</v>
      </c>
      <c r="S60" s="13"/>
      <c r="T60" s="13"/>
    </row>
    <row r="61" spans="2:20">
      <c r="B61" s="3">
        <f t="shared" si="18"/>
        <v>301.8</v>
      </c>
      <c r="C61" s="25">
        <f t="shared" si="19"/>
        <v>300</v>
      </c>
      <c r="D61" s="25">
        <f t="shared" si="20"/>
        <v>0</v>
      </c>
      <c r="E61" s="82"/>
      <c r="F61" s="4">
        <f t="shared" si="21"/>
        <v>1</v>
      </c>
      <c r="G61" s="77"/>
      <c r="H61" s="22">
        <f t="shared" si="22"/>
        <v>0.79999999999999993</v>
      </c>
      <c r="I61" s="8" t="s">
        <v>22</v>
      </c>
      <c r="J61" s="48">
        <f>Specifications!E13</f>
        <v>35</v>
      </c>
      <c r="K61" s="10">
        <f>K56-(K53-360)</f>
        <v>360</v>
      </c>
      <c r="L61" s="48">
        <f>Specifications!E14</f>
        <v>85</v>
      </c>
      <c r="M61" s="9" t="s">
        <v>30</v>
      </c>
      <c r="N61" s="2" t="str">
        <f>IF((J61&lt;K61)* (K61&lt;L61),"PASS","FAIL")</f>
        <v>FAIL</v>
      </c>
      <c r="O61" s="15"/>
      <c r="P61" s="13"/>
      <c r="R61" s="17">
        <v>1</v>
      </c>
      <c r="S61" s="13"/>
      <c r="T61" s="13"/>
    </row>
    <row r="62" spans="2:20">
      <c r="B62" s="3">
        <f t="shared" si="18"/>
        <v>302</v>
      </c>
      <c r="C62" s="25">
        <f t="shared" si="19"/>
        <v>300</v>
      </c>
      <c r="D62" s="25">
        <f t="shared" si="20"/>
        <v>0</v>
      </c>
      <c r="E62" s="82"/>
      <c r="F62" s="4">
        <f>F61+1</f>
        <v>2</v>
      </c>
      <c r="G62" s="77" t="str">
        <f>G20</f>
        <v>Azimuth=315°</v>
      </c>
      <c r="H62" s="22">
        <v>0</v>
      </c>
      <c r="I62" s="8" t="str">
        <f>"-polar @ HM"</f>
        <v>-polar @ HM</v>
      </c>
      <c r="J62" s="2"/>
      <c r="K62" s="5"/>
      <c r="L62" s="2"/>
      <c r="M62" s="9" t="s">
        <v>30</v>
      </c>
      <c r="N62" s="2"/>
      <c r="O62" s="15" t="s">
        <v>20</v>
      </c>
      <c r="P62" s="13"/>
      <c r="Q62" s="17">
        <v>1</v>
      </c>
      <c r="S62" s="13"/>
      <c r="T62" s="13"/>
    </row>
    <row r="63" spans="2:20">
      <c r="B63" s="3">
        <f t="shared" si="18"/>
        <v>302.10000000000002</v>
      </c>
      <c r="C63" s="25">
        <f t="shared" si="19"/>
        <v>300</v>
      </c>
      <c r="D63" s="25">
        <f t="shared" si="20"/>
        <v>0</v>
      </c>
      <c r="E63" s="82"/>
      <c r="F63" s="4">
        <f t="shared" si="21"/>
        <v>2</v>
      </c>
      <c r="G63" s="77"/>
      <c r="H63" s="22">
        <f t="shared" si="22"/>
        <v>0.1</v>
      </c>
      <c r="I63" s="8" t="str">
        <f>"-magnitude"</f>
        <v>-magnitude</v>
      </c>
      <c r="J63" s="2"/>
      <c r="K63" s="5"/>
      <c r="L63" s="2"/>
      <c r="M63" s="2" t="s">
        <v>29</v>
      </c>
      <c r="N63" s="2"/>
      <c r="O63" s="15" t="s">
        <v>40</v>
      </c>
      <c r="P63" s="13"/>
      <c r="Q63" s="17">
        <v>1</v>
      </c>
      <c r="S63" s="13"/>
      <c r="T63" s="13"/>
    </row>
    <row r="64" spans="2:20">
      <c r="B64" s="3">
        <f t="shared" si="18"/>
        <v>302.2</v>
      </c>
      <c r="C64" s="25">
        <f t="shared" si="19"/>
        <v>300</v>
      </c>
      <c r="D64" s="25">
        <f t="shared" si="20"/>
        <v>0</v>
      </c>
      <c r="E64" s="82"/>
      <c r="F64" s="4">
        <f t="shared" si="21"/>
        <v>2</v>
      </c>
      <c r="G64" s="77"/>
      <c r="H64" s="22">
        <f t="shared" si="22"/>
        <v>0.2</v>
      </c>
      <c r="I64" s="8" t="str">
        <f>"-peak angle"</f>
        <v>-peak angle</v>
      </c>
      <c r="J64" s="2"/>
      <c r="K64" s="5"/>
      <c r="L64" s="2"/>
      <c r="M64" s="9" t="s">
        <v>30</v>
      </c>
      <c r="N64" s="2"/>
      <c r="O64" s="15" t="s">
        <v>41</v>
      </c>
      <c r="P64" s="13"/>
      <c r="Q64" s="17">
        <v>1</v>
      </c>
      <c r="S64" s="13"/>
      <c r="T64" s="13"/>
    </row>
    <row r="65" spans="2:20">
      <c r="B65" s="3">
        <f t="shared" si="18"/>
        <v>302.3</v>
      </c>
      <c r="C65" s="25">
        <f t="shared" si="19"/>
        <v>300</v>
      </c>
      <c r="D65" s="25">
        <f t="shared" si="20"/>
        <v>0</v>
      </c>
      <c r="E65" s="82"/>
      <c r="F65" s="4">
        <f t="shared" si="21"/>
        <v>2</v>
      </c>
      <c r="G65" s="77"/>
      <c r="H65" s="22">
        <f t="shared" si="22"/>
        <v>0.30000000000000004</v>
      </c>
      <c r="I65" s="8" t="str">
        <f>"+polar @ HM"</f>
        <v>+polar @ HM</v>
      </c>
      <c r="J65" s="2"/>
      <c r="K65" s="5"/>
      <c r="L65" s="2"/>
      <c r="M65" s="9" t="s">
        <v>30</v>
      </c>
      <c r="N65" s="2"/>
      <c r="O65" s="15" t="s">
        <v>21</v>
      </c>
      <c r="P65" s="13"/>
      <c r="Q65" s="17">
        <v>1</v>
      </c>
      <c r="S65" s="13"/>
      <c r="T65" s="13"/>
    </row>
    <row r="66" spans="2:20">
      <c r="B66" s="3">
        <f t="shared" si="18"/>
        <v>302.39999999999998</v>
      </c>
      <c r="C66" s="25">
        <f t="shared" si="19"/>
        <v>300</v>
      </c>
      <c r="D66" s="25">
        <f t="shared" si="20"/>
        <v>0</v>
      </c>
      <c r="E66" s="82"/>
      <c r="F66" s="4">
        <f t="shared" si="21"/>
        <v>2</v>
      </c>
      <c r="G66" s="77"/>
      <c r="H66" s="22">
        <f t="shared" si="22"/>
        <v>0.4</v>
      </c>
      <c r="I66" s="8" t="str">
        <f>"+magnitude"</f>
        <v>+magnitude</v>
      </c>
      <c r="J66" s="2"/>
      <c r="K66" s="5"/>
      <c r="L66" s="2"/>
      <c r="M66" s="2" t="s">
        <v>29</v>
      </c>
      <c r="N66" s="2"/>
      <c r="O66" s="15" t="s">
        <v>42</v>
      </c>
      <c r="P66" s="13"/>
      <c r="Q66" s="17">
        <v>1</v>
      </c>
      <c r="S66" s="13"/>
      <c r="T66" s="13"/>
    </row>
    <row r="67" spans="2:20">
      <c r="B67" s="3">
        <f t="shared" si="18"/>
        <v>302.5</v>
      </c>
      <c r="C67" s="25">
        <f t="shared" si="19"/>
        <v>300</v>
      </c>
      <c r="D67" s="25">
        <f t="shared" si="20"/>
        <v>0</v>
      </c>
      <c r="E67" s="82"/>
      <c r="F67" s="4">
        <f t="shared" si="21"/>
        <v>2</v>
      </c>
      <c r="G67" s="77"/>
      <c r="H67" s="22">
        <f t="shared" si="22"/>
        <v>0.5</v>
      </c>
      <c r="I67" s="8" t="str">
        <f>"+peak angle"</f>
        <v>+peak angle</v>
      </c>
      <c r="J67" s="2"/>
      <c r="K67" s="5"/>
      <c r="L67" s="2"/>
      <c r="M67" s="9" t="s">
        <v>30</v>
      </c>
      <c r="N67" s="2"/>
      <c r="O67" s="15" t="s">
        <v>41</v>
      </c>
      <c r="P67" s="13"/>
      <c r="Q67" s="17">
        <v>1</v>
      </c>
      <c r="S67" s="13"/>
      <c r="T67" s="13"/>
    </row>
    <row r="68" spans="2:20">
      <c r="B68" s="3">
        <f t="shared" si="18"/>
        <v>302.60000000000002</v>
      </c>
      <c r="C68" s="25">
        <f>C66</f>
        <v>300</v>
      </c>
      <c r="D68" s="25">
        <f>D66</f>
        <v>0</v>
      </c>
      <c r="E68" s="82"/>
      <c r="F68" s="42">
        <f>F66</f>
        <v>2</v>
      </c>
      <c r="G68" s="77"/>
      <c r="H68" s="22">
        <f t="shared" si="22"/>
        <v>0.6</v>
      </c>
      <c r="I68" s="8" t="s">
        <v>64</v>
      </c>
      <c r="J68" s="6">
        <f>J59</f>
        <v>-2</v>
      </c>
      <c r="K68" s="7" t="e">
        <f>MAX(K63,K66)/K$49-1</f>
        <v>#DIV/0!</v>
      </c>
      <c r="L68" s="6">
        <f>L59</f>
        <v>2</v>
      </c>
      <c r="M68" s="9" t="s">
        <v>30</v>
      </c>
      <c r="N68" s="41" t="e">
        <f>IF((J68&lt;K68)* (K68&lt;L68),"PASS","FAIL")</f>
        <v>#DIV/0!</v>
      </c>
      <c r="O68" s="15"/>
      <c r="P68" s="13"/>
      <c r="R68" s="17">
        <v>1</v>
      </c>
      <c r="S68" s="13"/>
      <c r="T68" s="13"/>
    </row>
    <row r="69" spans="2:20">
      <c r="B69" s="3">
        <f t="shared" si="18"/>
        <v>302.7</v>
      </c>
      <c r="C69" s="25">
        <f>C67</f>
        <v>300</v>
      </c>
      <c r="D69" s="25">
        <f>D67</f>
        <v>0</v>
      </c>
      <c r="E69" s="82"/>
      <c r="F69" s="4">
        <f>F67</f>
        <v>2</v>
      </c>
      <c r="G69" s="77"/>
      <c r="H69" s="22">
        <f t="shared" si="22"/>
        <v>0.7</v>
      </c>
      <c r="I69" s="8" t="s">
        <v>14</v>
      </c>
      <c r="J69" s="2">
        <f>J60</f>
        <v>-15</v>
      </c>
      <c r="K69" s="10">
        <f>(K65+(K62-360))/2</f>
        <v>-180</v>
      </c>
      <c r="L69" s="2">
        <f>L60</f>
        <v>15</v>
      </c>
      <c r="M69" s="9" t="s">
        <v>30</v>
      </c>
      <c r="N69" s="2" t="str">
        <f>IF((J69&lt;K69)* (K69&lt;L69),"PASS","FAIL")</f>
        <v>FAIL</v>
      </c>
      <c r="O69" s="15"/>
      <c r="P69" s="13"/>
      <c r="R69" s="17">
        <v>1</v>
      </c>
      <c r="S69" s="13"/>
      <c r="T69" s="13"/>
    </row>
    <row r="70" spans="2:20">
      <c r="B70" s="3">
        <f t="shared" si="18"/>
        <v>302.8</v>
      </c>
      <c r="C70" s="25">
        <f t="shared" si="19"/>
        <v>300</v>
      </c>
      <c r="D70" s="25">
        <f t="shared" si="20"/>
        <v>0</v>
      </c>
      <c r="E70" s="82"/>
      <c r="F70" s="4">
        <f t="shared" si="21"/>
        <v>2</v>
      </c>
      <c r="G70" s="77"/>
      <c r="H70" s="22">
        <f t="shared" si="22"/>
        <v>0.79999999999999993</v>
      </c>
      <c r="I70" s="8" t="s">
        <v>22</v>
      </c>
      <c r="J70" s="41">
        <f>J61</f>
        <v>35</v>
      </c>
      <c r="K70" s="10">
        <f>K65-(K62-360)</f>
        <v>360</v>
      </c>
      <c r="L70" s="41">
        <f>L61</f>
        <v>85</v>
      </c>
      <c r="M70" s="9" t="s">
        <v>30</v>
      </c>
      <c r="N70" s="2" t="str">
        <f>IF((J70&lt;K70)* (K70&lt;L70),"PASS","FAIL")</f>
        <v>FAIL</v>
      </c>
      <c r="O70" s="15"/>
      <c r="P70" s="13"/>
      <c r="R70" s="17">
        <v>1</v>
      </c>
      <c r="S70" s="13"/>
      <c r="T70" s="13"/>
    </row>
    <row r="71" spans="2:20">
      <c r="B71" s="3">
        <f t="shared" si="18"/>
        <v>303</v>
      </c>
      <c r="C71" s="25">
        <f t="shared" si="19"/>
        <v>300</v>
      </c>
      <c r="D71" s="25">
        <f t="shared" si="20"/>
        <v>0</v>
      </c>
      <c r="E71" s="82"/>
      <c r="F71" s="4">
        <f>F70+1</f>
        <v>3</v>
      </c>
      <c r="G71" s="77" t="str">
        <f>G24</f>
        <v>Azimuth=0°</v>
      </c>
      <c r="H71" s="22">
        <v>0</v>
      </c>
      <c r="I71" s="8" t="str">
        <f>"-polar @ HM"</f>
        <v>-polar @ HM</v>
      </c>
      <c r="J71" s="2"/>
      <c r="K71" s="5"/>
      <c r="L71" s="2"/>
      <c r="M71" s="9" t="s">
        <v>30</v>
      </c>
      <c r="N71" s="2"/>
      <c r="O71" s="15" t="s">
        <v>20</v>
      </c>
      <c r="P71" s="13"/>
      <c r="Q71" s="17">
        <v>1</v>
      </c>
      <c r="S71" s="13"/>
      <c r="T71" s="13"/>
    </row>
    <row r="72" spans="2:20">
      <c r="B72" s="3">
        <f t="shared" si="18"/>
        <v>303.10000000000002</v>
      </c>
      <c r="C72" s="25">
        <f t="shared" si="19"/>
        <v>300</v>
      </c>
      <c r="D72" s="25">
        <f t="shared" si="20"/>
        <v>0</v>
      </c>
      <c r="E72" s="82"/>
      <c r="F72" s="4">
        <f t="shared" si="21"/>
        <v>3</v>
      </c>
      <c r="G72" s="77"/>
      <c r="H72" s="22">
        <f t="shared" si="22"/>
        <v>0.1</v>
      </c>
      <c r="I72" s="8" t="str">
        <f>"-magnitude"</f>
        <v>-magnitude</v>
      </c>
      <c r="J72" s="2"/>
      <c r="K72" s="5"/>
      <c r="L72" s="2"/>
      <c r="M72" s="2" t="s">
        <v>29</v>
      </c>
      <c r="N72" s="2"/>
      <c r="O72" s="15" t="s">
        <v>40</v>
      </c>
      <c r="P72" s="13"/>
      <c r="Q72" s="17">
        <v>1</v>
      </c>
      <c r="S72" s="13"/>
      <c r="T72" s="13"/>
    </row>
    <row r="73" spans="2:20">
      <c r="B73" s="3">
        <f t="shared" si="18"/>
        <v>303.2</v>
      </c>
      <c r="C73" s="25">
        <f t="shared" si="19"/>
        <v>300</v>
      </c>
      <c r="D73" s="25">
        <f t="shared" si="20"/>
        <v>0</v>
      </c>
      <c r="E73" s="82"/>
      <c r="F73" s="4">
        <f t="shared" si="21"/>
        <v>3</v>
      </c>
      <c r="G73" s="77"/>
      <c r="H73" s="22">
        <f t="shared" si="22"/>
        <v>0.2</v>
      </c>
      <c r="I73" s="8" t="str">
        <f>"-peak angle"</f>
        <v>-peak angle</v>
      </c>
      <c r="J73" s="2"/>
      <c r="K73" s="5"/>
      <c r="L73" s="2"/>
      <c r="M73" s="9" t="s">
        <v>30</v>
      </c>
      <c r="N73" s="2"/>
      <c r="O73" s="15" t="s">
        <v>41</v>
      </c>
      <c r="P73" s="13"/>
      <c r="Q73" s="17">
        <v>1</v>
      </c>
      <c r="S73" s="13"/>
      <c r="T73" s="13"/>
    </row>
    <row r="74" spans="2:20">
      <c r="B74" s="3">
        <f t="shared" si="18"/>
        <v>303.3</v>
      </c>
      <c r="C74" s="25">
        <f t="shared" si="19"/>
        <v>300</v>
      </c>
      <c r="D74" s="25">
        <f t="shared" si="20"/>
        <v>0</v>
      </c>
      <c r="E74" s="82"/>
      <c r="F74" s="4">
        <f t="shared" si="21"/>
        <v>3</v>
      </c>
      <c r="G74" s="77"/>
      <c r="H74" s="22">
        <f t="shared" si="22"/>
        <v>0.30000000000000004</v>
      </c>
      <c r="I74" s="8" t="str">
        <f>"+polar @ HM"</f>
        <v>+polar @ HM</v>
      </c>
      <c r="J74" s="2"/>
      <c r="K74" s="5"/>
      <c r="L74" s="2"/>
      <c r="M74" s="9" t="s">
        <v>30</v>
      </c>
      <c r="N74" s="2"/>
      <c r="O74" s="15" t="s">
        <v>21</v>
      </c>
      <c r="P74" s="13"/>
      <c r="Q74" s="17">
        <v>1</v>
      </c>
      <c r="S74" s="13"/>
      <c r="T74" s="13"/>
    </row>
    <row r="75" spans="2:20">
      <c r="B75" s="3">
        <f t="shared" si="18"/>
        <v>303.39999999999998</v>
      </c>
      <c r="C75" s="25">
        <f t="shared" si="19"/>
        <v>300</v>
      </c>
      <c r="D75" s="25">
        <f t="shared" si="20"/>
        <v>0</v>
      </c>
      <c r="E75" s="82"/>
      <c r="F75" s="42">
        <f t="shared" si="21"/>
        <v>3</v>
      </c>
      <c r="G75" s="77"/>
      <c r="H75" s="22">
        <f t="shared" si="22"/>
        <v>0.4</v>
      </c>
      <c r="I75" s="8" t="str">
        <f>"+magnitude"</f>
        <v>+magnitude</v>
      </c>
      <c r="J75" s="2"/>
      <c r="K75" s="5"/>
      <c r="L75" s="2"/>
      <c r="M75" s="2" t="s">
        <v>29</v>
      </c>
      <c r="N75" s="2"/>
      <c r="O75" s="15" t="s">
        <v>42</v>
      </c>
      <c r="P75" s="13"/>
      <c r="Q75" s="17">
        <v>1</v>
      </c>
      <c r="S75" s="13"/>
      <c r="T75" s="13"/>
    </row>
    <row r="76" spans="2:20">
      <c r="B76" s="3">
        <f t="shared" si="18"/>
        <v>303.5</v>
      </c>
      <c r="C76" s="25">
        <f t="shared" si="19"/>
        <v>300</v>
      </c>
      <c r="D76" s="25">
        <f t="shared" si="20"/>
        <v>0</v>
      </c>
      <c r="E76" s="82"/>
      <c r="F76" s="42">
        <f t="shared" si="21"/>
        <v>3</v>
      </c>
      <c r="G76" s="77"/>
      <c r="H76" s="22">
        <f t="shared" si="22"/>
        <v>0.5</v>
      </c>
      <c r="I76" s="8" t="str">
        <f>"+peak angle"</f>
        <v>+peak angle</v>
      </c>
      <c r="J76" s="2"/>
      <c r="K76" s="5"/>
      <c r="L76" s="2"/>
      <c r="M76" s="9" t="s">
        <v>30</v>
      </c>
      <c r="N76" s="2"/>
      <c r="O76" s="15" t="s">
        <v>41</v>
      </c>
      <c r="P76" s="13"/>
      <c r="Q76" s="17">
        <v>1</v>
      </c>
      <c r="S76" s="13"/>
      <c r="T76" s="13"/>
    </row>
    <row r="77" spans="2:20">
      <c r="B77" s="3">
        <f t="shared" ref="B77" si="24">C77+D77+F77+H77</f>
        <v>303.60000000000002</v>
      </c>
      <c r="C77" s="25">
        <f t="shared" si="19"/>
        <v>300</v>
      </c>
      <c r="D77" s="25">
        <f t="shared" si="20"/>
        <v>0</v>
      </c>
      <c r="E77" s="82"/>
      <c r="F77" s="42">
        <f t="shared" si="21"/>
        <v>3</v>
      </c>
      <c r="G77" s="77"/>
      <c r="H77" s="22">
        <f t="shared" si="22"/>
        <v>0.6</v>
      </c>
      <c r="I77" s="8" t="s">
        <v>64</v>
      </c>
      <c r="J77" s="6">
        <f>J68</f>
        <v>-2</v>
      </c>
      <c r="K77" s="7" t="e">
        <f>MAX(K72,K75)/K$49-1</f>
        <v>#DIV/0!</v>
      </c>
      <c r="L77" s="6">
        <f>L68</f>
        <v>2</v>
      </c>
      <c r="M77" s="9" t="s">
        <v>30</v>
      </c>
      <c r="N77" s="41" t="e">
        <f>IF((J77&lt;K77)* (K77&lt;L77),"PASS","FAIL")</f>
        <v>#DIV/0!</v>
      </c>
      <c r="O77" s="15"/>
      <c r="P77" s="13"/>
      <c r="R77" s="17">
        <v>1</v>
      </c>
      <c r="S77" s="13"/>
      <c r="T77" s="13"/>
    </row>
    <row r="78" spans="2:20">
      <c r="B78" s="3">
        <f t="shared" si="18"/>
        <v>303.7</v>
      </c>
      <c r="C78" s="25">
        <f t="shared" si="19"/>
        <v>300</v>
      </c>
      <c r="D78" s="25">
        <f t="shared" si="20"/>
        <v>0</v>
      </c>
      <c r="E78" s="82"/>
      <c r="F78" s="4">
        <f>F76</f>
        <v>3</v>
      </c>
      <c r="G78" s="77"/>
      <c r="H78" s="22">
        <f t="shared" si="22"/>
        <v>0.7</v>
      </c>
      <c r="I78" s="8" t="s">
        <v>14</v>
      </c>
      <c r="J78" s="41">
        <f>J69</f>
        <v>-15</v>
      </c>
      <c r="K78" s="10">
        <f>(K74+(K71-360))/2</f>
        <v>-180</v>
      </c>
      <c r="L78" s="41">
        <f>L69</f>
        <v>15</v>
      </c>
      <c r="M78" s="9" t="s">
        <v>30</v>
      </c>
      <c r="N78" s="2" t="str">
        <f>IF((J78&lt;K78)* (K78&lt;L78),"PASS","FAIL")</f>
        <v>FAIL</v>
      </c>
      <c r="O78" s="15"/>
      <c r="P78" s="13"/>
      <c r="R78" s="17">
        <v>1</v>
      </c>
      <c r="S78" s="13"/>
      <c r="T78" s="13"/>
    </row>
    <row r="79" spans="2:20">
      <c r="B79" s="3">
        <f t="shared" si="18"/>
        <v>303.8</v>
      </c>
      <c r="C79" s="25">
        <f t="shared" si="19"/>
        <v>300</v>
      </c>
      <c r="D79" s="25">
        <f t="shared" si="20"/>
        <v>0</v>
      </c>
      <c r="E79" s="82"/>
      <c r="F79" s="4">
        <f t="shared" si="21"/>
        <v>3</v>
      </c>
      <c r="G79" s="77"/>
      <c r="H79" s="22">
        <f t="shared" si="22"/>
        <v>0.79999999999999993</v>
      </c>
      <c r="I79" s="8" t="s">
        <v>22</v>
      </c>
      <c r="J79" s="41">
        <f>J70</f>
        <v>35</v>
      </c>
      <c r="K79" s="10">
        <f>K74-(K71-360)</f>
        <v>360</v>
      </c>
      <c r="L79" s="41">
        <f>L70</f>
        <v>85</v>
      </c>
      <c r="M79" s="9" t="s">
        <v>30</v>
      </c>
      <c r="N79" s="2" t="str">
        <f>IF((J79&lt;K79)* (K79&lt;L79),"PASS","FAIL")</f>
        <v>FAIL</v>
      </c>
      <c r="O79" s="15"/>
      <c r="P79" s="13"/>
      <c r="R79" s="17">
        <v>1</v>
      </c>
      <c r="S79" s="13"/>
      <c r="T79" s="13"/>
    </row>
    <row r="80" spans="2:20">
      <c r="B80" s="3">
        <f t="shared" si="18"/>
        <v>304</v>
      </c>
      <c r="C80" s="25">
        <f t="shared" si="19"/>
        <v>300</v>
      </c>
      <c r="D80" s="25">
        <f t="shared" si="20"/>
        <v>0</v>
      </c>
      <c r="E80" s="82"/>
      <c r="F80" s="4">
        <f>F79+1</f>
        <v>4</v>
      </c>
      <c r="G80" s="77" t="str">
        <f>G28</f>
        <v>Azimuth=45°</v>
      </c>
      <c r="H80" s="22">
        <v>0</v>
      </c>
      <c r="I80" s="8" t="str">
        <f>"-polar @ HM"</f>
        <v>-polar @ HM</v>
      </c>
      <c r="J80" s="2"/>
      <c r="K80" s="5"/>
      <c r="L80" s="2"/>
      <c r="M80" s="9" t="s">
        <v>30</v>
      </c>
      <c r="N80" s="2"/>
      <c r="O80" s="15" t="s">
        <v>20</v>
      </c>
      <c r="P80" s="13"/>
      <c r="Q80" s="17">
        <v>1</v>
      </c>
      <c r="S80" s="13"/>
      <c r="T80" s="13"/>
    </row>
    <row r="81" spans="2:20">
      <c r="B81" s="3">
        <f t="shared" si="18"/>
        <v>304.10000000000002</v>
      </c>
      <c r="C81" s="25">
        <f t="shared" si="19"/>
        <v>300</v>
      </c>
      <c r="D81" s="25">
        <f t="shared" si="20"/>
        <v>0</v>
      </c>
      <c r="E81" s="82"/>
      <c r="F81" s="4">
        <f t="shared" si="21"/>
        <v>4</v>
      </c>
      <c r="G81" s="77"/>
      <c r="H81" s="22">
        <f t="shared" si="22"/>
        <v>0.1</v>
      </c>
      <c r="I81" s="8" t="str">
        <f>"-magnitude"</f>
        <v>-magnitude</v>
      </c>
      <c r="J81" s="2"/>
      <c r="K81" s="5"/>
      <c r="L81" s="2"/>
      <c r="M81" s="2" t="s">
        <v>29</v>
      </c>
      <c r="N81" s="2"/>
      <c r="O81" s="15" t="s">
        <v>40</v>
      </c>
      <c r="P81" s="13"/>
      <c r="Q81" s="17">
        <v>1</v>
      </c>
      <c r="S81" s="13"/>
      <c r="T81" s="13"/>
    </row>
    <row r="82" spans="2:20">
      <c r="B82" s="3">
        <f t="shared" si="18"/>
        <v>304.2</v>
      </c>
      <c r="C82" s="25">
        <f t="shared" si="19"/>
        <v>300</v>
      </c>
      <c r="D82" s="25">
        <f t="shared" si="20"/>
        <v>0</v>
      </c>
      <c r="E82" s="82"/>
      <c r="F82" s="4">
        <f t="shared" si="21"/>
        <v>4</v>
      </c>
      <c r="G82" s="77"/>
      <c r="H82" s="22">
        <f t="shared" si="22"/>
        <v>0.2</v>
      </c>
      <c r="I82" s="8" t="str">
        <f>"-peak angle"</f>
        <v>-peak angle</v>
      </c>
      <c r="J82" s="2"/>
      <c r="K82" s="5"/>
      <c r="L82" s="2"/>
      <c r="M82" s="9" t="s">
        <v>30</v>
      </c>
      <c r="N82" s="2"/>
      <c r="O82" s="15" t="s">
        <v>41</v>
      </c>
      <c r="P82" s="13"/>
      <c r="Q82" s="17">
        <v>1</v>
      </c>
      <c r="S82" s="13"/>
      <c r="T82" s="13"/>
    </row>
    <row r="83" spans="2:20">
      <c r="B83" s="3">
        <f t="shared" si="18"/>
        <v>304.3</v>
      </c>
      <c r="C83" s="25">
        <f t="shared" si="19"/>
        <v>300</v>
      </c>
      <c r="D83" s="25">
        <f t="shared" si="20"/>
        <v>0</v>
      </c>
      <c r="E83" s="82"/>
      <c r="F83" s="4">
        <f t="shared" si="21"/>
        <v>4</v>
      </c>
      <c r="G83" s="77"/>
      <c r="H83" s="22">
        <f t="shared" si="22"/>
        <v>0.30000000000000004</v>
      </c>
      <c r="I83" s="8" t="str">
        <f>"+polar @ HM"</f>
        <v>+polar @ HM</v>
      </c>
      <c r="J83" s="2"/>
      <c r="K83" s="5"/>
      <c r="L83" s="2"/>
      <c r="M83" s="9" t="s">
        <v>30</v>
      </c>
      <c r="N83" s="2"/>
      <c r="O83" s="15" t="s">
        <v>21</v>
      </c>
      <c r="P83" s="13"/>
      <c r="Q83" s="17">
        <v>1</v>
      </c>
      <c r="S83" s="13"/>
      <c r="T83" s="13"/>
    </row>
    <row r="84" spans="2:20">
      <c r="B84" s="3">
        <f t="shared" si="18"/>
        <v>304.39999999999998</v>
      </c>
      <c r="C84" s="25">
        <f t="shared" si="19"/>
        <v>300</v>
      </c>
      <c r="D84" s="25">
        <f t="shared" si="20"/>
        <v>0</v>
      </c>
      <c r="E84" s="82"/>
      <c r="F84" s="4">
        <f t="shared" si="21"/>
        <v>4</v>
      </c>
      <c r="G84" s="77"/>
      <c r="H84" s="22">
        <f t="shared" si="22"/>
        <v>0.4</v>
      </c>
      <c r="I84" s="8" t="str">
        <f>"+magnitude"</f>
        <v>+magnitude</v>
      </c>
      <c r="J84" s="2"/>
      <c r="K84" s="5"/>
      <c r="L84" s="2"/>
      <c r="M84" s="2" t="s">
        <v>29</v>
      </c>
      <c r="N84" s="2"/>
      <c r="O84" s="15" t="s">
        <v>42</v>
      </c>
      <c r="P84" s="13"/>
      <c r="Q84" s="17">
        <v>1</v>
      </c>
      <c r="S84" s="13"/>
      <c r="T84" s="13"/>
    </row>
    <row r="85" spans="2:20">
      <c r="B85" s="3">
        <f t="shared" si="18"/>
        <v>304.5</v>
      </c>
      <c r="C85" s="25">
        <f t="shared" si="19"/>
        <v>300</v>
      </c>
      <c r="D85" s="25">
        <f t="shared" si="20"/>
        <v>0</v>
      </c>
      <c r="E85" s="82"/>
      <c r="F85" s="4">
        <f t="shared" si="21"/>
        <v>4</v>
      </c>
      <c r="G85" s="77"/>
      <c r="H85" s="22">
        <f t="shared" si="22"/>
        <v>0.5</v>
      </c>
      <c r="I85" s="8" t="str">
        <f>"+peak angle"</f>
        <v>+peak angle</v>
      </c>
      <c r="J85" s="2"/>
      <c r="K85" s="5"/>
      <c r="L85" s="2"/>
      <c r="M85" s="9" t="s">
        <v>30</v>
      </c>
      <c r="N85" s="2"/>
      <c r="O85" s="15" t="s">
        <v>41</v>
      </c>
      <c r="P85" s="13"/>
      <c r="Q85" s="17">
        <v>1</v>
      </c>
      <c r="S85" s="13"/>
      <c r="T85" s="13"/>
    </row>
    <row r="86" spans="2:20">
      <c r="B86" s="3">
        <f t="shared" si="18"/>
        <v>304.60000000000002</v>
      </c>
      <c r="C86" s="25">
        <f t="shared" si="19"/>
        <v>300</v>
      </c>
      <c r="D86" s="25">
        <f t="shared" si="20"/>
        <v>0</v>
      </c>
      <c r="E86" s="82"/>
      <c r="F86" s="42">
        <f t="shared" si="21"/>
        <v>4</v>
      </c>
      <c r="G86" s="77"/>
      <c r="H86" s="22">
        <f t="shared" si="22"/>
        <v>0.6</v>
      </c>
      <c r="I86" s="8" t="s">
        <v>64</v>
      </c>
      <c r="J86" s="6">
        <f>J77</f>
        <v>-2</v>
      </c>
      <c r="K86" s="7" t="e">
        <f>MAX(K81,K84)/K$49-1</f>
        <v>#DIV/0!</v>
      </c>
      <c r="L86" s="6">
        <f>L77</f>
        <v>2</v>
      </c>
      <c r="M86" s="9" t="s">
        <v>30</v>
      </c>
      <c r="N86" s="41" t="e">
        <f>IF((J86&lt;K86)* (K86&lt;L86),"PASS","FAIL")</f>
        <v>#DIV/0!</v>
      </c>
      <c r="O86" s="15"/>
      <c r="P86" s="13"/>
      <c r="R86" s="17">
        <v>1</v>
      </c>
      <c r="S86" s="13"/>
      <c r="T86" s="13"/>
    </row>
    <row r="87" spans="2:20">
      <c r="B87" s="3">
        <f t="shared" si="18"/>
        <v>304.7</v>
      </c>
      <c r="C87" s="25">
        <f t="shared" si="19"/>
        <v>300</v>
      </c>
      <c r="D87" s="25">
        <f t="shared" si="20"/>
        <v>0</v>
      </c>
      <c r="E87" s="82"/>
      <c r="F87" s="42">
        <f t="shared" si="21"/>
        <v>4</v>
      </c>
      <c r="G87" s="77"/>
      <c r="H87" s="22">
        <f t="shared" si="22"/>
        <v>0.7</v>
      </c>
      <c r="I87" s="8" t="s">
        <v>14</v>
      </c>
      <c r="J87" s="41">
        <f>J78</f>
        <v>-15</v>
      </c>
      <c r="K87" s="10">
        <f>(K83+(K80-360))/2</f>
        <v>-180</v>
      </c>
      <c r="L87" s="41">
        <f t="shared" ref="L87:L88" si="25">L78</f>
        <v>15</v>
      </c>
      <c r="M87" s="9" t="s">
        <v>30</v>
      </c>
      <c r="N87" s="2" t="str">
        <f>IF((J87&lt;K87)* (K87&lt;L87),"PASS","FAIL")</f>
        <v>FAIL</v>
      </c>
      <c r="O87" s="15"/>
      <c r="P87" s="13"/>
      <c r="R87" s="17">
        <v>1</v>
      </c>
      <c r="S87" s="13"/>
      <c r="T87" s="13"/>
    </row>
    <row r="88" spans="2:20">
      <c r="B88" s="3">
        <f t="shared" si="18"/>
        <v>304.8</v>
      </c>
      <c r="C88" s="25">
        <f t="shared" si="19"/>
        <v>300</v>
      </c>
      <c r="D88" s="25">
        <f t="shared" si="20"/>
        <v>0</v>
      </c>
      <c r="E88" s="83"/>
      <c r="F88" s="4">
        <f t="shared" si="21"/>
        <v>4</v>
      </c>
      <c r="G88" s="77"/>
      <c r="H88" s="22">
        <f t="shared" si="22"/>
        <v>0.79999999999999993</v>
      </c>
      <c r="I88" s="8" t="s">
        <v>22</v>
      </c>
      <c r="J88" s="41">
        <f t="shared" ref="J88" si="26">J79</f>
        <v>35</v>
      </c>
      <c r="K88" s="10">
        <f>K83-(K80-360)</f>
        <v>360</v>
      </c>
      <c r="L88" s="41">
        <f t="shared" si="25"/>
        <v>85</v>
      </c>
      <c r="M88" s="9" t="s">
        <v>30</v>
      </c>
      <c r="N88" s="2" t="str">
        <f>IF((J88&lt;K88)* (K88&lt;L88),"PASS","FAIL")</f>
        <v>FAIL</v>
      </c>
      <c r="O88" s="15"/>
      <c r="P88" s="13"/>
      <c r="R88" s="17">
        <v>1</v>
      </c>
      <c r="S88" s="13"/>
      <c r="T88" s="13"/>
    </row>
    <row r="89" spans="2:20">
      <c r="B89" s="90"/>
      <c r="C89" s="91"/>
      <c r="D89" s="92"/>
      <c r="E89" s="86" t="s">
        <v>43</v>
      </c>
      <c r="F89" s="86"/>
      <c r="G89" s="86"/>
      <c r="H89" s="3"/>
      <c r="I89" s="8" t="s">
        <v>0</v>
      </c>
      <c r="J89" s="2"/>
      <c r="K89" s="2" t="e">
        <f>K48</f>
        <v>#N/A</v>
      </c>
      <c r="L89" s="2"/>
      <c r="M89" s="2"/>
      <c r="N89" s="2"/>
      <c r="O89" s="15" t="str">
        <f>"Swap 0.4ND for Photopic filter &amp; adjust current to "&amp;Calibration!D9&amp;" amps"</f>
        <v>Swap 0.4ND for Photopic filter &amp; adjust current to 8.36 amps</v>
      </c>
      <c r="P89" s="13"/>
      <c r="S89" s="13"/>
      <c r="T89" s="13"/>
    </row>
    <row r="90" spans="2:20" ht="15" customHeight="1">
      <c r="B90" s="3">
        <f t="shared" ref="B90:B117" si="27">C90+D90+F90+H90</f>
        <v>400</v>
      </c>
      <c r="C90" s="26">
        <f>C88+100</f>
        <v>400</v>
      </c>
      <c r="D90" s="26">
        <v>0</v>
      </c>
      <c r="E90" s="74" t="s">
        <v>35</v>
      </c>
      <c r="F90" s="23">
        <v>0</v>
      </c>
      <c r="G90" s="86"/>
      <c r="H90" s="22">
        <v>0</v>
      </c>
      <c r="I90" s="8" t="s">
        <v>9</v>
      </c>
      <c r="J90" s="2"/>
      <c r="K90" s="18"/>
      <c r="L90" s="2"/>
      <c r="M90" s="2" t="s">
        <v>29</v>
      </c>
      <c r="N90" s="2"/>
      <c r="O90" s="15" t="s">
        <v>16</v>
      </c>
      <c r="P90" s="13"/>
      <c r="Q90" s="17">
        <v>1</v>
      </c>
      <c r="S90" s="13"/>
      <c r="T90" s="13"/>
    </row>
    <row r="91" spans="2:20" ht="15" customHeight="1">
      <c r="B91" s="3">
        <f t="shared" ref="B91:B92" si="28">C91+D91+F91+H91</f>
        <v>400.1</v>
      </c>
      <c r="C91" s="25">
        <f t="shared" ref="C91:D94" si="29">C90</f>
        <v>400</v>
      </c>
      <c r="D91" s="25">
        <f t="shared" si="29"/>
        <v>0</v>
      </c>
      <c r="E91" s="75"/>
      <c r="F91" s="63">
        <f t="shared" ref="F91:F93" si="30">F90</f>
        <v>0</v>
      </c>
      <c r="G91" s="86"/>
      <c r="H91" s="22">
        <f t="shared" ref="H91:H93" si="31">H90+0.1</f>
        <v>0.1</v>
      </c>
      <c r="I91" s="8" t="s">
        <v>66</v>
      </c>
      <c r="J91" s="45"/>
      <c r="K91" s="7" t="e">
        <f>K90/K89</f>
        <v>#N/A</v>
      </c>
      <c r="L91" s="45"/>
      <c r="M91" s="45"/>
      <c r="N91" s="45"/>
      <c r="O91" s="70" t="s">
        <v>70</v>
      </c>
      <c r="P91" s="13"/>
      <c r="S91" s="13"/>
      <c r="T91" s="13"/>
    </row>
    <row r="92" spans="2:20" ht="15" customHeight="1">
      <c r="B92" s="3">
        <f t="shared" si="28"/>
        <v>400.2</v>
      </c>
      <c r="C92" s="25">
        <f t="shared" si="29"/>
        <v>400</v>
      </c>
      <c r="D92" s="25">
        <f t="shared" si="29"/>
        <v>0</v>
      </c>
      <c r="E92" s="75"/>
      <c r="F92" s="63">
        <f t="shared" si="30"/>
        <v>0</v>
      </c>
      <c r="G92" s="86"/>
      <c r="H92" s="22">
        <f t="shared" si="31"/>
        <v>0.2</v>
      </c>
      <c r="I92" s="8" t="s">
        <v>67</v>
      </c>
      <c r="J92" s="45"/>
      <c r="K92" s="20" t="e">
        <f>1/K91</f>
        <v>#N/A</v>
      </c>
      <c r="L92" s="45"/>
      <c r="M92" s="45"/>
      <c r="N92" s="45"/>
      <c r="O92" s="71"/>
      <c r="P92" s="13"/>
      <c r="S92" s="13"/>
      <c r="T92" s="13"/>
    </row>
    <row r="93" spans="2:20" ht="15" customHeight="1">
      <c r="B93" s="3">
        <f t="shared" si="27"/>
        <v>400.3</v>
      </c>
      <c r="C93" s="25">
        <f t="shared" si="29"/>
        <v>400</v>
      </c>
      <c r="D93" s="25">
        <f t="shared" si="29"/>
        <v>0</v>
      </c>
      <c r="E93" s="75"/>
      <c r="F93" s="63">
        <f t="shared" si="30"/>
        <v>0</v>
      </c>
      <c r="G93" s="86"/>
      <c r="H93" s="22">
        <f t="shared" si="31"/>
        <v>0.30000000000000004</v>
      </c>
      <c r="I93" s="8" t="s">
        <v>44</v>
      </c>
      <c r="J93" s="6">
        <f>-L93</f>
        <v>-1</v>
      </c>
      <c r="K93" s="7" t="e">
        <f>2*(K49-K90)/(K49+K90)</f>
        <v>#DIV/0!</v>
      </c>
      <c r="L93" s="47">
        <f>Specifications!E17</f>
        <v>1</v>
      </c>
      <c r="M93" s="6" t="s">
        <v>28</v>
      </c>
      <c r="N93" s="2" t="e">
        <f>IF((J93&lt;K93)* (K93&lt;L93),"PASS","FAIL")</f>
        <v>#DIV/0!</v>
      </c>
      <c r="O93" s="8"/>
      <c r="R93" s="17">
        <v>1</v>
      </c>
      <c r="S93" s="13"/>
      <c r="T93" s="13"/>
    </row>
    <row r="94" spans="2:20" ht="15" customHeight="1">
      <c r="B94" s="3">
        <f t="shared" si="27"/>
        <v>401</v>
      </c>
      <c r="C94" s="25">
        <f t="shared" ref="C94:C117" si="32">C93</f>
        <v>400</v>
      </c>
      <c r="D94" s="25">
        <f t="shared" si="29"/>
        <v>0</v>
      </c>
      <c r="E94" s="75"/>
      <c r="F94" s="4">
        <f>F93+1</f>
        <v>1</v>
      </c>
      <c r="G94" s="74" t="str">
        <f>G53</f>
        <v>Azimuth=270°</v>
      </c>
      <c r="H94" s="22">
        <v>0</v>
      </c>
      <c r="I94" s="8" t="str">
        <f>"-peak angle"</f>
        <v>-peak angle</v>
      </c>
      <c r="J94" s="2"/>
      <c r="K94" s="10">
        <f>K55</f>
        <v>0</v>
      </c>
      <c r="L94" s="2"/>
      <c r="M94" s="9" t="s">
        <v>30</v>
      </c>
      <c r="N94" s="2"/>
      <c r="O94" s="15"/>
      <c r="P94" s="13"/>
      <c r="S94" s="13"/>
      <c r="T94" s="13"/>
    </row>
    <row r="95" spans="2:20">
      <c r="B95" s="3">
        <f t="shared" si="27"/>
        <v>401.1</v>
      </c>
      <c r="C95" s="25">
        <f t="shared" si="32"/>
        <v>400</v>
      </c>
      <c r="D95" s="25">
        <f t="shared" ref="D95:D117" si="33">D94</f>
        <v>0</v>
      </c>
      <c r="E95" s="75"/>
      <c r="F95" s="4">
        <f t="shared" ref="F95:F117" si="34">F94</f>
        <v>1</v>
      </c>
      <c r="G95" s="75"/>
      <c r="H95" s="22">
        <f t="shared" ref="H95:H117" si="35">H94+0.1</f>
        <v>0.1</v>
      </c>
      <c r="I95" s="8" t="str">
        <f>"-magnitude"</f>
        <v>-magnitude</v>
      </c>
      <c r="J95" s="2"/>
      <c r="K95" s="5"/>
      <c r="L95" s="2"/>
      <c r="M95" s="2" t="s">
        <v>29</v>
      </c>
      <c r="N95" s="2"/>
      <c r="O95" s="15" t="s">
        <v>40</v>
      </c>
      <c r="P95" s="13"/>
      <c r="Q95" s="17">
        <v>1</v>
      </c>
      <c r="S95" s="13"/>
      <c r="T95" s="13"/>
    </row>
    <row r="96" spans="2:20">
      <c r="B96" s="3">
        <f t="shared" si="27"/>
        <v>401.2</v>
      </c>
      <c r="C96" s="25">
        <f t="shared" si="32"/>
        <v>400</v>
      </c>
      <c r="D96" s="25">
        <f t="shared" si="33"/>
        <v>0</v>
      </c>
      <c r="E96" s="75"/>
      <c r="F96" s="4">
        <f t="shared" si="34"/>
        <v>1</v>
      </c>
      <c r="G96" s="75"/>
      <c r="H96" s="22">
        <f t="shared" si="35"/>
        <v>0.2</v>
      </c>
      <c r="I96" s="8" t="str">
        <f>"+peak angle"</f>
        <v>+peak angle</v>
      </c>
      <c r="J96" s="2"/>
      <c r="K96" s="10">
        <f>K58</f>
        <v>0</v>
      </c>
      <c r="L96" s="2"/>
      <c r="M96" s="9" t="s">
        <v>30</v>
      </c>
      <c r="N96" s="2"/>
      <c r="O96" s="15"/>
      <c r="P96" s="13"/>
      <c r="S96" s="13"/>
      <c r="T96" s="13"/>
    </row>
    <row r="97" spans="2:20">
      <c r="B97" s="3">
        <f t="shared" si="27"/>
        <v>401.3</v>
      </c>
      <c r="C97" s="25">
        <f t="shared" si="32"/>
        <v>400</v>
      </c>
      <c r="D97" s="25">
        <f t="shared" si="33"/>
        <v>0</v>
      </c>
      <c r="E97" s="75"/>
      <c r="F97" s="4">
        <f t="shared" si="34"/>
        <v>1</v>
      </c>
      <c r="G97" s="75"/>
      <c r="H97" s="22">
        <f t="shared" si="35"/>
        <v>0.30000000000000004</v>
      </c>
      <c r="I97" s="8" t="str">
        <f>"+magnitude"</f>
        <v>+magnitude</v>
      </c>
      <c r="J97" s="2"/>
      <c r="K97" s="5"/>
      <c r="L97" s="2"/>
      <c r="M97" s="2" t="s">
        <v>29</v>
      </c>
      <c r="N97" s="2"/>
      <c r="O97" s="15" t="s">
        <v>42</v>
      </c>
      <c r="P97" s="13"/>
      <c r="Q97" s="17">
        <v>1</v>
      </c>
      <c r="S97" s="13"/>
      <c r="T97" s="13"/>
    </row>
    <row r="98" spans="2:20">
      <c r="B98" s="3">
        <f t="shared" si="27"/>
        <v>401.4</v>
      </c>
      <c r="C98" s="25">
        <f t="shared" si="32"/>
        <v>400</v>
      </c>
      <c r="D98" s="25">
        <f t="shared" si="33"/>
        <v>0</v>
      </c>
      <c r="E98" s="75"/>
      <c r="F98" s="4">
        <f t="shared" si="34"/>
        <v>1</v>
      </c>
      <c r="G98" s="75"/>
      <c r="H98" s="22">
        <f t="shared" si="35"/>
        <v>0.4</v>
      </c>
      <c r="I98" s="8" t="s">
        <v>45</v>
      </c>
      <c r="J98" s="6">
        <f>-L98</f>
        <v>-2</v>
      </c>
      <c r="K98" s="7" t="e">
        <f>2*(K54-K95)/(K54+K95)</f>
        <v>#DIV/0!</v>
      </c>
      <c r="L98" s="47">
        <f>Specifications!E18</f>
        <v>2</v>
      </c>
      <c r="M98" s="6" t="s">
        <v>28</v>
      </c>
      <c r="N98" s="2" t="e">
        <f>IF((J98&lt;K98)* (K98&lt;L98),"PASS","FAIL")</f>
        <v>#DIV/0!</v>
      </c>
      <c r="O98" s="8"/>
      <c r="R98" s="17">
        <v>1</v>
      </c>
    </row>
    <row r="99" spans="2:20">
      <c r="B99" s="3">
        <f t="shared" si="27"/>
        <v>401.5</v>
      </c>
      <c r="C99" s="25">
        <f t="shared" si="32"/>
        <v>400</v>
      </c>
      <c r="D99" s="25">
        <f t="shared" si="33"/>
        <v>0</v>
      </c>
      <c r="E99" s="75"/>
      <c r="F99" s="4">
        <f t="shared" si="34"/>
        <v>1</v>
      </c>
      <c r="G99" s="76"/>
      <c r="H99" s="22">
        <f t="shared" si="35"/>
        <v>0.5</v>
      </c>
      <c r="I99" s="8" t="s">
        <v>46</v>
      </c>
      <c r="J99" s="6">
        <f>J98</f>
        <v>-2</v>
      </c>
      <c r="K99" s="7" t="e">
        <f>2*(K57-K97)/(K57+K97)</f>
        <v>#DIV/0!</v>
      </c>
      <c r="L99" s="6">
        <f>L98</f>
        <v>2</v>
      </c>
      <c r="M99" s="6" t="s">
        <v>28</v>
      </c>
      <c r="N99" s="2" t="e">
        <f>IF((J99&lt;K99)* (K99&lt;L99),"PASS","FAIL")</f>
        <v>#DIV/0!</v>
      </c>
      <c r="O99" s="8"/>
      <c r="R99" s="17">
        <v>1</v>
      </c>
    </row>
    <row r="100" spans="2:20" ht="15" customHeight="1">
      <c r="B100" s="3">
        <f t="shared" si="27"/>
        <v>402</v>
      </c>
      <c r="C100" s="25">
        <f t="shared" si="32"/>
        <v>400</v>
      </c>
      <c r="D100" s="25">
        <f t="shared" si="33"/>
        <v>0</v>
      </c>
      <c r="E100" s="75"/>
      <c r="F100" s="4">
        <f>F99+1</f>
        <v>2</v>
      </c>
      <c r="G100" s="74" t="str">
        <f>G62</f>
        <v>Azimuth=315°</v>
      </c>
      <c r="H100" s="22">
        <v>0</v>
      </c>
      <c r="I100" s="8" t="str">
        <f>"-peak angle"</f>
        <v>-peak angle</v>
      </c>
      <c r="J100" s="2"/>
      <c r="K100" s="10">
        <f>K64</f>
        <v>0</v>
      </c>
      <c r="L100" s="2"/>
      <c r="M100" s="9" t="s">
        <v>30</v>
      </c>
      <c r="N100" s="2"/>
      <c r="O100" s="15"/>
      <c r="P100" s="13"/>
      <c r="S100" s="13"/>
      <c r="T100" s="13"/>
    </row>
    <row r="101" spans="2:20">
      <c r="B101" s="3">
        <f t="shared" si="27"/>
        <v>402.1</v>
      </c>
      <c r="C101" s="25">
        <f t="shared" si="32"/>
        <v>400</v>
      </c>
      <c r="D101" s="25">
        <f t="shared" si="33"/>
        <v>0</v>
      </c>
      <c r="E101" s="75"/>
      <c r="F101" s="4">
        <f t="shared" si="34"/>
        <v>2</v>
      </c>
      <c r="G101" s="75"/>
      <c r="H101" s="22">
        <f t="shared" si="35"/>
        <v>0.1</v>
      </c>
      <c r="I101" s="8" t="str">
        <f>"-magnitude"</f>
        <v>-magnitude</v>
      </c>
      <c r="J101" s="2"/>
      <c r="K101" s="5"/>
      <c r="L101" s="2"/>
      <c r="M101" s="2" t="s">
        <v>29</v>
      </c>
      <c r="N101" s="2"/>
      <c r="O101" s="15" t="s">
        <v>40</v>
      </c>
      <c r="P101" s="13"/>
      <c r="Q101" s="17">
        <v>1</v>
      </c>
      <c r="S101" s="13"/>
      <c r="T101" s="13"/>
    </row>
    <row r="102" spans="2:20">
      <c r="B102" s="3">
        <f t="shared" si="27"/>
        <v>402.2</v>
      </c>
      <c r="C102" s="25">
        <f t="shared" si="32"/>
        <v>400</v>
      </c>
      <c r="D102" s="25">
        <f t="shared" si="33"/>
        <v>0</v>
      </c>
      <c r="E102" s="75"/>
      <c r="F102" s="4">
        <f t="shared" si="34"/>
        <v>2</v>
      </c>
      <c r="G102" s="75"/>
      <c r="H102" s="22">
        <f t="shared" si="35"/>
        <v>0.2</v>
      </c>
      <c r="I102" s="8" t="str">
        <f>"+peak angle"</f>
        <v>+peak angle</v>
      </c>
      <c r="J102" s="2"/>
      <c r="K102" s="10">
        <f>K67</f>
        <v>0</v>
      </c>
      <c r="L102" s="2"/>
      <c r="M102" s="9" t="s">
        <v>30</v>
      </c>
      <c r="N102" s="2"/>
      <c r="O102" s="15"/>
      <c r="P102" s="13"/>
      <c r="S102" s="13"/>
      <c r="T102" s="13"/>
    </row>
    <row r="103" spans="2:20">
      <c r="B103" s="3">
        <f t="shared" si="27"/>
        <v>402.3</v>
      </c>
      <c r="C103" s="25">
        <f t="shared" si="32"/>
        <v>400</v>
      </c>
      <c r="D103" s="25">
        <f t="shared" si="33"/>
        <v>0</v>
      </c>
      <c r="E103" s="75"/>
      <c r="F103" s="4">
        <f t="shared" si="34"/>
        <v>2</v>
      </c>
      <c r="G103" s="75"/>
      <c r="H103" s="22">
        <f t="shared" si="35"/>
        <v>0.30000000000000004</v>
      </c>
      <c r="I103" s="8" t="str">
        <f>"+magnitude"</f>
        <v>+magnitude</v>
      </c>
      <c r="J103" s="2"/>
      <c r="K103" s="5"/>
      <c r="L103" s="2"/>
      <c r="M103" s="2" t="s">
        <v>29</v>
      </c>
      <c r="N103" s="2"/>
      <c r="O103" s="15" t="s">
        <v>42</v>
      </c>
      <c r="P103" s="13"/>
      <c r="Q103" s="17">
        <v>1</v>
      </c>
      <c r="S103" s="13"/>
      <c r="T103" s="13"/>
    </row>
    <row r="104" spans="2:20">
      <c r="B104" s="3">
        <f t="shared" si="27"/>
        <v>402.4</v>
      </c>
      <c r="C104" s="25">
        <f t="shared" si="32"/>
        <v>400</v>
      </c>
      <c r="D104" s="25">
        <f t="shared" si="33"/>
        <v>0</v>
      </c>
      <c r="E104" s="75"/>
      <c r="F104" s="4">
        <f t="shared" si="34"/>
        <v>2</v>
      </c>
      <c r="G104" s="75"/>
      <c r="H104" s="22">
        <f t="shared" si="35"/>
        <v>0.4</v>
      </c>
      <c r="I104" s="8" t="s">
        <v>45</v>
      </c>
      <c r="J104" s="6">
        <f>J99</f>
        <v>-2</v>
      </c>
      <c r="K104" s="7" t="e">
        <f>2*(K66-K103)/(K66+K103)</f>
        <v>#DIV/0!</v>
      </c>
      <c r="L104" s="6">
        <f>L99</f>
        <v>2</v>
      </c>
      <c r="M104" s="6" t="s">
        <v>28</v>
      </c>
      <c r="N104" s="2" t="e">
        <f>IF((J104&lt;K104)* (K104&lt;L104),"PASS","FAIL")</f>
        <v>#DIV/0!</v>
      </c>
      <c r="O104" s="8"/>
      <c r="R104" s="17">
        <v>1</v>
      </c>
    </row>
    <row r="105" spans="2:20">
      <c r="B105" s="3">
        <f t="shared" si="27"/>
        <v>402.5</v>
      </c>
      <c r="C105" s="25">
        <f t="shared" si="32"/>
        <v>400</v>
      </c>
      <c r="D105" s="25">
        <f t="shared" si="33"/>
        <v>0</v>
      </c>
      <c r="E105" s="75"/>
      <c r="F105" s="4">
        <f t="shared" si="34"/>
        <v>2</v>
      </c>
      <c r="G105" s="76"/>
      <c r="H105" s="22">
        <f t="shared" si="35"/>
        <v>0.5</v>
      </c>
      <c r="I105" s="8" t="s">
        <v>46</v>
      </c>
      <c r="J105" s="6">
        <f>J104</f>
        <v>-2</v>
      </c>
      <c r="K105" s="7" t="e">
        <f>2*(K67-K103)/(K67+K103)</f>
        <v>#DIV/0!</v>
      </c>
      <c r="L105" s="6">
        <f>L104</f>
        <v>2</v>
      </c>
      <c r="M105" s="6" t="s">
        <v>28</v>
      </c>
      <c r="N105" s="2" t="e">
        <f>IF((J105&lt;K105)* (K105&lt;L105),"PASS","FAIL")</f>
        <v>#DIV/0!</v>
      </c>
      <c r="O105" s="8"/>
      <c r="R105" s="17">
        <v>1</v>
      </c>
    </row>
    <row r="106" spans="2:20" ht="15" customHeight="1">
      <c r="B106" s="3">
        <f t="shared" si="27"/>
        <v>403</v>
      </c>
      <c r="C106" s="25">
        <f t="shared" si="32"/>
        <v>400</v>
      </c>
      <c r="D106" s="25">
        <f t="shared" si="33"/>
        <v>0</v>
      </c>
      <c r="E106" s="75"/>
      <c r="F106" s="4">
        <f>F105+1</f>
        <v>3</v>
      </c>
      <c r="G106" s="74" t="str">
        <f>G71</f>
        <v>Azimuth=0°</v>
      </c>
      <c r="H106" s="22">
        <v>0</v>
      </c>
      <c r="I106" s="8" t="str">
        <f>"-peak angle"</f>
        <v>-peak angle</v>
      </c>
      <c r="J106" s="2"/>
      <c r="K106" s="10">
        <f>K73</f>
        <v>0</v>
      </c>
      <c r="L106" s="2"/>
      <c r="M106" s="9" t="s">
        <v>30</v>
      </c>
      <c r="N106" s="2"/>
      <c r="O106" s="15"/>
      <c r="P106" s="13"/>
      <c r="S106" s="13"/>
      <c r="T106" s="13"/>
    </row>
    <row r="107" spans="2:20">
      <c r="B107" s="3">
        <f t="shared" si="27"/>
        <v>403.1</v>
      </c>
      <c r="C107" s="25">
        <f t="shared" si="32"/>
        <v>400</v>
      </c>
      <c r="D107" s="25">
        <f t="shared" si="33"/>
        <v>0</v>
      </c>
      <c r="E107" s="75"/>
      <c r="F107" s="4">
        <f t="shared" si="34"/>
        <v>3</v>
      </c>
      <c r="G107" s="75"/>
      <c r="H107" s="22">
        <f t="shared" si="35"/>
        <v>0.1</v>
      </c>
      <c r="I107" s="8" t="str">
        <f>"-magnitude"</f>
        <v>-magnitude</v>
      </c>
      <c r="J107" s="2"/>
      <c r="K107" s="5"/>
      <c r="L107" s="2"/>
      <c r="M107" s="2" t="s">
        <v>29</v>
      </c>
      <c r="N107" s="2"/>
      <c r="O107" s="15" t="s">
        <v>40</v>
      </c>
      <c r="P107" s="13"/>
      <c r="Q107" s="17">
        <v>1</v>
      </c>
      <c r="S107" s="13"/>
      <c r="T107" s="13"/>
    </row>
    <row r="108" spans="2:20">
      <c r="B108" s="3">
        <f t="shared" si="27"/>
        <v>403.2</v>
      </c>
      <c r="C108" s="25">
        <f t="shared" si="32"/>
        <v>400</v>
      </c>
      <c r="D108" s="25">
        <f t="shared" si="33"/>
        <v>0</v>
      </c>
      <c r="E108" s="75"/>
      <c r="F108" s="4">
        <f t="shared" si="34"/>
        <v>3</v>
      </c>
      <c r="G108" s="75"/>
      <c r="H108" s="22">
        <f t="shared" si="35"/>
        <v>0.2</v>
      </c>
      <c r="I108" s="8" t="str">
        <f>"+peak angle"</f>
        <v>+peak angle</v>
      </c>
      <c r="J108" s="2"/>
      <c r="K108" s="10">
        <f>K76</f>
        <v>0</v>
      </c>
      <c r="L108" s="2"/>
      <c r="M108" s="9" t="s">
        <v>30</v>
      </c>
      <c r="N108" s="2"/>
      <c r="O108" s="15"/>
      <c r="P108" s="13"/>
      <c r="S108" s="13"/>
      <c r="T108" s="13"/>
    </row>
    <row r="109" spans="2:20">
      <c r="B109" s="3">
        <f t="shared" si="27"/>
        <v>403.3</v>
      </c>
      <c r="C109" s="25">
        <f t="shared" si="32"/>
        <v>400</v>
      </c>
      <c r="D109" s="25">
        <f t="shared" si="33"/>
        <v>0</v>
      </c>
      <c r="E109" s="75"/>
      <c r="F109" s="4">
        <f t="shared" si="34"/>
        <v>3</v>
      </c>
      <c r="G109" s="75"/>
      <c r="H109" s="22">
        <f t="shared" si="35"/>
        <v>0.30000000000000004</v>
      </c>
      <c r="I109" s="8" t="str">
        <f>"+magnitude"</f>
        <v>+magnitude</v>
      </c>
      <c r="J109" s="2"/>
      <c r="K109" s="5"/>
      <c r="L109" s="2"/>
      <c r="M109" s="2" t="s">
        <v>29</v>
      </c>
      <c r="N109" s="2"/>
      <c r="O109" s="15" t="s">
        <v>42</v>
      </c>
      <c r="P109" s="13"/>
      <c r="Q109" s="17">
        <v>1</v>
      </c>
      <c r="S109" s="13"/>
      <c r="T109" s="13"/>
    </row>
    <row r="110" spans="2:20">
      <c r="B110" s="3">
        <f t="shared" si="27"/>
        <v>403.4</v>
      </c>
      <c r="C110" s="25">
        <f t="shared" si="32"/>
        <v>400</v>
      </c>
      <c r="D110" s="25">
        <f t="shared" si="33"/>
        <v>0</v>
      </c>
      <c r="E110" s="75"/>
      <c r="F110" s="4">
        <f t="shared" si="34"/>
        <v>3</v>
      </c>
      <c r="G110" s="75"/>
      <c r="H110" s="22">
        <f t="shared" si="35"/>
        <v>0.4</v>
      </c>
      <c r="I110" s="8" t="s">
        <v>45</v>
      </c>
      <c r="J110" s="6">
        <f>J105</f>
        <v>-2</v>
      </c>
      <c r="K110" s="7" t="e">
        <f>2*(K72-K107)/(K72+K107)</f>
        <v>#DIV/0!</v>
      </c>
      <c r="L110" s="6">
        <f>L105</f>
        <v>2</v>
      </c>
      <c r="M110" s="6" t="s">
        <v>28</v>
      </c>
      <c r="N110" s="2" t="e">
        <f>IF((J110&lt;K110)* (K110&lt;L110),"PASS","FAIL")</f>
        <v>#DIV/0!</v>
      </c>
      <c r="O110" s="8"/>
      <c r="R110" s="17">
        <v>1</v>
      </c>
    </row>
    <row r="111" spans="2:20">
      <c r="B111" s="3">
        <f t="shared" si="27"/>
        <v>403.5</v>
      </c>
      <c r="C111" s="25">
        <f t="shared" si="32"/>
        <v>400</v>
      </c>
      <c r="D111" s="25">
        <f t="shared" si="33"/>
        <v>0</v>
      </c>
      <c r="E111" s="75"/>
      <c r="F111" s="4">
        <f t="shared" si="34"/>
        <v>3</v>
      </c>
      <c r="G111" s="76"/>
      <c r="H111" s="22">
        <f t="shared" si="35"/>
        <v>0.5</v>
      </c>
      <c r="I111" s="8" t="s">
        <v>46</v>
      </c>
      <c r="J111" s="6">
        <f>J110</f>
        <v>-2</v>
      </c>
      <c r="K111" s="7" t="e">
        <f>2*(K75-K109)/(K75+K109)</f>
        <v>#DIV/0!</v>
      </c>
      <c r="L111" s="6">
        <f>L110</f>
        <v>2</v>
      </c>
      <c r="M111" s="6" t="s">
        <v>28</v>
      </c>
      <c r="N111" s="2" t="e">
        <f>IF((J111&lt;K111)* (K111&lt;L111),"PASS","FAIL")</f>
        <v>#DIV/0!</v>
      </c>
      <c r="O111" s="8"/>
      <c r="R111" s="17">
        <v>1</v>
      </c>
    </row>
    <row r="112" spans="2:20" ht="15" customHeight="1">
      <c r="B112" s="3">
        <f t="shared" si="27"/>
        <v>404</v>
      </c>
      <c r="C112" s="25">
        <f t="shared" si="32"/>
        <v>400</v>
      </c>
      <c r="D112" s="25">
        <f t="shared" si="33"/>
        <v>0</v>
      </c>
      <c r="E112" s="75"/>
      <c r="F112" s="4">
        <f>F111+1</f>
        <v>4</v>
      </c>
      <c r="G112" s="74" t="str">
        <f>G80</f>
        <v>Azimuth=45°</v>
      </c>
      <c r="H112" s="22">
        <v>0</v>
      </c>
      <c r="I112" s="8" t="str">
        <f>"-peak angle"</f>
        <v>-peak angle</v>
      </c>
      <c r="J112" s="2"/>
      <c r="K112" s="10">
        <f>K82</f>
        <v>0</v>
      </c>
      <c r="L112" s="2"/>
      <c r="M112" s="9" t="s">
        <v>30</v>
      </c>
      <c r="N112" s="2"/>
      <c r="O112" s="15"/>
      <c r="P112" s="13"/>
      <c r="S112" s="13"/>
      <c r="T112" s="13"/>
    </row>
    <row r="113" spans="2:20">
      <c r="B113" s="3">
        <f t="shared" si="27"/>
        <v>404.1</v>
      </c>
      <c r="C113" s="25">
        <f t="shared" si="32"/>
        <v>400</v>
      </c>
      <c r="D113" s="25">
        <f t="shared" si="33"/>
        <v>0</v>
      </c>
      <c r="E113" s="75"/>
      <c r="F113" s="4">
        <f t="shared" si="34"/>
        <v>4</v>
      </c>
      <c r="G113" s="75"/>
      <c r="H113" s="22">
        <f t="shared" si="35"/>
        <v>0.1</v>
      </c>
      <c r="I113" s="8" t="str">
        <f>"-magnitude"</f>
        <v>-magnitude</v>
      </c>
      <c r="J113" s="2"/>
      <c r="K113" s="5"/>
      <c r="L113" s="2"/>
      <c r="M113" s="2" t="s">
        <v>29</v>
      </c>
      <c r="N113" s="2"/>
      <c r="O113" s="15" t="s">
        <v>40</v>
      </c>
      <c r="P113" s="13"/>
      <c r="Q113" s="17">
        <v>1</v>
      </c>
      <c r="S113" s="13"/>
      <c r="T113" s="13"/>
    </row>
    <row r="114" spans="2:20">
      <c r="B114" s="3">
        <f t="shared" si="27"/>
        <v>404.2</v>
      </c>
      <c r="C114" s="25">
        <f t="shared" si="32"/>
        <v>400</v>
      </c>
      <c r="D114" s="25">
        <f t="shared" si="33"/>
        <v>0</v>
      </c>
      <c r="E114" s="75"/>
      <c r="F114" s="4">
        <f t="shared" si="34"/>
        <v>4</v>
      </c>
      <c r="G114" s="75"/>
      <c r="H114" s="22">
        <f t="shared" si="35"/>
        <v>0.2</v>
      </c>
      <c r="I114" s="8" t="str">
        <f>"+peak angle"</f>
        <v>+peak angle</v>
      </c>
      <c r="J114" s="2"/>
      <c r="K114" s="10">
        <f>K85</f>
        <v>0</v>
      </c>
      <c r="L114" s="2"/>
      <c r="M114" s="9" t="s">
        <v>30</v>
      </c>
      <c r="N114" s="2"/>
      <c r="O114" s="15"/>
      <c r="P114" s="13"/>
      <c r="S114" s="13"/>
      <c r="T114" s="13"/>
    </row>
    <row r="115" spans="2:20">
      <c r="B115" s="3">
        <f t="shared" si="27"/>
        <v>404.3</v>
      </c>
      <c r="C115" s="25">
        <f t="shared" si="32"/>
        <v>400</v>
      </c>
      <c r="D115" s="25">
        <f t="shared" si="33"/>
        <v>0</v>
      </c>
      <c r="E115" s="75"/>
      <c r="F115" s="4">
        <f t="shared" si="34"/>
        <v>4</v>
      </c>
      <c r="G115" s="75"/>
      <c r="H115" s="22">
        <f t="shared" si="35"/>
        <v>0.30000000000000004</v>
      </c>
      <c r="I115" s="8" t="str">
        <f>"+magnitude"</f>
        <v>+magnitude</v>
      </c>
      <c r="J115" s="2"/>
      <c r="K115" s="5"/>
      <c r="L115" s="2"/>
      <c r="M115" s="2" t="s">
        <v>29</v>
      </c>
      <c r="N115" s="2"/>
      <c r="O115" s="15" t="s">
        <v>42</v>
      </c>
      <c r="P115" s="13"/>
      <c r="Q115" s="17">
        <v>1</v>
      </c>
      <c r="S115" s="13"/>
      <c r="T115" s="13"/>
    </row>
    <row r="116" spans="2:20">
      <c r="B116" s="3">
        <f t="shared" si="27"/>
        <v>404.4</v>
      </c>
      <c r="C116" s="25">
        <f t="shared" si="32"/>
        <v>400</v>
      </c>
      <c r="D116" s="25">
        <f t="shared" si="33"/>
        <v>0</v>
      </c>
      <c r="E116" s="75"/>
      <c r="F116" s="4">
        <f t="shared" si="34"/>
        <v>4</v>
      </c>
      <c r="G116" s="75"/>
      <c r="H116" s="22">
        <f t="shared" si="35"/>
        <v>0.4</v>
      </c>
      <c r="I116" s="8" t="s">
        <v>45</v>
      </c>
      <c r="J116" s="6">
        <f>J111</f>
        <v>-2</v>
      </c>
      <c r="K116" s="7" t="e">
        <f>2*(K81-K113)/(K81+K113)</f>
        <v>#DIV/0!</v>
      </c>
      <c r="L116" s="6">
        <f>L111</f>
        <v>2</v>
      </c>
      <c r="M116" s="6" t="s">
        <v>28</v>
      </c>
      <c r="N116" s="2" t="e">
        <f>IF((J116&lt;K116)* (K116&lt;L116),"PASS","FAIL")</f>
        <v>#DIV/0!</v>
      </c>
      <c r="O116" s="8"/>
      <c r="R116" s="17">
        <v>1</v>
      </c>
    </row>
    <row r="117" spans="2:20">
      <c r="B117" s="3">
        <f t="shared" si="27"/>
        <v>404.5</v>
      </c>
      <c r="C117" s="25">
        <f t="shared" si="32"/>
        <v>400</v>
      </c>
      <c r="D117" s="25">
        <f t="shared" si="33"/>
        <v>0</v>
      </c>
      <c r="E117" s="76"/>
      <c r="F117" s="4">
        <f t="shared" si="34"/>
        <v>4</v>
      </c>
      <c r="G117" s="76"/>
      <c r="H117" s="22">
        <f t="shared" si="35"/>
        <v>0.5</v>
      </c>
      <c r="I117" s="8" t="s">
        <v>46</v>
      </c>
      <c r="J117" s="6">
        <f>J116</f>
        <v>-2</v>
      </c>
      <c r="K117" s="7" t="e">
        <f>2*(K84-K115)/(K84+K115)</f>
        <v>#DIV/0!</v>
      </c>
      <c r="L117" s="6">
        <f>L116</f>
        <v>2</v>
      </c>
      <c r="M117" s="6" t="s">
        <v>28</v>
      </c>
      <c r="N117" s="2" t="e">
        <f>IF((J117&lt;K117)* (K117&lt;L117),"PASS","FAIL")</f>
        <v>#DIV/0!</v>
      </c>
      <c r="O117" s="8"/>
      <c r="R117" s="17">
        <v>1</v>
      </c>
    </row>
  </sheetData>
  <mergeCells count="42">
    <mergeCell ref="G16:G19"/>
    <mergeCell ref="G20:G23"/>
    <mergeCell ref="G24:G27"/>
    <mergeCell ref="B2:B3"/>
    <mergeCell ref="G6:G7"/>
    <mergeCell ref="G8:G9"/>
    <mergeCell ref="G10:G11"/>
    <mergeCell ref="G12:G13"/>
    <mergeCell ref="E2:I2"/>
    <mergeCell ref="E3:O3"/>
    <mergeCell ref="C2:D3"/>
    <mergeCell ref="E4:E14"/>
    <mergeCell ref="G4:G5"/>
    <mergeCell ref="G112:G117"/>
    <mergeCell ref="E90:E117"/>
    <mergeCell ref="G94:G99"/>
    <mergeCell ref="G100:G105"/>
    <mergeCell ref="G106:G111"/>
    <mergeCell ref="B32:D32"/>
    <mergeCell ref="B46:D46"/>
    <mergeCell ref="B89:D89"/>
    <mergeCell ref="G80:G88"/>
    <mergeCell ref="E89:G89"/>
    <mergeCell ref="G53:G61"/>
    <mergeCell ref="G62:G70"/>
    <mergeCell ref="G71:G79"/>
    <mergeCell ref="O91:O92"/>
    <mergeCell ref="O4:O5"/>
    <mergeCell ref="G47:G52"/>
    <mergeCell ref="G28:G31"/>
    <mergeCell ref="G33:G35"/>
    <mergeCell ref="G36:G38"/>
    <mergeCell ref="G39:G41"/>
    <mergeCell ref="G42:G44"/>
    <mergeCell ref="E32:O32"/>
    <mergeCell ref="O50:O51"/>
    <mergeCell ref="E33:E45"/>
    <mergeCell ref="E15:E31"/>
    <mergeCell ref="G15:J15"/>
    <mergeCell ref="G90:G93"/>
    <mergeCell ref="E46:O46"/>
    <mergeCell ref="E47:E88"/>
  </mergeCells>
  <conditionalFormatting sqref="N104:N105 N98:N99 N7 N9 N11 N13 N18:N19 N22:N23 N26:N27 N30:N31 N34:N35 N37:N38 N40:N41 N43:N44 N93 N110:N111 N116:N117 N59:N61 N68:N70 N77:N79 N86:N88">
    <cfRule type="expression" dxfId="9" priority="83">
      <formula>N7="FAIL"</formula>
    </cfRule>
    <cfRule type="expression" dxfId="8" priority="84">
      <formula>N7="PASS"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F18"/>
  <sheetViews>
    <sheetView zoomScale="85" zoomScaleNormal="85" workbookViewId="0">
      <selection activeCell="E18" sqref="E18"/>
    </sheetView>
  </sheetViews>
  <sheetFormatPr defaultRowHeight="15"/>
  <cols>
    <col min="2" max="2" width="9.140625" style="1"/>
    <col min="3" max="3" width="10.28515625" style="1" bestFit="1" customWidth="1"/>
    <col min="4" max="4" width="27.5703125" style="57" bestFit="1" customWidth="1"/>
    <col min="5" max="6" width="9.140625" style="1"/>
  </cols>
  <sheetData>
    <row r="2" spans="2:6">
      <c r="B2" s="54" t="s">
        <v>80</v>
      </c>
      <c r="C2" s="54" t="s">
        <v>99</v>
      </c>
      <c r="D2" s="55" t="s">
        <v>81</v>
      </c>
      <c r="E2" s="54" t="s">
        <v>7</v>
      </c>
      <c r="F2" s="54" t="s">
        <v>23</v>
      </c>
    </row>
    <row r="3" spans="2:6">
      <c r="B3" s="54">
        <v>1</v>
      </c>
      <c r="C3" s="77" t="s">
        <v>97</v>
      </c>
      <c r="D3" s="55" t="s">
        <v>77</v>
      </c>
      <c r="E3" s="58">
        <v>0.25</v>
      </c>
      <c r="F3" s="54" t="s">
        <v>78</v>
      </c>
    </row>
    <row r="4" spans="2:6">
      <c r="B4" s="54">
        <f>B3+1</f>
        <v>2</v>
      </c>
      <c r="C4" s="77"/>
      <c r="D4" s="55" t="s">
        <v>76</v>
      </c>
      <c r="E4" s="58">
        <v>0.35</v>
      </c>
      <c r="F4" s="54" t="s">
        <v>78</v>
      </c>
    </row>
    <row r="5" spans="2:6">
      <c r="B5" s="54">
        <f t="shared" ref="B5:B18" si="0">B4+1</f>
        <v>3</v>
      </c>
      <c r="C5" s="77"/>
      <c r="D5" s="55" t="s">
        <v>88</v>
      </c>
      <c r="E5" s="58">
        <v>0.35</v>
      </c>
      <c r="F5" s="54" t="s">
        <v>78</v>
      </c>
    </row>
    <row r="6" spans="2:6">
      <c r="B6" s="54">
        <f t="shared" si="0"/>
        <v>4</v>
      </c>
      <c r="C6" s="77" t="s">
        <v>98</v>
      </c>
      <c r="D6" s="55" t="s">
        <v>96</v>
      </c>
      <c r="E6" s="5">
        <v>15</v>
      </c>
      <c r="F6" s="54" t="s">
        <v>79</v>
      </c>
    </row>
    <row r="7" spans="2:6">
      <c r="B7" s="54">
        <f t="shared" si="0"/>
        <v>5</v>
      </c>
      <c r="C7" s="77"/>
      <c r="D7" s="55" t="s">
        <v>82</v>
      </c>
      <c r="E7" s="5">
        <v>60</v>
      </c>
      <c r="F7" s="54" t="s">
        <v>79</v>
      </c>
    </row>
    <row r="8" spans="2:6">
      <c r="B8" s="54">
        <f t="shared" si="0"/>
        <v>6</v>
      </c>
      <c r="C8" s="77"/>
      <c r="D8" s="55" t="s">
        <v>83</v>
      </c>
      <c r="E8" s="5">
        <v>10</v>
      </c>
      <c r="F8" s="54" t="s">
        <v>79</v>
      </c>
    </row>
    <row r="9" spans="2:6">
      <c r="B9" s="54">
        <f t="shared" si="0"/>
        <v>7</v>
      </c>
      <c r="C9" s="77"/>
      <c r="D9" s="55" t="s">
        <v>91</v>
      </c>
      <c r="E9" s="5">
        <v>25</v>
      </c>
      <c r="F9" s="54" t="s">
        <v>79</v>
      </c>
    </row>
    <row r="10" spans="2:6">
      <c r="B10" s="54">
        <f t="shared" si="0"/>
        <v>8</v>
      </c>
      <c r="C10" s="77"/>
      <c r="D10" s="55" t="s">
        <v>90</v>
      </c>
      <c r="E10" s="58">
        <v>2</v>
      </c>
      <c r="F10" s="54" t="s">
        <v>78</v>
      </c>
    </row>
    <row r="11" spans="2:6">
      <c r="B11" s="54">
        <f t="shared" si="0"/>
        <v>9</v>
      </c>
      <c r="C11" s="77"/>
      <c r="D11" s="55" t="s">
        <v>84</v>
      </c>
      <c r="E11" s="59">
        <f>E7-E8</f>
        <v>50</v>
      </c>
      <c r="F11" s="54" t="s">
        <v>79</v>
      </c>
    </row>
    <row r="12" spans="2:6">
      <c r="B12" s="54">
        <f t="shared" si="0"/>
        <v>10</v>
      </c>
      <c r="C12" s="77"/>
      <c r="D12" s="55" t="s">
        <v>85</v>
      </c>
      <c r="E12" s="59">
        <f>E7+E8</f>
        <v>70</v>
      </c>
      <c r="F12" s="54" t="s">
        <v>79</v>
      </c>
    </row>
    <row r="13" spans="2:6">
      <c r="B13" s="54">
        <f t="shared" si="0"/>
        <v>11</v>
      </c>
      <c r="C13" s="77"/>
      <c r="D13" s="55" t="s">
        <v>92</v>
      </c>
      <c r="E13" s="59">
        <f>E7-E9</f>
        <v>35</v>
      </c>
      <c r="F13" s="54" t="s">
        <v>79</v>
      </c>
    </row>
    <row r="14" spans="2:6">
      <c r="B14" s="54">
        <f t="shared" si="0"/>
        <v>12</v>
      </c>
      <c r="C14" s="77"/>
      <c r="D14" s="55" t="s">
        <v>93</v>
      </c>
      <c r="E14" s="59">
        <f>E7+E9</f>
        <v>85</v>
      </c>
      <c r="F14" s="54" t="s">
        <v>79</v>
      </c>
    </row>
    <row r="15" spans="2:6">
      <c r="B15" s="54">
        <f t="shared" si="0"/>
        <v>13</v>
      </c>
      <c r="C15" s="77" t="s">
        <v>35</v>
      </c>
      <c r="D15" s="55" t="s">
        <v>86</v>
      </c>
      <c r="E15" s="58">
        <v>0.15</v>
      </c>
      <c r="F15" s="54" t="s">
        <v>78</v>
      </c>
    </row>
    <row r="16" spans="2:6">
      <c r="B16" s="54">
        <f t="shared" si="0"/>
        <v>14</v>
      </c>
      <c r="C16" s="77"/>
      <c r="D16" s="55" t="s">
        <v>87</v>
      </c>
      <c r="E16" s="58">
        <v>0.3</v>
      </c>
      <c r="F16" s="54" t="s">
        <v>78</v>
      </c>
    </row>
    <row r="17" spans="2:6">
      <c r="B17" s="54">
        <f t="shared" si="0"/>
        <v>15</v>
      </c>
      <c r="C17" s="77"/>
      <c r="D17" s="55" t="s">
        <v>94</v>
      </c>
      <c r="E17" s="58">
        <v>1</v>
      </c>
      <c r="F17" s="54" t="s">
        <v>78</v>
      </c>
    </row>
    <row r="18" spans="2:6">
      <c r="B18" s="54">
        <f t="shared" si="0"/>
        <v>16</v>
      </c>
      <c r="C18" s="77"/>
      <c r="D18" s="55" t="s">
        <v>95</v>
      </c>
      <c r="E18" s="58">
        <v>2</v>
      </c>
      <c r="F18" s="54" t="s">
        <v>78</v>
      </c>
    </row>
  </sheetData>
  <mergeCells count="3">
    <mergeCell ref="C3:C5"/>
    <mergeCell ref="C6:C14"/>
    <mergeCell ref="C15:C1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T117"/>
  <sheetViews>
    <sheetView topLeftCell="B78" zoomScale="85" zoomScaleNormal="85" workbookViewId="0">
      <selection activeCell="K110" sqref="K110"/>
    </sheetView>
  </sheetViews>
  <sheetFormatPr defaultRowHeight="15"/>
  <cols>
    <col min="1" max="2" width="9.140625" customWidth="1"/>
    <col min="3" max="3" width="9.140625" style="24" hidden="1" customWidth="1"/>
    <col min="4" max="4" width="3.42578125" style="24" hidden="1" customWidth="1"/>
    <col min="5" max="5" width="16.7109375" customWidth="1"/>
    <col min="6" max="6" width="2.28515625" hidden="1" customWidth="1"/>
    <col min="7" max="7" width="13.7109375" style="1" customWidth="1"/>
    <col min="8" max="8" width="3.85546875" style="21" hidden="1" customWidth="1"/>
    <col min="9" max="9" width="14.7109375" customWidth="1"/>
    <col min="10" max="10" width="9.140625" style="1" customWidth="1"/>
    <col min="11" max="11" width="9.85546875" style="1" bestFit="1" customWidth="1"/>
    <col min="12" max="14" width="9.140625" style="1" customWidth="1"/>
    <col min="15" max="15" width="79.42578125" style="14" customWidth="1"/>
    <col min="16" max="16" width="9.140625" style="14" customWidth="1"/>
    <col min="17" max="17" width="10.7109375" style="17" bestFit="1" customWidth="1"/>
    <col min="18" max="18" width="9.140625" style="17"/>
    <col min="19" max="20" width="9.140625" style="14"/>
  </cols>
  <sheetData>
    <row r="1" spans="2:20">
      <c r="P1" s="51">
        <v>15</v>
      </c>
      <c r="Q1" s="52" t="s">
        <v>38</v>
      </c>
      <c r="R1" s="53">
        <f>60*P1/Q3</f>
        <v>17.307692307692307</v>
      </c>
      <c r="S1" s="14" t="s">
        <v>71</v>
      </c>
    </row>
    <row r="2" spans="2:20">
      <c r="B2" s="86" t="s">
        <v>13</v>
      </c>
      <c r="C2" s="96"/>
      <c r="D2" s="97"/>
      <c r="E2" s="86" t="s">
        <v>24</v>
      </c>
      <c r="F2" s="86"/>
      <c r="G2" s="86"/>
      <c r="H2" s="86"/>
      <c r="I2" s="86"/>
      <c r="J2" s="61" t="s">
        <v>4</v>
      </c>
      <c r="K2" s="61" t="s">
        <v>7</v>
      </c>
      <c r="L2" s="61" t="s">
        <v>5</v>
      </c>
      <c r="M2" s="61" t="s">
        <v>23</v>
      </c>
      <c r="N2" s="61" t="s">
        <v>6</v>
      </c>
      <c r="O2" s="15" t="s">
        <v>19</v>
      </c>
      <c r="P2" s="13"/>
      <c r="Q2" s="16" t="s">
        <v>36</v>
      </c>
      <c r="R2" s="16" t="s">
        <v>37</v>
      </c>
      <c r="S2" s="13"/>
      <c r="T2" s="13"/>
    </row>
    <row r="3" spans="2:20">
      <c r="B3" s="86"/>
      <c r="C3" s="98"/>
      <c r="D3" s="99"/>
      <c r="E3" s="78" t="str">
        <f>"Condition: photopic filter, QTH @"&amp;Calibration!D9&amp;"amps"</f>
        <v>Condition: photopic filter, QTH @8.36amps</v>
      </c>
      <c r="F3" s="79"/>
      <c r="G3" s="79"/>
      <c r="H3" s="79"/>
      <c r="I3" s="79"/>
      <c r="J3" s="79"/>
      <c r="K3" s="79"/>
      <c r="L3" s="79"/>
      <c r="M3" s="79"/>
      <c r="N3" s="79"/>
      <c r="O3" s="80"/>
      <c r="P3" s="13"/>
      <c r="Q3" s="17">
        <f>SUM(Q4:Q196)</f>
        <v>52</v>
      </c>
      <c r="R3" s="17">
        <f>SUM(R6:R196)</f>
        <v>41</v>
      </c>
      <c r="S3" s="13"/>
      <c r="T3" s="13"/>
    </row>
    <row r="4" spans="2:20">
      <c r="B4" s="3">
        <f>C4+D4+F4+H4</f>
        <v>100</v>
      </c>
      <c r="C4" s="25">
        <v>100</v>
      </c>
      <c r="D4" s="25">
        <v>0</v>
      </c>
      <c r="E4" s="74" t="s">
        <v>33</v>
      </c>
      <c r="F4" s="60">
        <v>0</v>
      </c>
      <c r="G4" s="74" t="s">
        <v>75</v>
      </c>
      <c r="H4" s="22">
        <v>0</v>
      </c>
      <c r="I4" s="8" t="s">
        <v>72</v>
      </c>
      <c r="J4" s="61"/>
      <c r="K4" s="5">
        <v>6</v>
      </c>
      <c r="L4" s="61"/>
      <c r="M4" s="61"/>
      <c r="N4" s="61"/>
      <c r="O4" s="72" t="s">
        <v>74</v>
      </c>
      <c r="P4" s="13"/>
      <c r="Q4" s="17">
        <v>1</v>
      </c>
      <c r="S4" s="13"/>
      <c r="T4" s="13"/>
    </row>
    <row r="5" spans="2:20">
      <c r="B5" s="3">
        <f t="shared" ref="B5" si="0">C5+D5+F5+H5</f>
        <v>100.1</v>
      </c>
      <c r="C5" s="25">
        <f t="shared" ref="C5:D6" si="1">C4</f>
        <v>100</v>
      </c>
      <c r="D5" s="25">
        <f t="shared" si="1"/>
        <v>0</v>
      </c>
      <c r="E5" s="75"/>
      <c r="F5" s="60">
        <f>F4</f>
        <v>0</v>
      </c>
      <c r="G5" s="76"/>
      <c r="H5" s="22">
        <f>H4+0.1</f>
        <v>0.1</v>
      </c>
      <c r="I5" s="8" t="s">
        <v>73</v>
      </c>
      <c r="J5" s="61"/>
      <c r="K5" s="10">
        <f>VLOOKUP(K4,Calibration!$C$3:$D$8,2)</f>
        <v>225</v>
      </c>
      <c r="L5" s="61"/>
      <c r="M5" s="61" t="s">
        <v>29</v>
      </c>
      <c r="N5" s="61"/>
      <c r="O5" s="73"/>
      <c r="P5" s="13"/>
      <c r="S5" s="13"/>
      <c r="T5" s="13"/>
    </row>
    <row r="6" spans="2:20">
      <c r="B6" s="3">
        <f>C6+D6+F6+H6</f>
        <v>101</v>
      </c>
      <c r="C6" s="25">
        <f t="shared" si="1"/>
        <v>100</v>
      </c>
      <c r="D6" s="25">
        <f t="shared" si="1"/>
        <v>0</v>
      </c>
      <c r="E6" s="75"/>
      <c r="F6" s="60">
        <f>F5+1</f>
        <v>1</v>
      </c>
      <c r="G6" s="77" t="s">
        <v>1</v>
      </c>
      <c r="H6" s="22">
        <v>0</v>
      </c>
      <c r="I6" s="8" t="s">
        <v>9</v>
      </c>
      <c r="J6" s="61"/>
      <c r="K6" s="5">
        <v>283</v>
      </c>
      <c r="L6" s="61"/>
      <c r="M6" s="61" t="s">
        <v>29</v>
      </c>
      <c r="N6" s="61"/>
      <c r="O6" s="15" t="s">
        <v>15</v>
      </c>
      <c r="P6" s="13"/>
      <c r="Q6" s="17">
        <v>1</v>
      </c>
      <c r="S6" s="13"/>
      <c r="T6" s="13"/>
    </row>
    <row r="7" spans="2:20">
      <c r="B7" s="3">
        <f t="shared" ref="B7:B31" si="2">C7+D7+F7+H7</f>
        <v>101.1</v>
      </c>
      <c r="C7" s="25">
        <f>C6</f>
        <v>100</v>
      </c>
      <c r="D7" s="25">
        <f>D6</f>
        <v>0</v>
      </c>
      <c r="E7" s="75"/>
      <c r="F7" s="60">
        <f>F6</f>
        <v>1</v>
      </c>
      <c r="G7" s="77"/>
      <c r="H7" s="22">
        <f>H6+0.1</f>
        <v>0.1</v>
      </c>
      <c r="I7" s="8" t="s">
        <v>10</v>
      </c>
      <c r="J7" s="49">
        <f>-L7</f>
        <v>-0.25</v>
      </c>
      <c r="K7" s="7">
        <f>K6/K$5-1</f>
        <v>0.25777777777777788</v>
      </c>
      <c r="L7" s="47">
        <f>Specifications!E3</f>
        <v>0.25</v>
      </c>
      <c r="M7" s="6" t="s">
        <v>28</v>
      </c>
      <c r="N7" s="61" t="str">
        <f>IF((J7&lt;K7)* (K7&lt;L7),"PASS","FAIL")</f>
        <v>FAIL</v>
      </c>
      <c r="O7" s="15"/>
      <c r="P7" s="13"/>
      <c r="R7" s="17">
        <v>1</v>
      </c>
      <c r="S7" s="13"/>
      <c r="T7" s="13"/>
    </row>
    <row r="8" spans="2:20">
      <c r="B8" s="3">
        <f t="shared" si="2"/>
        <v>102</v>
      </c>
      <c r="C8" s="25">
        <f t="shared" ref="C8:D23" si="3">C7</f>
        <v>100</v>
      </c>
      <c r="D8" s="25">
        <f t="shared" si="3"/>
        <v>0</v>
      </c>
      <c r="E8" s="75"/>
      <c r="F8" s="60">
        <f>F7+1</f>
        <v>2</v>
      </c>
      <c r="G8" s="77" t="s">
        <v>2</v>
      </c>
      <c r="H8" s="22">
        <v>0</v>
      </c>
      <c r="I8" s="8" t="s">
        <v>9</v>
      </c>
      <c r="J8" s="61"/>
      <c r="K8" s="5">
        <v>277</v>
      </c>
      <c r="L8" s="61"/>
      <c r="M8" s="61" t="s">
        <v>29</v>
      </c>
      <c r="N8" s="61"/>
      <c r="O8" s="15" t="s">
        <v>16</v>
      </c>
      <c r="P8" s="13"/>
      <c r="Q8" s="17">
        <v>1</v>
      </c>
      <c r="S8" s="13"/>
      <c r="T8" s="13"/>
    </row>
    <row r="9" spans="2:20">
      <c r="B9" s="3">
        <f t="shared" si="2"/>
        <v>102.1</v>
      </c>
      <c r="C9" s="25">
        <f t="shared" si="3"/>
        <v>100</v>
      </c>
      <c r="D9" s="25">
        <f t="shared" si="3"/>
        <v>0</v>
      </c>
      <c r="E9" s="75"/>
      <c r="F9" s="60">
        <f t="shared" ref="F9:F31" si="4">F8</f>
        <v>2</v>
      </c>
      <c r="G9" s="77"/>
      <c r="H9" s="22">
        <f t="shared" ref="H9:H13" si="5">H8+0.1</f>
        <v>0.1</v>
      </c>
      <c r="I9" s="8" t="s">
        <v>10</v>
      </c>
      <c r="J9" s="6">
        <f>J7</f>
        <v>-0.25</v>
      </c>
      <c r="K9" s="7">
        <f>K8/K$5-1</f>
        <v>0.23111111111111104</v>
      </c>
      <c r="L9" s="6">
        <f>L7</f>
        <v>0.25</v>
      </c>
      <c r="M9" s="6" t="s">
        <v>28</v>
      </c>
      <c r="N9" s="61" t="str">
        <f>IF((J9&lt;K9)* (K9&lt;L9),"PASS","FAIL")</f>
        <v>PASS</v>
      </c>
      <c r="O9" s="15"/>
      <c r="P9" s="13"/>
      <c r="R9" s="17">
        <v>1</v>
      </c>
      <c r="S9" s="13"/>
      <c r="T9" s="13"/>
    </row>
    <row r="10" spans="2:20">
      <c r="B10" s="3">
        <f t="shared" si="2"/>
        <v>103</v>
      </c>
      <c r="C10" s="25">
        <f t="shared" si="3"/>
        <v>100</v>
      </c>
      <c r="D10" s="25">
        <f t="shared" si="3"/>
        <v>0</v>
      </c>
      <c r="E10" s="75"/>
      <c r="F10" s="60">
        <f>F9+1</f>
        <v>3</v>
      </c>
      <c r="G10" s="77" t="s">
        <v>3</v>
      </c>
      <c r="H10" s="22">
        <v>0</v>
      </c>
      <c r="I10" s="8" t="s">
        <v>9</v>
      </c>
      <c r="J10" s="61"/>
      <c r="K10" s="5">
        <v>305</v>
      </c>
      <c r="L10" s="61"/>
      <c r="M10" s="61" t="s">
        <v>29</v>
      </c>
      <c r="N10" s="61"/>
      <c r="O10" s="15" t="s">
        <v>17</v>
      </c>
      <c r="P10" s="13"/>
      <c r="Q10" s="17">
        <v>1</v>
      </c>
      <c r="S10" s="13"/>
      <c r="T10" s="13"/>
    </row>
    <row r="11" spans="2:20">
      <c r="B11" s="3">
        <f t="shared" si="2"/>
        <v>103.1</v>
      </c>
      <c r="C11" s="25">
        <f t="shared" si="3"/>
        <v>100</v>
      </c>
      <c r="D11" s="25">
        <f t="shared" si="3"/>
        <v>0</v>
      </c>
      <c r="E11" s="75"/>
      <c r="F11" s="60">
        <f t="shared" si="4"/>
        <v>3</v>
      </c>
      <c r="G11" s="77"/>
      <c r="H11" s="22">
        <f t="shared" si="5"/>
        <v>0.1</v>
      </c>
      <c r="I11" s="8" t="s">
        <v>10</v>
      </c>
      <c r="J11" s="49">
        <f>-L11</f>
        <v>-0.35</v>
      </c>
      <c r="K11" s="7">
        <f>K10/K$5-1</f>
        <v>0.35555555555555562</v>
      </c>
      <c r="L11" s="47">
        <f>Specifications!E4</f>
        <v>0.35</v>
      </c>
      <c r="M11" s="6" t="s">
        <v>28</v>
      </c>
      <c r="N11" s="61" t="str">
        <f>IF((J11&lt;K11)* (K11&lt;L11),"PASS","FAIL")</f>
        <v>FAIL</v>
      </c>
      <c r="O11" s="15"/>
      <c r="P11" s="13"/>
      <c r="R11" s="17">
        <v>1</v>
      </c>
      <c r="S11" s="13"/>
      <c r="T11" s="13"/>
    </row>
    <row r="12" spans="2:20">
      <c r="B12" s="3">
        <f t="shared" si="2"/>
        <v>104</v>
      </c>
      <c r="C12" s="25">
        <f t="shared" si="3"/>
        <v>100</v>
      </c>
      <c r="D12" s="25">
        <f t="shared" si="3"/>
        <v>0</v>
      </c>
      <c r="E12" s="75"/>
      <c r="F12" s="60">
        <f>F11+1</f>
        <v>4</v>
      </c>
      <c r="G12" s="77" t="s">
        <v>11</v>
      </c>
      <c r="H12" s="22">
        <v>0</v>
      </c>
      <c r="I12" s="8" t="s">
        <v>9</v>
      </c>
      <c r="J12" s="61"/>
      <c r="K12" s="5">
        <v>299</v>
      </c>
      <c r="L12" s="61"/>
      <c r="M12" s="61" t="s">
        <v>29</v>
      </c>
      <c r="N12" s="61"/>
      <c r="O12" s="15" t="s">
        <v>18</v>
      </c>
      <c r="P12" s="13"/>
      <c r="Q12" s="17">
        <v>1</v>
      </c>
      <c r="S12" s="13"/>
      <c r="T12" s="13"/>
    </row>
    <row r="13" spans="2:20">
      <c r="B13" s="3">
        <f t="shared" si="2"/>
        <v>104.1</v>
      </c>
      <c r="C13" s="25">
        <f t="shared" si="3"/>
        <v>100</v>
      </c>
      <c r="D13" s="25">
        <f t="shared" si="3"/>
        <v>0</v>
      </c>
      <c r="E13" s="75"/>
      <c r="F13" s="60">
        <f t="shared" si="4"/>
        <v>4</v>
      </c>
      <c r="G13" s="77"/>
      <c r="H13" s="22">
        <f t="shared" si="5"/>
        <v>0.1</v>
      </c>
      <c r="I13" s="8" t="s">
        <v>10</v>
      </c>
      <c r="J13" s="6">
        <f>J11</f>
        <v>-0.35</v>
      </c>
      <c r="K13" s="7">
        <f>K12/K$5-1</f>
        <v>0.32888888888888879</v>
      </c>
      <c r="L13" s="6">
        <f>L11</f>
        <v>0.35</v>
      </c>
      <c r="M13" s="6" t="s">
        <v>28</v>
      </c>
      <c r="N13" s="61" t="str">
        <f>IF((J13&lt;K13)* (K13&lt;L13),"PASS","FAIL")</f>
        <v>PASS</v>
      </c>
      <c r="O13" s="15"/>
      <c r="P13" s="13"/>
      <c r="R13" s="17">
        <v>1</v>
      </c>
      <c r="S13" s="13"/>
      <c r="T13" s="13"/>
    </row>
    <row r="14" spans="2:20">
      <c r="B14" s="3">
        <f t="shared" si="2"/>
        <v>105</v>
      </c>
      <c r="C14" s="25">
        <f t="shared" si="3"/>
        <v>100</v>
      </c>
      <c r="D14" s="25">
        <f t="shared" si="3"/>
        <v>0</v>
      </c>
      <c r="E14" s="76"/>
      <c r="F14" s="60">
        <f>F13+1</f>
        <v>5</v>
      </c>
      <c r="G14" s="61" t="s">
        <v>12</v>
      </c>
      <c r="H14" s="22">
        <v>0</v>
      </c>
      <c r="I14" s="8" t="s">
        <v>8</v>
      </c>
      <c r="J14" s="61"/>
      <c r="K14" s="7">
        <f>((MAX(K7,K9,K11,K13)-MIN(K7,K9,K11,K13))/2)</f>
        <v>6.222222222222229E-2</v>
      </c>
      <c r="L14" s="61"/>
      <c r="M14" s="6" t="s">
        <v>28</v>
      </c>
      <c r="N14" s="61"/>
      <c r="O14" s="15" t="s">
        <v>25</v>
      </c>
      <c r="P14" s="13"/>
      <c r="S14" s="13"/>
      <c r="T14" s="13"/>
    </row>
    <row r="15" spans="2:20">
      <c r="B15" s="3">
        <f t="shared" si="2"/>
        <v>110</v>
      </c>
      <c r="C15" s="25">
        <f t="shared" si="3"/>
        <v>100</v>
      </c>
      <c r="D15" s="25">
        <f>D14+10</f>
        <v>10</v>
      </c>
      <c r="E15" s="84" t="s">
        <v>34</v>
      </c>
      <c r="F15" s="60">
        <v>0</v>
      </c>
      <c r="G15" s="85" t="s">
        <v>31</v>
      </c>
      <c r="H15" s="85"/>
      <c r="I15" s="85"/>
      <c r="J15" s="85"/>
      <c r="K15" s="12">
        <f>K6/2</f>
        <v>141.5</v>
      </c>
      <c r="L15" s="61"/>
      <c r="M15" s="9" t="s">
        <v>30</v>
      </c>
      <c r="N15" s="61"/>
      <c r="O15" s="15" t="s">
        <v>32</v>
      </c>
      <c r="P15" s="13"/>
      <c r="S15" s="13"/>
      <c r="T15" s="13"/>
    </row>
    <row r="16" spans="2:20">
      <c r="B16" s="3">
        <f t="shared" si="2"/>
        <v>111</v>
      </c>
      <c r="C16" s="25">
        <f t="shared" si="3"/>
        <v>100</v>
      </c>
      <c r="D16" s="25">
        <f t="shared" si="3"/>
        <v>10</v>
      </c>
      <c r="E16" s="84"/>
      <c r="F16" s="60">
        <f>F15+1</f>
        <v>1</v>
      </c>
      <c r="G16" s="77" t="s">
        <v>61</v>
      </c>
      <c r="H16" s="22">
        <v>0</v>
      </c>
      <c r="I16" s="8" t="str">
        <f>"-polar @ HM"</f>
        <v>-polar @ HM</v>
      </c>
      <c r="J16" s="61"/>
      <c r="K16" s="5">
        <v>328</v>
      </c>
      <c r="L16" s="61"/>
      <c r="M16" s="9" t="s">
        <v>30</v>
      </c>
      <c r="N16" s="61"/>
      <c r="O16" s="15" t="s">
        <v>20</v>
      </c>
      <c r="P16" s="13"/>
      <c r="Q16" s="17">
        <v>1</v>
      </c>
      <c r="S16" s="13"/>
      <c r="T16" s="13"/>
    </row>
    <row r="17" spans="2:20">
      <c r="B17" s="3">
        <f t="shared" si="2"/>
        <v>111.1</v>
      </c>
      <c r="C17" s="25">
        <f t="shared" si="3"/>
        <v>100</v>
      </c>
      <c r="D17" s="25">
        <f t="shared" si="3"/>
        <v>10</v>
      </c>
      <c r="E17" s="84"/>
      <c r="F17" s="60">
        <f t="shared" si="4"/>
        <v>1</v>
      </c>
      <c r="G17" s="77"/>
      <c r="H17" s="22">
        <f>H16+0.1</f>
        <v>0.1</v>
      </c>
      <c r="I17" s="8" t="str">
        <f>"+polar @ HM"</f>
        <v>+polar @ HM</v>
      </c>
      <c r="J17" s="61"/>
      <c r="K17" s="5">
        <v>24</v>
      </c>
      <c r="L17" s="61"/>
      <c r="M17" s="9" t="s">
        <v>30</v>
      </c>
      <c r="N17" s="61"/>
      <c r="O17" s="15" t="s">
        <v>21</v>
      </c>
      <c r="P17" s="13"/>
      <c r="Q17" s="17">
        <v>1</v>
      </c>
      <c r="S17" s="13"/>
      <c r="T17" s="13"/>
    </row>
    <row r="18" spans="2:20">
      <c r="B18" s="3">
        <f t="shared" si="2"/>
        <v>111.2</v>
      </c>
      <c r="C18" s="25">
        <f t="shared" si="3"/>
        <v>100</v>
      </c>
      <c r="D18" s="25">
        <f t="shared" si="3"/>
        <v>10</v>
      </c>
      <c r="E18" s="84"/>
      <c r="F18" s="60">
        <f t="shared" si="4"/>
        <v>1</v>
      </c>
      <c r="G18" s="77"/>
      <c r="H18" s="22">
        <f t="shared" ref="H18:H31" si="6">H17+0.1</f>
        <v>0.2</v>
      </c>
      <c r="I18" s="8" t="s">
        <v>14</v>
      </c>
      <c r="J18" s="50">
        <f>-L18</f>
        <v>-15</v>
      </c>
      <c r="K18" s="10">
        <f>(K17+(K16-360))/2</f>
        <v>-4</v>
      </c>
      <c r="L18" s="48">
        <f>Specifications!E6</f>
        <v>15</v>
      </c>
      <c r="M18" s="9" t="s">
        <v>30</v>
      </c>
      <c r="N18" s="61" t="str">
        <f>IF((J18&lt;K18)* (K18&lt;L18),"PASS","FAIL")</f>
        <v>PASS</v>
      </c>
      <c r="O18" s="15"/>
      <c r="P18" s="13"/>
      <c r="R18" s="17">
        <v>1</v>
      </c>
      <c r="S18" s="13"/>
      <c r="T18" s="13"/>
    </row>
    <row r="19" spans="2:20">
      <c r="B19" s="3">
        <f t="shared" si="2"/>
        <v>111.3</v>
      </c>
      <c r="C19" s="25">
        <f t="shared" si="3"/>
        <v>100</v>
      </c>
      <c r="D19" s="25">
        <f t="shared" si="3"/>
        <v>10</v>
      </c>
      <c r="E19" s="84"/>
      <c r="F19" s="60">
        <f t="shared" si="4"/>
        <v>1</v>
      </c>
      <c r="G19" s="77"/>
      <c r="H19" s="22">
        <f t="shared" si="6"/>
        <v>0.30000000000000004</v>
      </c>
      <c r="I19" s="8" t="s">
        <v>22</v>
      </c>
      <c r="J19" s="48">
        <f>Specifications!E11</f>
        <v>50</v>
      </c>
      <c r="K19" s="10">
        <f>K17-(K16-360)</f>
        <v>56</v>
      </c>
      <c r="L19" s="48">
        <f>Specifications!E12</f>
        <v>70</v>
      </c>
      <c r="M19" s="9" t="s">
        <v>30</v>
      </c>
      <c r="N19" s="61" t="str">
        <f>IF((J19&lt;K19)* (K19&lt;L19),"PASS","FAIL")</f>
        <v>PASS</v>
      </c>
      <c r="O19" s="15"/>
      <c r="P19" s="13"/>
      <c r="R19" s="17">
        <v>1</v>
      </c>
      <c r="S19" s="13"/>
      <c r="T19" s="13"/>
    </row>
    <row r="20" spans="2:20">
      <c r="B20" s="3">
        <f t="shared" si="2"/>
        <v>112</v>
      </c>
      <c r="C20" s="25">
        <f t="shared" si="3"/>
        <v>100</v>
      </c>
      <c r="D20" s="25">
        <f t="shared" si="3"/>
        <v>10</v>
      </c>
      <c r="E20" s="84"/>
      <c r="F20" s="60">
        <f>F19+1</f>
        <v>2</v>
      </c>
      <c r="G20" s="77" t="s">
        <v>62</v>
      </c>
      <c r="H20" s="22">
        <v>0</v>
      </c>
      <c r="I20" s="8" t="str">
        <f>"-polar @ HM"</f>
        <v>-polar @ HM</v>
      </c>
      <c r="J20" s="61"/>
      <c r="K20" s="5">
        <v>330</v>
      </c>
      <c r="L20" s="61"/>
      <c r="M20" s="9" t="s">
        <v>30</v>
      </c>
      <c r="N20" s="61"/>
      <c r="O20" s="15" t="s">
        <v>20</v>
      </c>
      <c r="P20" s="13"/>
      <c r="Q20" s="17">
        <v>1</v>
      </c>
      <c r="S20" s="13"/>
      <c r="T20" s="13"/>
    </row>
    <row r="21" spans="2:20">
      <c r="B21" s="3">
        <f t="shared" si="2"/>
        <v>112.1</v>
      </c>
      <c r="C21" s="25">
        <f t="shared" si="3"/>
        <v>100</v>
      </c>
      <c r="D21" s="25">
        <f t="shared" si="3"/>
        <v>10</v>
      </c>
      <c r="E21" s="84"/>
      <c r="F21" s="60">
        <f t="shared" si="4"/>
        <v>2</v>
      </c>
      <c r="G21" s="77"/>
      <c r="H21" s="22">
        <f t="shared" si="6"/>
        <v>0.1</v>
      </c>
      <c r="I21" s="8" t="str">
        <f>"+polar @ HM"</f>
        <v>+polar @ HM</v>
      </c>
      <c r="J21" s="61"/>
      <c r="K21" s="5">
        <v>24</v>
      </c>
      <c r="L21" s="61"/>
      <c r="M21" s="9" t="s">
        <v>30</v>
      </c>
      <c r="N21" s="61"/>
      <c r="O21" s="15" t="s">
        <v>21</v>
      </c>
      <c r="P21" s="13"/>
      <c r="Q21" s="16">
        <v>1</v>
      </c>
      <c r="S21" s="13"/>
      <c r="T21" s="13"/>
    </row>
    <row r="22" spans="2:20">
      <c r="B22" s="3">
        <f t="shared" si="2"/>
        <v>112.2</v>
      </c>
      <c r="C22" s="25">
        <f t="shared" si="3"/>
        <v>100</v>
      </c>
      <c r="D22" s="25">
        <f t="shared" si="3"/>
        <v>10</v>
      </c>
      <c r="E22" s="84"/>
      <c r="F22" s="60">
        <f t="shared" si="4"/>
        <v>2</v>
      </c>
      <c r="G22" s="77"/>
      <c r="H22" s="22">
        <f t="shared" si="6"/>
        <v>0.2</v>
      </c>
      <c r="I22" s="8" t="s">
        <v>14</v>
      </c>
      <c r="J22" s="61">
        <f>J18</f>
        <v>-15</v>
      </c>
      <c r="K22" s="10">
        <f>(K21+(K20-360))/2</f>
        <v>-3</v>
      </c>
      <c r="L22" s="61">
        <f>L18</f>
        <v>15</v>
      </c>
      <c r="M22" s="9" t="s">
        <v>30</v>
      </c>
      <c r="N22" s="61" t="str">
        <f>IF((J22&lt;K22)* (K22&lt;L22),"PASS","FAIL")</f>
        <v>PASS</v>
      </c>
      <c r="O22" s="15"/>
      <c r="P22" s="13"/>
      <c r="R22" s="17">
        <v>1</v>
      </c>
      <c r="S22" s="13"/>
      <c r="T22" s="13"/>
    </row>
    <row r="23" spans="2:20">
      <c r="B23" s="3">
        <f t="shared" si="2"/>
        <v>112.3</v>
      </c>
      <c r="C23" s="25">
        <f t="shared" si="3"/>
        <v>100</v>
      </c>
      <c r="D23" s="25">
        <f t="shared" si="3"/>
        <v>10</v>
      </c>
      <c r="E23" s="84"/>
      <c r="F23" s="60">
        <f t="shared" si="4"/>
        <v>2</v>
      </c>
      <c r="G23" s="77"/>
      <c r="H23" s="22">
        <f t="shared" si="6"/>
        <v>0.30000000000000004</v>
      </c>
      <c r="I23" s="8" t="s">
        <v>22</v>
      </c>
      <c r="J23" s="61">
        <f>J19</f>
        <v>50</v>
      </c>
      <c r="K23" s="10">
        <f>K21-(K20-360)</f>
        <v>54</v>
      </c>
      <c r="L23" s="61">
        <f>L19</f>
        <v>70</v>
      </c>
      <c r="M23" s="9" t="s">
        <v>30</v>
      </c>
      <c r="N23" s="61" t="str">
        <f>IF((J23&lt;K23)* (K23&lt;L23),"PASS","FAIL")</f>
        <v>PASS</v>
      </c>
      <c r="O23" s="15"/>
      <c r="P23" s="13"/>
      <c r="R23" s="17">
        <v>1</v>
      </c>
      <c r="S23" s="13"/>
      <c r="T23" s="13"/>
    </row>
    <row r="24" spans="2:20">
      <c r="B24" s="3">
        <f t="shared" si="2"/>
        <v>113</v>
      </c>
      <c r="C24" s="25">
        <f t="shared" ref="C24:D31" si="7">C23</f>
        <v>100</v>
      </c>
      <c r="D24" s="25">
        <f t="shared" si="7"/>
        <v>10</v>
      </c>
      <c r="E24" s="84"/>
      <c r="F24" s="60">
        <f>F23+1</f>
        <v>3</v>
      </c>
      <c r="G24" s="77" t="s">
        <v>26</v>
      </c>
      <c r="H24" s="22">
        <v>0</v>
      </c>
      <c r="I24" s="8" t="str">
        <f>"-polar @ HM"</f>
        <v>-polar @ HM</v>
      </c>
      <c r="J24" s="61"/>
      <c r="K24" s="5">
        <v>334</v>
      </c>
      <c r="L24" s="61"/>
      <c r="M24" s="9" t="s">
        <v>30</v>
      </c>
      <c r="N24" s="61"/>
      <c r="O24" s="15" t="s">
        <v>20</v>
      </c>
      <c r="P24" s="13"/>
      <c r="Q24" s="17">
        <v>1</v>
      </c>
      <c r="S24" s="13"/>
      <c r="T24" s="13"/>
    </row>
    <row r="25" spans="2:20">
      <c r="B25" s="3">
        <f t="shared" si="2"/>
        <v>113.1</v>
      </c>
      <c r="C25" s="25">
        <f t="shared" si="7"/>
        <v>100</v>
      </c>
      <c r="D25" s="25">
        <f t="shared" si="7"/>
        <v>10</v>
      </c>
      <c r="E25" s="84"/>
      <c r="F25" s="60">
        <f t="shared" si="4"/>
        <v>3</v>
      </c>
      <c r="G25" s="77"/>
      <c r="H25" s="22">
        <f t="shared" si="6"/>
        <v>0.1</v>
      </c>
      <c r="I25" s="8" t="str">
        <f>"+polar @ HM"</f>
        <v>+polar @ HM</v>
      </c>
      <c r="J25" s="61"/>
      <c r="K25" s="5">
        <v>30</v>
      </c>
      <c r="L25" s="61"/>
      <c r="M25" s="9" t="s">
        <v>30</v>
      </c>
      <c r="N25" s="61"/>
      <c r="O25" s="15" t="s">
        <v>21</v>
      </c>
      <c r="P25" s="13"/>
      <c r="Q25" s="16">
        <v>1</v>
      </c>
      <c r="S25" s="13"/>
      <c r="T25" s="13"/>
    </row>
    <row r="26" spans="2:20">
      <c r="B26" s="3">
        <f t="shared" si="2"/>
        <v>113.2</v>
      </c>
      <c r="C26" s="25">
        <f t="shared" si="7"/>
        <v>100</v>
      </c>
      <c r="D26" s="25">
        <f t="shared" si="7"/>
        <v>10</v>
      </c>
      <c r="E26" s="84"/>
      <c r="F26" s="60">
        <f t="shared" si="4"/>
        <v>3</v>
      </c>
      <c r="G26" s="77"/>
      <c r="H26" s="22">
        <f t="shared" si="6"/>
        <v>0.2</v>
      </c>
      <c r="I26" s="8" t="s">
        <v>14</v>
      </c>
      <c r="J26" s="61">
        <f>J22</f>
        <v>-15</v>
      </c>
      <c r="K26" s="10">
        <f>(K25+(K24-360))/2</f>
        <v>2</v>
      </c>
      <c r="L26" s="61">
        <f>L22</f>
        <v>15</v>
      </c>
      <c r="M26" s="9" t="s">
        <v>30</v>
      </c>
      <c r="N26" s="61" t="str">
        <f>IF((J26&lt;K26)* (K26&lt;L26),"PASS","FAIL")</f>
        <v>PASS</v>
      </c>
      <c r="O26" s="15"/>
      <c r="P26" s="13"/>
      <c r="R26" s="17">
        <v>1</v>
      </c>
      <c r="S26" s="13"/>
      <c r="T26" s="13"/>
    </row>
    <row r="27" spans="2:20">
      <c r="B27" s="3">
        <f t="shared" si="2"/>
        <v>113.3</v>
      </c>
      <c r="C27" s="25">
        <f t="shared" si="7"/>
        <v>100</v>
      </c>
      <c r="D27" s="25">
        <f t="shared" si="7"/>
        <v>10</v>
      </c>
      <c r="E27" s="84"/>
      <c r="F27" s="60">
        <f t="shared" si="4"/>
        <v>3</v>
      </c>
      <c r="G27" s="77"/>
      <c r="H27" s="22">
        <f t="shared" si="6"/>
        <v>0.30000000000000004</v>
      </c>
      <c r="I27" s="8" t="s">
        <v>22</v>
      </c>
      <c r="J27" s="61">
        <f>J23</f>
        <v>50</v>
      </c>
      <c r="K27" s="10">
        <f>K25-(K24-360)</f>
        <v>56</v>
      </c>
      <c r="L27" s="61">
        <f>L23</f>
        <v>70</v>
      </c>
      <c r="M27" s="9" t="s">
        <v>30</v>
      </c>
      <c r="N27" s="61" t="str">
        <f>IF((J27&lt;K27)* (K27&lt;L27),"PASS","FAIL")</f>
        <v>PASS</v>
      </c>
      <c r="O27" s="15"/>
      <c r="P27" s="13"/>
      <c r="R27" s="17">
        <v>1</v>
      </c>
      <c r="S27" s="13"/>
      <c r="T27" s="13"/>
    </row>
    <row r="28" spans="2:20">
      <c r="B28" s="3">
        <f t="shared" si="2"/>
        <v>114</v>
      </c>
      <c r="C28" s="25">
        <f t="shared" si="7"/>
        <v>100</v>
      </c>
      <c r="D28" s="25">
        <f t="shared" si="7"/>
        <v>10</v>
      </c>
      <c r="E28" s="84"/>
      <c r="F28" s="60">
        <f>F27+1</f>
        <v>4</v>
      </c>
      <c r="G28" s="77" t="s">
        <v>27</v>
      </c>
      <c r="H28" s="22">
        <v>0</v>
      </c>
      <c r="I28" s="8" t="str">
        <f>"-polar @ HM"</f>
        <v>-polar @ HM</v>
      </c>
      <c r="J28" s="61"/>
      <c r="K28" s="5">
        <v>336</v>
      </c>
      <c r="L28" s="61"/>
      <c r="M28" s="9" t="s">
        <v>30</v>
      </c>
      <c r="N28" s="61"/>
      <c r="O28" s="15" t="s">
        <v>20</v>
      </c>
      <c r="P28" s="13"/>
      <c r="Q28" s="17">
        <v>1</v>
      </c>
      <c r="S28" s="13"/>
      <c r="T28" s="13"/>
    </row>
    <row r="29" spans="2:20">
      <c r="B29" s="3">
        <f t="shared" si="2"/>
        <v>114.1</v>
      </c>
      <c r="C29" s="25">
        <f t="shared" si="7"/>
        <v>100</v>
      </c>
      <c r="D29" s="25">
        <f t="shared" si="7"/>
        <v>10</v>
      </c>
      <c r="E29" s="84"/>
      <c r="F29" s="60">
        <f t="shared" si="4"/>
        <v>4</v>
      </c>
      <c r="G29" s="77"/>
      <c r="H29" s="22">
        <f t="shared" si="6"/>
        <v>0.1</v>
      </c>
      <c r="I29" s="8" t="str">
        <f>"+polar @ HM"</f>
        <v>+polar @ HM</v>
      </c>
      <c r="J29" s="61"/>
      <c r="K29" s="5">
        <v>34</v>
      </c>
      <c r="L29" s="61"/>
      <c r="M29" s="9" t="s">
        <v>30</v>
      </c>
      <c r="N29" s="61"/>
      <c r="O29" s="15" t="s">
        <v>21</v>
      </c>
      <c r="P29" s="13"/>
      <c r="Q29" s="16">
        <v>1</v>
      </c>
      <c r="S29" s="13"/>
      <c r="T29" s="13"/>
    </row>
    <row r="30" spans="2:20">
      <c r="B30" s="3">
        <f t="shared" si="2"/>
        <v>114.2</v>
      </c>
      <c r="C30" s="25">
        <f t="shared" si="7"/>
        <v>100</v>
      </c>
      <c r="D30" s="25">
        <f t="shared" si="7"/>
        <v>10</v>
      </c>
      <c r="E30" s="84"/>
      <c r="F30" s="60">
        <f t="shared" si="4"/>
        <v>4</v>
      </c>
      <c r="G30" s="77"/>
      <c r="H30" s="22">
        <f t="shared" si="6"/>
        <v>0.2</v>
      </c>
      <c r="I30" s="8" t="s">
        <v>14</v>
      </c>
      <c r="J30" s="61">
        <f>J26</f>
        <v>-15</v>
      </c>
      <c r="K30" s="10">
        <f>(K29+(K28-360))/2</f>
        <v>5</v>
      </c>
      <c r="L30" s="61">
        <f>L26</f>
        <v>15</v>
      </c>
      <c r="M30" s="9" t="s">
        <v>30</v>
      </c>
      <c r="N30" s="61" t="str">
        <f>IF((J30&lt;K30)* (K30&lt;L30),"PASS","FAIL")</f>
        <v>PASS</v>
      </c>
      <c r="O30" s="15"/>
      <c r="P30" s="13"/>
      <c r="R30" s="17">
        <v>1</v>
      </c>
      <c r="S30" s="13"/>
      <c r="T30" s="13"/>
    </row>
    <row r="31" spans="2:20">
      <c r="B31" s="3">
        <f t="shared" si="2"/>
        <v>114.3</v>
      </c>
      <c r="C31" s="25">
        <f t="shared" si="7"/>
        <v>100</v>
      </c>
      <c r="D31" s="25">
        <f t="shared" si="7"/>
        <v>10</v>
      </c>
      <c r="E31" s="84"/>
      <c r="F31" s="60">
        <f t="shared" si="4"/>
        <v>4</v>
      </c>
      <c r="G31" s="77"/>
      <c r="H31" s="22">
        <f t="shared" si="6"/>
        <v>0.30000000000000004</v>
      </c>
      <c r="I31" s="8" t="s">
        <v>22</v>
      </c>
      <c r="J31" s="61">
        <f>J27</f>
        <v>50</v>
      </c>
      <c r="K31" s="10">
        <f>K29-(K28-360)</f>
        <v>58</v>
      </c>
      <c r="L31" s="61">
        <f>L27</f>
        <v>70</v>
      </c>
      <c r="M31" s="9" t="s">
        <v>30</v>
      </c>
      <c r="N31" s="61" t="str">
        <f>IF((J31&lt;K31)* (K31&lt;L31),"PASS","FAIL")</f>
        <v>PASS</v>
      </c>
      <c r="O31" s="15"/>
      <c r="P31" s="13"/>
      <c r="R31" s="17">
        <v>1</v>
      </c>
      <c r="S31" s="13"/>
      <c r="T31" s="13"/>
    </row>
    <row r="32" spans="2:20">
      <c r="B32" s="90"/>
      <c r="C32" s="91"/>
      <c r="D32" s="92"/>
      <c r="E32" s="78" t="s">
        <v>100</v>
      </c>
      <c r="F32" s="79"/>
      <c r="G32" s="79"/>
      <c r="H32" s="79"/>
      <c r="I32" s="79"/>
      <c r="J32" s="79"/>
      <c r="K32" s="79"/>
      <c r="L32" s="79"/>
      <c r="M32" s="79"/>
      <c r="N32" s="79"/>
      <c r="O32" s="80"/>
      <c r="P32" s="13"/>
      <c r="S32" s="13"/>
      <c r="T32" s="13"/>
    </row>
    <row r="33" spans="2:20">
      <c r="B33" s="3">
        <f t="shared" ref="B33:B45" si="8">C33+D33+F33+H33</f>
        <v>200</v>
      </c>
      <c r="C33" s="26">
        <f>C31+100</f>
        <v>200</v>
      </c>
      <c r="D33" s="26">
        <v>0</v>
      </c>
      <c r="E33" s="81" t="s">
        <v>39</v>
      </c>
      <c r="F33" s="62">
        <v>0</v>
      </c>
      <c r="G33" s="74" t="s">
        <v>1</v>
      </c>
      <c r="H33" s="22">
        <v>0</v>
      </c>
      <c r="I33" s="8" t="s">
        <v>9</v>
      </c>
      <c r="J33" s="61"/>
      <c r="K33" s="5">
        <v>302</v>
      </c>
      <c r="L33" s="61"/>
      <c r="M33" s="61" t="s">
        <v>29</v>
      </c>
      <c r="N33" s="61"/>
      <c r="O33" s="15" t="s">
        <v>15</v>
      </c>
      <c r="P33" s="13"/>
      <c r="Q33" s="17">
        <v>1</v>
      </c>
      <c r="S33" s="13"/>
      <c r="T33" s="13"/>
    </row>
    <row r="34" spans="2:20">
      <c r="B34" s="3">
        <f t="shared" si="8"/>
        <v>200.1</v>
      </c>
      <c r="C34" s="25">
        <f t="shared" ref="C34:D45" si="9">C33</f>
        <v>200</v>
      </c>
      <c r="D34" s="25">
        <f t="shared" si="9"/>
        <v>0</v>
      </c>
      <c r="E34" s="82"/>
      <c r="F34" s="60">
        <f t="shared" ref="F34:F44" si="10">F33</f>
        <v>0</v>
      </c>
      <c r="G34" s="75"/>
      <c r="H34" s="22">
        <f t="shared" ref="H34:H44" si="11">H33+0.1</f>
        <v>0.1</v>
      </c>
      <c r="I34" s="8" t="s">
        <v>10</v>
      </c>
      <c r="J34" s="6">
        <f>-L34</f>
        <v>-0.35</v>
      </c>
      <c r="K34" s="7">
        <f>K33/K$5-1</f>
        <v>0.34222222222222221</v>
      </c>
      <c r="L34" s="47">
        <f>Specifications!E5</f>
        <v>0.35</v>
      </c>
      <c r="M34" s="6" t="s">
        <v>28</v>
      </c>
      <c r="N34" s="61" t="str">
        <f>IF((J34&lt;K34)* (K34&lt;L34),"PASS","FAIL")</f>
        <v>PASS</v>
      </c>
      <c r="O34" s="15"/>
      <c r="P34" s="13"/>
      <c r="R34" s="17">
        <v>1</v>
      </c>
      <c r="S34" s="13"/>
      <c r="T34" s="13"/>
    </row>
    <row r="35" spans="2:20">
      <c r="B35" s="3">
        <f t="shared" si="8"/>
        <v>200.2</v>
      </c>
      <c r="C35" s="25">
        <f t="shared" si="9"/>
        <v>200</v>
      </c>
      <c r="D35" s="25">
        <f t="shared" si="9"/>
        <v>0</v>
      </c>
      <c r="E35" s="82"/>
      <c r="F35" s="60">
        <f t="shared" si="10"/>
        <v>0</v>
      </c>
      <c r="G35" s="76"/>
      <c r="H35" s="22">
        <f t="shared" si="11"/>
        <v>0.2</v>
      </c>
      <c r="I35" s="8" t="s">
        <v>35</v>
      </c>
      <c r="J35" s="6">
        <f>-L35</f>
        <v>-0.15</v>
      </c>
      <c r="K35" s="7">
        <f>K33/K6-1</f>
        <v>6.7137809187279185E-2</v>
      </c>
      <c r="L35" s="47">
        <f>Specifications!E15</f>
        <v>0.15</v>
      </c>
      <c r="M35" s="6" t="s">
        <v>28</v>
      </c>
      <c r="N35" s="61" t="str">
        <f>IF((J35&lt;K35)* (K35&lt;L35),"PASS","FAIL")</f>
        <v>PASS</v>
      </c>
      <c r="O35" s="15"/>
      <c r="P35" s="13"/>
      <c r="R35" s="17">
        <v>1</v>
      </c>
      <c r="S35" s="13"/>
      <c r="T35" s="13"/>
    </row>
    <row r="36" spans="2:20">
      <c r="B36" s="3">
        <f t="shared" si="8"/>
        <v>201</v>
      </c>
      <c r="C36" s="25">
        <f t="shared" si="9"/>
        <v>200</v>
      </c>
      <c r="D36" s="25">
        <f t="shared" si="9"/>
        <v>0</v>
      </c>
      <c r="E36" s="82"/>
      <c r="F36" s="60">
        <f>F35+1</f>
        <v>1</v>
      </c>
      <c r="G36" s="74" t="s">
        <v>2</v>
      </c>
      <c r="H36" s="22">
        <v>0</v>
      </c>
      <c r="I36" s="8" t="s">
        <v>9</v>
      </c>
      <c r="J36" s="61"/>
      <c r="K36" s="5">
        <v>296</v>
      </c>
      <c r="L36" s="61"/>
      <c r="M36" s="61" t="s">
        <v>29</v>
      </c>
      <c r="N36" s="61"/>
      <c r="O36" s="15" t="s">
        <v>16</v>
      </c>
      <c r="P36" s="13"/>
      <c r="Q36" s="17">
        <v>1</v>
      </c>
      <c r="S36" s="13"/>
      <c r="T36" s="13"/>
    </row>
    <row r="37" spans="2:20">
      <c r="B37" s="3">
        <f t="shared" si="8"/>
        <v>201.1</v>
      </c>
      <c r="C37" s="25">
        <f t="shared" si="9"/>
        <v>200</v>
      </c>
      <c r="D37" s="25">
        <f t="shared" si="9"/>
        <v>0</v>
      </c>
      <c r="E37" s="82"/>
      <c r="F37" s="60">
        <f t="shared" si="10"/>
        <v>1</v>
      </c>
      <c r="G37" s="75"/>
      <c r="H37" s="22">
        <f t="shared" si="11"/>
        <v>0.1</v>
      </c>
      <c r="I37" s="8" t="s">
        <v>10</v>
      </c>
      <c r="J37" s="6">
        <f>J34</f>
        <v>-0.35</v>
      </c>
      <c r="K37" s="7">
        <f>K36/K$5-1</f>
        <v>0.31555555555555559</v>
      </c>
      <c r="L37" s="6">
        <f>L34</f>
        <v>0.35</v>
      </c>
      <c r="M37" s="6" t="s">
        <v>28</v>
      </c>
      <c r="N37" s="61" t="str">
        <f>IF((J37&lt;K37)* (K37&lt;L37),"PASS","FAIL")</f>
        <v>PASS</v>
      </c>
      <c r="O37" s="15"/>
      <c r="P37" s="13"/>
      <c r="R37" s="17">
        <v>1</v>
      </c>
      <c r="S37" s="13"/>
      <c r="T37" s="13"/>
    </row>
    <row r="38" spans="2:20">
      <c r="B38" s="3">
        <f t="shared" si="8"/>
        <v>201.2</v>
      </c>
      <c r="C38" s="25">
        <f t="shared" si="9"/>
        <v>200</v>
      </c>
      <c r="D38" s="25">
        <f t="shared" si="9"/>
        <v>0</v>
      </c>
      <c r="E38" s="82"/>
      <c r="F38" s="60">
        <f t="shared" si="10"/>
        <v>1</v>
      </c>
      <c r="G38" s="76"/>
      <c r="H38" s="22">
        <f t="shared" si="11"/>
        <v>0.2</v>
      </c>
      <c r="I38" s="8" t="s">
        <v>35</v>
      </c>
      <c r="J38" s="6">
        <f>J35</f>
        <v>-0.15</v>
      </c>
      <c r="K38" s="7">
        <f>K36/K8-1</f>
        <v>6.8592057761732939E-2</v>
      </c>
      <c r="L38" s="6">
        <f>L35</f>
        <v>0.15</v>
      </c>
      <c r="M38" s="6" t="s">
        <v>28</v>
      </c>
      <c r="N38" s="61" t="str">
        <f>IF((J38&lt;K38)* (K38&lt;L38),"PASS","FAIL")</f>
        <v>PASS</v>
      </c>
      <c r="O38" s="15"/>
      <c r="P38" s="13"/>
      <c r="R38" s="17">
        <v>1</v>
      </c>
      <c r="S38" s="13"/>
      <c r="T38" s="13"/>
    </row>
    <row r="39" spans="2:20">
      <c r="B39" s="3">
        <f t="shared" si="8"/>
        <v>202</v>
      </c>
      <c r="C39" s="25">
        <f t="shared" si="9"/>
        <v>200</v>
      </c>
      <c r="D39" s="25">
        <f t="shared" si="9"/>
        <v>0</v>
      </c>
      <c r="E39" s="82"/>
      <c r="F39" s="60">
        <f>F38+1</f>
        <v>2</v>
      </c>
      <c r="G39" s="74" t="s">
        <v>3</v>
      </c>
      <c r="H39" s="22">
        <v>0</v>
      </c>
      <c r="I39" s="8" t="s">
        <v>9</v>
      </c>
      <c r="J39" s="61"/>
      <c r="K39" s="5">
        <v>215</v>
      </c>
      <c r="L39" s="61"/>
      <c r="M39" s="61" t="s">
        <v>29</v>
      </c>
      <c r="N39" s="61"/>
      <c r="O39" s="15" t="s">
        <v>17</v>
      </c>
      <c r="P39" s="13"/>
      <c r="Q39" s="17">
        <v>1</v>
      </c>
      <c r="S39" s="13"/>
      <c r="T39" s="13"/>
    </row>
    <row r="40" spans="2:20">
      <c r="B40" s="3">
        <f t="shared" si="8"/>
        <v>202.1</v>
      </c>
      <c r="C40" s="25">
        <f t="shared" si="9"/>
        <v>200</v>
      </c>
      <c r="D40" s="25">
        <f t="shared" si="9"/>
        <v>0</v>
      </c>
      <c r="E40" s="82"/>
      <c r="F40" s="60">
        <f t="shared" si="10"/>
        <v>2</v>
      </c>
      <c r="G40" s="75"/>
      <c r="H40" s="22">
        <f t="shared" si="11"/>
        <v>0.1</v>
      </c>
      <c r="I40" s="8" t="s">
        <v>10</v>
      </c>
      <c r="J40" s="6">
        <f>J37</f>
        <v>-0.35</v>
      </c>
      <c r="K40" s="7">
        <f>K39/K$5-1</f>
        <v>-4.4444444444444398E-2</v>
      </c>
      <c r="L40" s="6">
        <f>L37</f>
        <v>0.35</v>
      </c>
      <c r="M40" s="6" t="s">
        <v>28</v>
      </c>
      <c r="N40" s="61" t="str">
        <f>IF((J40&lt;K40)* (K40&lt;L40),"PASS","FAIL")</f>
        <v>PASS</v>
      </c>
      <c r="O40" s="15"/>
      <c r="P40" s="13"/>
      <c r="R40" s="17">
        <v>1</v>
      </c>
      <c r="S40" s="13"/>
      <c r="T40" s="13"/>
    </row>
    <row r="41" spans="2:20">
      <c r="B41" s="3">
        <f t="shared" si="8"/>
        <v>202.2</v>
      </c>
      <c r="C41" s="25">
        <f t="shared" si="9"/>
        <v>200</v>
      </c>
      <c r="D41" s="25">
        <f t="shared" si="9"/>
        <v>0</v>
      </c>
      <c r="E41" s="82"/>
      <c r="F41" s="60">
        <f t="shared" si="10"/>
        <v>2</v>
      </c>
      <c r="G41" s="76"/>
      <c r="H41" s="22">
        <f t="shared" si="11"/>
        <v>0.2</v>
      </c>
      <c r="I41" s="8" t="s">
        <v>35</v>
      </c>
      <c r="J41" s="6">
        <f>-L41</f>
        <v>-0.3</v>
      </c>
      <c r="K41" s="7">
        <f>K39/K10-1</f>
        <v>-0.29508196721311475</v>
      </c>
      <c r="L41" s="47">
        <f>Specifications!E16</f>
        <v>0.3</v>
      </c>
      <c r="M41" s="6" t="s">
        <v>28</v>
      </c>
      <c r="N41" s="61" t="str">
        <f>IF((J41&lt;K41)* (K41&lt;L41),"PASS","FAIL")</f>
        <v>PASS</v>
      </c>
      <c r="O41" s="15"/>
      <c r="P41" s="13"/>
      <c r="R41" s="17">
        <v>1</v>
      </c>
      <c r="S41" s="13"/>
      <c r="T41" s="13"/>
    </row>
    <row r="42" spans="2:20">
      <c r="B42" s="3">
        <f t="shared" si="8"/>
        <v>203</v>
      </c>
      <c r="C42" s="25">
        <f t="shared" si="9"/>
        <v>200</v>
      </c>
      <c r="D42" s="25">
        <f t="shared" si="9"/>
        <v>0</v>
      </c>
      <c r="E42" s="82"/>
      <c r="F42" s="60">
        <f>F41+1</f>
        <v>3</v>
      </c>
      <c r="G42" s="74" t="s">
        <v>11</v>
      </c>
      <c r="H42" s="22">
        <v>0</v>
      </c>
      <c r="I42" s="8" t="s">
        <v>9</v>
      </c>
      <c r="J42" s="61"/>
      <c r="K42" s="5">
        <v>211</v>
      </c>
      <c r="L42" s="61"/>
      <c r="M42" s="61" t="s">
        <v>29</v>
      </c>
      <c r="N42" s="61"/>
      <c r="O42" s="15" t="s">
        <v>18</v>
      </c>
      <c r="P42" s="13"/>
      <c r="Q42" s="17">
        <v>1</v>
      </c>
      <c r="S42" s="13"/>
      <c r="T42" s="13"/>
    </row>
    <row r="43" spans="2:20">
      <c r="B43" s="3">
        <f t="shared" si="8"/>
        <v>203.1</v>
      </c>
      <c r="C43" s="25">
        <f t="shared" si="9"/>
        <v>200</v>
      </c>
      <c r="D43" s="25">
        <f t="shared" si="9"/>
        <v>0</v>
      </c>
      <c r="E43" s="82"/>
      <c r="F43" s="60">
        <f t="shared" si="10"/>
        <v>3</v>
      </c>
      <c r="G43" s="75"/>
      <c r="H43" s="22">
        <f t="shared" si="11"/>
        <v>0.1</v>
      </c>
      <c r="I43" s="8" t="s">
        <v>10</v>
      </c>
      <c r="J43" s="6">
        <f>J40</f>
        <v>-0.35</v>
      </c>
      <c r="K43" s="7">
        <f>K42/K$5-1</f>
        <v>-6.2222222222222179E-2</v>
      </c>
      <c r="L43" s="6">
        <f>L40</f>
        <v>0.35</v>
      </c>
      <c r="M43" s="6" t="s">
        <v>28</v>
      </c>
      <c r="N43" s="61" t="str">
        <f>IF((J43&lt;K43)* (K43&lt;L43),"PASS","FAIL")</f>
        <v>PASS</v>
      </c>
      <c r="O43" s="15"/>
      <c r="P43" s="13"/>
      <c r="R43" s="17">
        <v>1</v>
      </c>
      <c r="S43" s="13"/>
      <c r="T43" s="13"/>
    </row>
    <row r="44" spans="2:20">
      <c r="B44" s="3">
        <f t="shared" si="8"/>
        <v>203.2</v>
      </c>
      <c r="C44" s="25">
        <f t="shared" si="9"/>
        <v>200</v>
      </c>
      <c r="D44" s="25">
        <f t="shared" si="9"/>
        <v>0</v>
      </c>
      <c r="E44" s="82"/>
      <c r="F44" s="60">
        <f t="shared" si="10"/>
        <v>3</v>
      </c>
      <c r="G44" s="76"/>
      <c r="H44" s="22">
        <f t="shared" si="11"/>
        <v>0.2</v>
      </c>
      <c r="I44" s="8" t="s">
        <v>35</v>
      </c>
      <c r="J44" s="6">
        <f>J41</f>
        <v>-0.3</v>
      </c>
      <c r="K44" s="7">
        <f>K42/K12-1</f>
        <v>-0.29431438127090304</v>
      </c>
      <c r="L44" s="6">
        <f>L41</f>
        <v>0.3</v>
      </c>
      <c r="M44" s="6" t="s">
        <v>28</v>
      </c>
      <c r="N44" s="61" t="str">
        <f>IF((J44&lt;K44)* (K44&lt;L44),"PASS","FAIL")</f>
        <v>PASS</v>
      </c>
      <c r="O44" s="15"/>
      <c r="P44" s="13"/>
      <c r="R44" s="17">
        <v>1</v>
      </c>
      <c r="S44" s="13"/>
      <c r="T44" s="13"/>
    </row>
    <row r="45" spans="2:20">
      <c r="B45" s="3">
        <f t="shared" si="8"/>
        <v>204</v>
      </c>
      <c r="C45" s="25">
        <f t="shared" si="9"/>
        <v>200</v>
      </c>
      <c r="D45" s="25">
        <f t="shared" si="9"/>
        <v>0</v>
      </c>
      <c r="E45" s="83"/>
      <c r="F45" s="60">
        <f>F44+1</f>
        <v>4</v>
      </c>
      <c r="G45" s="61" t="s">
        <v>12</v>
      </c>
      <c r="H45" s="22">
        <v>0</v>
      </c>
      <c r="I45" s="8" t="s">
        <v>8</v>
      </c>
      <c r="J45" s="61"/>
      <c r="K45" s="7">
        <f>((MAX(K34,K37,K40,K43)-MIN(K34,K37,K40,K43))/2)</f>
        <v>0.20222222222222219</v>
      </c>
      <c r="L45" s="61"/>
      <c r="M45" s="6" t="s">
        <v>28</v>
      </c>
      <c r="N45" s="61"/>
      <c r="O45" s="15" t="s">
        <v>25</v>
      </c>
      <c r="P45" s="13"/>
      <c r="S45" s="13"/>
      <c r="T45" s="13"/>
    </row>
    <row r="46" spans="2:20">
      <c r="B46" s="93"/>
      <c r="C46" s="94"/>
      <c r="D46" s="95"/>
      <c r="E46" s="87" t="s">
        <v>102</v>
      </c>
      <c r="F46" s="88"/>
      <c r="G46" s="88"/>
      <c r="H46" s="88"/>
      <c r="I46" s="88"/>
      <c r="J46" s="88"/>
      <c r="K46" s="88"/>
      <c r="L46" s="88"/>
      <c r="M46" s="88"/>
      <c r="N46" s="88"/>
      <c r="O46" s="89"/>
      <c r="P46" s="13"/>
      <c r="S46" s="13"/>
      <c r="T46" s="13"/>
    </row>
    <row r="47" spans="2:20" ht="15" customHeight="1">
      <c r="B47" s="3">
        <f>C47+D47+F47+H49</f>
        <v>300.2</v>
      </c>
      <c r="C47" s="26">
        <f>C45+100</f>
        <v>300</v>
      </c>
      <c r="D47" s="26">
        <v>0</v>
      </c>
      <c r="E47" s="81" t="s">
        <v>101</v>
      </c>
      <c r="F47" s="62">
        <v>0</v>
      </c>
      <c r="G47" s="74" t="s">
        <v>2</v>
      </c>
      <c r="H47" s="22">
        <v>0</v>
      </c>
      <c r="I47" s="8" t="s">
        <v>68</v>
      </c>
      <c r="J47" s="61"/>
      <c r="K47" s="5">
        <v>2</v>
      </c>
      <c r="L47" s="61"/>
      <c r="M47" s="61"/>
      <c r="N47" s="61"/>
      <c r="O47" s="15" t="s">
        <v>89</v>
      </c>
      <c r="P47" s="13"/>
      <c r="Q47" s="17">
        <v>1</v>
      </c>
      <c r="S47" s="13"/>
      <c r="T47" s="13"/>
    </row>
    <row r="48" spans="2:20">
      <c r="B48" s="3">
        <f t="shared" ref="B48:B88" si="12">C48+D48+F48+H48</f>
        <v>300.10000000000002</v>
      </c>
      <c r="C48" s="25">
        <f t="shared" ref="C48:D63" si="13">C47</f>
        <v>300</v>
      </c>
      <c r="D48" s="25">
        <f t="shared" si="13"/>
        <v>0</v>
      </c>
      <c r="E48" s="82"/>
      <c r="F48" s="60">
        <f t="shared" ref="F48:F52" si="14">F47</f>
        <v>0</v>
      </c>
      <c r="G48" s="75"/>
      <c r="H48" s="22">
        <f t="shared" ref="H48:H52" si="15">H47+0.1</f>
        <v>0.1</v>
      </c>
      <c r="I48" s="8" t="s">
        <v>0</v>
      </c>
      <c r="J48" s="61"/>
      <c r="K48" s="10">
        <f>VLOOKUP(K47,Calibration!C3:D8,2)</f>
        <v>8440</v>
      </c>
      <c r="L48" s="61"/>
      <c r="M48" s="61"/>
      <c r="N48" s="61"/>
      <c r="O48" s="15" t="s">
        <v>69</v>
      </c>
      <c r="P48" s="13"/>
      <c r="S48" s="13"/>
      <c r="T48" s="13"/>
    </row>
    <row r="49" spans="2:20" ht="15" customHeight="1">
      <c r="B49" s="3">
        <f>C49+D49+F47+H49</f>
        <v>300.2</v>
      </c>
      <c r="C49" s="25">
        <f t="shared" si="13"/>
        <v>300</v>
      </c>
      <c r="D49" s="25">
        <f t="shared" si="13"/>
        <v>0</v>
      </c>
      <c r="E49" s="82"/>
      <c r="F49" s="60">
        <f t="shared" si="14"/>
        <v>0</v>
      </c>
      <c r="G49" s="75"/>
      <c r="H49" s="22">
        <f t="shared" si="15"/>
        <v>0.2</v>
      </c>
      <c r="I49" s="8" t="s">
        <v>9</v>
      </c>
      <c r="J49" s="61"/>
      <c r="K49" s="18">
        <v>430</v>
      </c>
      <c r="L49" s="61"/>
      <c r="M49" s="61" t="s">
        <v>29</v>
      </c>
      <c r="N49" s="61"/>
      <c r="O49" s="15" t="s">
        <v>16</v>
      </c>
      <c r="P49" s="13"/>
      <c r="Q49" s="17">
        <v>1</v>
      </c>
      <c r="S49" s="13"/>
      <c r="T49" s="13"/>
    </row>
    <row r="50" spans="2:20" ht="15" customHeight="1">
      <c r="B50" s="3">
        <f t="shared" si="12"/>
        <v>300.3</v>
      </c>
      <c r="C50" s="25">
        <f t="shared" si="13"/>
        <v>300</v>
      </c>
      <c r="D50" s="25">
        <f t="shared" si="13"/>
        <v>0</v>
      </c>
      <c r="E50" s="82"/>
      <c r="F50" s="60">
        <f t="shared" si="14"/>
        <v>0</v>
      </c>
      <c r="G50" s="75"/>
      <c r="H50" s="22">
        <f t="shared" si="15"/>
        <v>0.30000000000000004</v>
      </c>
      <c r="I50" s="8" t="s">
        <v>66</v>
      </c>
      <c r="J50" s="61"/>
      <c r="K50" s="7">
        <f>K49/K48</f>
        <v>5.0947867298578198E-2</v>
      </c>
      <c r="L50" s="61"/>
      <c r="M50" s="61"/>
      <c r="N50" s="61"/>
      <c r="O50" s="70" t="s">
        <v>70</v>
      </c>
      <c r="P50" s="13"/>
      <c r="S50" s="13"/>
      <c r="T50" s="13"/>
    </row>
    <row r="51" spans="2:20" ht="15" customHeight="1">
      <c r="B51" s="3">
        <f t="shared" si="12"/>
        <v>300.39999999999998</v>
      </c>
      <c r="C51" s="25">
        <f t="shared" si="13"/>
        <v>300</v>
      </c>
      <c r="D51" s="25">
        <f t="shared" si="13"/>
        <v>0</v>
      </c>
      <c r="E51" s="82"/>
      <c r="F51" s="60">
        <f t="shared" si="14"/>
        <v>0</v>
      </c>
      <c r="G51" s="75"/>
      <c r="H51" s="22">
        <f t="shared" si="15"/>
        <v>0.4</v>
      </c>
      <c r="I51" s="8" t="s">
        <v>67</v>
      </c>
      <c r="J51" s="61"/>
      <c r="K51" s="20">
        <f>1/K50</f>
        <v>19.627906976744185</v>
      </c>
      <c r="L51" s="61"/>
      <c r="M51" s="61"/>
      <c r="N51" s="61"/>
      <c r="O51" s="71"/>
      <c r="P51" s="13"/>
      <c r="S51" s="13"/>
      <c r="T51" s="13"/>
    </row>
    <row r="52" spans="2:20" ht="15" customHeight="1">
      <c r="B52" s="3">
        <f t="shared" si="12"/>
        <v>300.5</v>
      </c>
      <c r="C52" s="25">
        <f t="shared" si="13"/>
        <v>300</v>
      </c>
      <c r="D52" s="25">
        <f t="shared" si="13"/>
        <v>0</v>
      </c>
      <c r="E52" s="82"/>
      <c r="F52" s="60">
        <f t="shared" si="14"/>
        <v>0</v>
      </c>
      <c r="G52" s="76"/>
      <c r="H52" s="22">
        <f t="shared" si="15"/>
        <v>0.5</v>
      </c>
      <c r="I52" s="8" t="s">
        <v>31</v>
      </c>
      <c r="J52" s="61"/>
      <c r="K52" s="20">
        <f>K49/2</f>
        <v>215</v>
      </c>
      <c r="L52" s="61"/>
      <c r="M52" s="9" t="s">
        <v>30</v>
      </c>
      <c r="N52" s="61"/>
      <c r="O52" s="15" t="s">
        <v>32</v>
      </c>
      <c r="P52" s="13"/>
      <c r="S52" s="13"/>
      <c r="T52" s="13"/>
    </row>
    <row r="53" spans="2:20">
      <c r="B53" s="3">
        <f t="shared" si="12"/>
        <v>301</v>
      </c>
      <c r="C53" s="25">
        <f t="shared" si="13"/>
        <v>300</v>
      </c>
      <c r="D53" s="25">
        <f t="shared" si="13"/>
        <v>0</v>
      </c>
      <c r="E53" s="82"/>
      <c r="F53" s="60">
        <f>F52+1</f>
        <v>1</v>
      </c>
      <c r="G53" s="77" t="str">
        <f>G16</f>
        <v>Azimuth=270°</v>
      </c>
      <c r="H53" s="22">
        <v>0</v>
      </c>
      <c r="I53" s="8" t="str">
        <f>"-polar @ HM"</f>
        <v>-polar @ HM</v>
      </c>
      <c r="J53" s="61"/>
      <c r="K53" s="5">
        <v>320</v>
      </c>
      <c r="L53" s="61"/>
      <c r="M53" s="9" t="s">
        <v>30</v>
      </c>
      <c r="N53" s="61"/>
      <c r="O53" s="15" t="s">
        <v>20</v>
      </c>
      <c r="P53" s="13"/>
      <c r="Q53" s="17">
        <v>1</v>
      </c>
      <c r="S53" s="13"/>
      <c r="T53" s="13"/>
    </row>
    <row r="54" spans="2:20">
      <c r="B54" s="3">
        <f t="shared" si="12"/>
        <v>301.10000000000002</v>
      </c>
      <c r="C54" s="25">
        <f t="shared" si="13"/>
        <v>300</v>
      </c>
      <c r="D54" s="25">
        <f t="shared" si="13"/>
        <v>0</v>
      </c>
      <c r="E54" s="82"/>
      <c r="F54" s="60">
        <f t="shared" ref="F54:F88" si="16">F53</f>
        <v>1</v>
      </c>
      <c r="G54" s="77"/>
      <c r="H54" s="22">
        <f t="shared" ref="H54:H88" si="17">H53+0.1</f>
        <v>0.1</v>
      </c>
      <c r="I54" s="8" t="str">
        <f>"-magnitude"</f>
        <v>-magnitude</v>
      </c>
      <c r="J54" s="61"/>
      <c r="K54" s="5">
        <v>630</v>
      </c>
      <c r="L54" s="61"/>
      <c r="M54" s="61" t="s">
        <v>29</v>
      </c>
      <c r="N54" s="61"/>
      <c r="O54" s="15" t="s">
        <v>40</v>
      </c>
      <c r="P54" s="13"/>
      <c r="Q54" s="17">
        <v>1</v>
      </c>
      <c r="S54" s="13"/>
      <c r="T54" s="13"/>
    </row>
    <row r="55" spans="2:20">
      <c r="B55" s="3">
        <f t="shared" si="12"/>
        <v>301.2</v>
      </c>
      <c r="C55" s="25">
        <f t="shared" si="13"/>
        <v>300</v>
      </c>
      <c r="D55" s="25">
        <f t="shared" si="13"/>
        <v>0</v>
      </c>
      <c r="E55" s="82"/>
      <c r="F55" s="60">
        <f t="shared" si="16"/>
        <v>1</v>
      </c>
      <c r="G55" s="77"/>
      <c r="H55" s="22">
        <f t="shared" si="17"/>
        <v>0.2</v>
      </c>
      <c r="I55" s="8" t="str">
        <f>"-peak angle"</f>
        <v>-peak angle</v>
      </c>
      <c r="J55" s="61"/>
      <c r="K55" s="5">
        <v>346</v>
      </c>
      <c r="L55" s="61"/>
      <c r="M55" s="9" t="s">
        <v>30</v>
      </c>
      <c r="N55" s="61"/>
      <c r="O55" s="15" t="s">
        <v>41</v>
      </c>
      <c r="P55" s="13"/>
      <c r="Q55" s="17">
        <v>1</v>
      </c>
      <c r="S55" s="13"/>
      <c r="T55" s="13"/>
    </row>
    <row r="56" spans="2:20">
      <c r="B56" s="3">
        <f t="shared" si="12"/>
        <v>301.3</v>
      </c>
      <c r="C56" s="25">
        <f t="shared" si="13"/>
        <v>300</v>
      </c>
      <c r="D56" s="25">
        <f t="shared" si="13"/>
        <v>0</v>
      </c>
      <c r="E56" s="82"/>
      <c r="F56" s="60">
        <f t="shared" si="16"/>
        <v>1</v>
      </c>
      <c r="G56" s="77"/>
      <c r="H56" s="22">
        <f t="shared" si="17"/>
        <v>0.30000000000000004</v>
      </c>
      <c r="I56" s="8" t="str">
        <f>"+polar @ HM"</f>
        <v>+polar @ HM</v>
      </c>
      <c r="J56" s="61"/>
      <c r="K56" s="5">
        <v>36</v>
      </c>
      <c r="L56" s="61"/>
      <c r="M56" s="9" t="s">
        <v>30</v>
      </c>
      <c r="N56" s="61"/>
      <c r="O56" s="15" t="s">
        <v>21</v>
      </c>
      <c r="P56" s="13"/>
      <c r="Q56" s="17">
        <v>1</v>
      </c>
      <c r="S56" s="13"/>
      <c r="T56" s="13"/>
    </row>
    <row r="57" spans="2:20">
      <c r="B57" s="3">
        <f t="shared" si="12"/>
        <v>301.39999999999998</v>
      </c>
      <c r="C57" s="25">
        <f t="shared" si="13"/>
        <v>300</v>
      </c>
      <c r="D57" s="25">
        <f t="shared" si="13"/>
        <v>0</v>
      </c>
      <c r="E57" s="82"/>
      <c r="F57" s="60">
        <f t="shared" si="16"/>
        <v>1</v>
      </c>
      <c r="G57" s="77"/>
      <c r="H57" s="22">
        <f t="shared" si="17"/>
        <v>0.4</v>
      </c>
      <c r="I57" s="8" t="str">
        <f>"+magnitude"</f>
        <v>+magnitude</v>
      </c>
      <c r="J57" s="61"/>
      <c r="K57" s="5">
        <v>1217</v>
      </c>
      <c r="L57" s="61"/>
      <c r="M57" s="61" t="s">
        <v>29</v>
      </c>
      <c r="N57" s="61"/>
      <c r="O57" s="15" t="s">
        <v>42</v>
      </c>
      <c r="P57" s="13"/>
      <c r="Q57" s="17">
        <v>1</v>
      </c>
      <c r="S57" s="13"/>
      <c r="T57" s="13"/>
    </row>
    <row r="58" spans="2:20">
      <c r="B58" s="3">
        <f t="shared" si="12"/>
        <v>301.5</v>
      </c>
      <c r="C58" s="25">
        <f t="shared" si="13"/>
        <v>300</v>
      </c>
      <c r="D58" s="25">
        <f t="shared" si="13"/>
        <v>0</v>
      </c>
      <c r="E58" s="82"/>
      <c r="F58" s="60">
        <f t="shared" si="16"/>
        <v>1</v>
      </c>
      <c r="G58" s="77"/>
      <c r="H58" s="22">
        <f t="shared" si="17"/>
        <v>0.5</v>
      </c>
      <c r="I58" s="8" t="str">
        <f>"+peak angle"</f>
        <v>+peak angle</v>
      </c>
      <c r="J58" s="61"/>
      <c r="K58" s="5">
        <v>17</v>
      </c>
      <c r="L58" s="61"/>
      <c r="M58" s="9" t="s">
        <v>30</v>
      </c>
      <c r="N58" s="61"/>
      <c r="O58" s="15" t="s">
        <v>41</v>
      </c>
      <c r="P58" s="13"/>
      <c r="Q58" s="17">
        <v>1</v>
      </c>
      <c r="S58" s="13"/>
      <c r="T58" s="13"/>
    </row>
    <row r="59" spans="2:20">
      <c r="B59" s="3">
        <f t="shared" si="12"/>
        <v>301.60000000000002</v>
      </c>
      <c r="C59" s="25">
        <f>C57</f>
        <v>300</v>
      </c>
      <c r="D59" s="25">
        <f>D57</f>
        <v>0</v>
      </c>
      <c r="E59" s="82"/>
      <c r="F59" s="60">
        <f>F57</f>
        <v>1</v>
      </c>
      <c r="G59" s="77"/>
      <c r="H59" s="22">
        <f t="shared" si="17"/>
        <v>0.6</v>
      </c>
      <c r="I59" s="8" t="s">
        <v>64</v>
      </c>
      <c r="J59" s="6">
        <f>-L59</f>
        <v>-2</v>
      </c>
      <c r="K59" s="7">
        <f>MAX(K54,K57)/K$49-1</f>
        <v>1.8302325581395347</v>
      </c>
      <c r="L59" s="47">
        <f>Specifications!E10</f>
        <v>2</v>
      </c>
      <c r="M59" s="9" t="s">
        <v>30</v>
      </c>
      <c r="N59" s="61" t="str">
        <f>IF((J59&lt;K59)* (K59&lt;L59),"PASS","FAIL")</f>
        <v>PASS</v>
      </c>
      <c r="O59" s="15"/>
      <c r="P59" s="13"/>
      <c r="R59" s="17">
        <v>1</v>
      </c>
      <c r="S59" s="13"/>
      <c r="T59" s="13"/>
    </row>
    <row r="60" spans="2:20">
      <c r="B60" s="3">
        <f t="shared" si="12"/>
        <v>301.7</v>
      </c>
      <c r="C60" s="25">
        <f>C58</f>
        <v>300</v>
      </c>
      <c r="D60" s="25">
        <f>D58</f>
        <v>0</v>
      </c>
      <c r="E60" s="82"/>
      <c r="F60" s="60">
        <f>F58</f>
        <v>1</v>
      </c>
      <c r="G60" s="77"/>
      <c r="H60" s="22">
        <f t="shared" si="17"/>
        <v>0.7</v>
      </c>
      <c r="I60" s="8" t="s">
        <v>14</v>
      </c>
      <c r="J60" s="61">
        <f>-L60</f>
        <v>-15</v>
      </c>
      <c r="K60" s="10">
        <f>(K56+(K53-360))/2</f>
        <v>-2</v>
      </c>
      <c r="L60" s="61">
        <f>L18</f>
        <v>15</v>
      </c>
      <c r="M60" s="9" t="s">
        <v>30</v>
      </c>
      <c r="N60" s="61" t="str">
        <f>IF((J60&lt;K60)* (K60&lt;L60),"PASS","FAIL")</f>
        <v>PASS</v>
      </c>
      <c r="O60" s="15"/>
      <c r="P60" s="13"/>
      <c r="R60" s="17">
        <v>1</v>
      </c>
      <c r="S60" s="13"/>
      <c r="T60" s="13"/>
    </row>
    <row r="61" spans="2:20">
      <c r="B61" s="3">
        <f t="shared" si="12"/>
        <v>301.8</v>
      </c>
      <c r="C61" s="25">
        <f t="shared" si="13"/>
        <v>300</v>
      </c>
      <c r="D61" s="25">
        <f t="shared" si="13"/>
        <v>0</v>
      </c>
      <c r="E61" s="82"/>
      <c r="F61" s="60">
        <f t="shared" si="16"/>
        <v>1</v>
      </c>
      <c r="G61" s="77"/>
      <c r="H61" s="22">
        <f t="shared" si="17"/>
        <v>0.79999999999999993</v>
      </c>
      <c r="I61" s="8" t="s">
        <v>22</v>
      </c>
      <c r="J61" s="48">
        <f>Specifications!E13</f>
        <v>35</v>
      </c>
      <c r="K61" s="10">
        <f>K56-(K53-360)</f>
        <v>76</v>
      </c>
      <c r="L61" s="48">
        <f>Specifications!E14</f>
        <v>85</v>
      </c>
      <c r="M61" s="9" t="s">
        <v>30</v>
      </c>
      <c r="N61" s="61" t="str">
        <f>IF((J61&lt;K61)* (K61&lt;L61),"PASS","FAIL")</f>
        <v>PASS</v>
      </c>
      <c r="O61" s="15"/>
      <c r="P61" s="13"/>
      <c r="R61" s="17">
        <v>1</v>
      </c>
      <c r="S61" s="13"/>
      <c r="T61" s="13"/>
    </row>
    <row r="62" spans="2:20">
      <c r="B62" s="3">
        <f t="shared" si="12"/>
        <v>302</v>
      </c>
      <c r="C62" s="25">
        <f t="shared" si="13"/>
        <v>300</v>
      </c>
      <c r="D62" s="25">
        <f t="shared" si="13"/>
        <v>0</v>
      </c>
      <c r="E62" s="82"/>
      <c r="F62" s="60">
        <f>F61+1</f>
        <v>2</v>
      </c>
      <c r="G62" s="77" t="str">
        <f>G20</f>
        <v>Azimuth=315°</v>
      </c>
      <c r="H62" s="22">
        <v>0</v>
      </c>
      <c r="I62" s="8" t="str">
        <f>"-polar @ HM"</f>
        <v>-polar @ HM</v>
      </c>
      <c r="J62" s="61"/>
      <c r="K62" s="5">
        <v>336</v>
      </c>
      <c r="L62" s="61"/>
      <c r="M62" s="9" t="s">
        <v>30</v>
      </c>
      <c r="N62" s="61"/>
      <c r="O62" s="15" t="s">
        <v>20</v>
      </c>
      <c r="P62" s="13"/>
      <c r="Q62" s="17">
        <v>1</v>
      </c>
      <c r="S62" s="13"/>
      <c r="T62" s="13"/>
    </row>
    <row r="63" spans="2:20">
      <c r="B63" s="3">
        <f t="shared" si="12"/>
        <v>302.10000000000002</v>
      </c>
      <c r="C63" s="25">
        <f t="shared" si="13"/>
        <v>300</v>
      </c>
      <c r="D63" s="25">
        <f t="shared" si="13"/>
        <v>0</v>
      </c>
      <c r="E63" s="82"/>
      <c r="F63" s="60">
        <f t="shared" si="16"/>
        <v>2</v>
      </c>
      <c r="G63" s="77"/>
      <c r="H63" s="22">
        <f t="shared" si="17"/>
        <v>0.1</v>
      </c>
      <c r="I63" s="8" t="str">
        <f>"-magnitude"</f>
        <v>-magnitude</v>
      </c>
      <c r="J63" s="61"/>
      <c r="K63" s="5">
        <v>616</v>
      </c>
      <c r="L63" s="61"/>
      <c r="M63" s="61" t="s">
        <v>29</v>
      </c>
      <c r="N63" s="61"/>
      <c r="O63" s="15" t="s">
        <v>40</v>
      </c>
      <c r="P63" s="13"/>
      <c r="Q63" s="17">
        <v>1</v>
      </c>
      <c r="S63" s="13"/>
      <c r="T63" s="13"/>
    </row>
    <row r="64" spans="2:20">
      <c r="B64" s="3">
        <f t="shared" si="12"/>
        <v>302.2</v>
      </c>
      <c r="C64" s="25">
        <f t="shared" ref="C64:D79" si="18">C63</f>
        <v>300</v>
      </c>
      <c r="D64" s="25">
        <f t="shared" si="18"/>
        <v>0</v>
      </c>
      <c r="E64" s="82"/>
      <c r="F64" s="60">
        <f t="shared" si="16"/>
        <v>2</v>
      </c>
      <c r="G64" s="77"/>
      <c r="H64" s="22">
        <f t="shared" si="17"/>
        <v>0.2</v>
      </c>
      <c r="I64" s="8" t="str">
        <f>"-peak angle"</f>
        <v>-peak angle</v>
      </c>
      <c r="J64" s="61"/>
      <c r="K64" s="5">
        <v>346</v>
      </c>
      <c r="L64" s="61"/>
      <c r="M64" s="9" t="s">
        <v>30</v>
      </c>
      <c r="N64" s="61"/>
      <c r="O64" s="15" t="s">
        <v>41</v>
      </c>
      <c r="P64" s="13"/>
      <c r="Q64" s="17">
        <v>1</v>
      </c>
      <c r="S64" s="13"/>
      <c r="T64" s="13"/>
    </row>
    <row r="65" spans="2:20">
      <c r="B65" s="3">
        <f t="shared" si="12"/>
        <v>302.3</v>
      </c>
      <c r="C65" s="25">
        <f t="shared" si="18"/>
        <v>300</v>
      </c>
      <c r="D65" s="25">
        <f t="shared" si="18"/>
        <v>0</v>
      </c>
      <c r="E65" s="82"/>
      <c r="F65" s="60">
        <f t="shared" si="16"/>
        <v>2</v>
      </c>
      <c r="G65" s="77"/>
      <c r="H65" s="22">
        <f t="shared" si="17"/>
        <v>0.30000000000000004</v>
      </c>
      <c r="I65" s="8" t="str">
        <f>"+polar @ HM"</f>
        <v>+polar @ HM</v>
      </c>
      <c r="J65" s="61"/>
      <c r="K65" s="5">
        <v>36</v>
      </c>
      <c r="L65" s="61"/>
      <c r="M65" s="9" t="s">
        <v>30</v>
      </c>
      <c r="N65" s="61"/>
      <c r="O65" s="15" t="s">
        <v>21</v>
      </c>
      <c r="P65" s="13"/>
      <c r="Q65" s="17">
        <v>1</v>
      </c>
      <c r="S65" s="13"/>
      <c r="T65" s="13"/>
    </row>
    <row r="66" spans="2:20">
      <c r="B66" s="3">
        <f t="shared" si="12"/>
        <v>302.39999999999998</v>
      </c>
      <c r="C66" s="25">
        <f t="shared" si="18"/>
        <v>300</v>
      </c>
      <c r="D66" s="25">
        <f t="shared" si="18"/>
        <v>0</v>
      </c>
      <c r="E66" s="82"/>
      <c r="F66" s="60">
        <f t="shared" si="16"/>
        <v>2</v>
      </c>
      <c r="G66" s="77"/>
      <c r="H66" s="22">
        <f t="shared" si="17"/>
        <v>0.4</v>
      </c>
      <c r="I66" s="8" t="str">
        <f>"+magnitude"</f>
        <v>+magnitude</v>
      </c>
      <c r="J66" s="61"/>
      <c r="K66" s="5">
        <v>885</v>
      </c>
      <c r="L66" s="61"/>
      <c r="M66" s="61" t="s">
        <v>29</v>
      </c>
      <c r="N66" s="61"/>
      <c r="O66" s="15" t="s">
        <v>42</v>
      </c>
      <c r="P66" s="13"/>
      <c r="Q66" s="17">
        <v>1</v>
      </c>
      <c r="S66" s="13"/>
      <c r="T66" s="13"/>
    </row>
    <row r="67" spans="2:20">
      <c r="B67" s="3">
        <f t="shared" si="12"/>
        <v>302.5</v>
      </c>
      <c r="C67" s="25">
        <f t="shared" si="18"/>
        <v>300</v>
      </c>
      <c r="D67" s="25">
        <f t="shared" si="18"/>
        <v>0</v>
      </c>
      <c r="E67" s="82"/>
      <c r="F67" s="60">
        <f t="shared" si="16"/>
        <v>2</v>
      </c>
      <c r="G67" s="77"/>
      <c r="H67" s="22">
        <f t="shared" si="17"/>
        <v>0.5</v>
      </c>
      <c r="I67" s="8" t="str">
        <f>"+peak angle"</f>
        <v>+peak angle</v>
      </c>
      <c r="J67" s="61"/>
      <c r="K67" s="5">
        <v>20</v>
      </c>
      <c r="L67" s="61"/>
      <c r="M67" s="9" t="s">
        <v>30</v>
      </c>
      <c r="N67" s="61"/>
      <c r="O67" s="15" t="s">
        <v>41</v>
      </c>
      <c r="P67" s="13"/>
      <c r="Q67" s="17">
        <v>1</v>
      </c>
      <c r="S67" s="13"/>
      <c r="T67" s="13"/>
    </row>
    <row r="68" spans="2:20">
      <c r="B68" s="3">
        <f t="shared" si="12"/>
        <v>302.60000000000002</v>
      </c>
      <c r="C68" s="25">
        <f>C66</f>
        <v>300</v>
      </c>
      <c r="D68" s="25">
        <f>D66</f>
        <v>0</v>
      </c>
      <c r="E68" s="82"/>
      <c r="F68" s="60">
        <f>F66</f>
        <v>2</v>
      </c>
      <c r="G68" s="77"/>
      <c r="H68" s="22">
        <f t="shared" si="17"/>
        <v>0.6</v>
      </c>
      <c r="I68" s="8" t="s">
        <v>64</v>
      </c>
      <c r="J68" s="6">
        <f>J59</f>
        <v>-2</v>
      </c>
      <c r="K68" s="7">
        <f>MAX(K63,K66)/K$49-1</f>
        <v>1.058139534883721</v>
      </c>
      <c r="L68" s="6">
        <f>L59</f>
        <v>2</v>
      </c>
      <c r="M68" s="9" t="s">
        <v>30</v>
      </c>
      <c r="N68" s="61" t="str">
        <f>IF((J68&lt;K68)* (K68&lt;L68),"PASS","FAIL")</f>
        <v>PASS</v>
      </c>
      <c r="O68" s="15"/>
      <c r="P68" s="13"/>
      <c r="R68" s="17">
        <v>1</v>
      </c>
      <c r="S68" s="13"/>
      <c r="T68" s="13"/>
    </row>
    <row r="69" spans="2:20">
      <c r="B69" s="3">
        <f t="shared" si="12"/>
        <v>302.7</v>
      </c>
      <c r="C69" s="25">
        <f>C67</f>
        <v>300</v>
      </c>
      <c r="D69" s="25">
        <f>D67</f>
        <v>0</v>
      </c>
      <c r="E69" s="82"/>
      <c r="F69" s="60">
        <f>F67</f>
        <v>2</v>
      </c>
      <c r="G69" s="77"/>
      <c r="H69" s="22">
        <f t="shared" si="17"/>
        <v>0.7</v>
      </c>
      <c r="I69" s="8" t="s">
        <v>14</v>
      </c>
      <c r="J69" s="61">
        <f>J60</f>
        <v>-15</v>
      </c>
      <c r="K69" s="10">
        <f>(K65+(K62-360))/2</f>
        <v>6</v>
      </c>
      <c r="L69" s="61">
        <f>L60</f>
        <v>15</v>
      </c>
      <c r="M69" s="9" t="s">
        <v>30</v>
      </c>
      <c r="N69" s="61" t="str">
        <f>IF((J69&lt;K69)* (K69&lt;L69),"PASS","FAIL")</f>
        <v>PASS</v>
      </c>
      <c r="O69" s="15"/>
      <c r="P69" s="13"/>
      <c r="R69" s="17">
        <v>1</v>
      </c>
      <c r="S69" s="13"/>
      <c r="T69" s="13"/>
    </row>
    <row r="70" spans="2:20">
      <c r="B70" s="3">
        <f t="shared" si="12"/>
        <v>302.8</v>
      </c>
      <c r="C70" s="25">
        <f t="shared" si="18"/>
        <v>300</v>
      </c>
      <c r="D70" s="25">
        <f t="shared" si="18"/>
        <v>0</v>
      </c>
      <c r="E70" s="82"/>
      <c r="F70" s="60">
        <f t="shared" si="16"/>
        <v>2</v>
      </c>
      <c r="G70" s="77"/>
      <c r="H70" s="22">
        <f t="shared" si="17"/>
        <v>0.79999999999999993</v>
      </c>
      <c r="I70" s="8" t="s">
        <v>22</v>
      </c>
      <c r="J70" s="61">
        <f>J61</f>
        <v>35</v>
      </c>
      <c r="K70" s="10">
        <f>K65-(K62-360)</f>
        <v>60</v>
      </c>
      <c r="L70" s="61">
        <f>L61</f>
        <v>85</v>
      </c>
      <c r="M70" s="9" t="s">
        <v>30</v>
      </c>
      <c r="N70" s="61" t="str">
        <f>IF((J70&lt;K70)* (K70&lt;L70),"PASS","FAIL")</f>
        <v>PASS</v>
      </c>
      <c r="O70" s="15"/>
      <c r="P70" s="13"/>
      <c r="R70" s="17">
        <v>1</v>
      </c>
      <c r="S70" s="13"/>
      <c r="T70" s="13"/>
    </row>
    <row r="71" spans="2:20">
      <c r="B71" s="3">
        <f t="shared" si="12"/>
        <v>303</v>
      </c>
      <c r="C71" s="25">
        <f t="shared" si="18"/>
        <v>300</v>
      </c>
      <c r="D71" s="25">
        <f t="shared" si="18"/>
        <v>0</v>
      </c>
      <c r="E71" s="82"/>
      <c r="F71" s="60">
        <f>F70+1</f>
        <v>3</v>
      </c>
      <c r="G71" s="77" t="str">
        <f>G24</f>
        <v>Azimuth=0°</v>
      </c>
      <c r="H71" s="22">
        <v>0</v>
      </c>
      <c r="I71" s="8" t="str">
        <f>"-polar @ HM"</f>
        <v>-polar @ HM</v>
      </c>
      <c r="J71" s="61"/>
      <c r="K71" s="5">
        <v>341</v>
      </c>
      <c r="L71" s="61"/>
      <c r="M71" s="9" t="s">
        <v>30</v>
      </c>
      <c r="N71" s="61"/>
      <c r="O71" s="15" t="s">
        <v>20</v>
      </c>
      <c r="P71" s="13"/>
      <c r="Q71" s="17">
        <v>1</v>
      </c>
      <c r="S71" s="13"/>
      <c r="T71" s="13"/>
    </row>
    <row r="72" spans="2:20">
      <c r="B72" s="3">
        <f t="shared" si="12"/>
        <v>303.10000000000002</v>
      </c>
      <c r="C72" s="25">
        <f t="shared" si="18"/>
        <v>300</v>
      </c>
      <c r="D72" s="25">
        <f t="shared" si="18"/>
        <v>0</v>
      </c>
      <c r="E72" s="82"/>
      <c r="F72" s="60">
        <f t="shared" si="16"/>
        <v>3</v>
      </c>
      <c r="G72" s="77"/>
      <c r="H72" s="22">
        <f t="shared" si="17"/>
        <v>0.1</v>
      </c>
      <c r="I72" s="8" t="str">
        <f>"-magnitude"</f>
        <v>-magnitude</v>
      </c>
      <c r="J72" s="61"/>
      <c r="K72" s="5">
        <v>510</v>
      </c>
      <c r="L72" s="61"/>
      <c r="M72" s="61" t="s">
        <v>29</v>
      </c>
      <c r="N72" s="61"/>
      <c r="O72" s="15" t="s">
        <v>40</v>
      </c>
      <c r="P72" s="13"/>
      <c r="Q72" s="17">
        <v>1</v>
      </c>
      <c r="S72" s="13"/>
      <c r="T72" s="13"/>
    </row>
    <row r="73" spans="2:20">
      <c r="B73" s="3">
        <f t="shared" si="12"/>
        <v>303.2</v>
      </c>
      <c r="C73" s="25">
        <f t="shared" si="18"/>
        <v>300</v>
      </c>
      <c r="D73" s="25">
        <f t="shared" si="18"/>
        <v>0</v>
      </c>
      <c r="E73" s="82"/>
      <c r="F73" s="60">
        <f t="shared" si="16"/>
        <v>3</v>
      </c>
      <c r="G73" s="77"/>
      <c r="H73" s="22">
        <f t="shared" si="17"/>
        <v>0.2</v>
      </c>
      <c r="I73" s="8" t="str">
        <f>"-peak angle"</f>
        <v>-peak angle</v>
      </c>
      <c r="J73" s="61"/>
      <c r="K73" s="5">
        <v>348</v>
      </c>
      <c r="L73" s="61"/>
      <c r="M73" s="9" t="s">
        <v>30</v>
      </c>
      <c r="N73" s="61"/>
      <c r="O73" s="15" t="s">
        <v>41</v>
      </c>
      <c r="P73" s="13"/>
      <c r="Q73" s="17">
        <v>1</v>
      </c>
      <c r="S73" s="13"/>
      <c r="T73" s="13"/>
    </row>
    <row r="74" spans="2:20">
      <c r="B74" s="3">
        <f t="shared" si="12"/>
        <v>303.3</v>
      </c>
      <c r="C74" s="25">
        <f t="shared" si="18"/>
        <v>300</v>
      </c>
      <c r="D74" s="25">
        <f t="shared" si="18"/>
        <v>0</v>
      </c>
      <c r="E74" s="82"/>
      <c r="F74" s="60">
        <f t="shared" si="16"/>
        <v>3</v>
      </c>
      <c r="G74" s="77"/>
      <c r="H74" s="22">
        <f t="shared" si="17"/>
        <v>0.30000000000000004</v>
      </c>
      <c r="I74" s="8" t="str">
        <f>"+polar @ HM"</f>
        <v>+polar @ HM</v>
      </c>
      <c r="J74" s="61"/>
      <c r="K74" s="5">
        <v>23</v>
      </c>
      <c r="L74" s="61"/>
      <c r="M74" s="9" t="s">
        <v>30</v>
      </c>
      <c r="N74" s="61"/>
      <c r="O74" s="15" t="s">
        <v>21</v>
      </c>
      <c r="P74" s="13"/>
      <c r="Q74" s="17">
        <v>1</v>
      </c>
      <c r="S74" s="13"/>
      <c r="T74" s="13"/>
    </row>
    <row r="75" spans="2:20">
      <c r="B75" s="3">
        <f t="shared" si="12"/>
        <v>303.39999999999998</v>
      </c>
      <c r="C75" s="25">
        <f t="shared" si="18"/>
        <v>300</v>
      </c>
      <c r="D75" s="25">
        <f t="shared" si="18"/>
        <v>0</v>
      </c>
      <c r="E75" s="82"/>
      <c r="F75" s="60">
        <f t="shared" si="16"/>
        <v>3</v>
      </c>
      <c r="G75" s="77"/>
      <c r="H75" s="22">
        <f t="shared" si="17"/>
        <v>0.4</v>
      </c>
      <c r="I75" s="8" t="str">
        <f>"+magnitude"</f>
        <v>+magnitude</v>
      </c>
      <c r="J75" s="61"/>
      <c r="K75" s="5">
        <v>513</v>
      </c>
      <c r="L75" s="61"/>
      <c r="M75" s="61" t="s">
        <v>29</v>
      </c>
      <c r="N75" s="61"/>
      <c r="O75" s="15" t="s">
        <v>42</v>
      </c>
      <c r="P75" s="13"/>
      <c r="Q75" s="17">
        <v>1</v>
      </c>
      <c r="S75" s="13"/>
      <c r="T75" s="13"/>
    </row>
    <row r="76" spans="2:20">
      <c r="B76" s="3">
        <f t="shared" si="12"/>
        <v>303.5</v>
      </c>
      <c r="C76" s="25">
        <f t="shared" si="18"/>
        <v>300</v>
      </c>
      <c r="D76" s="25">
        <f t="shared" si="18"/>
        <v>0</v>
      </c>
      <c r="E76" s="82"/>
      <c r="F76" s="60">
        <f t="shared" si="16"/>
        <v>3</v>
      </c>
      <c r="G76" s="77"/>
      <c r="H76" s="22">
        <f t="shared" si="17"/>
        <v>0.5</v>
      </c>
      <c r="I76" s="8" t="str">
        <f>"+peak angle"</f>
        <v>+peak angle</v>
      </c>
      <c r="J76" s="61"/>
      <c r="K76" s="5">
        <v>12</v>
      </c>
      <c r="L76" s="61"/>
      <c r="M76" s="9" t="s">
        <v>30</v>
      </c>
      <c r="N76" s="61"/>
      <c r="O76" s="15" t="s">
        <v>41</v>
      </c>
      <c r="P76" s="13"/>
      <c r="Q76" s="17">
        <v>1</v>
      </c>
      <c r="S76" s="13"/>
      <c r="T76" s="13"/>
    </row>
    <row r="77" spans="2:20">
      <c r="B77" s="3">
        <f t="shared" si="12"/>
        <v>303.60000000000002</v>
      </c>
      <c r="C77" s="25">
        <f t="shared" si="18"/>
        <v>300</v>
      </c>
      <c r="D77" s="25">
        <f t="shared" si="18"/>
        <v>0</v>
      </c>
      <c r="E77" s="82"/>
      <c r="F77" s="60">
        <f t="shared" si="16"/>
        <v>3</v>
      </c>
      <c r="G77" s="77"/>
      <c r="H77" s="22">
        <f t="shared" si="17"/>
        <v>0.6</v>
      </c>
      <c r="I77" s="8" t="s">
        <v>64</v>
      </c>
      <c r="J77" s="6">
        <f>J68</f>
        <v>-2</v>
      </c>
      <c r="K77" s="7">
        <f>MAX(K72,K75)/K$49-1</f>
        <v>0.19302325581395352</v>
      </c>
      <c r="L77" s="6">
        <f>L68</f>
        <v>2</v>
      </c>
      <c r="M77" s="9" t="s">
        <v>30</v>
      </c>
      <c r="N77" s="61" t="str">
        <f>IF((J77&lt;K77)* (K77&lt;L77),"PASS","FAIL")</f>
        <v>PASS</v>
      </c>
      <c r="O77" s="15"/>
      <c r="P77" s="13"/>
      <c r="R77" s="17">
        <v>1</v>
      </c>
      <c r="S77" s="13"/>
      <c r="T77" s="13"/>
    </row>
    <row r="78" spans="2:20">
      <c r="B78" s="3">
        <f t="shared" si="12"/>
        <v>303.7</v>
      </c>
      <c r="C78" s="25">
        <f t="shared" si="18"/>
        <v>300</v>
      </c>
      <c r="D78" s="25">
        <f t="shared" si="18"/>
        <v>0</v>
      </c>
      <c r="E78" s="82"/>
      <c r="F78" s="60">
        <f>F76</f>
        <v>3</v>
      </c>
      <c r="G78" s="77"/>
      <c r="H78" s="22">
        <f t="shared" si="17"/>
        <v>0.7</v>
      </c>
      <c r="I78" s="8" t="s">
        <v>14</v>
      </c>
      <c r="J78" s="61">
        <f>J69</f>
        <v>-15</v>
      </c>
      <c r="K78" s="10">
        <f>(K74+(K71-360))/2</f>
        <v>2</v>
      </c>
      <c r="L78" s="61">
        <f>L69</f>
        <v>15</v>
      </c>
      <c r="M78" s="9" t="s">
        <v>30</v>
      </c>
      <c r="N78" s="61" t="str">
        <f>IF((J78&lt;K78)* (K78&lt;L78),"PASS","FAIL")</f>
        <v>PASS</v>
      </c>
      <c r="O78" s="15"/>
      <c r="P78" s="13"/>
      <c r="R78" s="17">
        <v>1</v>
      </c>
      <c r="S78" s="13"/>
      <c r="T78" s="13"/>
    </row>
    <row r="79" spans="2:20">
      <c r="B79" s="3">
        <f t="shared" si="12"/>
        <v>303.8</v>
      </c>
      <c r="C79" s="25">
        <f t="shared" si="18"/>
        <v>300</v>
      </c>
      <c r="D79" s="25">
        <f t="shared" si="18"/>
        <v>0</v>
      </c>
      <c r="E79" s="82"/>
      <c r="F79" s="60">
        <f t="shared" si="16"/>
        <v>3</v>
      </c>
      <c r="G79" s="77"/>
      <c r="H79" s="22">
        <f t="shared" si="17"/>
        <v>0.79999999999999993</v>
      </c>
      <c r="I79" s="8" t="s">
        <v>22</v>
      </c>
      <c r="J79" s="61">
        <f>J70</f>
        <v>35</v>
      </c>
      <c r="K79" s="10">
        <f>K74-(K71-360)</f>
        <v>42</v>
      </c>
      <c r="L79" s="61">
        <f>L70</f>
        <v>85</v>
      </c>
      <c r="M79" s="9" t="s">
        <v>30</v>
      </c>
      <c r="N79" s="61" t="str">
        <f>IF((J79&lt;K79)* (K79&lt;L79),"PASS","FAIL")</f>
        <v>PASS</v>
      </c>
      <c r="O79" s="15"/>
      <c r="P79" s="13"/>
      <c r="R79" s="17">
        <v>1</v>
      </c>
      <c r="S79" s="13"/>
      <c r="T79" s="13"/>
    </row>
    <row r="80" spans="2:20">
      <c r="B80" s="3">
        <f t="shared" si="12"/>
        <v>304</v>
      </c>
      <c r="C80" s="25">
        <f t="shared" ref="C80:D88" si="19">C79</f>
        <v>300</v>
      </c>
      <c r="D80" s="25">
        <f t="shared" si="19"/>
        <v>0</v>
      </c>
      <c r="E80" s="82"/>
      <c r="F80" s="60">
        <f>F79+1</f>
        <v>4</v>
      </c>
      <c r="G80" s="77" t="str">
        <f>G28</f>
        <v>Azimuth=45°</v>
      </c>
      <c r="H80" s="22">
        <v>0</v>
      </c>
      <c r="I80" s="8" t="str">
        <f>"-polar @ HM"</f>
        <v>-polar @ HM</v>
      </c>
      <c r="J80" s="61"/>
      <c r="K80" s="5">
        <v>326</v>
      </c>
      <c r="L80" s="61"/>
      <c r="M80" s="9" t="s">
        <v>30</v>
      </c>
      <c r="N80" s="61"/>
      <c r="O80" s="15" t="s">
        <v>20</v>
      </c>
      <c r="P80" s="13"/>
      <c r="Q80" s="17">
        <v>1</v>
      </c>
      <c r="S80" s="13"/>
      <c r="T80" s="13"/>
    </row>
    <row r="81" spans="2:20">
      <c r="B81" s="3">
        <f t="shared" si="12"/>
        <v>304.10000000000002</v>
      </c>
      <c r="C81" s="25">
        <f t="shared" si="19"/>
        <v>300</v>
      </c>
      <c r="D81" s="25">
        <f t="shared" si="19"/>
        <v>0</v>
      </c>
      <c r="E81" s="82"/>
      <c r="F81" s="60">
        <f t="shared" si="16"/>
        <v>4</v>
      </c>
      <c r="G81" s="77"/>
      <c r="H81" s="22">
        <f t="shared" si="17"/>
        <v>0.1</v>
      </c>
      <c r="I81" s="8" t="str">
        <f>"-magnitude"</f>
        <v>-magnitude</v>
      </c>
      <c r="J81" s="61"/>
      <c r="K81" s="5">
        <v>748</v>
      </c>
      <c r="L81" s="61"/>
      <c r="M81" s="61" t="s">
        <v>29</v>
      </c>
      <c r="N81" s="61"/>
      <c r="O81" s="15" t="s">
        <v>40</v>
      </c>
      <c r="P81" s="13"/>
      <c r="Q81" s="17">
        <v>1</v>
      </c>
      <c r="S81" s="13"/>
      <c r="T81" s="13"/>
    </row>
    <row r="82" spans="2:20">
      <c r="B82" s="3">
        <f t="shared" si="12"/>
        <v>304.2</v>
      </c>
      <c r="C82" s="25">
        <f t="shared" si="19"/>
        <v>300</v>
      </c>
      <c r="D82" s="25">
        <f t="shared" si="19"/>
        <v>0</v>
      </c>
      <c r="E82" s="82"/>
      <c r="F82" s="60">
        <f t="shared" si="16"/>
        <v>4</v>
      </c>
      <c r="G82" s="77"/>
      <c r="H82" s="22">
        <f t="shared" si="17"/>
        <v>0.2</v>
      </c>
      <c r="I82" s="8" t="str">
        <f>"-peak angle"</f>
        <v>-peak angle</v>
      </c>
      <c r="J82" s="61"/>
      <c r="K82" s="5">
        <v>345</v>
      </c>
      <c r="L82" s="61"/>
      <c r="M82" s="9" t="s">
        <v>30</v>
      </c>
      <c r="N82" s="61"/>
      <c r="O82" s="15" t="s">
        <v>41</v>
      </c>
      <c r="P82" s="13"/>
      <c r="Q82" s="17">
        <v>1</v>
      </c>
      <c r="S82" s="13"/>
      <c r="T82" s="13"/>
    </row>
    <row r="83" spans="2:20">
      <c r="B83" s="3">
        <f t="shared" si="12"/>
        <v>304.3</v>
      </c>
      <c r="C83" s="25">
        <f t="shared" si="19"/>
        <v>300</v>
      </c>
      <c r="D83" s="25">
        <f t="shared" si="19"/>
        <v>0</v>
      </c>
      <c r="E83" s="82"/>
      <c r="F83" s="60">
        <f t="shared" si="16"/>
        <v>4</v>
      </c>
      <c r="G83" s="77"/>
      <c r="H83" s="22">
        <f t="shared" si="17"/>
        <v>0.30000000000000004</v>
      </c>
      <c r="I83" s="8" t="str">
        <f>"+polar @ HM"</f>
        <v>+polar @ HM</v>
      </c>
      <c r="J83" s="61"/>
      <c r="K83" s="5">
        <v>38</v>
      </c>
      <c r="L83" s="61"/>
      <c r="M83" s="9" t="s">
        <v>30</v>
      </c>
      <c r="N83" s="61"/>
      <c r="O83" s="15" t="s">
        <v>21</v>
      </c>
      <c r="P83" s="13"/>
      <c r="Q83" s="17">
        <v>1</v>
      </c>
      <c r="S83" s="13"/>
      <c r="T83" s="13"/>
    </row>
    <row r="84" spans="2:20">
      <c r="B84" s="3">
        <f t="shared" si="12"/>
        <v>304.39999999999998</v>
      </c>
      <c r="C84" s="25">
        <f t="shared" si="19"/>
        <v>300</v>
      </c>
      <c r="D84" s="25">
        <f t="shared" si="19"/>
        <v>0</v>
      </c>
      <c r="E84" s="82"/>
      <c r="F84" s="60">
        <f t="shared" si="16"/>
        <v>4</v>
      </c>
      <c r="G84" s="77"/>
      <c r="H84" s="22">
        <f t="shared" si="17"/>
        <v>0.4</v>
      </c>
      <c r="I84" s="8" t="str">
        <f>"+magnitude"</f>
        <v>+magnitude</v>
      </c>
      <c r="J84" s="61"/>
      <c r="K84" s="5">
        <v>635</v>
      </c>
      <c r="L84" s="61"/>
      <c r="M84" s="61" t="s">
        <v>29</v>
      </c>
      <c r="N84" s="61"/>
      <c r="O84" s="15" t="s">
        <v>42</v>
      </c>
      <c r="P84" s="13"/>
      <c r="Q84" s="17">
        <v>1</v>
      </c>
      <c r="S84" s="13"/>
      <c r="T84" s="13"/>
    </row>
    <row r="85" spans="2:20">
      <c r="B85" s="3">
        <f t="shared" si="12"/>
        <v>304.5</v>
      </c>
      <c r="C85" s="25">
        <f t="shared" si="19"/>
        <v>300</v>
      </c>
      <c r="D85" s="25">
        <f t="shared" si="19"/>
        <v>0</v>
      </c>
      <c r="E85" s="82"/>
      <c r="F85" s="60">
        <f t="shared" si="16"/>
        <v>4</v>
      </c>
      <c r="G85" s="77"/>
      <c r="H85" s="22">
        <f t="shared" si="17"/>
        <v>0.5</v>
      </c>
      <c r="I85" s="8" t="str">
        <f>"+peak angle"</f>
        <v>+peak angle</v>
      </c>
      <c r="J85" s="61"/>
      <c r="K85" s="5">
        <v>16</v>
      </c>
      <c r="L85" s="61"/>
      <c r="M85" s="9" t="s">
        <v>30</v>
      </c>
      <c r="N85" s="61"/>
      <c r="O85" s="15" t="s">
        <v>41</v>
      </c>
      <c r="P85" s="13"/>
      <c r="Q85" s="17">
        <v>1</v>
      </c>
      <c r="S85" s="13"/>
      <c r="T85" s="13"/>
    </row>
    <row r="86" spans="2:20">
      <c r="B86" s="3">
        <f t="shared" si="12"/>
        <v>304.60000000000002</v>
      </c>
      <c r="C86" s="25">
        <f t="shared" si="19"/>
        <v>300</v>
      </c>
      <c r="D86" s="25">
        <f t="shared" si="19"/>
        <v>0</v>
      </c>
      <c r="E86" s="82"/>
      <c r="F86" s="60">
        <f t="shared" si="16"/>
        <v>4</v>
      </c>
      <c r="G86" s="77"/>
      <c r="H86" s="22">
        <f t="shared" si="17"/>
        <v>0.6</v>
      </c>
      <c r="I86" s="8" t="s">
        <v>64</v>
      </c>
      <c r="J86" s="6">
        <f>J77</f>
        <v>-2</v>
      </c>
      <c r="K86" s="7">
        <f>MAX(K81,K84)/K$49-1</f>
        <v>0.73953488372093013</v>
      </c>
      <c r="L86" s="6">
        <f>L77</f>
        <v>2</v>
      </c>
      <c r="M86" s="9" t="s">
        <v>30</v>
      </c>
      <c r="N86" s="61" t="str">
        <f>IF((J86&lt;K86)* (K86&lt;L86),"PASS","FAIL")</f>
        <v>PASS</v>
      </c>
      <c r="O86" s="15"/>
      <c r="P86" s="13"/>
      <c r="R86" s="17">
        <v>1</v>
      </c>
      <c r="S86" s="13"/>
      <c r="T86" s="13"/>
    </row>
    <row r="87" spans="2:20">
      <c r="B87" s="3">
        <f t="shared" si="12"/>
        <v>304.7</v>
      </c>
      <c r="C87" s="25">
        <f t="shared" si="19"/>
        <v>300</v>
      </c>
      <c r="D87" s="25">
        <f t="shared" si="19"/>
        <v>0</v>
      </c>
      <c r="E87" s="82"/>
      <c r="F87" s="60">
        <f t="shared" si="16"/>
        <v>4</v>
      </c>
      <c r="G87" s="77"/>
      <c r="H87" s="22">
        <f t="shared" si="17"/>
        <v>0.7</v>
      </c>
      <c r="I87" s="8" t="s">
        <v>14</v>
      </c>
      <c r="J87" s="61">
        <f>J78</f>
        <v>-15</v>
      </c>
      <c r="K87" s="10">
        <f>(K83+(K80-360))/2</f>
        <v>2</v>
      </c>
      <c r="L87" s="61">
        <f t="shared" ref="L87:L88" si="20">L78</f>
        <v>15</v>
      </c>
      <c r="M87" s="9" t="s">
        <v>30</v>
      </c>
      <c r="N87" s="61" t="str">
        <f>IF((J87&lt;K87)* (K87&lt;L87),"PASS","FAIL")</f>
        <v>PASS</v>
      </c>
      <c r="O87" s="15"/>
      <c r="P87" s="13"/>
      <c r="R87" s="17">
        <v>1</v>
      </c>
      <c r="S87" s="13"/>
      <c r="T87" s="13"/>
    </row>
    <row r="88" spans="2:20">
      <c r="B88" s="3">
        <f t="shared" si="12"/>
        <v>304.8</v>
      </c>
      <c r="C88" s="25">
        <f t="shared" si="19"/>
        <v>300</v>
      </c>
      <c r="D88" s="25">
        <f t="shared" si="19"/>
        <v>0</v>
      </c>
      <c r="E88" s="83"/>
      <c r="F88" s="60">
        <f t="shared" si="16"/>
        <v>4</v>
      </c>
      <c r="G88" s="77"/>
      <c r="H88" s="22">
        <f t="shared" si="17"/>
        <v>0.79999999999999993</v>
      </c>
      <c r="I88" s="8" t="s">
        <v>22</v>
      </c>
      <c r="J88" s="61">
        <f t="shared" ref="J88" si="21">J79</f>
        <v>35</v>
      </c>
      <c r="K88" s="10">
        <f>K83-(K80-360)</f>
        <v>72</v>
      </c>
      <c r="L88" s="61">
        <f t="shared" si="20"/>
        <v>85</v>
      </c>
      <c r="M88" s="9" t="s">
        <v>30</v>
      </c>
      <c r="N88" s="61" t="str">
        <f>IF((J88&lt;K88)* (K88&lt;L88),"PASS","FAIL")</f>
        <v>PASS</v>
      </c>
      <c r="O88" s="15"/>
      <c r="P88" s="13"/>
      <c r="R88" s="17">
        <v>1</v>
      </c>
      <c r="S88" s="13"/>
      <c r="T88" s="13"/>
    </row>
    <row r="89" spans="2:20">
      <c r="B89" s="90"/>
      <c r="C89" s="91"/>
      <c r="D89" s="92"/>
      <c r="E89" s="86" t="s">
        <v>43</v>
      </c>
      <c r="F89" s="86"/>
      <c r="G89" s="86"/>
      <c r="H89" s="3"/>
      <c r="I89" s="8" t="s">
        <v>0</v>
      </c>
      <c r="J89" s="61"/>
      <c r="K89" s="61">
        <f>K48</f>
        <v>8440</v>
      </c>
      <c r="L89" s="61"/>
      <c r="M89" s="61"/>
      <c r="N89" s="61"/>
      <c r="O89" s="15" t="str">
        <f>"Swap 0.4ND for Photopic filter &amp; adjust current to "&amp;Calibration!D9&amp;" amps"</f>
        <v>Swap 0.4ND for Photopic filter &amp; adjust current to 8.36 amps</v>
      </c>
      <c r="P89" s="13"/>
      <c r="S89" s="13"/>
      <c r="T89" s="13"/>
    </row>
    <row r="90" spans="2:20" ht="15" customHeight="1">
      <c r="B90" s="3">
        <f t="shared" ref="B90:B117" si="22">C90+D90+F90+H90</f>
        <v>400</v>
      </c>
      <c r="C90" s="26">
        <f>C88+100</f>
        <v>400</v>
      </c>
      <c r="D90" s="26">
        <v>0</v>
      </c>
      <c r="E90" s="74" t="s">
        <v>35</v>
      </c>
      <c r="F90" s="23">
        <v>0</v>
      </c>
      <c r="G90" s="86"/>
      <c r="H90" s="22">
        <v>0</v>
      </c>
      <c r="I90" s="8" t="s">
        <v>9</v>
      </c>
      <c r="J90" s="61"/>
      <c r="K90" s="18">
        <v>219</v>
      </c>
      <c r="L90" s="61"/>
      <c r="M90" s="61" t="s">
        <v>29</v>
      </c>
      <c r="N90" s="61"/>
      <c r="O90" s="15" t="s">
        <v>16</v>
      </c>
      <c r="P90" s="13"/>
      <c r="Q90" s="17">
        <v>1</v>
      </c>
      <c r="S90" s="13"/>
      <c r="T90" s="13"/>
    </row>
    <row r="91" spans="2:20" ht="15" customHeight="1">
      <c r="B91" s="3">
        <f t="shared" si="22"/>
        <v>400.1</v>
      </c>
      <c r="C91" s="25">
        <f t="shared" ref="C91:D106" si="23">C90</f>
        <v>400</v>
      </c>
      <c r="D91" s="25">
        <f t="shared" si="23"/>
        <v>0</v>
      </c>
      <c r="E91" s="75"/>
      <c r="F91" s="63">
        <f t="shared" ref="F91:F93" si="24">F90</f>
        <v>0</v>
      </c>
      <c r="G91" s="86"/>
      <c r="H91" s="22">
        <f t="shared" ref="H91:H93" si="25">H90+0.1</f>
        <v>0.1</v>
      </c>
      <c r="I91" s="8" t="s">
        <v>66</v>
      </c>
      <c r="J91" s="61"/>
      <c r="K91" s="7">
        <f>K90/K89</f>
        <v>2.59478672985782E-2</v>
      </c>
      <c r="L91" s="61"/>
      <c r="M91" s="61"/>
      <c r="N91" s="61"/>
      <c r="O91" s="70" t="s">
        <v>70</v>
      </c>
      <c r="P91" s="13"/>
      <c r="S91" s="13"/>
      <c r="T91" s="13"/>
    </row>
    <row r="92" spans="2:20" ht="15" customHeight="1">
      <c r="B92" s="3">
        <f t="shared" si="22"/>
        <v>400.2</v>
      </c>
      <c r="C92" s="25">
        <f t="shared" si="23"/>
        <v>400</v>
      </c>
      <c r="D92" s="25">
        <f t="shared" si="23"/>
        <v>0</v>
      </c>
      <c r="E92" s="75"/>
      <c r="F92" s="63">
        <f t="shared" si="24"/>
        <v>0</v>
      </c>
      <c r="G92" s="86"/>
      <c r="H92" s="22">
        <f t="shared" si="25"/>
        <v>0.2</v>
      </c>
      <c r="I92" s="8" t="s">
        <v>67</v>
      </c>
      <c r="J92" s="61"/>
      <c r="K92" s="20">
        <f>1/K91</f>
        <v>38.538812785388124</v>
      </c>
      <c r="L92" s="61"/>
      <c r="M92" s="61"/>
      <c r="N92" s="61"/>
      <c r="O92" s="71"/>
      <c r="P92" s="13"/>
      <c r="S92" s="13"/>
      <c r="T92" s="13"/>
    </row>
    <row r="93" spans="2:20" ht="15" customHeight="1">
      <c r="B93" s="3">
        <f t="shared" si="22"/>
        <v>400.3</v>
      </c>
      <c r="C93" s="25">
        <f t="shared" si="23"/>
        <v>400</v>
      </c>
      <c r="D93" s="25">
        <f t="shared" si="23"/>
        <v>0</v>
      </c>
      <c r="E93" s="75"/>
      <c r="F93" s="63">
        <f t="shared" si="24"/>
        <v>0</v>
      </c>
      <c r="G93" s="86"/>
      <c r="H93" s="22">
        <f t="shared" si="25"/>
        <v>0.30000000000000004</v>
      </c>
      <c r="I93" s="8" t="s">
        <v>44</v>
      </c>
      <c r="J93" s="6">
        <f>-L93</f>
        <v>-1</v>
      </c>
      <c r="K93" s="7">
        <f>2*(K49-K90)/(K49+K90)</f>
        <v>0.65023112480739598</v>
      </c>
      <c r="L93" s="47">
        <f>Specifications!E17</f>
        <v>1</v>
      </c>
      <c r="M93" s="6" t="s">
        <v>28</v>
      </c>
      <c r="N93" s="61" t="str">
        <f>IF((J93&lt;K93)* (K93&lt;L93),"PASS","FAIL")</f>
        <v>PASS</v>
      </c>
      <c r="O93" s="8"/>
      <c r="R93" s="17">
        <v>1</v>
      </c>
      <c r="S93" s="13"/>
      <c r="T93" s="13"/>
    </row>
    <row r="94" spans="2:20" ht="15" customHeight="1">
      <c r="B94" s="3">
        <f t="shared" si="22"/>
        <v>401</v>
      </c>
      <c r="C94" s="25">
        <f t="shared" si="23"/>
        <v>400</v>
      </c>
      <c r="D94" s="25">
        <f t="shared" si="23"/>
        <v>0</v>
      </c>
      <c r="E94" s="75"/>
      <c r="F94" s="60">
        <f>F93+1</f>
        <v>1</v>
      </c>
      <c r="G94" s="74" t="str">
        <f>G53</f>
        <v>Azimuth=270°</v>
      </c>
      <c r="H94" s="22">
        <v>0</v>
      </c>
      <c r="I94" s="8" t="str">
        <f>"-peak angle"</f>
        <v>-peak angle</v>
      </c>
      <c r="J94" s="61"/>
      <c r="K94" s="10">
        <f>K55</f>
        <v>346</v>
      </c>
      <c r="L94" s="61"/>
      <c r="M94" s="9" t="s">
        <v>30</v>
      </c>
      <c r="N94" s="61"/>
      <c r="O94" s="15"/>
      <c r="P94" s="13"/>
      <c r="S94" s="13"/>
      <c r="T94" s="13"/>
    </row>
    <row r="95" spans="2:20">
      <c r="B95" s="3">
        <f t="shared" si="22"/>
        <v>401.1</v>
      </c>
      <c r="C95" s="25">
        <f t="shared" si="23"/>
        <v>400</v>
      </c>
      <c r="D95" s="25">
        <f t="shared" si="23"/>
        <v>0</v>
      </c>
      <c r="E95" s="75"/>
      <c r="F95" s="60">
        <f t="shared" ref="F95:F117" si="26">F94</f>
        <v>1</v>
      </c>
      <c r="G95" s="75"/>
      <c r="H95" s="22">
        <f t="shared" ref="H95:H117" si="27">H94+0.1</f>
        <v>0.1</v>
      </c>
      <c r="I95" s="8" t="str">
        <f>"-magnitude"</f>
        <v>-magnitude</v>
      </c>
      <c r="J95" s="61"/>
      <c r="K95" s="5">
        <v>228</v>
      </c>
      <c r="L95" s="61"/>
      <c r="M95" s="61" t="s">
        <v>29</v>
      </c>
      <c r="N95" s="61"/>
      <c r="O95" s="15" t="s">
        <v>40</v>
      </c>
      <c r="P95" s="13"/>
      <c r="Q95" s="17">
        <v>1</v>
      </c>
      <c r="S95" s="13"/>
      <c r="T95" s="13"/>
    </row>
    <row r="96" spans="2:20">
      <c r="B96" s="3">
        <f t="shared" si="22"/>
        <v>401.2</v>
      </c>
      <c r="C96" s="25">
        <f t="shared" si="23"/>
        <v>400</v>
      </c>
      <c r="D96" s="25">
        <f t="shared" si="23"/>
        <v>0</v>
      </c>
      <c r="E96" s="75"/>
      <c r="F96" s="60">
        <f t="shared" si="26"/>
        <v>1</v>
      </c>
      <c r="G96" s="75"/>
      <c r="H96" s="22">
        <f t="shared" si="27"/>
        <v>0.2</v>
      </c>
      <c r="I96" s="8" t="str">
        <f>"+peak angle"</f>
        <v>+peak angle</v>
      </c>
      <c r="J96" s="61"/>
      <c r="K96" s="10">
        <f>K58</f>
        <v>17</v>
      </c>
      <c r="L96" s="61"/>
      <c r="M96" s="9" t="s">
        <v>30</v>
      </c>
      <c r="N96" s="61"/>
      <c r="O96" s="15"/>
      <c r="P96" s="13"/>
      <c r="S96" s="13"/>
      <c r="T96" s="13"/>
    </row>
    <row r="97" spans="2:20">
      <c r="B97" s="3">
        <f t="shared" si="22"/>
        <v>401.3</v>
      </c>
      <c r="C97" s="25">
        <f t="shared" si="23"/>
        <v>400</v>
      </c>
      <c r="D97" s="25">
        <f t="shared" si="23"/>
        <v>0</v>
      </c>
      <c r="E97" s="75"/>
      <c r="F97" s="60">
        <f t="shared" si="26"/>
        <v>1</v>
      </c>
      <c r="G97" s="75"/>
      <c r="H97" s="22">
        <f t="shared" si="27"/>
        <v>0.30000000000000004</v>
      </c>
      <c r="I97" s="8" t="str">
        <f>"+magnitude"</f>
        <v>+magnitude</v>
      </c>
      <c r="J97" s="61"/>
      <c r="K97" s="5">
        <v>234</v>
      </c>
      <c r="L97" s="61"/>
      <c r="M97" s="61" t="s">
        <v>29</v>
      </c>
      <c r="N97" s="61"/>
      <c r="O97" s="15" t="s">
        <v>42</v>
      </c>
      <c r="P97" s="13"/>
      <c r="Q97" s="17">
        <v>1</v>
      </c>
      <c r="S97" s="13"/>
      <c r="T97" s="13"/>
    </row>
    <row r="98" spans="2:20">
      <c r="B98" s="3">
        <f t="shared" si="22"/>
        <v>401.4</v>
      </c>
      <c r="C98" s="25">
        <f t="shared" si="23"/>
        <v>400</v>
      </c>
      <c r="D98" s="25">
        <f t="shared" si="23"/>
        <v>0</v>
      </c>
      <c r="E98" s="75"/>
      <c r="F98" s="60">
        <f t="shared" si="26"/>
        <v>1</v>
      </c>
      <c r="G98" s="75"/>
      <c r="H98" s="22">
        <f t="shared" si="27"/>
        <v>0.4</v>
      </c>
      <c r="I98" s="8" t="s">
        <v>45</v>
      </c>
      <c r="J98" s="6">
        <f>-L98</f>
        <v>-2</v>
      </c>
      <c r="K98" s="7">
        <f>2*(K54-K95)/(K54+K95)</f>
        <v>0.93706293706293708</v>
      </c>
      <c r="L98" s="47">
        <f>Specifications!E18</f>
        <v>2</v>
      </c>
      <c r="M98" s="6" t="s">
        <v>28</v>
      </c>
      <c r="N98" s="61" t="str">
        <f>IF((J98&lt;K98)* (K98&lt;L98),"PASS","FAIL")</f>
        <v>PASS</v>
      </c>
      <c r="O98" s="8"/>
      <c r="R98" s="17">
        <v>1</v>
      </c>
    </row>
    <row r="99" spans="2:20">
      <c r="B99" s="3">
        <f t="shared" si="22"/>
        <v>401.5</v>
      </c>
      <c r="C99" s="25">
        <f t="shared" si="23"/>
        <v>400</v>
      </c>
      <c r="D99" s="25">
        <f t="shared" si="23"/>
        <v>0</v>
      </c>
      <c r="E99" s="75"/>
      <c r="F99" s="60">
        <f t="shared" si="26"/>
        <v>1</v>
      </c>
      <c r="G99" s="76"/>
      <c r="H99" s="22">
        <f t="shared" si="27"/>
        <v>0.5</v>
      </c>
      <c r="I99" s="8" t="s">
        <v>46</v>
      </c>
      <c r="J99" s="6">
        <f>J98</f>
        <v>-2</v>
      </c>
      <c r="K99" s="7">
        <f>2*(K57-K97)/(K57+K97)</f>
        <v>1.3549276361130256</v>
      </c>
      <c r="L99" s="6">
        <f>L98</f>
        <v>2</v>
      </c>
      <c r="M99" s="6" t="s">
        <v>28</v>
      </c>
      <c r="N99" s="61" t="str">
        <f>IF((J99&lt;K99)* (K99&lt;L99),"PASS","FAIL")</f>
        <v>PASS</v>
      </c>
      <c r="O99" s="8"/>
      <c r="R99" s="17">
        <v>1</v>
      </c>
    </row>
    <row r="100" spans="2:20" ht="15" customHeight="1">
      <c r="B100" s="3">
        <f t="shared" si="22"/>
        <v>402</v>
      </c>
      <c r="C100" s="25">
        <f t="shared" si="23"/>
        <v>400</v>
      </c>
      <c r="D100" s="25">
        <f t="shared" si="23"/>
        <v>0</v>
      </c>
      <c r="E100" s="75"/>
      <c r="F100" s="60">
        <f>F99+1</f>
        <v>2</v>
      </c>
      <c r="G100" s="74" t="str">
        <f>G62</f>
        <v>Azimuth=315°</v>
      </c>
      <c r="H100" s="22">
        <v>0</v>
      </c>
      <c r="I100" s="8" t="str">
        <f>"-peak angle"</f>
        <v>-peak angle</v>
      </c>
      <c r="J100" s="61"/>
      <c r="K100" s="10">
        <f>K64</f>
        <v>346</v>
      </c>
      <c r="L100" s="61"/>
      <c r="M100" s="9" t="s">
        <v>30</v>
      </c>
      <c r="N100" s="61"/>
      <c r="O100" s="15"/>
      <c r="P100" s="13"/>
      <c r="S100" s="13"/>
      <c r="T100" s="13"/>
    </row>
    <row r="101" spans="2:20">
      <c r="B101" s="3">
        <f t="shared" si="22"/>
        <v>402.1</v>
      </c>
      <c r="C101" s="25">
        <f t="shared" si="23"/>
        <v>400</v>
      </c>
      <c r="D101" s="25">
        <f t="shared" si="23"/>
        <v>0</v>
      </c>
      <c r="E101" s="75"/>
      <c r="F101" s="60">
        <f t="shared" si="26"/>
        <v>2</v>
      </c>
      <c r="G101" s="75"/>
      <c r="H101" s="22">
        <f t="shared" si="27"/>
        <v>0.1</v>
      </c>
      <c r="I101" s="8" t="str">
        <f>"-magnitude"</f>
        <v>-magnitude</v>
      </c>
      <c r="J101" s="61"/>
      <c r="K101" s="5">
        <v>227</v>
      </c>
      <c r="L101" s="61"/>
      <c r="M101" s="61" t="s">
        <v>29</v>
      </c>
      <c r="N101" s="61"/>
      <c r="O101" s="15" t="s">
        <v>40</v>
      </c>
      <c r="P101" s="13"/>
      <c r="Q101" s="17">
        <v>1</v>
      </c>
      <c r="S101" s="13"/>
      <c r="T101" s="13"/>
    </row>
    <row r="102" spans="2:20">
      <c r="B102" s="3">
        <f t="shared" si="22"/>
        <v>402.2</v>
      </c>
      <c r="C102" s="25">
        <f t="shared" si="23"/>
        <v>400</v>
      </c>
      <c r="D102" s="25">
        <f t="shared" si="23"/>
        <v>0</v>
      </c>
      <c r="E102" s="75"/>
      <c r="F102" s="60">
        <f t="shared" si="26"/>
        <v>2</v>
      </c>
      <c r="G102" s="75"/>
      <c r="H102" s="22">
        <f t="shared" si="27"/>
        <v>0.2</v>
      </c>
      <c r="I102" s="8" t="str">
        <f>"+peak angle"</f>
        <v>+peak angle</v>
      </c>
      <c r="J102" s="61"/>
      <c r="K102" s="10">
        <f>K67</f>
        <v>20</v>
      </c>
      <c r="L102" s="61"/>
      <c r="M102" s="9" t="s">
        <v>30</v>
      </c>
      <c r="N102" s="61"/>
      <c r="O102" s="15"/>
      <c r="P102" s="13"/>
      <c r="S102" s="13"/>
      <c r="T102" s="13"/>
    </row>
    <row r="103" spans="2:20">
      <c r="B103" s="3">
        <f t="shared" si="22"/>
        <v>402.3</v>
      </c>
      <c r="C103" s="25">
        <f t="shared" si="23"/>
        <v>400</v>
      </c>
      <c r="D103" s="25">
        <f t="shared" si="23"/>
        <v>0</v>
      </c>
      <c r="E103" s="75"/>
      <c r="F103" s="60">
        <f t="shared" si="26"/>
        <v>2</v>
      </c>
      <c r="G103" s="75"/>
      <c r="H103" s="22">
        <f t="shared" si="27"/>
        <v>0.30000000000000004</v>
      </c>
      <c r="I103" s="8" t="str">
        <f>"+magnitude"</f>
        <v>+magnitude</v>
      </c>
      <c r="J103" s="61"/>
      <c r="K103" s="5">
        <v>230</v>
      </c>
      <c r="L103" s="61"/>
      <c r="M103" s="61" t="s">
        <v>29</v>
      </c>
      <c r="N103" s="61"/>
      <c r="O103" s="15" t="s">
        <v>42</v>
      </c>
      <c r="P103" s="13"/>
      <c r="Q103" s="17">
        <v>1</v>
      </c>
      <c r="S103" s="13"/>
      <c r="T103" s="13"/>
    </row>
    <row r="104" spans="2:20">
      <c r="B104" s="3">
        <f t="shared" si="22"/>
        <v>402.4</v>
      </c>
      <c r="C104" s="25">
        <f t="shared" si="23"/>
        <v>400</v>
      </c>
      <c r="D104" s="25">
        <f t="shared" si="23"/>
        <v>0</v>
      </c>
      <c r="E104" s="75"/>
      <c r="F104" s="60">
        <f t="shared" si="26"/>
        <v>2</v>
      </c>
      <c r="G104" s="75"/>
      <c r="H104" s="22">
        <f t="shared" si="27"/>
        <v>0.4</v>
      </c>
      <c r="I104" s="8" t="s">
        <v>45</v>
      </c>
      <c r="J104" s="6">
        <f>J99</f>
        <v>-2</v>
      </c>
      <c r="K104" s="7">
        <f>2*(K66-K103)/(K66+K103)</f>
        <v>1.1748878923766817</v>
      </c>
      <c r="L104" s="6">
        <f>L99</f>
        <v>2</v>
      </c>
      <c r="M104" s="6" t="s">
        <v>28</v>
      </c>
      <c r="N104" s="61" t="str">
        <f>IF((J104&lt;K104)* (K104&lt;L104),"PASS","FAIL")</f>
        <v>PASS</v>
      </c>
      <c r="O104" s="8"/>
      <c r="R104" s="17">
        <v>1</v>
      </c>
    </row>
    <row r="105" spans="2:20">
      <c r="B105" s="3">
        <f t="shared" si="22"/>
        <v>402.5</v>
      </c>
      <c r="C105" s="25">
        <f t="shared" si="23"/>
        <v>400</v>
      </c>
      <c r="D105" s="25">
        <f t="shared" si="23"/>
        <v>0</v>
      </c>
      <c r="E105" s="75"/>
      <c r="F105" s="60">
        <f t="shared" si="26"/>
        <v>2</v>
      </c>
      <c r="G105" s="76"/>
      <c r="H105" s="22">
        <f t="shared" si="27"/>
        <v>0.5</v>
      </c>
      <c r="I105" s="8" t="s">
        <v>46</v>
      </c>
      <c r="J105" s="6">
        <f>J104</f>
        <v>-2</v>
      </c>
      <c r="K105" s="7">
        <f>2*(K67-K103)/(K67+K103)</f>
        <v>-1.68</v>
      </c>
      <c r="L105" s="6">
        <f>L104</f>
        <v>2</v>
      </c>
      <c r="M105" s="6" t="s">
        <v>28</v>
      </c>
      <c r="N105" s="61" t="str">
        <f>IF((J105&lt;K105)* (K105&lt;L105),"PASS","FAIL")</f>
        <v>PASS</v>
      </c>
      <c r="O105" s="8"/>
      <c r="R105" s="17">
        <v>1</v>
      </c>
    </row>
    <row r="106" spans="2:20" ht="15" customHeight="1">
      <c r="B106" s="3">
        <f t="shared" si="22"/>
        <v>403</v>
      </c>
      <c r="C106" s="25">
        <f t="shared" si="23"/>
        <v>400</v>
      </c>
      <c r="D106" s="25">
        <f t="shared" si="23"/>
        <v>0</v>
      </c>
      <c r="E106" s="75"/>
      <c r="F106" s="60">
        <f>F105+1</f>
        <v>3</v>
      </c>
      <c r="G106" s="74" t="str">
        <f>G71</f>
        <v>Azimuth=0°</v>
      </c>
      <c r="H106" s="22">
        <v>0</v>
      </c>
      <c r="I106" s="8" t="str">
        <f>"-peak angle"</f>
        <v>-peak angle</v>
      </c>
      <c r="J106" s="61"/>
      <c r="K106" s="10">
        <f>K73</f>
        <v>348</v>
      </c>
      <c r="L106" s="61"/>
      <c r="M106" s="9" t="s">
        <v>30</v>
      </c>
      <c r="N106" s="61"/>
      <c r="O106" s="15"/>
      <c r="P106" s="13"/>
      <c r="S106" s="13"/>
      <c r="T106" s="13"/>
    </row>
    <row r="107" spans="2:20">
      <c r="B107" s="3">
        <f t="shared" si="22"/>
        <v>403.1</v>
      </c>
      <c r="C107" s="25">
        <f t="shared" ref="C107:D117" si="28">C106</f>
        <v>400</v>
      </c>
      <c r="D107" s="25">
        <f t="shared" si="28"/>
        <v>0</v>
      </c>
      <c r="E107" s="75"/>
      <c r="F107" s="60">
        <f t="shared" si="26"/>
        <v>3</v>
      </c>
      <c r="G107" s="75"/>
      <c r="H107" s="22">
        <f t="shared" si="27"/>
        <v>0.1</v>
      </c>
      <c r="I107" s="8" t="str">
        <f>"-magnitude"</f>
        <v>-magnitude</v>
      </c>
      <c r="J107" s="61"/>
      <c r="K107" s="5">
        <v>220</v>
      </c>
      <c r="L107" s="61"/>
      <c r="M107" s="61" t="s">
        <v>29</v>
      </c>
      <c r="N107" s="61"/>
      <c r="O107" s="15" t="s">
        <v>40</v>
      </c>
      <c r="P107" s="13"/>
      <c r="Q107" s="17">
        <v>1</v>
      </c>
      <c r="S107" s="13"/>
      <c r="T107" s="13"/>
    </row>
    <row r="108" spans="2:20">
      <c r="B108" s="3">
        <f t="shared" si="22"/>
        <v>403.2</v>
      </c>
      <c r="C108" s="25">
        <f t="shared" si="28"/>
        <v>400</v>
      </c>
      <c r="D108" s="25">
        <f t="shared" si="28"/>
        <v>0</v>
      </c>
      <c r="E108" s="75"/>
      <c r="F108" s="60">
        <f t="shared" si="26"/>
        <v>3</v>
      </c>
      <c r="G108" s="75"/>
      <c r="H108" s="22">
        <f t="shared" si="27"/>
        <v>0.2</v>
      </c>
      <c r="I108" s="8" t="str">
        <f>"+peak angle"</f>
        <v>+peak angle</v>
      </c>
      <c r="J108" s="61"/>
      <c r="K108" s="10">
        <f>K76</f>
        <v>12</v>
      </c>
      <c r="L108" s="61"/>
      <c r="M108" s="9" t="s">
        <v>30</v>
      </c>
      <c r="N108" s="61"/>
      <c r="O108" s="15"/>
      <c r="P108" s="13"/>
      <c r="S108" s="13"/>
      <c r="T108" s="13"/>
    </row>
    <row r="109" spans="2:20">
      <c r="B109" s="3">
        <f t="shared" si="22"/>
        <v>403.3</v>
      </c>
      <c r="C109" s="25">
        <f t="shared" si="28"/>
        <v>400</v>
      </c>
      <c r="D109" s="25">
        <f t="shared" si="28"/>
        <v>0</v>
      </c>
      <c r="E109" s="75"/>
      <c r="F109" s="60">
        <f t="shared" si="26"/>
        <v>3</v>
      </c>
      <c r="G109" s="75"/>
      <c r="H109" s="22">
        <f t="shared" si="27"/>
        <v>0.30000000000000004</v>
      </c>
      <c r="I109" s="8" t="str">
        <f>"+magnitude"</f>
        <v>+magnitude</v>
      </c>
      <c r="J109" s="61"/>
      <c r="K109" s="5">
        <v>219</v>
      </c>
      <c r="L109" s="61"/>
      <c r="M109" s="61" t="s">
        <v>29</v>
      </c>
      <c r="N109" s="61"/>
      <c r="O109" s="15" t="s">
        <v>42</v>
      </c>
      <c r="P109" s="13"/>
      <c r="Q109" s="17">
        <v>1</v>
      </c>
      <c r="S109" s="13"/>
      <c r="T109" s="13"/>
    </row>
    <row r="110" spans="2:20">
      <c r="B110" s="3">
        <f t="shared" si="22"/>
        <v>403.4</v>
      </c>
      <c r="C110" s="25">
        <f t="shared" si="28"/>
        <v>400</v>
      </c>
      <c r="D110" s="25">
        <f t="shared" si="28"/>
        <v>0</v>
      </c>
      <c r="E110" s="75"/>
      <c r="F110" s="60">
        <f t="shared" si="26"/>
        <v>3</v>
      </c>
      <c r="G110" s="75"/>
      <c r="H110" s="22">
        <f t="shared" si="27"/>
        <v>0.4</v>
      </c>
      <c r="I110" s="8" t="s">
        <v>45</v>
      </c>
      <c r="J110" s="6">
        <f>J105</f>
        <v>-2</v>
      </c>
      <c r="K110" s="7">
        <f>2*(K72-K107)/(K72+K107)</f>
        <v>0.79452054794520544</v>
      </c>
      <c r="L110" s="6">
        <f>L105</f>
        <v>2</v>
      </c>
      <c r="M110" s="6" t="s">
        <v>28</v>
      </c>
      <c r="N110" s="61" t="str">
        <f>IF((J110&lt;K110)* (K110&lt;L110),"PASS","FAIL")</f>
        <v>PASS</v>
      </c>
      <c r="O110" s="8"/>
      <c r="R110" s="17">
        <v>1</v>
      </c>
    </row>
    <row r="111" spans="2:20">
      <c r="B111" s="3">
        <f t="shared" si="22"/>
        <v>403.5</v>
      </c>
      <c r="C111" s="25">
        <f t="shared" si="28"/>
        <v>400</v>
      </c>
      <c r="D111" s="25">
        <f t="shared" si="28"/>
        <v>0</v>
      </c>
      <c r="E111" s="75"/>
      <c r="F111" s="60">
        <f t="shared" si="26"/>
        <v>3</v>
      </c>
      <c r="G111" s="76"/>
      <c r="H111" s="22">
        <f t="shared" si="27"/>
        <v>0.5</v>
      </c>
      <c r="I111" s="8" t="s">
        <v>46</v>
      </c>
      <c r="J111" s="6">
        <f>J110</f>
        <v>-2</v>
      </c>
      <c r="K111" s="7">
        <f>2*(K75-K109)/(K75+K109)</f>
        <v>0.80327868852459017</v>
      </c>
      <c r="L111" s="6">
        <f>L110</f>
        <v>2</v>
      </c>
      <c r="M111" s="6" t="s">
        <v>28</v>
      </c>
      <c r="N111" s="61" t="str">
        <f>IF((J111&lt;K111)* (K111&lt;L111),"PASS","FAIL")</f>
        <v>PASS</v>
      </c>
      <c r="O111" s="8"/>
      <c r="R111" s="17">
        <v>1</v>
      </c>
    </row>
    <row r="112" spans="2:20" ht="15" customHeight="1">
      <c r="B112" s="3">
        <f t="shared" si="22"/>
        <v>404</v>
      </c>
      <c r="C112" s="25">
        <f t="shared" si="28"/>
        <v>400</v>
      </c>
      <c r="D112" s="25">
        <f t="shared" si="28"/>
        <v>0</v>
      </c>
      <c r="E112" s="75"/>
      <c r="F112" s="60">
        <f>F111+1</f>
        <v>4</v>
      </c>
      <c r="G112" s="74" t="str">
        <f>G80</f>
        <v>Azimuth=45°</v>
      </c>
      <c r="H112" s="22">
        <v>0</v>
      </c>
      <c r="I112" s="8" t="str">
        <f>"-peak angle"</f>
        <v>-peak angle</v>
      </c>
      <c r="J112" s="61"/>
      <c r="K112" s="10">
        <f>K82</f>
        <v>345</v>
      </c>
      <c r="L112" s="61"/>
      <c r="M112" s="9" t="s">
        <v>30</v>
      </c>
      <c r="N112" s="61"/>
      <c r="O112" s="15"/>
      <c r="P112" s="13"/>
      <c r="S112" s="13"/>
      <c r="T112" s="13"/>
    </row>
    <row r="113" spans="2:20">
      <c r="B113" s="3">
        <f t="shared" si="22"/>
        <v>404.1</v>
      </c>
      <c r="C113" s="25">
        <f t="shared" si="28"/>
        <v>400</v>
      </c>
      <c r="D113" s="25">
        <f t="shared" si="28"/>
        <v>0</v>
      </c>
      <c r="E113" s="75"/>
      <c r="F113" s="60">
        <f t="shared" si="26"/>
        <v>4</v>
      </c>
      <c r="G113" s="75"/>
      <c r="H113" s="22">
        <f t="shared" si="27"/>
        <v>0.1</v>
      </c>
      <c r="I113" s="8" t="str">
        <f>"-magnitude"</f>
        <v>-magnitude</v>
      </c>
      <c r="J113" s="61"/>
      <c r="K113" s="5">
        <v>229</v>
      </c>
      <c r="L113" s="61"/>
      <c r="M113" s="61" t="s">
        <v>29</v>
      </c>
      <c r="N113" s="61"/>
      <c r="O113" s="15" t="s">
        <v>40</v>
      </c>
      <c r="P113" s="13"/>
      <c r="Q113" s="17">
        <v>1</v>
      </c>
      <c r="S113" s="13"/>
      <c r="T113" s="13"/>
    </row>
    <row r="114" spans="2:20">
      <c r="B114" s="3">
        <f t="shared" si="22"/>
        <v>404.2</v>
      </c>
      <c r="C114" s="25">
        <f t="shared" si="28"/>
        <v>400</v>
      </c>
      <c r="D114" s="25">
        <f t="shared" si="28"/>
        <v>0</v>
      </c>
      <c r="E114" s="75"/>
      <c r="F114" s="60">
        <f t="shared" si="26"/>
        <v>4</v>
      </c>
      <c r="G114" s="75"/>
      <c r="H114" s="22">
        <f t="shared" si="27"/>
        <v>0.2</v>
      </c>
      <c r="I114" s="8" t="str">
        <f>"+peak angle"</f>
        <v>+peak angle</v>
      </c>
      <c r="J114" s="61"/>
      <c r="K114" s="10">
        <f>K85</f>
        <v>16</v>
      </c>
      <c r="L114" s="61"/>
      <c r="M114" s="9" t="s">
        <v>30</v>
      </c>
      <c r="N114" s="61"/>
      <c r="O114" s="15"/>
      <c r="P114" s="13"/>
      <c r="S114" s="13"/>
      <c r="T114" s="13"/>
    </row>
    <row r="115" spans="2:20">
      <c r="B115" s="3">
        <f t="shared" si="22"/>
        <v>404.3</v>
      </c>
      <c r="C115" s="25">
        <f t="shared" si="28"/>
        <v>400</v>
      </c>
      <c r="D115" s="25">
        <f t="shared" si="28"/>
        <v>0</v>
      </c>
      <c r="E115" s="75"/>
      <c r="F115" s="60">
        <f t="shared" si="26"/>
        <v>4</v>
      </c>
      <c r="G115" s="75"/>
      <c r="H115" s="22">
        <f t="shared" si="27"/>
        <v>0.30000000000000004</v>
      </c>
      <c r="I115" s="8" t="str">
        <f>"+magnitude"</f>
        <v>+magnitude</v>
      </c>
      <c r="J115" s="61"/>
      <c r="K115" s="5">
        <v>223</v>
      </c>
      <c r="L115" s="61"/>
      <c r="M115" s="61" t="s">
        <v>29</v>
      </c>
      <c r="N115" s="61"/>
      <c r="O115" s="15" t="s">
        <v>42</v>
      </c>
      <c r="P115" s="13"/>
      <c r="Q115" s="17">
        <v>1</v>
      </c>
      <c r="S115" s="13"/>
      <c r="T115" s="13"/>
    </row>
    <row r="116" spans="2:20">
      <c r="B116" s="3">
        <f t="shared" si="22"/>
        <v>404.4</v>
      </c>
      <c r="C116" s="25">
        <f t="shared" si="28"/>
        <v>400</v>
      </c>
      <c r="D116" s="25">
        <f t="shared" si="28"/>
        <v>0</v>
      </c>
      <c r="E116" s="75"/>
      <c r="F116" s="60">
        <f t="shared" si="26"/>
        <v>4</v>
      </c>
      <c r="G116" s="75"/>
      <c r="H116" s="22">
        <f t="shared" si="27"/>
        <v>0.4</v>
      </c>
      <c r="I116" s="8" t="s">
        <v>45</v>
      </c>
      <c r="J116" s="6">
        <f>J111</f>
        <v>-2</v>
      </c>
      <c r="K116" s="7">
        <f>2*(K81-K113)/(K81+K113)</f>
        <v>1.0624360286591608</v>
      </c>
      <c r="L116" s="6">
        <f>L111</f>
        <v>2</v>
      </c>
      <c r="M116" s="6" t="s">
        <v>28</v>
      </c>
      <c r="N116" s="61" t="str">
        <f>IF((J116&lt;K116)* (K116&lt;L116),"PASS","FAIL")</f>
        <v>PASS</v>
      </c>
      <c r="O116" s="8"/>
      <c r="R116" s="17">
        <v>1</v>
      </c>
    </row>
    <row r="117" spans="2:20">
      <c r="B117" s="3">
        <f t="shared" si="22"/>
        <v>404.5</v>
      </c>
      <c r="C117" s="25">
        <f t="shared" si="28"/>
        <v>400</v>
      </c>
      <c r="D117" s="25">
        <f t="shared" si="28"/>
        <v>0</v>
      </c>
      <c r="E117" s="76"/>
      <c r="F117" s="60">
        <f t="shared" si="26"/>
        <v>4</v>
      </c>
      <c r="G117" s="76"/>
      <c r="H117" s="22">
        <f t="shared" si="27"/>
        <v>0.5</v>
      </c>
      <c r="I117" s="8" t="s">
        <v>46</v>
      </c>
      <c r="J117" s="6">
        <f>J116</f>
        <v>-2</v>
      </c>
      <c r="K117" s="7">
        <f>2*(K84-K115)/(K84+K115)</f>
        <v>0.96037296037296038</v>
      </c>
      <c r="L117" s="6">
        <f>L116</f>
        <v>2</v>
      </c>
      <c r="M117" s="6" t="s">
        <v>28</v>
      </c>
      <c r="N117" s="61" t="str">
        <f>IF((J117&lt;K117)* (K117&lt;L117),"PASS","FAIL")</f>
        <v>PASS</v>
      </c>
      <c r="O117" s="8"/>
      <c r="R117" s="17">
        <v>1</v>
      </c>
    </row>
  </sheetData>
  <mergeCells count="42">
    <mergeCell ref="B89:D89"/>
    <mergeCell ref="E89:G89"/>
    <mergeCell ref="E90:E117"/>
    <mergeCell ref="G90:G93"/>
    <mergeCell ref="O91:O92"/>
    <mergeCell ref="G94:G99"/>
    <mergeCell ref="G100:G105"/>
    <mergeCell ref="G106:G111"/>
    <mergeCell ref="G112:G117"/>
    <mergeCell ref="B46:D46"/>
    <mergeCell ref="E46:O46"/>
    <mergeCell ref="E47:E88"/>
    <mergeCell ref="G47:G52"/>
    <mergeCell ref="O50:O51"/>
    <mergeCell ref="G53:G61"/>
    <mergeCell ref="G62:G70"/>
    <mergeCell ref="G71:G79"/>
    <mergeCell ref="G80:G88"/>
    <mergeCell ref="B32:D32"/>
    <mergeCell ref="E32:O32"/>
    <mergeCell ref="E33:E45"/>
    <mergeCell ref="G33:G35"/>
    <mergeCell ref="G36:G38"/>
    <mergeCell ref="G39:G41"/>
    <mergeCell ref="G42:G44"/>
    <mergeCell ref="E15:E31"/>
    <mergeCell ref="G15:J15"/>
    <mergeCell ref="G16:G19"/>
    <mergeCell ref="G20:G23"/>
    <mergeCell ref="G24:G27"/>
    <mergeCell ref="G28:G31"/>
    <mergeCell ref="B2:B3"/>
    <mergeCell ref="C2:D3"/>
    <mergeCell ref="E2:I2"/>
    <mergeCell ref="E3:O3"/>
    <mergeCell ref="E4:E14"/>
    <mergeCell ref="G4:G5"/>
    <mergeCell ref="O4:O5"/>
    <mergeCell ref="G6:G7"/>
    <mergeCell ref="G8:G9"/>
    <mergeCell ref="G10:G11"/>
    <mergeCell ref="G12:G13"/>
  </mergeCells>
  <conditionalFormatting sqref="N104:N105 N98:N99 N7 N9 N11 N13 N18:N19 N22:N23 N26:N27 N30:N31 N34:N35 N37:N38 N40:N41 N43:N44 N93 N110:N111 N116:N117 N59:N61 N68:N70 N77:N79 N86:N88">
    <cfRule type="expression" dxfId="7" priority="1">
      <formula>N7="FAIL"</formula>
    </cfRule>
    <cfRule type="expression" dxfId="6" priority="2">
      <formula>N7="PASS"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B1:I20"/>
  <sheetViews>
    <sheetView workbookViewId="0"/>
  </sheetViews>
  <sheetFormatPr defaultRowHeight="15"/>
  <sheetData>
    <row r="1" spans="2:9" ht="15.75" thickBot="1"/>
    <row r="2" spans="2:9">
      <c r="B2" s="100" t="s">
        <v>54</v>
      </c>
      <c r="C2" s="101"/>
      <c r="D2" s="101"/>
      <c r="E2" s="101"/>
      <c r="F2" s="101"/>
      <c r="G2" s="102"/>
    </row>
    <row r="3" spans="2:9">
      <c r="B3" s="105">
        <v>11</v>
      </c>
      <c r="C3" s="86"/>
      <c r="D3" s="86">
        <v>28</v>
      </c>
      <c r="E3" s="86"/>
      <c r="F3" s="86">
        <v>38</v>
      </c>
      <c r="G3" s="106"/>
    </row>
    <row r="4" spans="2:9">
      <c r="B4" s="27" t="s">
        <v>47</v>
      </c>
      <c r="C4" s="11" t="s">
        <v>48</v>
      </c>
      <c r="D4" s="11" t="str">
        <f>B4</f>
        <v>Gain</v>
      </c>
      <c r="E4" s="11" t="str">
        <f t="shared" ref="E4:G4" si="0">C4</f>
        <v>Divide</v>
      </c>
      <c r="F4" s="11" t="str">
        <f t="shared" si="0"/>
        <v>Gain</v>
      </c>
      <c r="G4" s="28" t="str">
        <f t="shared" si="0"/>
        <v>Divide</v>
      </c>
    </row>
    <row r="5" spans="2:9">
      <c r="B5" s="27">
        <v>1</v>
      </c>
      <c r="C5" s="11">
        <f t="shared" ref="C5:C6" si="1">B$8/B5</f>
        <v>64</v>
      </c>
      <c r="D5" s="11">
        <v>125</v>
      </c>
      <c r="E5" s="11">
        <f t="shared" ref="E5" si="2">D6/D5</f>
        <v>16</v>
      </c>
      <c r="F5" s="11">
        <v>125</v>
      </c>
      <c r="G5" s="28">
        <f t="shared" ref="G5:G6" si="3">F$8/F5</f>
        <v>32</v>
      </c>
    </row>
    <row r="6" spans="2:9">
      <c r="B6" s="27">
        <v>4</v>
      </c>
      <c r="C6" s="11">
        <f t="shared" si="1"/>
        <v>16</v>
      </c>
      <c r="D6" s="11">
        <v>2000</v>
      </c>
      <c r="E6" s="11"/>
      <c r="F6" s="11">
        <v>250</v>
      </c>
      <c r="G6" s="28">
        <f t="shared" si="3"/>
        <v>16</v>
      </c>
    </row>
    <row r="7" spans="2:9">
      <c r="B7" s="27">
        <v>16</v>
      </c>
      <c r="C7" s="11">
        <f>B$8/B7</f>
        <v>4</v>
      </c>
      <c r="D7" s="11"/>
      <c r="E7" s="11"/>
      <c r="F7" s="11">
        <v>2000</v>
      </c>
      <c r="G7" s="28">
        <f>F$8/F7</f>
        <v>2</v>
      </c>
    </row>
    <row r="8" spans="2:9" ht="15.75" thickBot="1">
      <c r="B8" s="37">
        <v>64</v>
      </c>
      <c r="C8" s="29"/>
      <c r="D8" s="29"/>
      <c r="E8" s="29"/>
      <c r="F8" s="29">
        <v>4000</v>
      </c>
      <c r="G8" s="30"/>
    </row>
    <row r="9" spans="2:9" ht="15.75" thickBot="1"/>
    <row r="10" spans="2:9">
      <c r="B10" s="100" t="s">
        <v>53</v>
      </c>
      <c r="C10" s="101"/>
      <c r="D10" s="101" t="s">
        <v>51</v>
      </c>
      <c r="E10" s="101"/>
      <c r="F10" s="101"/>
      <c r="G10" s="101" t="s">
        <v>52</v>
      </c>
      <c r="H10" s="101"/>
      <c r="I10" s="102"/>
    </row>
    <row r="11" spans="2:9" ht="15.75" thickBot="1">
      <c r="B11" s="27" t="s">
        <v>49</v>
      </c>
      <c r="C11" s="11" t="s">
        <v>50</v>
      </c>
      <c r="D11" s="32">
        <v>1</v>
      </c>
      <c r="E11" s="32">
        <v>0.6</v>
      </c>
      <c r="F11" s="32">
        <v>0.3</v>
      </c>
      <c r="G11" s="32">
        <v>0.5</v>
      </c>
      <c r="H11" s="32">
        <v>0.4</v>
      </c>
      <c r="I11" s="33">
        <v>0.2</v>
      </c>
    </row>
    <row r="12" spans="2:9">
      <c r="B12" s="27">
        <v>2</v>
      </c>
      <c r="C12" s="31">
        <f>LOG10(B12)</f>
        <v>0.3010299956639812</v>
      </c>
      <c r="D12" s="34"/>
      <c r="E12" s="35"/>
      <c r="F12" s="35">
        <v>1</v>
      </c>
      <c r="G12" s="35"/>
      <c r="H12" s="35"/>
      <c r="I12" s="36"/>
    </row>
    <row r="13" spans="2:9">
      <c r="B13" s="27">
        <v>4</v>
      </c>
      <c r="C13" s="31">
        <f t="shared" ref="C13:C16" si="4">LOG10(B13)</f>
        <v>0.6020599913279624</v>
      </c>
      <c r="D13" s="27"/>
      <c r="E13" s="11">
        <v>1</v>
      </c>
      <c r="F13" s="11"/>
      <c r="G13" s="11"/>
      <c r="H13" s="11"/>
      <c r="I13" s="28"/>
    </row>
    <row r="14" spans="2:9">
      <c r="B14" s="27">
        <v>16</v>
      </c>
      <c r="C14" s="31">
        <f t="shared" si="4"/>
        <v>1.2041199826559248</v>
      </c>
      <c r="D14" s="27">
        <v>1</v>
      </c>
      <c r="E14" s="11"/>
      <c r="F14" s="11"/>
      <c r="G14" s="11"/>
      <c r="H14" s="11"/>
      <c r="I14" s="28">
        <v>1</v>
      </c>
    </row>
    <row r="15" spans="2:9">
      <c r="B15" s="27">
        <v>32</v>
      </c>
      <c r="C15" s="31">
        <f t="shared" si="4"/>
        <v>1.505149978319906</v>
      </c>
      <c r="D15" s="27">
        <v>1</v>
      </c>
      <c r="E15" s="11"/>
      <c r="F15" s="11"/>
      <c r="G15" s="11">
        <v>1</v>
      </c>
      <c r="H15" s="11"/>
      <c r="I15" s="28"/>
    </row>
    <row r="16" spans="2:9" ht="15.75" thickBot="1">
      <c r="B16" s="27">
        <v>64</v>
      </c>
      <c r="C16" s="31">
        <f t="shared" si="4"/>
        <v>1.8061799739838871</v>
      </c>
      <c r="D16" s="37">
        <v>1</v>
      </c>
      <c r="E16" s="29"/>
      <c r="F16" s="29"/>
      <c r="G16" s="29"/>
      <c r="H16" s="29">
        <v>2</v>
      </c>
      <c r="I16" s="30"/>
    </row>
    <row r="17" spans="2:9" ht="15.75" thickBot="1">
      <c r="B17" s="103" t="s">
        <v>55</v>
      </c>
      <c r="C17" s="104"/>
      <c r="D17" s="38">
        <f>SUM(D12:D16)</f>
        <v>3</v>
      </c>
      <c r="E17" s="39">
        <f t="shared" ref="E17:I17" si="5">SUM(E12:E16)</f>
        <v>1</v>
      </c>
      <c r="F17" s="39">
        <f t="shared" si="5"/>
        <v>1</v>
      </c>
      <c r="G17" s="39">
        <f t="shared" si="5"/>
        <v>1</v>
      </c>
      <c r="H17" s="39">
        <f t="shared" si="5"/>
        <v>2</v>
      </c>
      <c r="I17" s="40">
        <f t="shared" si="5"/>
        <v>1</v>
      </c>
    </row>
    <row r="18" spans="2:9">
      <c r="B18" s="1"/>
    </row>
    <row r="19" spans="2:9">
      <c r="B19" s="1"/>
    </row>
    <row r="20" spans="2:9">
      <c r="B20" s="1"/>
    </row>
  </sheetData>
  <mergeCells count="8">
    <mergeCell ref="B2:G2"/>
    <mergeCell ref="B17:C17"/>
    <mergeCell ref="B3:C3"/>
    <mergeCell ref="D3:E3"/>
    <mergeCell ref="F3:G3"/>
    <mergeCell ref="D10:F10"/>
    <mergeCell ref="G10:I10"/>
    <mergeCell ref="B10:C10"/>
  </mergeCells>
  <pageMargins left="0.7" right="0.7" top="0.75" bottom="0.75" header="0.3" footer="0.3"/>
  <pageSetup orientation="portrait" horizontalDpi="300" verticalDpi="300" r:id="rId1"/>
  <ignoredErrors>
    <ignoredError sqref="D17:I17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T117"/>
  <sheetViews>
    <sheetView topLeftCell="E75" zoomScale="85" zoomScaleNormal="85" workbookViewId="0">
      <selection activeCell="L123" sqref="L123"/>
    </sheetView>
  </sheetViews>
  <sheetFormatPr defaultRowHeight="15"/>
  <cols>
    <col min="1" max="2" width="9.140625" customWidth="1"/>
    <col min="3" max="3" width="9.140625" style="24" hidden="1" customWidth="1"/>
    <col min="4" max="4" width="3.42578125" style="24" hidden="1" customWidth="1"/>
    <col min="5" max="5" width="16.7109375" customWidth="1"/>
    <col min="6" max="6" width="2.28515625" hidden="1" customWidth="1"/>
    <col min="7" max="7" width="13.7109375" style="1" customWidth="1"/>
    <col min="8" max="8" width="3.85546875" style="21" hidden="1" customWidth="1"/>
    <col min="9" max="9" width="14.7109375" customWidth="1"/>
    <col min="10" max="10" width="9.140625" style="1" customWidth="1"/>
    <col min="11" max="11" width="9.85546875" style="1" bestFit="1" customWidth="1"/>
    <col min="12" max="14" width="9.140625" style="1" customWidth="1"/>
    <col min="15" max="15" width="79.42578125" style="14" customWidth="1"/>
    <col min="16" max="16" width="9.140625" style="14" customWidth="1"/>
    <col min="17" max="17" width="10.7109375" style="17" bestFit="1" customWidth="1"/>
    <col min="18" max="18" width="9.140625" style="17"/>
    <col min="19" max="20" width="9.140625" style="14"/>
  </cols>
  <sheetData>
    <row r="1" spans="2:20">
      <c r="P1" s="51">
        <v>15</v>
      </c>
      <c r="Q1" s="52" t="s">
        <v>38</v>
      </c>
      <c r="R1" s="53">
        <f>60*P1/Q3</f>
        <v>17.307692307692307</v>
      </c>
      <c r="S1" s="14" t="s">
        <v>71</v>
      </c>
    </row>
    <row r="2" spans="2:20">
      <c r="B2" s="86" t="s">
        <v>13</v>
      </c>
      <c r="C2" s="96"/>
      <c r="D2" s="97"/>
      <c r="E2" s="86" t="s">
        <v>24</v>
      </c>
      <c r="F2" s="86"/>
      <c r="G2" s="86"/>
      <c r="H2" s="86"/>
      <c r="I2" s="86"/>
      <c r="J2" s="65" t="s">
        <v>4</v>
      </c>
      <c r="K2" s="65" t="s">
        <v>7</v>
      </c>
      <c r="L2" s="65" t="s">
        <v>5</v>
      </c>
      <c r="M2" s="65" t="s">
        <v>23</v>
      </c>
      <c r="N2" s="65" t="s">
        <v>6</v>
      </c>
      <c r="O2" s="15" t="s">
        <v>19</v>
      </c>
      <c r="P2" s="13"/>
      <c r="Q2" s="16" t="s">
        <v>36</v>
      </c>
      <c r="R2" s="16" t="s">
        <v>37</v>
      </c>
      <c r="S2" s="13"/>
      <c r="T2" s="13"/>
    </row>
    <row r="3" spans="2:20">
      <c r="B3" s="86"/>
      <c r="C3" s="98"/>
      <c r="D3" s="99"/>
      <c r="E3" s="78" t="str">
        <f>"Condition: photopic filter, QTH @"&amp;Calibration!D9&amp;"amps"</f>
        <v>Condition: photopic filter, QTH @8.36amps</v>
      </c>
      <c r="F3" s="79"/>
      <c r="G3" s="79"/>
      <c r="H3" s="79"/>
      <c r="I3" s="79"/>
      <c r="J3" s="79"/>
      <c r="K3" s="79"/>
      <c r="L3" s="79"/>
      <c r="M3" s="79"/>
      <c r="N3" s="79"/>
      <c r="O3" s="80"/>
      <c r="P3" s="13"/>
      <c r="Q3" s="17">
        <f>SUM(Q4:Q196)</f>
        <v>52</v>
      </c>
      <c r="R3" s="17">
        <f>SUM(R6:R196)</f>
        <v>41</v>
      </c>
      <c r="S3" s="13"/>
      <c r="T3" s="13"/>
    </row>
    <row r="4" spans="2:20">
      <c r="B4" s="3">
        <f>C4+D4+F4+H4</f>
        <v>100</v>
      </c>
      <c r="C4" s="25">
        <v>100</v>
      </c>
      <c r="D4" s="25">
        <v>0</v>
      </c>
      <c r="E4" s="74" t="s">
        <v>33</v>
      </c>
      <c r="F4" s="64">
        <v>0</v>
      </c>
      <c r="G4" s="74" t="s">
        <v>75</v>
      </c>
      <c r="H4" s="22">
        <v>0</v>
      </c>
      <c r="I4" s="8" t="s">
        <v>72</v>
      </c>
      <c r="J4" s="65"/>
      <c r="K4" s="5">
        <v>6</v>
      </c>
      <c r="L4" s="65"/>
      <c r="M4" s="65"/>
      <c r="N4" s="65"/>
      <c r="O4" s="72" t="str">
        <f>"Set QTH power to " &amp;Calibration!D9&amp;"amps, set filter wheel such that DUT outputs ~½ Range 1 FS, record FW#"</f>
        <v>Set QTH power to 8.36amps, set filter wheel such that DUT outputs ~½ Range 1 FS, record FW#</v>
      </c>
      <c r="P4" s="13"/>
      <c r="Q4" s="17">
        <v>1</v>
      </c>
      <c r="S4" s="13"/>
      <c r="T4" s="13"/>
    </row>
    <row r="5" spans="2:20">
      <c r="B5" s="3">
        <f t="shared" ref="B5" si="0">C5+D5+F5+H5</f>
        <v>100.1</v>
      </c>
      <c r="C5" s="25">
        <f t="shared" ref="C5:D6" si="1">C4</f>
        <v>100</v>
      </c>
      <c r="D5" s="25">
        <f t="shared" si="1"/>
        <v>0</v>
      </c>
      <c r="E5" s="75"/>
      <c r="F5" s="64">
        <f>F4</f>
        <v>0</v>
      </c>
      <c r="G5" s="76"/>
      <c r="H5" s="22">
        <f>H4+0.1</f>
        <v>0.1</v>
      </c>
      <c r="I5" s="8" t="s">
        <v>73</v>
      </c>
      <c r="J5" s="65"/>
      <c r="K5" s="10">
        <f>VLOOKUP(K4,Calibration!$C$3:$D$8,2)</f>
        <v>225</v>
      </c>
      <c r="L5" s="65"/>
      <c r="M5" s="65" t="s">
        <v>29</v>
      </c>
      <c r="N5" s="65"/>
      <c r="O5" s="73"/>
      <c r="P5" s="13"/>
      <c r="S5" s="13"/>
      <c r="T5" s="13"/>
    </row>
    <row r="6" spans="2:20">
      <c r="B6" s="3">
        <f>C6+D6+F6+H6</f>
        <v>101</v>
      </c>
      <c r="C6" s="25">
        <f t="shared" si="1"/>
        <v>100</v>
      </c>
      <c r="D6" s="25">
        <f t="shared" si="1"/>
        <v>0</v>
      </c>
      <c r="E6" s="75"/>
      <c r="F6" s="64">
        <f>F5+1</f>
        <v>1</v>
      </c>
      <c r="G6" s="77" t="s">
        <v>1</v>
      </c>
      <c r="H6" s="22">
        <v>0</v>
      </c>
      <c r="I6" s="8" t="s">
        <v>9</v>
      </c>
      <c r="J6" s="65"/>
      <c r="K6" s="5">
        <v>270</v>
      </c>
      <c r="L6" s="65"/>
      <c r="M6" s="65" t="s">
        <v>29</v>
      </c>
      <c r="N6" s="65"/>
      <c r="O6" s="15" t="s">
        <v>15</v>
      </c>
      <c r="P6" s="13"/>
      <c r="Q6" s="17">
        <v>1</v>
      </c>
      <c r="S6" s="13"/>
      <c r="T6" s="13"/>
    </row>
    <row r="7" spans="2:20">
      <c r="B7" s="3">
        <f t="shared" ref="B7:B31" si="2">C7+D7+F7+H7</f>
        <v>101.1</v>
      </c>
      <c r="C7" s="25">
        <f>C6</f>
        <v>100</v>
      </c>
      <c r="D7" s="25">
        <f>D6</f>
        <v>0</v>
      </c>
      <c r="E7" s="75"/>
      <c r="F7" s="64">
        <f>F6</f>
        <v>1</v>
      </c>
      <c r="G7" s="77"/>
      <c r="H7" s="22">
        <f>H6+0.1</f>
        <v>0.1</v>
      </c>
      <c r="I7" s="8" t="s">
        <v>10</v>
      </c>
      <c r="J7" s="49">
        <f>-L7</f>
        <v>-0.25</v>
      </c>
      <c r="K7" s="7">
        <f>K6/K$5-1</f>
        <v>0.19999999999999996</v>
      </c>
      <c r="L7" s="47">
        <f>Specifications!E3</f>
        <v>0.25</v>
      </c>
      <c r="M7" s="6" t="s">
        <v>28</v>
      </c>
      <c r="N7" s="65" t="str">
        <f>IF((J7&lt;K7)* (K7&lt;L7),"PASS","FAIL")</f>
        <v>PASS</v>
      </c>
      <c r="O7" s="15"/>
      <c r="P7" s="13"/>
      <c r="R7" s="17">
        <v>1</v>
      </c>
      <c r="S7" s="13"/>
      <c r="T7" s="13"/>
    </row>
    <row r="8" spans="2:20">
      <c r="B8" s="3">
        <f t="shared" si="2"/>
        <v>102</v>
      </c>
      <c r="C8" s="25">
        <f t="shared" ref="C8:D23" si="3">C7</f>
        <v>100</v>
      </c>
      <c r="D8" s="25">
        <f t="shared" si="3"/>
        <v>0</v>
      </c>
      <c r="E8" s="75"/>
      <c r="F8" s="64">
        <f>F7+1</f>
        <v>2</v>
      </c>
      <c r="G8" s="77" t="s">
        <v>2</v>
      </c>
      <c r="H8" s="22">
        <v>0</v>
      </c>
      <c r="I8" s="8" t="s">
        <v>9</v>
      </c>
      <c r="J8" s="65"/>
      <c r="K8" s="5">
        <v>270</v>
      </c>
      <c r="L8" s="65"/>
      <c r="M8" s="65" t="s">
        <v>29</v>
      </c>
      <c r="N8" s="65"/>
      <c r="O8" s="15" t="s">
        <v>16</v>
      </c>
      <c r="P8" s="13"/>
      <c r="Q8" s="17">
        <v>1</v>
      </c>
      <c r="S8" s="13"/>
      <c r="T8" s="13"/>
    </row>
    <row r="9" spans="2:20">
      <c r="B9" s="3">
        <f t="shared" si="2"/>
        <v>102.1</v>
      </c>
      <c r="C9" s="25">
        <f t="shared" si="3"/>
        <v>100</v>
      </c>
      <c r="D9" s="25">
        <f t="shared" si="3"/>
        <v>0</v>
      </c>
      <c r="E9" s="75"/>
      <c r="F9" s="64">
        <f t="shared" ref="F9:F31" si="4">F8</f>
        <v>2</v>
      </c>
      <c r="G9" s="77"/>
      <c r="H9" s="22">
        <f t="shared" ref="H9:H13" si="5">H8+0.1</f>
        <v>0.1</v>
      </c>
      <c r="I9" s="8" t="s">
        <v>10</v>
      </c>
      <c r="J9" s="6">
        <f>J7</f>
        <v>-0.25</v>
      </c>
      <c r="K9" s="7">
        <f>K8/K$5-1</f>
        <v>0.19999999999999996</v>
      </c>
      <c r="L9" s="6">
        <f>L7</f>
        <v>0.25</v>
      </c>
      <c r="M9" s="6" t="s">
        <v>28</v>
      </c>
      <c r="N9" s="65" t="str">
        <f>IF((J9&lt;K9)* (K9&lt;L9),"PASS","FAIL")</f>
        <v>PASS</v>
      </c>
      <c r="O9" s="15"/>
      <c r="P9" s="13"/>
      <c r="R9" s="17">
        <v>1</v>
      </c>
      <c r="S9" s="13"/>
      <c r="T9" s="13"/>
    </row>
    <row r="10" spans="2:20">
      <c r="B10" s="3">
        <f t="shared" si="2"/>
        <v>103</v>
      </c>
      <c r="C10" s="25">
        <f t="shared" si="3"/>
        <v>100</v>
      </c>
      <c r="D10" s="25">
        <f t="shared" si="3"/>
        <v>0</v>
      </c>
      <c r="E10" s="75"/>
      <c r="F10" s="64">
        <f>F9+1</f>
        <v>3</v>
      </c>
      <c r="G10" s="77" t="s">
        <v>3</v>
      </c>
      <c r="H10" s="22">
        <v>0</v>
      </c>
      <c r="I10" s="8" t="s">
        <v>9</v>
      </c>
      <c r="J10" s="65"/>
      <c r="K10" s="5">
        <v>294</v>
      </c>
      <c r="L10" s="65"/>
      <c r="M10" s="65" t="s">
        <v>29</v>
      </c>
      <c r="N10" s="65"/>
      <c r="O10" s="15" t="s">
        <v>17</v>
      </c>
      <c r="P10" s="13"/>
      <c r="Q10" s="17">
        <v>1</v>
      </c>
      <c r="S10" s="13"/>
      <c r="T10" s="13"/>
    </row>
    <row r="11" spans="2:20">
      <c r="B11" s="3">
        <f t="shared" si="2"/>
        <v>103.1</v>
      </c>
      <c r="C11" s="25">
        <f t="shared" si="3"/>
        <v>100</v>
      </c>
      <c r="D11" s="25">
        <f t="shared" si="3"/>
        <v>0</v>
      </c>
      <c r="E11" s="75"/>
      <c r="F11" s="64">
        <f t="shared" si="4"/>
        <v>3</v>
      </c>
      <c r="G11" s="77"/>
      <c r="H11" s="22">
        <f t="shared" si="5"/>
        <v>0.1</v>
      </c>
      <c r="I11" s="8" t="s">
        <v>10</v>
      </c>
      <c r="J11" s="49">
        <f>-L11</f>
        <v>-0.35</v>
      </c>
      <c r="K11" s="7">
        <f>K10/K$5-1</f>
        <v>0.30666666666666664</v>
      </c>
      <c r="L11" s="47">
        <f>Specifications!E4</f>
        <v>0.35</v>
      </c>
      <c r="M11" s="6" t="s">
        <v>28</v>
      </c>
      <c r="N11" s="65" t="str">
        <f>IF((J11&lt;K11)* (K11&lt;L11),"PASS","FAIL")</f>
        <v>PASS</v>
      </c>
      <c r="O11" s="15"/>
      <c r="P11" s="13"/>
      <c r="R11" s="17">
        <v>1</v>
      </c>
      <c r="S11" s="13"/>
      <c r="T11" s="13"/>
    </row>
    <row r="12" spans="2:20">
      <c r="B12" s="3">
        <f t="shared" si="2"/>
        <v>104</v>
      </c>
      <c r="C12" s="25">
        <f t="shared" si="3"/>
        <v>100</v>
      </c>
      <c r="D12" s="25">
        <f t="shared" si="3"/>
        <v>0</v>
      </c>
      <c r="E12" s="75"/>
      <c r="F12" s="64">
        <f>F11+1</f>
        <v>4</v>
      </c>
      <c r="G12" s="77" t="s">
        <v>11</v>
      </c>
      <c r="H12" s="22">
        <v>0</v>
      </c>
      <c r="I12" s="8" t="s">
        <v>9</v>
      </c>
      <c r="J12" s="65"/>
      <c r="K12" s="5">
        <v>294</v>
      </c>
      <c r="L12" s="65"/>
      <c r="M12" s="65" t="s">
        <v>29</v>
      </c>
      <c r="N12" s="65"/>
      <c r="O12" s="15" t="s">
        <v>18</v>
      </c>
      <c r="P12" s="13"/>
      <c r="Q12" s="17">
        <v>1</v>
      </c>
      <c r="S12" s="13"/>
      <c r="T12" s="13"/>
    </row>
    <row r="13" spans="2:20">
      <c r="B13" s="3">
        <f t="shared" si="2"/>
        <v>104.1</v>
      </c>
      <c r="C13" s="25">
        <f t="shared" si="3"/>
        <v>100</v>
      </c>
      <c r="D13" s="25">
        <f t="shared" si="3"/>
        <v>0</v>
      </c>
      <c r="E13" s="75"/>
      <c r="F13" s="64">
        <f t="shared" si="4"/>
        <v>4</v>
      </c>
      <c r="G13" s="77"/>
      <c r="H13" s="22">
        <f t="shared" si="5"/>
        <v>0.1</v>
      </c>
      <c r="I13" s="8" t="s">
        <v>10</v>
      </c>
      <c r="J13" s="6">
        <f>J11</f>
        <v>-0.35</v>
      </c>
      <c r="K13" s="7">
        <f>K12/K$5-1</f>
        <v>0.30666666666666664</v>
      </c>
      <c r="L13" s="6">
        <f>L11</f>
        <v>0.35</v>
      </c>
      <c r="M13" s="6" t="s">
        <v>28</v>
      </c>
      <c r="N13" s="65" t="str">
        <f>IF((J13&lt;K13)* (K13&lt;L13),"PASS","FAIL")</f>
        <v>PASS</v>
      </c>
      <c r="O13" s="15"/>
      <c r="P13" s="13"/>
      <c r="R13" s="17">
        <v>1</v>
      </c>
      <c r="S13" s="13"/>
      <c r="T13" s="13"/>
    </row>
    <row r="14" spans="2:20">
      <c r="B14" s="3">
        <f t="shared" si="2"/>
        <v>105</v>
      </c>
      <c r="C14" s="25">
        <f t="shared" si="3"/>
        <v>100</v>
      </c>
      <c r="D14" s="25">
        <f t="shared" si="3"/>
        <v>0</v>
      </c>
      <c r="E14" s="76"/>
      <c r="F14" s="64">
        <f>F13+1</f>
        <v>5</v>
      </c>
      <c r="G14" s="65" t="s">
        <v>12</v>
      </c>
      <c r="H14" s="22">
        <v>0</v>
      </c>
      <c r="I14" s="8" t="s">
        <v>8</v>
      </c>
      <c r="J14" s="65"/>
      <c r="K14" s="7">
        <f>((MAX(K7,K9,K11,K13)-MIN(K7,K9,K11,K13))/2)</f>
        <v>5.3333333333333344E-2</v>
      </c>
      <c r="L14" s="65"/>
      <c r="M14" s="6" t="s">
        <v>28</v>
      </c>
      <c r="N14" s="65"/>
      <c r="O14" s="15" t="s">
        <v>25</v>
      </c>
      <c r="P14" s="13"/>
      <c r="S14" s="13"/>
      <c r="T14" s="13"/>
    </row>
    <row r="15" spans="2:20">
      <c r="B15" s="3">
        <f t="shared" si="2"/>
        <v>110</v>
      </c>
      <c r="C15" s="25">
        <f t="shared" si="3"/>
        <v>100</v>
      </c>
      <c r="D15" s="25">
        <f>D14+10</f>
        <v>10</v>
      </c>
      <c r="E15" s="84" t="s">
        <v>34</v>
      </c>
      <c r="F15" s="64">
        <v>0</v>
      </c>
      <c r="G15" s="85" t="s">
        <v>31</v>
      </c>
      <c r="H15" s="85"/>
      <c r="I15" s="85"/>
      <c r="J15" s="85"/>
      <c r="K15" s="12">
        <f>K6/2</f>
        <v>135</v>
      </c>
      <c r="L15" s="65"/>
      <c r="M15" s="9" t="s">
        <v>30</v>
      </c>
      <c r="N15" s="65"/>
      <c r="O15" s="15" t="s">
        <v>32</v>
      </c>
      <c r="P15" s="13"/>
      <c r="S15" s="13"/>
      <c r="T15" s="13"/>
    </row>
    <row r="16" spans="2:20">
      <c r="B16" s="3">
        <f t="shared" si="2"/>
        <v>111</v>
      </c>
      <c r="C16" s="25">
        <f t="shared" si="3"/>
        <v>100</v>
      </c>
      <c r="D16" s="25">
        <f t="shared" si="3"/>
        <v>10</v>
      </c>
      <c r="E16" s="84"/>
      <c r="F16" s="64">
        <f>F15+1</f>
        <v>1</v>
      </c>
      <c r="G16" s="77" t="s">
        <v>61</v>
      </c>
      <c r="H16" s="22">
        <v>0</v>
      </c>
      <c r="I16" s="8" t="str">
        <f>"-polar @ HM"</f>
        <v>-polar @ HM</v>
      </c>
      <c r="J16" s="65"/>
      <c r="K16" s="5">
        <v>325</v>
      </c>
      <c r="L16" s="65"/>
      <c r="M16" s="9" t="s">
        <v>30</v>
      </c>
      <c r="N16" s="65"/>
      <c r="O16" s="15" t="s">
        <v>20</v>
      </c>
      <c r="P16" s="13"/>
      <c r="Q16" s="17">
        <v>1</v>
      </c>
      <c r="S16" s="13"/>
      <c r="T16" s="13"/>
    </row>
    <row r="17" spans="2:20">
      <c r="B17" s="3">
        <f t="shared" si="2"/>
        <v>111.1</v>
      </c>
      <c r="C17" s="25">
        <f t="shared" si="3"/>
        <v>100</v>
      </c>
      <c r="D17" s="25">
        <f t="shared" si="3"/>
        <v>10</v>
      </c>
      <c r="E17" s="84"/>
      <c r="F17" s="64">
        <f t="shared" si="4"/>
        <v>1</v>
      </c>
      <c r="G17" s="77"/>
      <c r="H17" s="22">
        <f>H16+0.1</f>
        <v>0.1</v>
      </c>
      <c r="I17" s="8" t="str">
        <f>"+polar @ HM"</f>
        <v>+polar @ HM</v>
      </c>
      <c r="J17" s="65"/>
      <c r="K17" s="5">
        <v>24</v>
      </c>
      <c r="L17" s="65"/>
      <c r="M17" s="9" t="s">
        <v>30</v>
      </c>
      <c r="N17" s="65"/>
      <c r="O17" s="15" t="s">
        <v>21</v>
      </c>
      <c r="P17" s="13"/>
      <c r="Q17" s="17">
        <v>1</v>
      </c>
      <c r="S17" s="13"/>
      <c r="T17" s="13"/>
    </row>
    <row r="18" spans="2:20">
      <c r="B18" s="3">
        <f t="shared" si="2"/>
        <v>111.2</v>
      </c>
      <c r="C18" s="25">
        <f t="shared" si="3"/>
        <v>100</v>
      </c>
      <c r="D18" s="25">
        <f t="shared" si="3"/>
        <v>10</v>
      </c>
      <c r="E18" s="84"/>
      <c r="F18" s="64">
        <f t="shared" si="4"/>
        <v>1</v>
      </c>
      <c r="G18" s="77"/>
      <c r="H18" s="22">
        <f t="shared" ref="H18:H31" si="6">H17+0.1</f>
        <v>0.2</v>
      </c>
      <c r="I18" s="8" t="s">
        <v>14</v>
      </c>
      <c r="J18" s="50">
        <f>-L18</f>
        <v>-15</v>
      </c>
      <c r="K18" s="10">
        <f>(K17+(K16-360))/2</f>
        <v>-5.5</v>
      </c>
      <c r="L18" s="48">
        <f>Specifications!E6</f>
        <v>15</v>
      </c>
      <c r="M18" s="9" t="s">
        <v>30</v>
      </c>
      <c r="N18" s="65" t="str">
        <f>IF((J18&lt;K18)* (K18&lt;L18),"PASS","FAIL")</f>
        <v>PASS</v>
      </c>
      <c r="O18" s="15"/>
      <c r="P18" s="13"/>
      <c r="R18" s="17">
        <v>1</v>
      </c>
      <c r="S18" s="13"/>
      <c r="T18" s="13"/>
    </row>
    <row r="19" spans="2:20">
      <c r="B19" s="3">
        <f t="shared" si="2"/>
        <v>111.3</v>
      </c>
      <c r="C19" s="25">
        <f t="shared" si="3"/>
        <v>100</v>
      </c>
      <c r="D19" s="25">
        <f t="shared" si="3"/>
        <v>10</v>
      </c>
      <c r="E19" s="84"/>
      <c r="F19" s="64">
        <f t="shared" si="4"/>
        <v>1</v>
      </c>
      <c r="G19" s="77"/>
      <c r="H19" s="22">
        <f t="shared" si="6"/>
        <v>0.30000000000000004</v>
      </c>
      <c r="I19" s="8" t="s">
        <v>22</v>
      </c>
      <c r="J19" s="48">
        <f>Specifications!E11</f>
        <v>50</v>
      </c>
      <c r="K19" s="10">
        <f>K17-(K16-360)</f>
        <v>59</v>
      </c>
      <c r="L19" s="48">
        <f>Specifications!E12</f>
        <v>70</v>
      </c>
      <c r="M19" s="9" t="s">
        <v>30</v>
      </c>
      <c r="N19" s="65" t="str">
        <f>IF((J19&lt;K19)* (K19&lt;L19),"PASS","FAIL")</f>
        <v>PASS</v>
      </c>
      <c r="O19" s="15"/>
      <c r="P19" s="13"/>
      <c r="R19" s="17">
        <v>1</v>
      </c>
      <c r="S19" s="13"/>
      <c r="T19" s="13"/>
    </row>
    <row r="20" spans="2:20">
      <c r="B20" s="3">
        <f t="shared" si="2"/>
        <v>112</v>
      </c>
      <c r="C20" s="25">
        <f t="shared" si="3"/>
        <v>100</v>
      </c>
      <c r="D20" s="25">
        <f t="shared" si="3"/>
        <v>10</v>
      </c>
      <c r="E20" s="84"/>
      <c r="F20" s="64">
        <f>F19+1</f>
        <v>2</v>
      </c>
      <c r="G20" s="77" t="s">
        <v>62</v>
      </c>
      <c r="H20" s="22">
        <v>0</v>
      </c>
      <c r="I20" s="8" t="str">
        <f>"-polar @ HM"</f>
        <v>-polar @ HM</v>
      </c>
      <c r="J20" s="65"/>
      <c r="K20" s="5">
        <v>326</v>
      </c>
      <c r="L20" s="65"/>
      <c r="M20" s="9" t="s">
        <v>30</v>
      </c>
      <c r="N20" s="65"/>
      <c r="O20" s="15" t="s">
        <v>20</v>
      </c>
      <c r="P20" s="13"/>
      <c r="Q20" s="17">
        <v>1</v>
      </c>
      <c r="S20" s="13"/>
      <c r="T20" s="13"/>
    </row>
    <row r="21" spans="2:20">
      <c r="B21" s="3">
        <f t="shared" si="2"/>
        <v>112.1</v>
      </c>
      <c r="C21" s="25">
        <f t="shared" si="3"/>
        <v>100</v>
      </c>
      <c r="D21" s="25">
        <f t="shared" si="3"/>
        <v>10</v>
      </c>
      <c r="E21" s="84"/>
      <c r="F21" s="64">
        <f t="shared" si="4"/>
        <v>2</v>
      </c>
      <c r="G21" s="77"/>
      <c r="H21" s="22">
        <f t="shared" si="6"/>
        <v>0.1</v>
      </c>
      <c r="I21" s="8" t="str">
        <f>"+polar @ HM"</f>
        <v>+polar @ HM</v>
      </c>
      <c r="J21" s="65"/>
      <c r="K21" s="5">
        <v>26</v>
      </c>
      <c r="L21" s="65"/>
      <c r="M21" s="9" t="s">
        <v>30</v>
      </c>
      <c r="N21" s="65"/>
      <c r="O21" s="15" t="s">
        <v>21</v>
      </c>
      <c r="P21" s="13"/>
      <c r="Q21" s="16">
        <v>1</v>
      </c>
      <c r="S21" s="13"/>
      <c r="T21" s="13"/>
    </row>
    <row r="22" spans="2:20">
      <c r="B22" s="3">
        <f t="shared" si="2"/>
        <v>112.2</v>
      </c>
      <c r="C22" s="25">
        <f t="shared" si="3"/>
        <v>100</v>
      </c>
      <c r="D22" s="25">
        <f t="shared" si="3"/>
        <v>10</v>
      </c>
      <c r="E22" s="84"/>
      <c r="F22" s="64">
        <f t="shared" si="4"/>
        <v>2</v>
      </c>
      <c r="G22" s="77"/>
      <c r="H22" s="22">
        <f t="shared" si="6"/>
        <v>0.2</v>
      </c>
      <c r="I22" s="8" t="s">
        <v>14</v>
      </c>
      <c r="J22" s="65">
        <f>J18</f>
        <v>-15</v>
      </c>
      <c r="K22" s="10">
        <f>(K21+(K20-360))/2</f>
        <v>-4</v>
      </c>
      <c r="L22" s="65">
        <f>L18</f>
        <v>15</v>
      </c>
      <c r="M22" s="9" t="s">
        <v>30</v>
      </c>
      <c r="N22" s="65" t="str">
        <f>IF((J22&lt;K22)* (K22&lt;L22),"PASS","FAIL")</f>
        <v>PASS</v>
      </c>
      <c r="O22" s="15"/>
      <c r="P22" s="13"/>
      <c r="R22" s="17">
        <v>1</v>
      </c>
      <c r="S22" s="13"/>
      <c r="T22" s="13"/>
    </row>
    <row r="23" spans="2:20">
      <c r="B23" s="3">
        <f t="shared" si="2"/>
        <v>112.3</v>
      </c>
      <c r="C23" s="25">
        <f t="shared" si="3"/>
        <v>100</v>
      </c>
      <c r="D23" s="25">
        <f t="shared" si="3"/>
        <v>10</v>
      </c>
      <c r="E23" s="84"/>
      <c r="F23" s="64">
        <f t="shared" si="4"/>
        <v>2</v>
      </c>
      <c r="G23" s="77"/>
      <c r="H23" s="22">
        <f t="shared" si="6"/>
        <v>0.30000000000000004</v>
      </c>
      <c r="I23" s="8" t="s">
        <v>22</v>
      </c>
      <c r="J23" s="65">
        <f>J19</f>
        <v>50</v>
      </c>
      <c r="K23" s="10">
        <f>K21-(K20-360)</f>
        <v>60</v>
      </c>
      <c r="L23" s="65">
        <f>L19</f>
        <v>70</v>
      </c>
      <c r="M23" s="9" t="s">
        <v>30</v>
      </c>
      <c r="N23" s="65" t="str">
        <f>IF((J23&lt;K23)* (K23&lt;L23),"PASS","FAIL")</f>
        <v>PASS</v>
      </c>
      <c r="O23" s="15"/>
      <c r="P23" s="13"/>
      <c r="R23" s="17">
        <v>1</v>
      </c>
      <c r="S23" s="13"/>
      <c r="T23" s="13"/>
    </row>
    <row r="24" spans="2:20">
      <c r="B24" s="3">
        <f t="shared" si="2"/>
        <v>113</v>
      </c>
      <c r="C24" s="25">
        <f t="shared" ref="C24:D31" si="7">C23</f>
        <v>100</v>
      </c>
      <c r="D24" s="25">
        <f t="shared" si="7"/>
        <v>10</v>
      </c>
      <c r="E24" s="84"/>
      <c r="F24" s="64">
        <f>F23+1</f>
        <v>3</v>
      </c>
      <c r="G24" s="77" t="s">
        <v>26</v>
      </c>
      <c r="H24" s="22">
        <v>0</v>
      </c>
      <c r="I24" s="8" t="str">
        <f>"-polar @ HM"</f>
        <v>-polar @ HM</v>
      </c>
      <c r="J24" s="65"/>
      <c r="K24" s="5">
        <v>330</v>
      </c>
      <c r="L24" s="65"/>
      <c r="M24" s="9" t="s">
        <v>30</v>
      </c>
      <c r="N24" s="65"/>
      <c r="O24" s="15" t="s">
        <v>20</v>
      </c>
      <c r="P24" s="13"/>
      <c r="Q24" s="17">
        <v>1</v>
      </c>
      <c r="S24" s="13"/>
      <c r="T24" s="13"/>
    </row>
    <row r="25" spans="2:20">
      <c r="B25" s="3">
        <f t="shared" si="2"/>
        <v>113.1</v>
      </c>
      <c r="C25" s="25">
        <f t="shared" si="7"/>
        <v>100</v>
      </c>
      <c r="D25" s="25">
        <f t="shared" si="7"/>
        <v>10</v>
      </c>
      <c r="E25" s="84"/>
      <c r="F25" s="64">
        <f t="shared" si="4"/>
        <v>3</v>
      </c>
      <c r="G25" s="77"/>
      <c r="H25" s="22">
        <f t="shared" si="6"/>
        <v>0.1</v>
      </c>
      <c r="I25" s="8" t="str">
        <f>"+polar @ HM"</f>
        <v>+polar @ HM</v>
      </c>
      <c r="J25" s="65"/>
      <c r="K25" s="5">
        <v>28</v>
      </c>
      <c r="L25" s="65"/>
      <c r="M25" s="9" t="s">
        <v>30</v>
      </c>
      <c r="N25" s="65"/>
      <c r="O25" s="15" t="s">
        <v>21</v>
      </c>
      <c r="P25" s="13"/>
      <c r="Q25" s="16">
        <v>1</v>
      </c>
      <c r="S25" s="13"/>
      <c r="T25" s="13"/>
    </row>
    <row r="26" spans="2:20">
      <c r="B26" s="3">
        <f t="shared" si="2"/>
        <v>113.2</v>
      </c>
      <c r="C26" s="25">
        <f t="shared" si="7"/>
        <v>100</v>
      </c>
      <c r="D26" s="25">
        <f t="shared" si="7"/>
        <v>10</v>
      </c>
      <c r="E26" s="84"/>
      <c r="F26" s="64">
        <f t="shared" si="4"/>
        <v>3</v>
      </c>
      <c r="G26" s="77"/>
      <c r="H26" s="22">
        <f t="shared" si="6"/>
        <v>0.2</v>
      </c>
      <c r="I26" s="8" t="s">
        <v>14</v>
      </c>
      <c r="J26" s="65">
        <f>J22</f>
        <v>-15</v>
      </c>
      <c r="K26" s="10">
        <f>(K25+(K24-360))/2</f>
        <v>-1</v>
      </c>
      <c r="L26" s="65">
        <f>L22</f>
        <v>15</v>
      </c>
      <c r="M26" s="9" t="s">
        <v>30</v>
      </c>
      <c r="N26" s="65" t="str">
        <f>IF((J26&lt;K26)* (K26&lt;L26),"PASS","FAIL")</f>
        <v>PASS</v>
      </c>
      <c r="O26" s="15"/>
      <c r="P26" s="13"/>
      <c r="R26" s="17">
        <v>1</v>
      </c>
      <c r="S26" s="13"/>
      <c r="T26" s="13"/>
    </row>
    <row r="27" spans="2:20">
      <c r="B27" s="3">
        <f t="shared" si="2"/>
        <v>113.3</v>
      </c>
      <c r="C27" s="25">
        <f t="shared" si="7"/>
        <v>100</v>
      </c>
      <c r="D27" s="25">
        <f t="shared" si="7"/>
        <v>10</v>
      </c>
      <c r="E27" s="84"/>
      <c r="F27" s="64">
        <f t="shared" si="4"/>
        <v>3</v>
      </c>
      <c r="G27" s="77"/>
      <c r="H27" s="22">
        <f t="shared" si="6"/>
        <v>0.30000000000000004</v>
      </c>
      <c r="I27" s="8" t="s">
        <v>22</v>
      </c>
      <c r="J27" s="65">
        <f>J23</f>
        <v>50</v>
      </c>
      <c r="K27" s="10">
        <f>K25-(K24-360)</f>
        <v>58</v>
      </c>
      <c r="L27" s="65">
        <f>L23</f>
        <v>70</v>
      </c>
      <c r="M27" s="9" t="s">
        <v>30</v>
      </c>
      <c r="N27" s="65" t="str">
        <f>IF((J27&lt;K27)* (K27&lt;L27),"PASS","FAIL")</f>
        <v>PASS</v>
      </c>
      <c r="O27" s="15"/>
      <c r="P27" s="13"/>
      <c r="R27" s="17">
        <v>1</v>
      </c>
      <c r="S27" s="13"/>
      <c r="T27" s="13"/>
    </row>
    <row r="28" spans="2:20">
      <c r="B28" s="3">
        <f t="shared" si="2"/>
        <v>114</v>
      </c>
      <c r="C28" s="25">
        <f t="shared" si="7"/>
        <v>100</v>
      </c>
      <c r="D28" s="25">
        <f t="shared" si="7"/>
        <v>10</v>
      </c>
      <c r="E28" s="84"/>
      <c r="F28" s="64">
        <f>F27+1</f>
        <v>4</v>
      </c>
      <c r="G28" s="77" t="s">
        <v>27</v>
      </c>
      <c r="H28" s="22">
        <v>0</v>
      </c>
      <c r="I28" s="8" t="str">
        <f>"-polar @ HM"</f>
        <v>-polar @ HM</v>
      </c>
      <c r="J28" s="65"/>
      <c r="K28" s="5">
        <v>332</v>
      </c>
      <c r="L28" s="65"/>
      <c r="M28" s="9" t="s">
        <v>30</v>
      </c>
      <c r="N28" s="65"/>
      <c r="O28" s="15" t="s">
        <v>20</v>
      </c>
      <c r="P28" s="13"/>
      <c r="Q28" s="17">
        <v>1</v>
      </c>
      <c r="S28" s="13"/>
      <c r="T28" s="13"/>
    </row>
    <row r="29" spans="2:20">
      <c r="B29" s="3">
        <f t="shared" si="2"/>
        <v>114.1</v>
      </c>
      <c r="C29" s="25">
        <f t="shared" si="7"/>
        <v>100</v>
      </c>
      <c r="D29" s="25">
        <f t="shared" si="7"/>
        <v>10</v>
      </c>
      <c r="E29" s="84"/>
      <c r="F29" s="64">
        <f t="shared" si="4"/>
        <v>4</v>
      </c>
      <c r="G29" s="77"/>
      <c r="H29" s="22">
        <f t="shared" si="6"/>
        <v>0.1</v>
      </c>
      <c r="I29" s="8" t="str">
        <f>"+polar @ HM"</f>
        <v>+polar @ HM</v>
      </c>
      <c r="J29" s="65"/>
      <c r="K29" s="5">
        <v>30</v>
      </c>
      <c r="L29" s="65"/>
      <c r="M29" s="9" t="s">
        <v>30</v>
      </c>
      <c r="N29" s="65"/>
      <c r="O29" s="15" t="s">
        <v>21</v>
      </c>
      <c r="P29" s="13"/>
      <c r="Q29" s="16">
        <v>1</v>
      </c>
      <c r="S29" s="13"/>
      <c r="T29" s="13"/>
    </row>
    <row r="30" spans="2:20">
      <c r="B30" s="3">
        <f t="shared" si="2"/>
        <v>114.2</v>
      </c>
      <c r="C30" s="25">
        <f t="shared" si="7"/>
        <v>100</v>
      </c>
      <c r="D30" s="25">
        <f t="shared" si="7"/>
        <v>10</v>
      </c>
      <c r="E30" s="84"/>
      <c r="F30" s="64">
        <f t="shared" si="4"/>
        <v>4</v>
      </c>
      <c r="G30" s="77"/>
      <c r="H30" s="22">
        <f t="shared" si="6"/>
        <v>0.2</v>
      </c>
      <c r="I30" s="8" t="s">
        <v>14</v>
      </c>
      <c r="J30" s="65">
        <f>J26</f>
        <v>-15</v>
      </c>
      <c r="K30" s="10">
        <f>(K29+(K28-360))/2</f>
        <v>1</v>
      </c>
      <c r="L30" s="65">
        <f>L26</f>
        <v>15</v>
      </c>
      <c r="M30" s="9" t="s">
        <v>30</v>
      </c>
      <c r="N30" s="65" t="str">
        <f>IF((J30&lt;K30)* (K30&lt;L30),"PASS","FAIL")</f>
        <v>PASS</v>
      </c>
      <c r="O30" s="15"/>
      <c r="P30" s="13"/>
      <c r="R30" s="17">
        <v>1</v>
      </c>
      <c r="S30" s="13"/>
      <c r="T30" s="13"/>
    </row>
    <row r="31" spans="2:20">
      <c r="B31" s="3">
        <f t="shared" si="2"/>
        <v>114.3</v>
      </c>
      <c r="C31" s="25">
        <f t="shared" si="7"/>
        <v>100</v>
      </c>
      <c r="D31" s="25">
        <f t="shared" si="7"/>
        <v>10</v>
      </c>
      <c r="E31" s="84"/>
      <c r="F31" s="64">
        <f t="shared" si="4"/>
        <v>4</v>
      </c>
      <c r="G31" s="77"/>
      <c r="H31" s="22">
        <f t="shared" si="6"/>
        <v>0.30000000000000004</v>
      </c>
      <c r="I31" s="8" t="s">
        <v>22</v>
      </c>
      <c r="J31" s="65">
        <f>J27</f>
        <v>50</v>
      </c>
      <c r="K31" s="10">
        <f>K29-(K28-360)</f>
        <v>58</v>
      </c>
      <c r="L31" s="65">
        <f>L27</f>
        <v>70</v>
      </c>
      <c r="M31" s="9" t="s">
        <v>30</v>
      </c>
      <c r="N31" s="65" t="str">
        <f>IF((J31&lt;K31)* (K31&lt;L31),"PASS","FAIL")</f>
        <v>PASS</v>
      </c>
      <c r="O31" s="15"/>
      <c r="P31" s="13"/>
      <c r="R31" s="17">
        <v>1</v>
      </c>
      <c r="S31" s="13"/>
      <c r="T31" s="13"/>
    </row>
    <row r="32" spans="2:20">
      <c r="B32" s="90"/>
      <c r="C32" s="91"/>
      <c r="D32" s="92"/>
      <c r="E32" s="78" t="s">
        <v>100</v>
      </c>
      <c r="F32" s="79"/>
      <c r="G32" s="79"/>
      <c r="H32" s="79"/>
      <c r="I32" s="79"/>
      <c r="J32" s="79"/>
      <c r="K32" s="79"/>
      <c r="L32" s="79"/>
      <c r="M32" s="79"/>
      <c r="N32" s="79"/>
      <c r="O32" s="80"/>
      <c r="P32" s="13"/>
      <c r="S32" s="13"/>
      <c r="T32" s="13"/>
    </row>
    <row r="33" spans="2:20">
      <c r="B33" s="3">
        <f t="shared" ref="B33:B45" si="8">C33+D33+F33+H33</f>
        <v>200</v>
      </c>
      <c r="C33" s="26">
        <f>C31+100</f>
        <v>200</v>
      </c>
      <c r="D33" s="26">
        <v>0</v>
      </c>
      <c r="E33" s="81" t="s">
        <v>39</v>
      </c>
      <c r="F33" s="66">
        <v>0</v>
      </c>
      <c r="G33" s="74" t="s">
        <v>1</v>
      </c>
      <c r="H33" s="22">
        <v>0</v>
      </c>
      <c r="I33" s="8" t="s">
        <v>9</v>
      </c>
      <c r="J33" s="65"/>
      <c r="K33" s="5">
        <v>295</v>
      </c>
      <c r="L33" s="65"/>
      <c r="M33" s="65" t="s">
        <v>29</v>
      </c>
      <c r="N33" s="65"/>
      <c r="O33" s="15" t="s">
        <v>15</v>
      </c>
      <c r="P33" s="13"/>
      <c r="Q33" s="17">
        <v>1</v>
      </c>
      <c r="S33" s="13"/>
      <c r="T33" s="13"/>
    </row>
    <row r="34" spans="2:20">
      <c r="B34" s="3">
        <f t="shared" si="8"/>
        <v>200.1</v>
      </c>
      <c r="C34" s="25">
        <f t="shared" ref="C34:D45" si="9">C33</f>
        <v>200</v>
      </c>
      <c r="D34" s="25">
        <f t="shared" si="9"/>
        <v>0</v>
      </c>
      <c r="E34" s="82"/>
      <c r="F34" s="64">
        <f t="shared" ref="F34:F44" si="10">F33</f>
        <v>0</v>
      </c>
      <c r="G34" s="75"/>
      <c r="H34" s="22">
        <f t="shared" ref="H34:H44" si="11">H33+0.1</f>
        <v>0.1</v>
      </c>
      <c r="I34" s="8" t="s">
        <v>10</v>
      </c>
      <c r="J34" s="6">
        <f>-L34</f>
        <v>-0.35</v>
      </c>
      <c r="K34" s="7">
        <f>K33/K$5-1</f>
        <v>0.31111111111111112</v>
      </c>
      <c r="L34" s="47">
        <f>Specifications!E5</f>
        <v>0.35</v>
      </c>
      <c r="M34" s="6" t="s">
        <v>28</v>
      </c>
      <c r="N34" s="65" t="str">
        <f>IF((J34&lt;K34)* (K34&lt;L34),"PASS","FAIL")</f>
        <v>PASS</v>
      </c>
      <c r="O34" s="15"/>
      <c r="P34" s="13"/>
      <c r="R34" s="17">
        <v>1</v>
      </c>
      <c r="S34" s="13"/>
      <c r="T34" s="13"/>
    </row>
    <row r="35" spans="2:20">
      <c r="B35" s="3">
        <f t="shared" si="8"/>
        <v>200.2</v>
      </c>
      <c r="C35" s="25">
        <f t="shared" si="9"/>
        <v>200</v>
      </c>
      <c r="D35" s="25">
        <f t="shared" si="9"/>
        <v>0</v>
      </c>
      <c r="E35" s="82"/>
      <c r="F35" s="64">
        <f t="shared" si="10"/>
        <v>0</v>
      </c>
      <c r="G35" s="76"/>
      <c r="H35" s="22">
        <f t="shared" si="11"/>
        <v>0.2</v>
      </c>
      <c r="I35" s="8" t="s">
        <v>35</v>
      </c>
      <c r="J35" s="6">
        <f>-L35</f>
        <v>-0.15</v>
      </c>
      <c r="K35" s="7">
        <f>K33/K6-1</f>
        <v>9.259259259259256E-2</v>
      </c>
      <c r="L35" s="47">
        <f>Specifications!E15</f>
        <v>0.15</v>
      </c>
      <c r="M35" s="6" t="s">
        <v>28</v>
      </c>
      <c r="N35" s="65" t="str">
        <f>IF((J35&lt;K35)* (K35&lt;L35),"PASS","FAIL")</f>
        <v>PASS</v>
      </c>
      <c r="O35" s="15"/>
      <c r="P35" s="13"/>
      <c r="R35" s="17">
        <v>1</v>
      </c>
      <c r="S35" s="13"/>
      <c r="T35" s="13"/>
    </row>
    <row r="36" spans="2:20">
      <c r="B36" s="3">
        <f t="shared" si="8"/>
        <v>201</v>
      </c>
      <c r="C36" s="25">
        <f t="shared" si="9"/>
        <v>200</v>
      </c>
      <c r="D36" s="25">
        <f t="shared" si="9"/>
        <v>0</v>
      </c>
      <c r="E36" s="82"/>
      <c r="F36" s="64">
        <f>F35+1</f>
        <v>1</v>
      </c>
      <c r="G36" s="74" t="s">
        <v>2</v>
      </c>
      <c r="H36" s="22">
        <v>0</v>
      </c>
      <c r="I36" s="8" t="s">
        <v>9</v>
      </c>
      <c r="J36" s="65"/>
      <c r="K36" s="5">
        <v>296</v>
      </c>
      <c r="L36" s="65"/>
      <c r="M36" s="65" t="s">
        <v>29</v>
      </c>
      <c r="N36" s="65"/>
      <c r="O36" s="15" t="s">
        <v>16</v>
      </c>
      <c r="P36" s="13"/>
      <c r="Q36" s="17">
        <v>1</v>
      </c>
      <c r="S36" s="13"/>
      <c r="T36" s="13"/>
    </row>
    <row r="37" spans="2:20">
      <c r="B37" s="3">
        <f t="shared" si="8"/>
        <v>201.1</v>
      </c>
      <c r="C37" s="25">
        <f t="shared" si="9"/>
        <v>200</v>
      </c>
      <c r="D37" s="25">
        <f t="shared" si="9"/>
        <v>0</v>
      </c>
      <c r="E37" s="82"/>
      <c r="F37" s="64">
        <f t="shared" si="10"/>
        <v>1</v>
      </c>
      <c r="G37" s="75"/>
      <c r="H37" s="22">
        <f t="shared" si="11"/>
        <v>0.1</v>
      </c>
      <c r="I37" s="8" t="s">
        <v>10</v>
      </c>
      <c r="J37" s="6">
        <f>J34</f>
        <v>-0.35</v>
      </c>
      <c r="K37" s="7">
        <f>K36/K$5-1</f>
        <v>0.31555555555555559</v>
      </c>
      <c r="L37" s="6">
        <f>L34</f>
        <v>0.35</v>
      </c>
      <c r="M37" s="6" t="s">
        <v>28</v>
      </c>
      <c r="N37" s="65" t="str">
        <f>IF((J37&lt;K37)* (K37&lt;L37),"PASS","FAIL")</f>
        <v>PASS</v>
      </c>
      <c r="O37" s="15"/>
      <c r="P37" s="13"/>
      <c r="R37" s="17">
        <v>1</v>
      </c>
      <c r="S37" s="13"/>
      <c r="T37" s="13"/>
    </row>
    <row r="38" spans="2:20">
      <c r="B38" s="3">
        <f t="shared" si="8"/>
        <v>201.2</v>
      </c>
      <c r="C38" s="25">
        <f t="shared" si="9"/>
        <v>200</v>
      </c>
      <c r="D38" s="25">
        <f t="shared" si="9"/>
        <v>0</v>
      </c>
      <c r="E38" s="82"/>
      <c r="F38" s="64">
        <f t="shared" si="10"/>
        <v>1</v>
      </c>
      <c r="G38" s="76"/>
      <c r="H38" s="22">
        <f t="shared" si="11"/>
        <v>0.2</v>
      </c>
      <c r="I38" s="8" t="s">
        <v>35</v>
      </c>
      <c r="J38" s="6">
        <f>J35</f>
        <v>-0.15</v>
      </c>
      <c r="K38" s="7">
        <f>K36/K8-1</f>
        <v>9.6296296296296324E-2</v>
      </c>
      <c r="L38" s="6">
        <f>L35</f>
        <v>0.15</v>
      </c>
      <c r="M38" s="6" t="s">
        <v>28</v>
      </c>
      <c r="N38" s="65" t="str">
        <f>IF((J38&lt;K38)* (K38&lt;L38),"PASS","FAIL")</f>
        <v>PASS</v>
      </c>
      <c r="O38" s="15"/>
      <c r="P38" s="13"/>
      <c r="R38" s="17">
        <v>1</v>
      </c>
      <c r="S38" s="13"/>
      <c r="T38" s="13"/>
    </row>
    <row r="39" spans="2:20">
      <c r="B39" s="3">
        <f t="shared" si="8"/>
        <v>202</v>
      </c>
      <c r="C39" s="25">
        <f t="shared" si="9"/>
        <v>200</v>
      </c>
      <c r="D39" s="25">
        <f t="shared" si="9"/>
        <v>0</v>
      </c>
      <c r="E39" s="82"/>
      <c r="F39" s="64">
        <f>F38+1</f>
        <v>2</v>
      </c>
      <c r="G39" s="74" t="s">
        <v>3</v>
      </c>
      <c r="H39" s="22">
        <v>0</v>
      </c>
      <c r="I39" s="8" t="s">
        <v>9</v>
      </c>
      <c r="J39" s="65"/>
      <c r="K39" s="5">
        <v>225</v>
      </c>
      <c r="L39" s="65"/>
      <c r="M39" s="65" t="s">
        <v>29</v>
      </c>
      <c r="N39" s="65"/>
      <c r="O39" s="15" t="s">
        <v>17</v>
      </c>
      <c r="P39" s="13"/>
      <c r="Q39" s="17">
        <v>1</v>
      </c>
      <c r="S39" s="13"/>
      <c r="T39" s="13"/>
    </row>
    <row r="40" spans="2:20">
      <c r="B40" s="3">
        <f t="shared" si="8"/>
        <v>202.1</v>
      </c>
      <c r="C40" s="25">
        <f t="shared" si="9"/>
        <v>200</v>
      </c>
      <c r="D40" s="25">
        <f t="shared" si="9"/>
        <v>0</v>
      </c>
      <c r="E40" s="82"/>
      <c r="F40" s="64">
        <f t="shared" si="10"/>
        <v>2</v>
      </c>
      <c r="G40" s="75"/>
      <c r="H40" s="22">
        <f t="shared" si="11"/>
        <v>0.1</v>
      </c>
      <c r="I40" s="8" t="s">
        <v>10</v>
      </c>
      <c r="J40" s="6">
        <f>J37</f>
        <v>-0.35</v>
      </c>
      <c r="K40" s="7">
        <f>K39/K$5-1</f>
        <v>0</v>
      </c>
      <c r="L40" s="6">
        <f>L37</f>
        <v>0.35</v>
      </c>
      <c r="M40" s="6" t="s">
        <v>28</v>
      </c>
      <c r="N40" s="65" t="str">
        <f>IF((J40&lt;K40)* (K40&lt;L40),"PASS","FAIL")</f>
        <v>PASS</v>
      </c>
      <c r="O40" s="15"/>
      <c r="P40" s="13"/>
      <c r="R40" s="17">
        <v>1</v>
      </c>
      <c r="S40" s="13"/>
      <c r="T40" s="13"/>
    </row>
    <row r="41" spans="2:20">
      <c r="B41" s="3">
        <f t="shared" si="8"/>
        <v>202.2</v>
      </c>
      <c r="C41" s="25">
        <f t="shared" si="9"/>
        <v>200</v>
      </c>
      <c r="D41" s="25">
        <f t="shared" si="9"/>
        <v>0</v>
      </c>
      <c r="E41" s="82"/>
      <c r="F41" s="64">
        <f t="shared" si="10"/>
        <v>2</v>
      </c>
      <c r="G41" s="76"/>
      <c r="H41" s="22">
        <f t="shared" si="11"/>
        <v>0.2</v>
      </c>
      <c r="I41" s="8" t="s">
        <v>35</v>
      </c>
      <c r="J41" s="6">
        <f>-L41</f>
        <v>-0.3</v>
      </c>
      <c r="K41" s="7">
        <f>K39/K10-1</f>
        <v>-0.23469387755102045</v>
      </c>
      <c r="L41" s="47">
        <f>Specifications!E16</f>
        <v>0.3</v>
      </c>
      <c r="M41" s="6" t="s">
        <v>28</v>
      </c>
      <c r="N41" s="65" t="str">
        <f>IF((J41&lt;K41)* (K41&lt;L41),"PASS","FAIL")</f>
        <v>PASS</v>
      </c>
      <c r="O41" s="15"/>
      <c r="P41" s="13"/>
      <c r="R41" s="17">
        <v>1</v>
      </c>
      <c r="S41" s="13"/>
      <c r="T41" s="13"/>
    </row>
    <row r="42" spans="2:20">
      <c r="B42" s="3">
        <f t="shared" si="8"/>
        <v>203</v>
      </c>
      <c r="C42" s="25">
        <f t="shared" si="9"/>
        <v>200</v>
      </c>
      <c r="D42" s="25">
        <f t="shared" si="9"/>
        <v>0</v>
      </c>
      <c r="E42" s="82"/>
      <c r="F42" s="64">
        <f>F41+1</f>
        <v>3</v>
      </c>
      <c r="G42" s="74" t="s">
        <v>11</v>
      </c>
      <c r="H42" s="22">
        <v>0</v>
      </c>
      <c r="I42" s="8" t="s">
        <v>9</v>
      </c>
      <c r="J42" s="65"/>
      <c r="K42" s="5">
        <v>226</v>
      </c>
      <c r="L42" s="65"/>
      <c r="M42" s="65" t="s">
        <v>29</v>
      </c>
      <c r="N42" s="65"/>
      <c r="O42" s="15" t="s">
        <v>18</v>
      </c>
      <c r="P42" s="13"/>
      <c r="Q42" s="17">
        <v>1</v>
      </c>
      <c r="S42" s="13"/>
      <c r="T42" s="13"/>
    </row>
    <row r="43" spans="2:20">
      <c r="B43" s="3">
        <f t="shared" si="8"/>
        <v>203.1</v>
      </c>
      <c r="C43" s="25">
        <f t="shared" si="9"/>
        <v>200</v>
      </c>
      <c r="D43" s="25">
        <f t="shared" si="9"/>
        <v>0</v>
      </c>
      <c r="E43" s="82"/>
      <c r="F43" s="64">
        <f t="shared" si="10"/>
        <v>3</v>
      </c>
      <c r="G43" s="75"/>
      <c r="H43" s="22">
        <f t="shared" si="11"/>
        <v>0.1</v>
      </c>
      <c r="I43" s="8" t="s">
        <v>10</v>
      </c>
      <c r="J43" s="6">
        <f>J40</f>
        <v>-0.35</v>
      </c>
      <c r="K43" s="7">
        <f>K42/K$5-1</f>
        <v>4.4444444444444731E-3</v>
      </c>
      <c r="L43" s="6">
        <f>L40</f>
        <v>0.35</v>
      </c>
      <c r="M43" s="6" t="s">
        <v>28</v>
      </c>
      <c r="N43" s="65" t="str">
        <f>IF((J43&lt;K43)* (K43&lt;L43),"PASS","FAIL")</f>
        <v>PASS</v>
      </c>
      <c r="O43" s="15"/>
      <c r="P43" s="13"/>
      <c r="R43" s="17">
        <v>1</v>
      </c>
      <c r="S43" s="13"/>
      <c r="T43" s="13"/>
    </row>
    <row r="44" spans="2:20">
      <c r="B44" s="3">
        <f t="shared" si="8"/>
        <v>203.2</v>
      </c>
      <c r="C44" s="25">
        <f t="shared" si="9"/>
        <v>200</v>
      </c>
      <c r="D44" s="25">
        <f t="shared" si="9"/>
        <v>0</v>
      </c>
      <c r="E44" s="82"/>
      <c r="F44" s="64">
        <f t="shared" si="10"/>
        <v>3</v>
      </c>
      <c r="G44" s="76"/>
      <c r="H44" s="22">
        <f t="shared" si="11"/>
        <v>0.2</v>
      </c>
      <c r="I44" s="8" t="s">
        <v>35</v>
      </c>
      <c r="J44" s="6">
        <f>J41</f>
        <v>-0.3</v>
      </c>
      <c r="K44" s="7">
        <f>K42/K12-1</f>
        <v>-0.23129251700680276</v>
      </c>
      <c r="L44" s="6">
        <f>L41</f>
        <v>0.3</v>
      </c>
      <c r="M44" s="6" t="s">
        <v>28</v>
      </c>
      <c r="N44" s="65" t="str">
        <f>IF((J44&lt;K44)* (K44&lt;L44),"PASS","FAIL")</f>
        <v>PASS</v>
      </c>
      <c r="O44" s="15"/>
      <c r="P44" s="13"/>
      <c r="R44" s="17">
        <v>1</v>
      </c>
      <c r="S44" s="13"/>
      <c r="T44" s="13"/>
    </row>
    <row r="45" spans="2:20">
      <c r="B45" s="3">
        <f t="shared" si="8"/>
        <v>204</v>
      </c>
      <c r="C45" s="25">
        <f t="shared" si="9"/>
        <v>200</v>
      </c>
      <c r="D45" s="25">
        <f t="shared" si="9"/>
        <v>0</v>
      </c>
      <c r="E45" s="83"/>
      <c r="F45" s="64">
        <f>F44+1</f>
        <v>4</v>
      </c>
      <c r="G45" s="65" t="s">
        <v>12</v>
      </c>
      <c r="H45" s="22">
        <v>0</v>
      </c>
      <c r="I45" s="8" t="s">
        <v>8</v>
      </c>
      <c r="J45" s="65"/>
      <c r="K45" s="7">
        <f>((MAX(K34,K37,K40,K43)-MIN(K34,K37,K40,K43))/2)</f>
        <v>0.15777777777777779</v>
      </c>
      <c r="L45" s="65"/>
      <c r="M45" s="6" t="s">
        <v>28</v>
      </c>
      <c r="N45" s="65"/>
      <c r="O45" s="15" t="s">
        <v>25</v>
      </c>
      <c r="P45" s="13"/>
      <c r="S45" s="13"/>
      <c r="T45" s="13"/>
    </row>
    <row r="46" spans="2:20">
      <c r="B46" s="93"/>
      <c r="C46" s="94"/>
      <c r="D46" s="95"/>
      <c r="E46" s="87" t="s">
        <v>63</v>
      </c>
      <c r="F46" s="88"/>
      <c r="G46" s="88"/>
      <c r="H46" s="88"/>
      <c r="I46" s="88"/>
      <c r="J46" s="88"/>
      <c r="K46" s="88"/>
      <c r="L46" s="88"/>
      <c r="M46" s="88"/>
      <c r="N46" s="88"/>
      <c r="O46" s="89"/>
      <c r="P46" s="13"/>
      <c r="S46" s="13"/>
      <c r="T46" s="13"/>
    </row>
    <row r="47" spans="2:20" ht="15" customHeight="1">
      <c r="B47" s="3">
        <f>C47+D47+F47+H49</f>
        <v>300.2</v>
      </c>
      <c r="C47" s="26">
        <f>C45+100</f>
        <v>300</v>
      </c>
      <c r="D47" s="26">
        <v>0</v>
      </c>
      <c r="E47" s="81" t="s">
        <v>101</v>
      </c>
      <c r="F47" s="66">
        <v>0</v>
      </c>
      <c r="G47" s="74" t="s">
        <v>2</v>
      </c>
      <c r="H47" s="22">
        <v>0</v>
      </c>
      <c r="I47" s="8" t="s">
        <v>68</v>
      </c>
      <c r="J47" s="65"/>
      <c r="K47" s="5">
        <v>2</v>
      </c>
      <c r="L47" s="65"/>
      <c r="M47" s="65"/>
      <c r="N47" s="65"/>
      <c r="O47" s="15" t="s">
        <v>89</v>
      </c>
      <c r="P47" s="13"/>
      <c r="Q47" s="17">
        <v>1</v>
      </c>
      <c r="S47" s="13"/>
      <c r="T47" s="13"/>
    </row>
    <row r="48" spans="2:20">
      <c r="B48" s="3">
        <f t="shared" ref="B48:B88" si="12">C48+D48+F48+H48</f>
        <v>300.10000000000002</v>
      </c>
      <c r="C48" s="25">
        <f t="shared" ref="C48:D63" si="13">C47</f>
        <v>300</v>
      </c>
      <c r="D48" s="25">
        <f t="shared" si="13"/>
        <v>0</v>
      </c>
      <c r="E48" s="82"/>
      <c r="F48" s="64">
        <f t="shared" ref="F48:F52" si="14">F47</f>
        <v>0</v>
      </c>
      <c r="G48" s="75"/>
      <c r="H48" s="22">
        <f t="shared" ref="H48:H52" si="15">H47+0.1</f>
        <v>0.1</v>
      </c>
      <c r="I48" s="8" t="s">
        <v>0</v>
      </c>
      <c r="J48" s="65"/>
      <c r="K48" s="10">
        <f>VLOOKUP(K47,Calibration!C3:D8,2)</f>
        <v>8440</v>
      </c>
      <c r="L48" s="65"/>
      <c r="M48" s="65"/>
      <c r="N48" s="65"/>
      <c r="O48" s="15" t="s">
        <v>69</v>
      </c>
      <c r="P48" s="13"/>
      <c r="S48" s="13"/>
      <c r="T48" s="13"/>
    </row>
    <row r="49" spans="2:20" ht="15" customHeight="1">
      <c r="B49" s="3">
        <f>C49+D49+F47+H49</f>
        <v>300.2</v>
      </c>
      <c r="C49" s="25">
        <f t="shared" si="13"/>
        <v>300</v>
      </c>
      <c r="D49" s="25">
        <f t="shared" si="13"/>
        <v>0</v>
      </c>
      <c r="E49" s="82"/>
      <c r="F49" s="64">
        <f t="shared" si="14"/>
        <v>0</v>
      </c>
      <c r="G49" s="75"/>
      <c r="H49" s="22">
        <f t="shared" si="15"/>
        <v>0.2</v>
      </c>
      <c r="I49" s="8" t="s">
        <v>9</v>
      </c>
      <c r="J49" s="65"/>
      <c r="K49" s="18">
        <v>563</v>
      </c>
      <c r="L49" s="65"/>
      <c r="M49" s="65" t="s">
        <v>29</v>
      </c>
      <c r="N49" s="65"/>
      <c r="O49" s="15" t="s">
        <v>16</v>
      </c>
      <c r="P49" s="13"/>
      <c r="Q49" s="17">
        <v>1</v>
      </c>
      <c r="S49" s="13"/>
      <c r="T49" s="13"/>
    </row>
    <row r="50" spans="2:20" ht="15" customHeight="1">
      <c r="B50" s="3">
        <f t="shared" si="12"/>
        <v>300.3</v>
      </c>
      <c r="C50" s="25">
        <f t="shared" si="13"/>
        <v>300</v>
      </c>
      <c r="D50" s="25">
        <f t="shared" si="13"/>
        <v>0</v>
      </c>
      <c r="E50" s="82"/>
      <c r="F50" s="64">
        <f t="shared" si="14"/>
        <v>0</v>
      </c>
      <c r="G50" s="75"/>
      <c r="H50" s="22">
        <f t="shared" si="15"/>
        <v>0.30000000000000004</v>
      </c>
      <c r="I50" s="8" t="s">
        <v>66</v>
      </c>
      <c r="J50" s="65"/>
      <c r="K50" s="7">
        <f>K49/K48</f>
        <v>6.6706161137440753E-2</v>
      </c>
      <c r="L50" s="65"/>
      <c r="M50" s="65"/>
      <c r="N50" s="65"/>
      <c r="O50" s="70" t="s">
        <v>70</v>
      </c>
      <c r="P50" s="13"/>
      <c r="S50" s="13"/>
      <c r="T50" s="13"/>
    </row>
    <row r="51" spans="2:20" ht="15" customHeight="1">
      <c r="B51" s="3">
        <f t="shared" si="12"/>
        <v>300.39999999999998</v>
      </c>
      <c r="C51" s="25">
        <f t="shared" si="13"/>
        <v>300</v>
      </c>
      <c r="D51" s="25">
        <f t="shared" si="13"/>
        <v>0</v>
      </c>
      <c r="E51" s="82"/>
      <c r="F51" s="64">
        <f t="shared" si="14"/>
        <v>0</v>
      </c>
      <c r="G51" s="75"/>
      <c r="H51" s="22">
        <f t="shared" si="15"/>
        <v>0.4</v>
      </c>
      <c r="I51" s="8" t="s">
        <v>67</v>
      </c>
      <c r="J51" s="65"/>
      <c r="K51" s="20">
        <f>1/K50</f>
        <v>14.991119005328597</v>
      </c>
      <c r="L51" s="65"/>
      <c r="M51" s="65"/>
      <c r="N51" s="65"/>
      <c r="O51" s="71"/>
      <c r="P51" s="13"/>
      <c r="S51" s="13"/>
      <c r="T51" s="13"/>
    </row>
    <row r="52" spans="2:20" ht="15" customHeight="1">
      <c r="B52" s="3">
        <f t="shared" si="12"/>
        <v>300.5</v>
      </c>
      <c r="C52" s="25">
        <f t="shared" si="13"/>
        <v>300</v>
      </c>
      <c r="D52" s="25">
        <f t="shared" si="13"/>
        <v>0</v>
      </c>
      <c r="E52" s="82"/>
      <c r="F52" s="64">
        <f t="shared" si="14"/>
        <v>0</v>
      </c>
      <c r="G52" s="76"/>
      <c r="H52" s="22">
        <f t="shared" si="15"/>
        <v>0.5</v>
      </c>
      <c r="I52" s="8" t="s">
        <v>31</v>
      </c>
      <c r="J52" s="65"/>
      <c r="K52" s="20">
        <f>K49/2</f>
        <v>281.5</v>
      </c>
      <c r="L52" s="65"/>
      <c r="M52" s="9" t="s">
        <v>30</v>
      </c>
      <c r="N52" s="65"/>
      <c r="O52" s="15" t="s">
        <v>32</v>
      </c>
      <c r="P52" s="13"/>
      <c r="S52" s="13"/>
      <c r="T52" s="13"/>
    </row>
    <row r="53" spans="2:20">
      <c r="B53" s="3">
        <f t="shared" si="12"/>
        <v>301</v>
      </c>
      <c r="C53" s="25">
        <f t="shared" si="13"/>
        <v>300</v>
      </c>
      <c r="D53" s="25">
        <f t="shared" si="13"/>
        <v>0</v>
      </c>
      <c r="E53" s="82"/>
      <c r="F53" s="64">
        <f>F52+1</f>
        <v>1</v>
      </c>
      <c r="G53" s="77" t="str">
        <f>G16</f>
        <v>Azimuth=270°</v>
      </c>
      <c r="H53" s="22">
        <v>0</v>
      </c>
      <c r="I53" s="8" t="str">
        <f>"-polar @ HM"</f>
        <v>-polar @ HM</v>
      </c>
      <c r="J53" s="65"/>
      <c r="K53" s="5">
        <v>320</v>
      </c>
      <c r="L53" s="65"/>
      <c r="M53" s="9" t="s">
        <v>30</v>
      </c>
      <c r="N53" s="65"/>
      <c r="O53" s="15" t="s">
        <v>20</v>
      </c>
      <c r="P53" s="13"/>
      <c r="Q53" s="17">
        <v>1</v>
      </c>
      <c r="S53" s="13"/>
      <c r="T53" s="13"/>
    </row>
    <row r="54" spans="2:20">
      <c r="B54" s="3">
        <f t="shared" si="12"/>
        <v>301.10000000000002</v>
      </c>
      <c r="C54" s="25">
        <f t="shared" si="13"/>
        <v>300</v>
      </c>
      <c r="D54" s="25">
        <f t="shared" si="13"/>
        <v>0</v>
      </c>
      <c r="E54" s="82"/>
      <c r="F54" s="64">
        <f t="shared" ref="F54:F88" si="16">F53</f>
        <v>1</v>
      </c>
      <c r="G54" s="77"/>
      <c r="H54" s="22">
        <f t="shared" ref="H54:H88" si="17">H53+0.1</f>
        <v>0.1</v>
      </c>
      <c r="I54" s="8" t="str">
        <f>"-magnitude"</f>
        <v>-magnitude</v>
      </c>
      <c r="J54" s="65"/>
      <c r="K54" s="5">
        <v>829</v>
      </c>
      <c r="L54" s="65"/>
      <c r="M54" s="65" t="s">
        <v>29</v>
      </c>
      <c r="N54" s="65"/>
      <c r="O54" s="15" t="s">
        <v>40</v>
      </c>
      <c r="P54" s="13"/>
      <c r="Q54" s="17">
        <v>1</v>
      </c>
      <c r="S54" s="13"/>
      <c r="T54" s="13"/>
    </row>
    <row r="55" spans="2:20">
      <c r="B55" s="3">
        <f t="shared" si="12"/>
        <v>301.2</v>
      </c>
      <c r="C55" s="25">
        <f t="shared" si="13"/>
        <v>300</v>
      </c>
      <c r="D55" s="25">
        <f t="shared" si="13"/>
        <v>0</v>
      </c>
      <c r="E55" s="82"/>
      <c r="F55" s="64">
        <f t="shared" si="16"/>
        <v>1</v>
      </c>
      <c r="G55" s="77"/>
      <c r="H55" s="22">
        <f t="shared" si="17"/>
        <v>0.2</v>
      </c>
      <c r="I55" s="8" t="str">
        <f>"-peak angle"</f>
        <v>-peak angle</v>
      </c>
      <c r="J55" s="65"/>
      <c r="K55" s="5">
        <v>344</v>
      </c>
      <c r="L55" s="65"/>
      <c r="M55" s="9" t="s">
        <v>30</v>
      </c>
      <c r="N55" s="65"/>
      <c r="O55" s="15" t="s">
        <v>41</v>
      </c>
      <c r="P55" s="13"/>
      <c r="Q55" s="17">
        <v>1</v>
      </c>
      <c r="S55" s="13"/>
      <c r="T55" s="13"/>
    </row>
    <row r="56" spans="2:20">
      <c r="B56" s="3">
        <f t="shared" si="12"/>
        <v>301.3</v>
      </c>
      <c r="C56" s="25">
        <f t="shared" si="13"/>
        <v>300</v>
      </c>
      <c r="D56" s="25">
        <f t="shared" si="13"/>
        <v>0</v>
      </c>
      <c r="E56" s="82"/>
      <c r="F56" s="64">
        <f t="shared" si="16"/>
        <v>1</v>
      </c>
      <c r="G56" s="77"/>
      <c r="H56" s="22">
        <f t="shared" si="17"/>
        <v>0.30000000000000004</v>
      </c>
      <c r="I56" s="8" t="str">
        <f>"+polar @ HM"</f>
        <v>+polar @ HM</v>
      </c>
      <c r="J56" s="65"/>
      <c r="K56" s="5">
        <v>34</v>
      </c>
      <c r="L56" s="65"/>
      <c r="M56" s="9" t="s">
        <v>30</v>
      </c>
      <c r="N56" s="65"/>
      <c r="O56" s="15" t="s">
        <v>21</v>
      </c>
      <c r="P56" s="13"/>
      <c r="Q56" s="17">
        <v>1</v>
      </c>
      <c r="S56" s="13"/>
      <c r="T56" s="13"/>
    </row>
    <row r="57" spans="2:20">
      <c r="B57" s="3">
        <f t="shared" si="12"/>
        <v>301.39999999999998</v>
      </c>
      <c r="C57" s="25">
        <f t="shared" si="13"/>
        <v>300</v>
      </c>
      <c r="D57" s="25">
        <f t="shared" si="13"/>
        <v>0</v>
      </c>
      <c r="E57" s="82"/>
      <c r="F57" s="64">
        <f t="shared" si="16"/>
        <v>1</v>
      </c>
      <c r="G57" s="77"/>
      <c r="H57" s="22">
        <f t="shared" si="17"/>
        <v>0.4</v>
      </c>
      <c r="I57" s="8" t="str">
        <f>"+magnitude"</f>
        <v>+magnitude</v>
      </c>
      <c r="J57" s="65"/>
      <c r="K57" s="5">
        <v>710</v>
      </c>
      <c r="L57" s="65"/>
      <c r="M57" s="65" t="s">
        <v>29</v>
      </c>
      <c r="N57" s="65"/>
      <c r="O57" s="15" t="s">
        <v>42</v>
      </c>
      <c r="P57" s="13"/>
      <c r="Q57" s="17">
        <v>1</v>
      </c>
      <c r="S57" s="13"/>
      <c r="T57" s="13"/>
    </row>
    <row r="58" spans="2:20">
      <c r="B58" s="3">
        <f t="shared" si="12"/>
        <v>301.5</v>
      </c>
      <c r="C58" s="25">
        <f t="shared" si="13"/>
        <v>300</v>
      </c>
      <c r="D58" s="25">
        <f t="shared" si="13"/>
        <v>0</v>
      </c>
      <c r="E58" s="82"/>
      <c r="F58" s="64">
        <f t="shared" si="16"/>
        <v>1</v>
      </c>
      <c r="G58" s="77"/>
      <c r="H58" s="22">
        <f t="shared" si="17"/>
        <v>0.5</v>
      </c>
      <c r="I58" s="8" t="str">
        <f>"+peak angle"</f>
        <v>+peak angle</v>
      </c>
      <c r="J58" s="65"/>
      <c r="K58" s="5">
        <v>14</v>
      </c>
      <c r="L58" s="65"/>
      <c r="M58" s="9" t="s">
        <v>30</v>
      </c>
      <c r="N58" s="65"/>
      <c r="O58" s="15" t="s">
        <v>41</v>
      </c>
      <c r="P58" s="13"/>
      <c r="Q58" s="17">
        <v>1</v>
      </c>
      <c r="S58" s="13"/>
      <c r="T58" s="13"/>
    </row>
    <row r="59" spans="2:20">
      <c r="B59" s="3">
        <f t="shared" si="12"/>
        <v>301.60000000000002</v>
      </c>
      <c r="C59" s="25">
        <f>C57</f>
        <v>300</v>
      </c>
      <c r="D59" s="25">
        <f>D57</f>
        <v>0</v>
      </c>
      <c r="E59" s="82"/>
      <c r="F59" s="64">
        <f>F57</f>
        <v>1</v>
      </c>
      <c r="G59" s="77"/>
      <c r="H59" s="22">
        <f t="shared" si="17"/>
        <v>0.6</v>
      </c>
      <c r="I59" s="8" t="s">
        <v>64</v>
      </c>
      <c r="J59" s="6">
        <f>-L59</f>
        <v>-2</v>
      </c>
      <c r="K59" s="7">
        <f>MAX(K54,K57)/K$49-1</f>
        <v>0.47246891651865019</v>
      </c>
      <c r="L59" s="47">
        <f>Specifications!E10</f>
        <v>2</v>
      </c>
      <c r="M59" s="9" t="s">
        <v>30</v>
      </c>
      <c r="N59" s="65" t="str">
        <f>IF((J59&lt;K59)* (K59&lt;L59),"PASS","FAIL")</f>
        <v>PASS</v>
      </c>
      <c r="O59" s="15"/>
      <c r="P59" s="13"/>
      <c r="R59" s="17">
        <v>1</v>
      </c>
      <c r="S59" s="13"/>
      <c r="T59" s="13"/>
    </row>
    <row r="60" spans="2:20">
      <c r="B60" s="3">
        <f t="shared" si="12"/>
        <v>301.7</v>
      </c>
      <c r="C60" s="25">
        <f>C58</f>
        <v>300</v>
      </c>
      <c r="D60" s="25">
        <f>D58</f>
        <v>0</v>
      </c>
      <c r="E60" s="82"/>
      <c r="F60" s="64">
        <f>F58</f>
        <v>1</v>
      </c>
      <c r="G60" s="77"/>
      <c r="H60" s="22">
        <f t="shared" si="17"/>
        <v>0.7</v>
      </c>
      <c r="I60" s="8" t="s">
        <v>14</v>
      </c>
      <c r="J60" s="65">
        <f>-L60</f>
        <v>-15</v>
      </c>
      <c r="K60" s="10">
        <f>(K56+(K53-360))/2</f>
        <v>-3</v>
      </c>
      <c r="L60" s="65">
        <f>L18</f>
        <v>15</v>
      </c>
      <c r="M60" s="9" t="s">
        <v>30</v>
      </c>
      <c r="N60" s="65" t="str">
        <f>IF((J60&lt;K60)* (K60&lt;L60),"PASS","FAIL")</f>
        <v>PASS</v>
      </c>
      <c r="O60" s="15"/>
      <c r="P60" s="13"/>
      <c r="R60" s="17">
        <v>1</v>
      </c>
      <c r="S60" s="13"/>
      <c r="T60" s="13"/>
    </row>
    <row r="61" spans="2:20">
      <c r="B61" s="3">
        <f t="shared" si="12"/>
        <v>301.8</v>
      </c>
      <c r="C61" s="25">
        <f t="shared" si="13"/>
        <v>300</v>
      </c>
      <c r="D61" s="25">
        <f t="shared" si="13"/>
        <v>0</v>
      </c>
      <c r="E61" s="82"/>
      <c r="F61" s="64">
        <f t="shared" si="16"/>
        <v>1</v>
      </c>
      <c r="G61" s="77"/>
      <c r="H61" s="22">
        <f t="shared" si="17"/>
        <v>0.79999999999999993</v>
      </c>
      <c r="I61" s="8" t="s">
        <v>22</v>
      </c>
      <c r="J61" s="48">
        <f>Specifications!E13</f>
        <v>35</v>
      </c>
      <c r="K61" s="10">
        <f>K56-(K53-360)</f>
        <v>74</v>
      </c>
      <c r="L61" s="48">
        <f>Specifications!E14</f>
        <v>85</v>
      </c>
      <c r="M61" s="9" t="s">
        <v>30</v>
      </c>
      <c r="N61" s="65" t="str">
        <f>IF((J61&lt;K61)* (K61&lt;L61),"PASS","FAIL")</f>
        <v>PASS</v>
      </c>
      <c r="O61" s="15"/>
      <c r="P61" s="13"/>
      <c r="R61" s="17">
        <v>1</v>
      </c>
      <c r="S61" s="13"/>
      <c r="T61" s="13"/>
    </row>
    <row r="62" spans="2:20">
      <c r="B62" s="3">
        <f t="shared" si="12"/>
        <v>302</v>
      </c>
      <c r="C62" s="25">
        <f t="shared" si="13"/>
        <v>300</v>
      </c>
      <c r="D62" s="25">
        <f t="shared" si="13"/>
        <v>0</v>
      </c>
      <c r="E62" s="82"/>
      <c r="F62" s="64">
        <f>F61+1</f>
        <v>2</v>
      </c>
      <c r="G62" s="77" t="str">
        <f>G20</f>
        <v>Azimuth=315°</v>
      </c>
      <c r="H62" s="22">
        <v>0</v>
      </c>
      <c r="I62" s="8" t="str">
        <f>"-polar @ HM"</f>
        <v>-polar @ HM</v>
      </c>
      <c r="J62" s="65"/>
      <c r="K62" s="5">
        <v>330</v>
      </c>
      <c r="L62" s="65"/>
      <c r="M62" s="9" t="s">
        <v>30</v>
      </c>
      <c r="N62" s="65"/>
      <c r="O62" s="15" t="s">
        <v>20</v>
      </c>
      <c r="P62" s="13"/>
      <c r="Q62" s="17">
        <v>1</v>
      </c>
      <c r="S62" s="13"/>
      <c r="T62" s="13"/>
    </row>
    <row r="63" spans="2:20">
      <c r="B63" s="3">
        <f t="shared" si="12"/>
        <v>302.10000000000002</v>
      </c>
      <c r="C63" s="25">
        <f t="shared" si="13"/>
        <v>300</v>
      </c>
      <c r="D63" s="25">
        <f t="shared" si="13"/>
        <v>0</v>
      </c>
      <c r="E63" s="82"/>
      <c r="F63" s="64">
        <f t="shared" si="16"/>
        <v>2</v>
      </c>
      <c r="G63" s="77"/>
      <c r="H63" s="22">
        <f t="shared" si="17"/>
        <v>0.1</v>
      </c>
      <c r="I63" s="8" t="str">
        <f>"-magnitude"</f>
        <v>-magnitude</v>
      </c>
      <c r="J63" s="65"/>
      <c r="K63" s="5">
        <v>836</v>
      </c>
      <c r="L63" s="65"/>
      <c r="M63" s="65" t="s">
        <v>29</v>
      </c>
      <c r="N63" s="65"/>
      <c r="O63" s="15" t="s">
        <v>40</v>
      </c>
      <c r="P63" s="13"/>
      <c r="Q63" s="17">
        <v>1</v>
      </c>
      <c r="S63" s="13"/>
      <c r="T63" s="13"/>
    </row>
    <row r="64" spans="2:20">
      <c r="B64" s="3">
        <f t="shared" si="12"/>
        <v>302.2</v>
      </c>
      <c r="C64" s="25">
        <f t="shared" ref="C64:D79" si="18">C63</f>
        <v>300</v>
      </c>
      <c r="D64" s="25">
        <f t="shared" si="18"/>
        <v>0</v>
      </c>
      <c r="E64" s="82"/>
      <c r="F64" s="64">
        <f t="shared" si="16"/>
        <v>2</v>
      </c>
      <c r="G64" s="77"/>
      <c r="H64" s="22">
        <f t="shared" si="17"/>
        <v>0.2</v>
      </c>
      <c r="I64" s="8" t="str">
        <f>"-peak angle"</f>
        <v>-peak angle</v>
      </c>
      <c r="J64" s="65"/>
      <c r="K64" s="5">
        <v>344</v>
      </c>
      <c r="L64" s="65"/>
      <c r="M64" s="9" t="s">
        <v>30</v>
      </c>
      <c r="N64" s="65"/>
      <c r="O64" s="15" t="s">
        <v>41</v>
      </c>
      <c r="P64" s="13"/>
      <c r="Q64" s="17">
        <v>1</v>
      </c>
      <c r="S64" s="13"/>
      <c r="T64" s="13"/>
    </row>
    <row r="65" spans="2:20">
      <c r="B65" s="3">
        <f t="shared" si="12"/>
        <v>302.3</v>
      </c>
      <c r="C65" s="25">
        <f t="shared" si="18"/>
        <v>300</v>
      </c>
      <c r="D65" s="25">
        <f t="shared" si="18"/>
        <v>0</v>
      </c>
      <c r="E65" s="82"/>
      <c r="F65" s="64">
        <f t="shared" si="16"/>
        <v>2</v>
      </c>
      <c r="G65" s="77"/>
      <c r="H65" s="22">
        <f t="shared" si="17"/>
        <v>0.30000000000000004</v>
      </c>
      <c r="I65" s="8" t="str">
        <f>"+polar @ HM"</f>
        <v>+polar @ HM</v>
      </c>
      <c r="J65" s="65"/>
      <c r="K65" s="5">
        <v>32</v>
      </c>
      <c r="L65" s="65"/>
      <c r="M65" s="9" t="s">
        <v>30</v>
      </c>
      <c r="N65" s="65"/>
      <c r="O65" s="15" t="s">
        <v>21</v>
      </c>
      <c r="P65" s="13"/>
      <c r="Q65" s="17">
        <v>1</v>
      </c>
      <c r="S65" s="13"/>
      <c r="T65" s="13"/>
    </row>
    <row r="66" spans="2:20">
      <c r="B66" s="3">
        <f t="shared" si="12"/>
        <v>302.39999999999998</v>
      </c>
      <c r="C66" s="25">
        <f t="shared" si="18"/>
        <v>300</v>
      </c>
      <c r="D66" s="25">
        <f t="shared" si="18"/>
        <v>0</v>
      </c>
      <c r="E66" s="82"/>
      <c r="F66" s="64">
        <f t="shared" si="16"/>
        <v>2</v>
      </c>
      <c r="G66" s="77"/>
      <c r="H66" s="22">
        <f t="shared" si="17"/>
        <v>0.4</v>
      </c>
      <c r="I66" s="8" t="str">
        <f>"+magnitude"</f>
        <v>+magnitude</v>
      </c>
      <c r="J66" s="65"/>
      <c r="K66" s="5">
        <v>646</v>
      </c>
      <c r="L66" s="65"/>
      <c r="M66" s="65" t="s">
        <v>29</v>
      </c>
      <c r="N66" s="65"/>
      <c r="O66" s="15" t="s">
        <v>42</v>
      </c>
      <c r="P66" s="13"/>
      <c r="Q66" s="17">
        <v>1</v>
      </c>
      <c r="S66" s="13"/>
      <c r="T66" s="13"/>
    </row>
    <row r="67" spans="2:20">
      <c r="B67" s="3">
        <f t="shared" si="12"/>
        <v>302.5</v>
      </c>
      <c r="C67" s="25">
        <f t="shared" si="18"/>
        <v>300</v>
      </c>
      <c r="D67" s="25">
        <f t="shared" si="18"/>
        <v>0</v>
      </c>
      <c r="E67" s="82"/>
      <c r="F67" s="64">
        <f t="shared" si="16"/>
        <v>2</v>
      </c>
      <c r="G67" s="77"/>
      <c r="H67" s="22">
        <f t="shared" si="17"/>
        <v>0.5</v>
      </c>
      <c r="I67" s="8" t="str">
        <f>"+peak angle"</f>
        <v>+peak angle</v>
      </c>
      <c r="J67" s="65"/>
      <c r="K67" s="5">
        <v>12</v>
      </c>
      <c r="L67" s="65"/>
      <c r="M67" s="9" t="s">
        <v>30</v>
      </c>
      <c r="N67" s="65"/>
      <c r="O67" s="15" t="s">
        <v>41</v>
      </c>
      <c r="P67" s="13"/>
      <c r="Q67" s="17">
        <v>1</v>
      </c>
      <c r="S67" s="13"/>
      <c r="T67" s="13"/>
    </row>
    <row r="68" spans="2:20">
      <c r="B68" s="3">
        <f t="shared" si="12"/>
        <v>302.60000000000002</v>
      </c>
      <c r="C68" s="25">
        <f>C66</f>
        <v>300</v>
      </c>
      <c r="D68" s="25">
        <f>D66</f>
        <v>0</v>
      </c>
      <c r="E68" s="82"/>
      <c r="F68" s="64">
        <f>F66</f>
        <v>2</v>
      </c>
      <c r="G68" s="77"/>
      <c r="H68" s="22">
        <f t="shared" si="17"/>
        <v>0.6</v>
      </c>
      <c r="I68" s="8" t="s">
        <v>64</v>
      </c>
      <c r="J68" s="6">
        <f>J59</f>
        <v>-2</v>
      </c>
      <c r="K68" s="7">
        <f>MAX(K63,K66)/K$49-1</f>
        <v>0.48490230905861464</v>
      </c>
      <c r="L68" s="6">
        <f>L59</f>
        <v>2</v>
      </c>
      <c r="M68" s="9" t="s">
        <v>30</v>
      </c>
      <c r="N68" s="65" t="str">
        <f>IF((J68&lt;K68)* (K68&lt;L68),"PASS","FAIL")</f>
        <v>PASS</v>
      </c>
      <c r="O68" s="15"/>
      <c r="P68" s="13"/>
      <c r="R68" s="17">
        <v>1</v>
      </c>
      <c r="S68" s="13"/>
      <c r="T68" s="13"/>
    </row>
    <row r="69" spans="2:20">
      <c r="B69" s="3">
        <f t="shared" si="12"/>
        <v>302.7</v>
      </c>
      <c r="C69" s="25">
        <f>C67</f>
        <v>300</v>
      </c>
      <c r="D69" s="25">
        <f>D67</f>
        <v>0</v>
      </c>
      <c r="E69" s="82"/>
      <c r="F69" s="64">
        <f>F67</f>
        <v>2</v>
      </c>
      <c r="G69" s="77"/>
      <c r="H69" s="22">
        <f t="shared" si="17"/>
        <v>0.7</v>
      </c>
      <c r="I69" s="8" t="s">
        <v>14</v>
      </c>
      <c r="J69" s="65">
        <f>J60</f>
        <v>-15</v>
      </c>
      <c r="K69" s="10">
        <f>(K65+(K62-360))/2</f>
        <v>1</v>
      </c>
      <c r="L69" s="65">
        <f>L60</f>
        <v>15</v>
      </c>
      <c r="M69" s="9" t="s">
        <v>30</v>
      </c>
      <c r="N69" s="65" t="str">
        <f>IF((J69&lt;K69)* (K69&lt;L69),"PASS","FAIL")</f>
        <v>PASS</v>
      </c>
      <c r="O69" s="15"/>
      <c r="P69" s="13"/>
      <c r="R69" s="17">
        <v>1</v>
      </c>
      <c r="S69" s="13"/>
      <c r="T69" s="13"/>
    </row>
    <row r="70" spans="2:20">
      <c r="B70" s="3">
        <f t="shared" si="12"/>
        <v>302.8</v>
      </c>
      <c r="C70" s="25">
        <f t="shared" si="18"/>
        <v>300</v>
      </c>
      <c r="D70" s="25">
        <f t="shared" si="18"/>
        <v>0</v>
      </c>
      <c r="E70" s="82"/>
      <c r="F70" s="64">
        <f t="shared" si="16"/>
        <v>2</v>
      </c>
      <c r="G70" s="77"/>
      <c r="H70" s="22">
        <f t="shared" si="17"/>
        <v>0.79999999999999993</v>
      </c>
      <c r="I70" s="8" t="s">
        <v>22</v>
      </c>
      <c r="J70" s="65">
        <f>J61</f>
        <v>35</v>
      </c>
      <c r="K70" s="10">
        <f>K65-(K62-360)</f>
        <v>62</v>
      </c>
      <c r="L70" s="65">
        <f>L61</f>
        <v>85</v>
      </c>
      <c r="M70" s="9" t="s">
        <v>30</v>
      </c>
      <c r="N70" s="65" t="str">
        <f>IF((J70&lt;K70)* (K70&lt;L70),"PASS","FAIL")</f>
        <v>PASS</v>
      </c>
      <c r="O70" s="15"/>
      <c r="P70" s="13"/>
      <c r="R70" s="17">
        <v>1</v>
      </c>
      <c r="S70" s="13"/>
      <c r="T70" s="13"/>
    </row>
    <row r="71" spans="2:20">
      <c r="B71" s="3">
        <f t="shared" si="12"/>
        <v>303</v>
      </c>
      <c r="C71" s="25">
        <f t="shared" si="18"/>
        <v>300</v>
      </c>
      <c r="D71" s="25">
        <f t="shared" si="18"/>
        <v>0</v>
      </c>
      <c r="E71" s="82"/>
      <c r="F71" s="64">
        <f>F70+1</f>
        <v>3</v>
      </c>
      <c r="G71" s="77" t="str">
        <f>G24</f>
        <v>Azimuth=0°</v>
      </c>
      <c r="H71" s="22">
        <v>0</v>
      </c>
      <c r="I71" s="8" t="str">
        <f>"-polar @ HM"</f>
        <v>-polar @ HM</v>
      </c>
      <c r="J71" s="65"/>
      <c r="K71" s="5">
        <v>325</v>
      </c>
      <c r="L71" s="65"/>
      <c r="M71" s="9" t="s">
        <v>30</v>
      </c>
      <c r="N71" s="65"/>
      <c r="O71" s="15" t="s">
        <v>20</v>
      </c>
      <c r="P71" s="13"/>
      <c r="Q71" s="17">
        <v>1</v>
      </c>
      <c r="S71" s="13"/>
      <c r="T71" s="13"/>
    </row>
    <row r="72" spans="2:20">
      <c r="B72" s="3">
        <f t="shared" si="12"/>
        <v>303.10000000000002</v>
      </c>
      <c r="C72" s="25">
        <f t="shared" si="18"/>
        <v>300</v>
      </c>
      <c r="D72" s="25">
        <f t="shared" si="18"/>
        <v>0</v>
      </c>
      <c r="E72" s="82"/>
      <c r="F72" s="64">
        <f t="shared" si="16"/>
        <v>3</v>
      </c>
      <c r="G72" s="77"/>
      <c r="H72" s="22">
        <f t="shared" si="17"/>
        <v>0.1</v>
      </c>
      <c r="I72" s="8" t="str">
        <f>"-magnitude"</f>
        <v>-magnitude</v>
      </c>
      <c r="J72" s="65"/>
      <c r="K72" s="5">
        <v>635</v>
      </c>
      <c r="L72" s="65"/>
      <c r="M72" s="65" t="s">
        <v>29</v>
      </c>
      <c r="N72" s="65"/>
      <c r="O72" s="15" t="s">
        <v>40</v>
      </c>
      <c r="P72" s="13"/>
      <c r="Q72" s="17">
        <v>1</v>
      </c>
      <c r="S72" s="13"/>
      <c r="T72" s="13"/>
    </row>
    <row r="73" spans="2:20">
      <c r="B73" s="3">
        <f t="shared" si="12"/>
        <v>303.2</v>
      </c>
      <c r="C73" s="25">
        <f t="shared" si="18"/>
        <v>300</v>
      </c>
      <c r="D73" s="25">
        <f t="shared" si="18"/>
        <v>0</v>
      </c>
      <c r="E73" s="82"/>
      <c r="F73" s="64">
        <f t="shared" si="16"/>
        <v>3</v>
      </c>
      <c r="G73" s="77"/>
      <c r="H73" s="22">
        <f t="shared" si="17"/>
        <v>0.2</v>
      </c>
      <c r="I73" s="8" t="str">
        <f>"-peak angle"</f>
        <v>-peak angle</v>
      </c>
      <c r="J73" s="65"/>
      <c r="K73" s="5">
        <v>350</v>
      </c>
      <c r="L73" s="65"/>
      <c r="M73" s="9" t="s">
        <v>30</v>
      </c>
      <c r="N73" s="65"/>
      <c r="O73" s="15" t="s">
        <v>41</v>
      </c>
      <c r="P73" s="13"/>
      <c r="Q73" s="17">
        <v>1</v>
      </c>
      <c r="S73" s="13"/>
      <c r="T73" s="13"/>
    </row>
    <row r="74" spans="2:20">
      <c r="B74" s="3">
        <f t="shared" si="12"/>
        <v>303.3</v>
      </c>
      <c r="C74" s="25">
        <f t="shared" si="18"/>
        <v>300</v>
      </c>
      <c r="D74" s="25">
        <f t="shared" si="18"/>
        <v>0</v>
      </c>
      <c r="E74" s="82"/>
      <c r="F74" s="64">
        <f t="shared" si="16"/>
        <v>3</v>
      </c>
      <c r="G74" s="77"/>
      <c r="H74" s="22">
        <f t="shared" si="17"/>
        <v>0.30000000000000004</v>
      </c>
      <c r="I74" s="8" t="str">
        <f>"+polar @ HM"</f>
        <v>+polar @ HM</v>
      </c>
      <c r="J74" s="65"/>
      <c r="K74" s="5">
        <v>22</v>
      </c>
      <c r="L74" s="65"/>
      <c r="M74" s="9" t="s">
        <v>30</v>
      </c>
      <c r="N74" s="65"/>
      <c r="O74" s="15" t="s">
        <v>21</v>
      </c>
      <c r="P74" s="13"/>
      <c r="Q74" s="17">
        <v>1</v>
      </c>
      <c r="S74" s="13"/>
      <c r="T74" s="13"/>
    </row>
    <row r="75" spans="2:20">
      <c r="B75" s="3">
        <f t="shared" si="12"/>
        <v>303.39999999999998</v>
      </c>
      <c r="C75" s="25">
        <f t="shared" si="18"/>
        <v>300</v>
      </c>
      <c r="D75" s="25">
        <f t="shared" si="18"/>
        <v>0</v>
      </c>
      <c r="E75" s="82"/>
      <c r="F75" s="64">
        <f t="shared" si="16"/>
        <v>3</v>
      </c>
      <c r="G75" s="77"/>
      <c r="H75" s="22">
        <f t="shared" si="17"/>
        <v>0.4</v>
      </c>
      <c r="I75" s="8" t="str">
        <f>"+magnitude"</f>
        <v>+magnitude</v>
      </c>
      <c r="J75" s="65"/>
      <c r="K75" s="5">
        <v>749</v>
      </c>
      <c r="L75" s="65"/>
      <c r="M75" s="65" t="s">
        <v>29</v>
      </c>
      <c r="N75" s="65"/>
      <c r="O75" s="15" t="s">
        <v>42</v>
      </c>
      <c r="P75" s="13"/>
      <c r="Q75" s="17">
        <v>1</v>
      </c>
      <c r="S75" s="13"/>
      <c r="T75" s="13"/>
    </row>
    <row r="76" spans="2:20">
      <c r="B76" s="3">
        <f t="shared" si="12"/>
        <v>303.5</v>
      </c>
      <c r="C76" s="25">
        <f t="shared" si="18"/>
        <v>300</v>
      </c>
      <c r="D76" s="25">
        <f t="shared" si="18"/>
        <v>0</v>
      </c>
      <c r="E76" s="82"/>
      <c r="F76" s="64">
        <f t="shared" si="16"/>
        <v>3</v>
      </c>
      <c r="G76" s="77"/>
      <c r="H76" s="22">
        <f t="shared" si="17"/>
        <v>0.5</v>
      </c>
      <c r="I76" s="8" t="str">
        <f>"+peak angle"</f>
        <v>+peak angle</v>
      </c>
      <c r="J76" s="65"/>
      <c r="K76" s="5">
        <v>12</v>
      </c>
      <c r="L76" s="65"/>
      <c r="M76" s="9" t="s">
        <v>30</v>
      </c>
      <c r="N76" s="65"/>
      <c r="O76" s="15" t="s">
        <v>41</v>
      </c>
      <c r="P76" s="13"/>
      <c r="Q76" s="17">
        <v>1</v>
      </c>
      <c r="S76" s="13"/>
      <c r="T76" s="13"/>
    </row>
    <row r="77" spans="2:20">
      <c r="B77" s="3">
        <f t="shared" si="12"/>
        <v>303.60000000000002</v>
      </c>
      <c r="C77" s="25">
        <f t="shared" si="18"/>
        <v>300</v>
      </c>
      <c r="D77" s="25">
        <f t="shared" si="18"/>
        <v>0</v>
      </c>
      <c r="E77" s="82"/>
      <c r="F77" s="64">
        <f t="shared" si="16"/>
        <v>3</v>
      </c>
      <c r="G77" s="77"/>
      <c r="H77" s="22">
        <f t="shared" si="17"/>
        <v>0.6</v>
      </c>
      <c r="I77" s="8" t="s">
        <v>64</v>
      </c>
      <c r="J77" s="6">
        <f>J68</f>
        <v>-2</v>
      </c>
      <c r="K77" s="7">
        <f>MAX(K72,K75)/K$49-1</f>
        <v>0.33037300177619899</v>
      </c>
      <c r="L77" s="6">
        <f>L68</f>
        <v>2</v>
      </c>
      <c r="M77" s="9" t="s">
        <v>30</v>
      </c>
      <c r="N77" s="65" t="str">
        <f>IF((J77&lt;K77)* (K77&lt;L77),"PASS","FAIL")</f>
        <v>PASS</v>
      </c>
      <c r="O77" s="15"/>
      <c r="P77" s="13"/>
      <c r="R77" s="17">
        <v>1</v>
      </c>
      <c r="S77" s="13"/>
      <c r="T77" s="13"/>
    </row>
    <row r="78" spans="2:20">
      <c r="B78" s="3">
        <f t="shared" si="12"/>
        <v>303.7</v>
      </c>
      <c r="C78" s="25">
        <f t="shared" si="18"/>
        <v>300</v>
      </c>
      <c r="D78" s="25">
        <f t="shared" si="18"/>
        <v>0</v>
      </c>
      <c r="E78" s="82"/>
      <c r="F78" s="64">
        <f>F76</f>
        <v>3</v>
      </c>
      <c r="G78" s="77"/>
      <c r="H78" s="22">
        <f t="shared" si="17"/>
        <v>0.7</v>
      </c>
      <c r="I78" s="8" t="s">
        <v>14</v>
      </c>
      <c r="J78" s="65">
        <f>J69</f>
        <v>-15</v>
      </c>
      <c r="K78" s="10">
        <f>(K74+(K71-360))/2</f>
        <v>-6.5</v>
      </c>
      <c r="L78" s="65">
        <f>L69</f>
        <v>15</v>
      </c>
      <c r="M78" s="9" t="s">
        <v>30</v>
      </c>
      <c r="N78" s="65" t="str">
        <f>IF((J78&lt;K78)* (K78&lt;L78),"PASS","FAIL")</f>
        <v>PASS</v>
      </c>
      <c r="O78" s="15"/>
      <c r="P78" s="13"/>
      <c r="R78" s="17">
        <v>1</v>
      </c>
      <c r="S78" s="13"/>
      <c r="T78" s="13"/>
    </row>
    <row r="79" spans="2:20">
      <c r="B79" s="3">
        <f t="shared" si="12"/>
        <v>303.8</v>
      </c>
      <c r="C79" s="25">
        <f t="shared" si="18"/>
        <v>300</v>
      </c>
      <c r="D79" s="25">
        <f t="shared" si="18"/>
        <v>0</v>
      </c>
      <c r="E79" s="82"/>
      <c r="F79" s="64">
        <f t="shared" si="16"/>
        <v>3</v>
      </c>
      <c r="G79" s="77"/>
      <c r="H79" s="22">
        <f t="shared" si="17"/>
        <v>0.79999999999999993</v>
      </c>
      <c r="I79" s="8" t="s">
        <v>22</v>
      </c>
      <c r="J79" s="65">
        <f>J70</f>
        <v>35</v>
      </c>
      <c r="K79" s="10">
        <f>K74-(K71-360)</f>
        <v>57</v>
      </c>
      <c r="L79" s="65">
        <f>L70</f>
        <v>85</v>
      </c>
      <c r="M79" s="9" t="s">
        <v>30</v>
      </c>
      <c r="N79" s="65" t="str">
        <f>IF((J79&lt;K79)* (K79&lt;L79),"PASS","FAIL")</f>
        <v>PASS</v>
      </c>
      <c r="O79" s="15"/>
      <c r="P79" s="13"/>
      <c r="R79" s="17">
        <v>1</v>
      </c>
      <c r="S79" s="13"/>
      <c r="T79" s="13"/>
    </row>
    <row r="80" spans="2:20">
      <c r="B80" s="3">
        <f t="shared" si="12"/>
        <v>304</v>
      </c>
      <c r="C80" s="25">
        <f t="shared" ref="C80:D88" si="19">C79</f>
        <v>300</v>
      </c>
      <c r="D80" s="25">
        <f t="shared" si="19"/>
        <v>0</v>
      </c>
      <c r="E80" s="82"/>
      <c r="F80" s="64">
        <f>F79+1</f>
        <v>4</v>
      </c>
      <c r="G80" s="77" t="str">
        <f>G28</f>
        <v>Azimuth=45°</v>
      </c>
      <c r="H80" s="22">
        <v>0</v>
      </c>
      <c r="I80" s="8" t="str">
        <f>"-polar @ HM"</f>
        <v>-polar @ HM</v>
      </c>
      <c r="J80" s="65"/>
      <c r="K80" s="5">
        <v>325</v>
      </c>
      <c r="L80" s="65"/>
      <c r="M80" s="9" t="s">
        <v>30</v>
      </c>
      <c r="N80" s="65"/>
      <c r="O80" s="15" t="s">
        <v>20</v>
      </c>
      <c r="P80" s="13"/>
      <c r="Q80" s="17">
        <v>1</v>
      </c>
      <c r="S80" s="13"/>
      <c r="T80" s="13"/>
    </row>
    <row r="81" spans="2:20">
      <c r="B81" s="3">
        <f t="shared" si="12"/>
        <v>304.10000000000002</v>
      </c>
      <c r="C81" s="25">
        <f t="shared" si="19"/>
        <v>300</v>
      </c>
      <c r="D81" s="25">
        <f t="shared" si="19"/>
        <v>0</v>
      </c>
      <c r="E81" s="82"/>
      <c r="F81" s="64">
        <f t="shared" si="16"/>
        <v>4</v>
      </c>
      <c r="G81" s="77"/>
      <c r="H81" s="22">
        <f t="shared" si="17"/>
        <v>0.1</v>
      </c>
      <c r="I81" s="8" t="str">
        <f>"-magnitude"</f>
        <v>-magnitude</v>
      </c>
      <c r="J81" s="65"/>
      <c r="K81" s="5">
        <v>609</v>
      </c>
      <c r="L81" s="65"/>
      <c r="M81" s="65" t="s">
        <v>29</v>
      </c>
      <c r="N81" s="65"/>
      <c r="O81" s="15" t="s">
        <v>40</v>
      </c>
      <c r="P81" s="13"/>
      <c r="Q81" s="17">
        <v>1</v>
      </c>
      <c r="S81" s="13"/>
      <c r="T81" s="13"/>
    </row>
    <row r="82" spans="2:20">
      <c r="B82" s="3">
        <f t="shared" si="12"/>
        <v>304.2</v>
      </c>
      <c r="C82" s="25">
        <f t="shared" si="19"/>
        <v>300</v>
      </c>
      <c r="D82" s="25">
        <f t="shared" si="19"/>
        <v>0</v>
      </c>
      <c r="E82" s="82"/>
      <c r="F82" s="64">
        <f t="shared" si="16"/>
        <v>4</v>
      </c>
      <c r="G82" s="77"/>
      <c r="H82" s="22">
        <f t="shared" si="17"/>
        <v>0.2</v>
      </c>
      <c r="I82" s="8" t="str">
        <f>"-peak angle"</f>
        <v>-peak angle</v>
      </c>
      <c r="J82" s="65"/>
      <c r="K82" s="5">
        <v>347</v>
      </c>
      <c r="L82" s="65"/>
      <c r="M82" s="9" t="s">
        <v>30</v>
      </c>
      <c r="N82" s="65"/>
      <c r="O82" s="15" t="s">
        <v>41</v>
      </c>
      <c r="P82" s="13"/>
      <c r="Q82" s="17">
        <v>1</v>
      </c>
      <c r="S82" s="13"/>
      <c r="T82" s="13"/>
    </row>
    <row r="83" spans="2:20">
      <c r="B83" s="3">
        <f t="shared" si="12"/>
        <v>304.3</v>
      </c>
      <c r="C83" s="25">
        <f t="shared" si="19"/>
        <v>300</v>
      </c>
      <c r="D83" s="25">
        <f t="shared" si="19"/>
        <v>0</v>
      </c>
      <c r="E83" s="82"/>
      <c r="F83" s="64">
        <f t="shared" si="16"/>
        <v>4</v>
      </c>
      <c r="G83" s="77"/>
      <c r="H83" s="22">
        <f t="shared" si="17"/>
        <v>0.30000000000000004</v>
      </c>
      <c r="I83" s="8" t="str">
        <f>"+polar @ HM"</f>
        <v>+polar @ HM</v>
      </c>
      <c r="J83" s="65"/>
      <c r="K83" s="5">
        <v>35</v>
      </c>
      <c r="L83" s="65"/>
      <c r="M83" s="9" t="s">
        <v>30</v>
      </c>
      <c r="N83" s="65"/>
      <c r="O83" s="15" t="s">
        <v>21</v>
      </c>
      <c r="P83" s="13"/>
      <c r="Q83" s="17">
        <v>1</v>
      </c>
      <c r="S83" s="13"/>
      <c r="T83" s="13"/>
    </row>
    <row r="84" spans="2:20">
      <c r="B84" s="3">
        <f t="shared" si="12"/>
        <v>304.39999999999998</v>
      </c>
      <c r="C84" s="25">
        <f t="shared" si="19"/>
        <v>300</v>
      </c>
      <c r="D84" s="25">
        <f t="shared" si="19"/>
        <v>0</v>
      </c>
      <c r="E84" s="82"/>
      <c r="F84" s="64">
        <f t="shared" si="16"/>
        <v>4</v>
      </c>
      <c r="G84" s="77"/>
      <c r="H84" s="22">
        <f t="shared" si="17"/>
        <v>0.4</v>
      </c>
      <c r="I84" s="8" t="str">
        <f>"+magnitude"</f>
        <v>+magnitude</v>
      </c>
      <c r="J84" s="65"/>
      <c r="K84" s="5">
        <v>902</v>
      </c>
      <c r="L84" s="65"/>
      <c r="M84" s="65" t="s">
        <v>29</v>
      </c>
      <c r="N84" s="65"/>
      <c r="O84" s="15" t="s">
        <v>42</v>
      </c>
      <c r="P84" s="13"/>
      <c r="Q84" s="17">
        <v>1</v>
      </c>
      <c r="S84" s="13"/>
      <c r="T84" s="13"/>
    </row>
    <row r="85" spans="2:20">
      <c r="B85" s="3">
        <f t="shared" si="12"/>
        <v>304.5</v>
      </c>
      <c r="C85" s="25">
        <f t="shared" si="19"/>
        <v>300</v>
      </c>
      <c r="D85" s="25">
        <f t="shared" si="19"/>
        <v>0</v>
      </c>
      <c r="E85" s="82"/>
      <c r="F85" s="64">
        <f t="shared" si="16"/>
        <v>4</v>
      </c>
      <c r="G85" s="77"/>
      <c r="H85" s="22">
        <f t="shared" si="17"/>
        <v>0.5</v>
      </c>
      <c r="I85" s="8" t="str">
        <f>"+peak angle"</f>
        <v>+peak angle</v>
      </c>
      <c r="J85" s="65"/>
      <c r="K85" s="5">
        <v>34</v>
      </c>
      <c r="L85" s="65"/>
      <c r="M85" s="9" t="s">
        <v>30</v>
      </c>
      <c r="N85" s="65"/>
      <c r="O85" s="15" t="s">
        <v>41</v>
      </c>
      <c r="P85" s="13"/>
      <c r="Q85" s="17">
        <v>1</v>
      </c>
      <c r="S85" s="13"/>
      <c r="T85" s="13"/>
    </row>
    <row r="86" spans="2:20">
      <c r="B86" s="3">
        <f t="shared" si="12"/>
        <v>304.60000000000002</v>
      </c>
      <c r="C86" s="25">
        <f t="shared" si="19"/>
        <v>300</v>
      </c>
      <c r="D86" s="25">
        <f t="shared" si="19"/>
        <v>0</v>
      </c>
      <c r="E86" s="82"/>
      <c r="F86" s="64">
        <f t="shared" si="16"/>
        <v>4</v>
      </c>
      <c r="G86" s="77"/>
      <c r="H86" s="22">
        <f t="shared" si="17"/>
        <v>0.6</v>
      </c>
      <c r="I86" s="8" t="s">
        <v>64</v>
      </c>
      <c r="J86" s="6">
        <f>J77</f>
        <v>-2</v>
      </c>
      <c r="K86" s="7">
        <f>MAX(K81,K84)/K$49-1</f>
        <v>0.60213143872113672</v>
      </c>
      <c r="L86" s="6">
        <f>L77</f>
        <v>2</v>
      </c>
      <c r="M86" s="9" t="s">
        <v>30</v>
      </c>
      <c r="N86" s="65" t="str">
        <f>IF((J86&lt;K86)* (K86&lt;L86),"PASS","FAIL")</f>
        <v>PASS</v>
      </c>
      <c r="O86" s="15"/>
      <c r="P86" s="13"/>
      <c r="R86" s="17">
        <v>1</v>
      </c>
      <c r="S86" s="13"/>
      <c r="T86" s="13"/>
    </row>
    <row r="87" spans="2:20">
      <c r="B87" s="3">
        <f t="shared" si="12"/>
        <v>304.7</v>
      </c>
      <c r="C87" s="25">
        <f t="shared" si="19"/>
        <v>300</v>
      </c>
      <c r="D87" s="25">
        <f t="shared" si="19"/>
        <v>0</v>
      </c>
      <c r="E87" s="82"/>
      <c r="F87" s="64">
        <f t="shared" si="16"/>
        <v>4</v>
      </c>
      <c r="G87" s="77"/>
      <c r="H87" s="22">
        <f t="shared" si="17"/>
        <v>0.7</v>
      </c>
      <c r="I87" s="8" t="s">
        <v>14</v>
      </c>
      <c r="J87" s="65">
        <f>J78</f>
        <v>-15</v>
      </c>
      <c r="K87" s="10">
        <f>(K83+(K80-360))/2</f>
        <v>0</v>
      </c>
      <c r="L87" s="65">
        <f t="shared" ref="L87:L88" si="20">L78</f>
        <v>15</v>
      </c>
      <c r="M87" s="9" t="s">
        <v>30</v>
      </c>
      <c r="N87" s="65" t="str">
        <f>IF((J87&lt;K87)* (K87&lt;L87),"PASS","FAIL")</f>
        <v>PASS</v>
      </c>
      <c r="O87" s="15"/>
      <c r="P87" s="13"/>
      <c r="R87" s="17">
        <v>1</v>
      </c>
      <c r="S87" s="13"/>
      <c r="T87" s="13"/>
    </row>
    <row r="88" spans="2:20">
      <c r="B88" s="3">
        <f t="shared" si="12"/>
        <v>304.8</v>
      </c>
      <c r="C88" s="25">
        <f t="shared" si="19"/>
        <v>300</v>
      </c>
      <c r="D88" s="25">
        <f t="shared" si="19"/>
        <v>0</v>
      </c>
      <c r="E88" s="83"/>
      <c r="F88" s="64">
        <f t="shared" si="16"/>
        <v>4</v>
      </c>
      <c r="G88" s="77"/>
      <c r="H88" s="22">
        <f t="shared" si="17"/>
        <v>0.79999999999999993</v>
      </c>
      <c r="I88" s="8" t="s">
        <v>22</v>
      </c>
      <c r="J88" s="65">
        <f t="shared" ref="J88" si="21">J79</f>
        <v>35</v>
      </c>
      <c r="K88" s="10">
        <f>K83-(K80-360)</f>
        <v>70</v>
      </c>
      <c r="L88" s="65">
        <f t="shared" si="20"/>
        <v>85</v>
      </c>
      <c r="M88" s="9" t="s">
        <v>30</v>
      </c>
      <c r="N88" s="65" t="str">
        <f>IF((J88&lt;K88)* (K88&lt;L88),"PASS","FAIL")</f>
        <v>PASS</v>
      </c>
      <c r="O88" s="15"/>
      <c r="P88" s="13"/>
      <c r="R88" s="17">
        <v>1</v>
      </c>
      <c r="S88" s="13"/>
      <c r="T88" s="13"/>
    </row>
    <row r="89" spans="2:20">
      <c r="B89" s="90"/>
      <c r="C89" s="91"/>
      <c r="D89" s="92"/>
      <c r="E89" s="86" t="s">
        <v>43</v>
      </c>
      <c r="F89" s="86"/>
      <c r="G89" s="86"/>
      <c r="H89" s="3"/>
      <c r="I89" s="8" t="s">
        <v>0</v>
      </c>
      <c r="J89" s="65"/>
      <c r="K89" s="65">
        <f>K48</f>
        <v>8440</v>
      </c>
      <c r="L89" s="65"/>
      <c r="M89" s="65"/>
      <c r="N89" s="65"/>
      <c r="O89" s="15" t="str">
        <f>"Swap 0.4ND for Photopic filter &amp; adjust current to "&amp;Calibration!D9&amp;" amps"</f>
        <v>Swap 0.4ND for Photopic filter &amp; adjust current to 8.36 amps</v>
      </c>
      <c r="P89" s="13"/>
      <c r="S89" s="13"/>
      <c r="T89" s="13"/>
    </row>
    <row r="90" spans="2:20" ht="15" customHeight="1">
      <c r="B90" s="3">
        <f t="shared" ref="B90:B117" si="22">C90+D90+F90+H90</f>
        <v>400</v>
      </c>
      <c r="C90" s="26">
        <f>C88+100</f>
        <v>400</v>
      </c>
      <c r="D90" s="26">
        <v>0</v>
      </c>
      <c r="E90" s="74" t="s">
        <v>35</v>
      </c>
      <c r="F90" s="23">
        <v>0</v>
      </c>
      <c r="G90" s="86"/>
      <c r="H90" s="22">
        <v>0</v>
      </c>
      <c r="I90" s="8" t="s">
        <v>9</v>
      </c>
      <c r="J90" s="65"/>
      <c r="K90" s="18">
        <v>197</v>
      </c>
      <c r="L90" s="65"/>
      <c r="M90" s="65" t="s">
        <v>29</v>
      </c>
      <c r="N90" s="65"/>
      <c r="O90" s="15" t="s">
        <v>16</v>
      </c>
      <c r="P90" s="13"/>
      <c r="Q90" s="17">
        <v>1</v>
      </c>
      <c r="S90" s="13"/>
      <c r="T90" s="13"/>
    </row>
    <row r="91" spans="2:20" ht="15" customHeight="1">
      <c r="B91" s="3">
        <f t="shared" si="22"/>
        <v>400.1</v>
      </c>
      <c r="C91" s="25">
        <f t="shared" ref="C91:D106" si="23">C90</f>
        <v>400</v>
      </c>
      <c r="D91" s="25">
        <f t="shared" si="23"/>
        <v>0</v>
      </c>
      <c r="E91" s="75"/>
      <c r="F91" s="63">
        <f t="shared" ref="F91:F93" si="24">F90</f>
        <v>0</v>
      </c>
      <c r="G91" s="86"/>
      <c r="H91" s="22">
        <f t="shared" ref="H91:H93" si="25">H90+0.1</f>
        <v>0.1</v>
      </c>
      <c r="I91" s="8" t="s">
        <v>66</v>
      </c>
      <c r="J91" s="65"/>
      <c r="K91" s="7">
        <f>K90/K89</f>
        <v>2.3341232227488153E-2</v>
      </c>
      <c r="L91" s="65"/>
      <c r="M91" s="65"/>
      <c r="N91" s="65"/>
      <c r="O91" s="70" t="s">
        <v>70</v>
      </c>
      <c r="P91" s="13"/>
      <c r="S91" s="13"/>
      <c r="T91" s="13"/>
    </row>
    <row r="92" spans="2:20" ht="15" customHeight="1">
      <c r="B92" s="3">
        <f t="shared" si="22"/>
        <v>400.2</v>
      </c>
      <c r="C92" s="25">
        <f t="shared" si="23"/>
        <v>400</v>
      </c>
      <c r="D92" s="25">
        <f t="shared" si="23"/>
        <v>0</v>
      </c>
      <c r="E92" s="75"/>
      <c r="F92" s="63">
        <f t="shared" si="24"/>
        <v>0</v>
      </c>
      <c r="G92" s="86"/>
      <c r="H92" s="22">
        <f t="shared" si="25"/>
        <v>0.2</v>
      </c>
      <c r="I92" s="8" t="s">
        <v>67</v>
      </c>
      <c r="J92" s="65"/>
      <c r="K92" s="20">
        <f>1/K91</f>
        <v>42.842639593908629</v>
      </c>
      <c r="L92" s="65"/>
      <c r="M92" s="65"/>
      <c r="N92" s="65"/>
      <c r="O92" s="71"/>
      <c r="P92" s="13"/>
      <c r="S92" s="13"/>
      <c r="T92" s="13"/>
    </row>
    <row r="93" spans="2:20" ht="15" customHeight="1">
      <c r="B93" s="3">
        <f t="shared" si="22"/>
        <v>400.3</v>
      </c>
      <c r="C93" s="25">
        <f t="shared" si="23"/>
        <v>400</v>
      </c>
      <c r="D93" s="25">
        <f t="shared" si="23"/>
        <v>0</v>
      </c>
      <c r="E93" s="75"/>
      <c r="F93" s="63">
        <f t="shared" si="24"/>
        <v>0</v>
      </c>
      <c r="G93" s="86"/>
      <c r="H93" s="22">
        <f t="shared" si="25"/>
        <v>0.30000000000000004</v>
      </c>
      <c r="I93" s="8" t="s">
        <v>44</v>
      </c>
      <c r="J93" s="6">
        <f>-L93</f>
        <v>-1</v>
      </c>
      <c r="K93" s="7">
        <f>2*(K49-K90)/(K49+K90)</f>
        <v>0.9631578947368421</v>
      </c>
      <c r="L93" s="47">
        <f>Specifications!E17</f>
        <v>1</v>
      </c>
      <c r="M93" s="6" t="s">
        <v>28</v>
      </c>
      <c r="N93" s="65" t="str">
        <f>IF((J93&lt;K93)* (K93&lt;L93),"PASS","FAIL")</f>
        <v>PASS</v>
      </c>
      <c r="O93" s="8"/>
      <c r="R93" s="17">
        <v>1</v>
      </c>
      <c r="S93" s="13"/>
      <c r="T93" s="13"/>
    </row>
    <row r="94" spans="2:20" ht="15" customHeight="1">
      <c r="B94" s="3">
        <f t="shared" si="22"/>
        <v>401</v>
      </c>
      <c r="C94" s="25">
        <f t="shared" si="23"/>
        <v>400</v>
      </c>
      <c r="D94" s="25">
        <f t="shared" si="23"/>
        <v>0</v>
      </c>
      <c r="E94" s="75"/>
      <c r="F94" s="64">
        <f>F93+1</f>
        <v>1</v>
      </c>
      <c r="G94" s="74" t="str">
        <f>G53</f>
        <v>Azimuth=270°</v>
      </c>
      <c r="H94" s="22">
        <v>0</v>
      </c>
      <c r="I94" s="8" t="str">
        <f>"-peak angle"</f>
        <v>-peak angle</v>
      </c>
      <c r="J94" s="65"/>
      <c r="K94" s="10">
        <f>K55</f>
        <v>344</v>
      </c>
      <c r="L94" s="65"/>
      <c r="M94" s="9" t="s">
        <v>30</v>
      </c>
      <c r="N94" s="65"/>
      <c r="O94" s="15"/>
      <c r="P94" s="13"/>
      <c r="S94" s="13"/>
      <c r="T94" s="13"/>
    </row>
    <row r="95" spans="2:20">
      <c r="B95" s="3">
        <f t="shared" si="22"/>
        <v>401.1</v>
      </c>
      <c r="C95" s="25">
        <f t="shared" si="23"/>
        <v>400</v>
      </c>
      <c r="D95" s="25">
        <f t="shared" si="23"/>
        <v>0</v>
      </c>
      <c r="E95" s="75"/>
      <c r="F95" s="64">
        <f t="shared" ref="F95:F117" si="26">F94</f>
        <v>1</v>
      </c>
      <c r="G95" s="75"/>
      <c r="H95" s="22">
        <f t="shared" ref="H95:H117" si="27">H94+0.1</f>
        <v>0.1</v>
      </c>
      <c r="I95" s="8" t="str">
        <f>"-magnitude"</f>
        <v>-magnitude</v>
      </c>
      <c r="J95" s="65"/>
      <c r="K95" s="5">
        <v>220</v>
      </c>
      <c r="L95" s="65"/>
      <c r="M95" s="65" t="s">
        <v>29</v>
      </c>
      <c r="N95" s="65"/>
      <c r="O95" s="15" t="s">
        <v>40</v>
      </c>
      <c r="P95" s="13"/>
      <c r="Q95" s="17">
        <v>1</v>
      </c>
      <c r="S95" s="13"/>
      <c r="T95" s="13"/>
    </row>
    <row r="96" spans="2:20">
      <c r="B96" s="3">
        <f t="shared" si="22"/>
        <v>401.2</v>
      </c>
      <c r="C96" s="25">
        <f t="shared" si="23"/>
        <v>400</v>
      </c>
      <c r="D96" s="25">
        <f t="shared" si="23"/>
        <v>0</v>
      </c>
      <c r="E96" s="75"/>
      <c r="F96" s="64">
        <f t="shared" si="26"/>
        <v>1</v>
      </c>
      <c r="G96" s="75"/>
      <c r="H96" s="22">
        <f t="shared" si="27"/>
        <v>0.2</v>
      </c>
      <c r="I96" s="8" t="str">
        <f>"+peak angle"</f>
        <v>+peak angle</v>
      </c>
      <c r="J96" s="65"/>
      <c r="K96" s="10">
        <f>K58</f>
        <v>14</v>
      </c>
      <c r="L96" s="65"/>
      <c r="M96" s="9" t="s">
        <v>30</v>
      </c>
      <c r="N96" s="65"/>
      <c r="O96" s="15"/>
      <c r="P96" s="13"/>
      <c r="S96" s="13"/>
      <c r="T96" s="13"/>
    </row>
    <row r="97" spans="2:20">
      <c r="B97" s="3">
        <f t="shared" si="22"/>
        <v>401.3</v>
      </c>
      <c r="C97" s="25">
        <f t="shared" si="23"/>
        <v>400</v>
      </c>
      <c r="D97" s="25">
        <f t="shared" si="23"/>
        <v>0</v>
      </c>
      <c r="E97" s="75"/>
      <c r="F97" s="64">
        <f t="shared" si="26"/>
        <v>1</v>
      </c>
      <c r="G97" s="75"/>
      <c r="H97" s="22">
        <f t="shared" si="27"/>
        <v>0.30000000000000004</v>
      </c>
      <c r="I97" s="8" t="str">
        <f>"+magnitude"</f>
        <v>+magnitude</v>
      </c>
      <c r="J97" s="65"/>
      <c r="K97" s="5">
        <v>219</v>
      </c>
      <c r="L97" s="65"/>
      <c r="M97" s="65" t="s">
        <v>29</v>
      </c>
      <c r="N97" s="65"/>
      <c r="O97" s="15" t="s">
        <v>42</v>
      </c>
      <c r="P97" s="13"/>
      <c r="Q97" s="17">
        <v>1</v>
      </c>
      <c r="S97" s="13"/>
      <c r="T97" s="13"/>
    </row>
    <row r="98" spans="2:20">
      <c r="B98" s="3">
        <f t="shared" si="22"/>
        <v>401.4</v>
      </c>
      <c r="C98" s="25">
        <f t="shared" si="23"/>
        <v>400</v>
      </c>
      <c r="D98" s="25">
        <f t="shared" si="23"/>
        <v>0</v>
      </c>
      <c r="E98" s="75"/>
      <c r="F98" s="64">
        <f t="shared" si="26"/>
        <v>1</v>
      </c>
      <c r="G98" s="75"/>
      <c r="H98" s="22">
        <f t="shared" si="27"/>
        <v>0.4</v>
      </c>
      <c r="I98" s="8" t="s">
        <v>45</v>
      </c>
      <c r="J98" s="6">
        <f>-L98</f>
        <v>-2</v>
      </c>
      <c r="K98" s="7">
        <f>2*(K54-K95)/(K54+K95)</f>
        <v>1.1611058150619638</v>
      </c>
      <c r="L98" s="47">
        <f>Specifications!E18</f>
        <v>2</v>
      </c>
      <c r="M98" s="6" t="s">
        <v>28</v>
      </c>
      <c r="N98" s="65" t="str">
        <f>IF((J98&lt;K98)* (K98&lt;L98),"PASS","FAIL")</f>
        <v>PASS</v>
      </c>
      <c r="O98" s="8"/>
      <c r="R98" s="17">
        <v>1</v>
      </c>
    </row>
    <row r="99" spans="2:20">
      <c r="B99" s="3">
        <f t="shared" si="22"/>
        <v>401.5</v>
      </c>
      <c r="C99" s="25">
        <f t="shared" si="23"/>
        <v>400</v>
      </c>
      <c r="D99" s="25">
        <f t="shared" si="23"/>
        <v>0</v>
      </c>
      <c r="E99" s="75"/>
      <c r="F99" s="64">
        <f t="shared" si="26"/>
        <v>1</v>
      </c>
      <c r="G99" s="76"/>
      <c r="H99" s="22">
        <f t="shared" si="27"/>
        <v>0.5</v>
      </c>
      <c r="I99" s="8" t="s">
        <v>46</v>
      </c>
      <c r="J99" s="6">
        <f>J98</f>
        <v>-2</v>
      </c>
      <c r="K99" s="7">
        <f>2*(K57-K97)/(K57+K97)</f>
        <v>1.0570505920344457</v>
      </c>
      <c r="L99" s="6">
        <f>L98</f>
        <v>2</v>
      </c>
      <c r="M99" s="6" t="s">
        <v>28</v>
      </c>
      <c r="N99" s="65" t="str">
        <f>IF((J99&lt;K99)* (K99&lt;L99),"PASS","FAIL")</f>
        <v>PASS</v>
      </c>
      <c r="O99" s="8"/>
      <c r="R99" s="17">
        <v>1</v>
      </c>
    </row>
    <row r="100" spans="2:20" ht="15" customHeight="1">
      <c r="B100" s="3">
        <f t="shared" si="22"/>
        <v>402</v>
      </c>
      <c r="C100" s="25">
        <f t="shared" si="23"/>
        <v>400</v>
      </c>
      <c r="D100" s="25">
        <f t="shared" si="23"/>
        <v>0</v>
      </c>
      <c r="E100" s="75"/>
      <c r="F100" s="64">
        <f>F99+1</f>
        <v>2</v>
      </c>
      <c r="G100" s="74" t="str">
        <f>G62</f>
        <v>Azimuth=315°</v>
      </c>
      <c r="H100" s="22">
        <v>0</v>
      </c>
      <c r="I100" s="8" t="str">
        <f>"-peak angle"</f>
        <v>-peak angle</v>
      </c>
      <c r="J100" s="65"/>
      <c r="K100" s="10">
        <f>K64</f>
        <v>344</v>
      </c>
      <c r="L100" s="65"/>
      <c r="M100" s="9" t="s">
        <v>30</v>
      </c>
      <c r="N100" s="65"/>
      <c r="O100" s="15"/>
      <c r="P100" s="13"/>
      <c r="S100" s="13"/>
      <c r="T100" s="13"/>
    </row>
    <row r="101" spans="2:20">
      <c r="B101" s="3">
        <f t="shared" si="22"/>
        <v>402.1</v>
      </c>
      <c r="C101" s="25">
        <f t="shared" si="23"/>
        <v>400</v>
      </c>
      <c r="D101" s="25">
        <f t="shared" si="23"/>
        <v>0</v>
      </c>
      <c r="E101" s="75"/>
      <c r="F101" s="64">
        <f t="shared" si="26"/>
        <v>2</v>
      </c>
      <c r="G101" s="75"/>
      <c r="H101" s="22">
        <f t="shared" si="27"/>
        <v>0.1</v>
      </c>
      <c r="I101" s="8" t="str">
        <f>"-magnitude"</f>
        <v>-magnitude</v>
      </c>
      <c r="J101" s="65"/>
      <c r="K101" s="5">
        <v>220</v>
      </c>
      <c r="L101" s="65"/>
      <c r="M101" s="65" t="s">
        <v>29</v>
      </c>
      <c r="N101" s="65"/>
      <c r="O101" s="15" t="s">
        <v>40</v>
      </c>
      <c r="P101" s="13"/>
      <c r="Q101" s="17">
        <v>1</v>
      </c>
      <c r="S101" s="13"/>
      <c r="T101" s="13"/>
    </row>
    <row r="102" spans="2:20">
      <c r="B102" s="3">
        <f t="shared" si="22"/>
        <v>402.2</v>
      </c>
      <c r="C102" s="25">
        <f t="shared" si="23"/>
        <v>400</v>
      </c>
      <c r="D102" s="25">
        <f t="shared" si="23"/>
        <v>0</v>
      </c>
      <c r="E102" s="75"/>
      <c r="F102" s="64">
        <f t="shared" si="26"/>
        <v>2</v>
      </c>
      <c r="G102" s="75"/>
      <c r="H102" s="22">
        <f t="shared" si="27"/>
        <v>0.2</v>
      </c>
      <c r="I102" s="8" t="str">
        <f>"+peak angle"</f>
        <v>+peak angle</v>
      </c>
      <c r="J102" s="65"/>
      <c r="K102" s="10">
        <f>K67</f>
        <v>12</v>
      </c>
      <c r="L102" s="65"/>
      <c r="M102" s="9" t="s">
        <v>30</v>
      </c>
      <c r="N102" s="65"/>
      <c r="O102" s="15"/>
      <c r="P102" s="13"/>
      <c r="S102" s="13"/>
      <c r="T102" s="13"/>
    </row>
    <row r="103" spans="2:20">
      <c r="B103" s="3">
        <f t="shared" si="22"/>
        <v>402.3</v>
      </c>
      <c r="C103" s="25">
        <f t="shared" si="23"/>
        <v>400</v>
      </c>
      <c r="D103" s="25">
        <f t="shared" si="23"/>
        <v>0</v>
      </c>
      <c r="E103" s="75"/>
      <c r="F103" s="64">
        <f t="shared" si="26"/>
        <v>2</v>
      </c>
      <c r="G103" s="75"/>
      <c r="H103" s="22">
        <f t="shared" si="27"/>
        <v>0.30000000000000004</v>
      </c>
      <c r="I103" s="8" t="str">
        <f>"+magnitude"</f>
        <v>+magnitude</v>
      </c>
      <c r="J103" s="65"/>
      <c r="K103" s="5">
        <v>219</v>
      </c>
      <c r="L103" s="65"/>
      <c r="M103" s="65" t="s">
        <v>29</v>
      </c>
      <c r="N103" s="65"/>
      <c r="O103" s="15" t="s">
        <v>42</v>
      </c>
      <c r="P103" s="13"/>
      <c r="Q103" s="17">
        <v>1</v>
      </c>
      <c r="S103" s="13"/>
      <c r="T103" s="13"/>
    </row>
    <row r="104" spans="2:20">
      <c r="B104" s="3">
        <f t="shared" si="22"/>
        <v>402.4</v>
      </c>
      <c r="C104" s="25">
        <f t="shared" si="23"/>
        <v>400</v>
      </c>
      <c r="D104" s="25">
        <f t="shared" si="23"/>
        <v>0</v>
      </c>
      <c r="E104" s="75"/>
      <c r="F104" s="64">
        <f t="shared" si="26"/>
        <v>2</v>
      </c>
      <c r="G104" s="75"/>
      <c r="H104" s="22">
        <f t="shared" si="27"/>
        <v>0.4</v>
      </c>
      <c r="I104" s="8" t="s">
        <v>45</v>
      </c>
      <c r="J104" s="6">
        <f>J99</f>
        <v>-2</v>
      </c>
      <c r="K104" s="7">
        <f>2*(K66-K103)/(K66+K103)</f>
        <v>0.9872832369942196</v>
      </c>
      <c r="L104" s="6">
        <f>L99</f>
        <v>2</v>
      </c>
      <c r="M104" s="6" t="s">
        <v>28</v>
      </c>
      <c r="N104" s="65" t="str">
        <f>IF((J104&lt;K104)* (K104&lt;L104),"PASS","FAIL")</f>
        <v>PASS</v>
      </c>
      <c r="O104" s="8"/>
      <c r="R104" s="17">
        <v>1</v>
      </c>
    </row>
    <row r="105" spans="2:20">
      <c r="B105" s="3">
        <f t="shared" si="22"/>
        <v>402.5</v>
      </c>
      <c r="C105" s="25">
        <f t="shared" si="23"/>
        <v>400</v>
      </c>
      <c r="D105" s="25">
        <f t="shared" si="23"/>
        <v>0</v>
      </c>
      <c r="E105" s="75"/>
      <c r="F105" s="64">
        <f t="shared" si="26"/>
        <v>2</v>
      </c>
      <c r="G105" s="76"/>
      <c r="H105" s="22">
        <f t="shared" si="27"/>
        <v>0.5</v>
      </c>
      <c r="I105" s="8" t="s">
        <v>46</v>
      </c>
      <c r="J105" s="6">
        <f>J104</f>
        <v>-2</v>
      </c>
      <c r="K105" s="7">
        <f>2*(K67-K103)/(K67+K103)</f>
        <v>-1.7922077922077921</v>
      </c>
      <c r="L105" s="6">
        <f>L104</f>
        <v>2</v>
      </c>
      <c r="M105" s="6" t="s">
        <v>28</v>
      </c>
      <c r="N105" s="65" t="str">
        <f>IF((J105&lt;K105)* (K105&lt;L105),"PASS","FAIL")</f>
        <v>PASS</v>
      </c>
      <c r="O105" s="8"/>
      <c r="R105" s="17">
        <v>1</v>
      </c>
    </row>
    <row r="106" spans="2:20" ht="15" customHeight="1">
      <c r="B106" s="3">
        <f t="shared" si="22"/>
        <v>403</v>
      </c>
      <c r="C106" s="25">
        <f t="shared" si="23"/>
        <v>400</v>
      </c>
      <c r="D106" s="25">
        <f t="shared" si="23"/>
        <v>0</v>
      </c>
      <c r="E106" s="75"/>
      <c r="F106" s="64">
        <f>F105+1</f>
        <v>3</v>
      </c>
      <c r="G106" s="74" t="str">
        <f>G71</f>
        <v>Azimuth=0°</v>
      </c>
      <c r="H106" s="22">
        <v>0</v>
      </c>
      <c r="I106" s="8" t="str">
        <f>"-peak angle"</f>
        <v>-peak angle</v>
      </c>
      <c r="J106" s="65"/>
      <c r="K106" s="10">
        <f>K73</f>
        <v>350</v>
      </c>
      <c r="L106" s="65"/>
      <c r="M106" s="9" t="s">
        <v>30</v>
      </c>
      <c r="N106" s="65"/>
      <c r="O106" s="15"/>
      <c r="P106" s="13"/>
      <c r="S106" s="13"/>
      <c r="T106" s="13"/>
    </row>
    <row r="107" spans="2:20">
      <c r="B107" s="3">
        <f t="shared" si="22"/>
        <v>403.1</v>
      </c>
      <c r="C107" s="25">
        <f t="shared" ref="C107:D117" si="28">C106</f>
        <v>400</v>
      </c>
      <c r="D107" s="25">
        <f t="shared" si="28"/>
        <v>0</v>
      </c>
      <c r="E107" s="75"/>
      <c r="F107" s="64">
        <f t="shared" si="26"/>
        <v>3</v>
      </c>
      <c r="G107" s="75"/>
      <c r="H107" s="22">
        <f t="shared" si="27"/>
        <v>0.1</v>
      </c>
      <c r="I107" s="8" t="str">
        <f>"-magnitude"</f>
        <v>-magnitude</v>
      </c>
      <c r="J107" s="65"/>
      <c r="K107" s="5">
        <v>218</v>
      </c>
      <c r="L107" s="65"/>
      <c r="M107" s="65" t="s">
        <v>29</v>
      </c>
      <c r="N107" s="65"/>
      <c r="O107" s="15" t="s">
        <v>40</v>
      </c>
      <c r="P107" s="13"/>
      <c r="Q107" s="17">
        <v>1</v>
      </c>
      <c r="S107" s="13"/>
      <c r="T107" s="13"/>
    </row>
    <row r="108" spans="2:20">
      <c r="B108" s="3">
        <f t="shared" si="22"/>
        <v>403.2</v>
      </c>
      <c r="C108" s="25">
        <f t="shared" si="28"/>
        <v>400</v>
      </c>
      <c r="D108" s="25">
        <f t="shared" si="28"/>
        <v>0</v>
      </c>
      <c r="E108" s="75"/>
      <c r="F108" s="64">
        <f t="shared" si="26"/>
        <v>3</v>
      </c>
      <c r="G108" s="75"/>
      <c r="H108" s="22">
        <f t="shared" si="27"/>
        <v>0.2</v>
      </c>
      <c r="I108" s="8" t="str">
        <f>"+peak angle"</f>
        <v>+peak angle</v>
      </c>
      <c r="J108" s="65"/>
      <c r="K108" s="10">
        <f>K76</f>
        <v>12</v>
      </c>
      <c r="L108" s="65"/>
      <c r="M108" s="9" t="s">
        <v>30</v>
      </c>
      <c r="N108" s="65"/>
      <c r="O108" s="15"/>
      <c r="P108" s="13"/>
      <c r="S108" s="13"/>
      <c r="T108" s="13"/>
    </row>
    <row r="109" spans="2:20">
      <c r="B109" s="3">
        <f t="shared" si="22"/>
        <v>403.3</v>
      </c>
      <c r="C109" s="25">
        <f t="shared" si="28"/>
        <v>400</v>
      </c>
      <c r="D109" s="25">
        <f t="shared" si="28"/>
        <v>0</v>
      </c>
      <c r="E109" s="75"/>
      <c r="F109" s="64">
        <f t="shared" si="26"/>
        <v>3</v>
      </c>
      <c r="G109" s="75"/>
      <c r="H109" s="22">
        <f t="shared" si="27"/>
        <v>0.30000000000000004</v>
      </c>
      <c r="I109" s="8" t="str">
        <f>"+magnitude"</f>
        <v>+magnitude</v>
      </c>
      <c r="J109" s="65"/>
      <c r="K109" s="5">
        <v>217</v>
      </c>
      <c r="L109" s="65"/>
      <c r="M109" s="65" t="s">
        <v>29</v>
      </c>
      <c r="N109" s="65"/>
      <c r="O109" s="15" t="s">
        <v>42</v>
      </c>
      <c r="P109" s="13"/>
      <c r="Q109" s="17">
        <v>1</v>
      </c>
      <c r="S109" s="13"/>
      <c r="T109" s="13"/>
    </row>
    <row r="110" spans="2:20">
      <c r="B110" s="3">
        <f t="shared" si="22"/>
        <v>403.4</v>
      </c>
      <c r="C110" s="25">
        <f t="shared" si="28"/>
        <v>400</v>
      </c>
      <c r="D110" s="25">
        <f t="shared" si="28"/>
        <v>0</v>
      </c>
      <c r="E110" s="75"/>
      <c r="F110" s="64">
        <f t="shared" si="26"/>
        <v>3</v>
      </c>
      <c r="G110" s="75"/>
      <c r="H110" s="22">
        <f t="shared" si="27"/>
        <v>0.4</v>
      </c>
      <c r="I110" s="8" t="s">
        <v>45</v>
      </c>
      <c r="J110" s="6">
        <f>J105</f>
        <v>-2</v>
      </c>
      <c r="K110" s="7">
        <f>2*(K72-K107)/(K72+K107)</f>
        <v>0.97772567409144195</v>
      </c>
      <c r="L110" s="6">
        <f>L105</f>
        <v>2</v>
      </c>
      <c r="M110" s="6" t="s">
        <v>28</v>
      </c>
      <c r="N110" s="65" t="str">
        <f>IF((J110&lt;K110)* (K110&lt;L110),"PASS","FAIL")</f>
        <v>PASS</v>
      </c>
      <c r="O110" s="8"/>
      <c r="R110" s="17">
        <v>1</v>
      </c>
    </row>
    <row r="111" spans="2:20">
      <c r="B111" s="3">
        <f t="shared" si="22"/>
        <v>403.5</v>
      </c>
      <c r="C111" s="25">
        <f t="shared" si="28"/>
        <v>400</v>
      </c>
      <c r="D111" s="25">
        <f t="shared" si="28"/>
        <v>0</v>
      </c>
      <c r="E111" s="75"/>
      <c r="F111" s="64">
        <f t="shared" si="26"/>
        <v>3</v>
      </c>
      <c r="G111" s="76"/>
      <c r="H111" s="22">
        <f t="shared" si="27"/>
        <v>0.5</v>
      </c>
      <c r="I111" s="8" t="s">
        <v>46</v>
      </c>
      <c r="J111" s="6">
        <f>J110</f>
        <v>-2</v>
      </c>
      <c r="K111" s="7">
        <f>2*(K75-K109)/(K75+K109)</f>
        <v>1.1014492753623188</v>
      </c>
      <c r="L111" s="6">
        <f>L110</f>
        <v>2</v>
      </c>
      <c r="M111" s="6" t="s">
        <v>28</v>
      </c>
      <c r="N111" s="65" t="str">
        <f>IF((J111&lt;K111)* (K111&lt;L111),"PASS","FAIL")</f>
        <v>PASS</v>
      </c>
      <c r="O111" s="8"/>
      <c r="R111" s="17">
        <v>1</v>
      </c>
    </row>
    <row r="112" spans="2:20" ht="15" customHeight="1">
      <c r="B112" s="3">
        <f t="shared" si="22"/>
        <v>404</v>
      </c>
      <c r="C112" s="25">
        <f t="shared" si="28"/>
        <v>400</v>
      </c>
      <c r="D112" s="25">
        <f t="shared" si="28"/>
        <v>0</v>
      </c>
      <c r="E112" s="75"/>
      <c r="F112" s="64">
        <f>F111+1</f>
        <v>4</v>
      </c>
      <c r="G112" s="74" t="str">
        <f>G80</f>
        <v>Azimuth=45°</v>
      </c>
      <c r="H112" s="22">
        <v>0</v>
      </c>
      <c r="I112" s="8" t="str">
        <f>"-peak angle"</f>
        <v>-peak angle</v>
      </c>
      <c r="J112" s="65"/>
      <c r="K112" s="10">
        <f>K82</f>
        <v>347</v>
      </c>
      <c r="L112" s="65"/>
      <c r="M112" s="9" t="s">
        <v>30</v>
      </c>
      <c r="N112" s="65"/>
      <c r="O112" s="15"/>
      <c r="P112" s="13"/>
      <c r="S112" s="13"/>
      <c r="T112" s="13"/>
    </row>
    <row r="113" spans="2:20">
      <c r="B113" s="3">
        <f t="shared" si="22"/>
        <v>404.1</v>
      </c>
      <c r="C113" s="25">
        <f t="shared" si="28"/>
        <v>400</v>
      </c>
      <c r="D113" s="25">
        <f t="shared" si="28"/>
        <v>0</v>
      </c>
      <c r="E113" s="75"/>
      <c r="F113" s="64">
        <f t="shared" si="26"/>
        <v>4</v>
      </c>
      <c r="G113" s="75"/>
      <c r="H113" s="22">
        <f t="shared" si="27"/>
        <v>0.1</v>
      </c>
      <c r="I113" s="8" t="str">
        <f>"-magnitude"</f>
        <v>-magnitude</v>
      </c>
      <c r="J113" s="65"/>
      <c r="K113" s="5">
        <v>222</v>
      </c>
      <c r="L113" s="65"/>
      <c r="M113" s="65" t="s">
        <v>29</v>
      </c>
      <c r="N113" s="65"/>
      <c r="O113" s="15" t="s">
        <v>40</v>
      </c>
      <c r="P113" s="13"/>
      <c r="Q113" s="17">
        <v>1</v>
      </c>
      <c r="S113" s="13"/>
      <c r="T113" s="13"/>
    </row>
    <row r="114" spans="2:20">
      <c r="B114" s="3">
        <f t="shared" si="22"/>
        <v>404.2</v>
      </c>
      <c r="C114" s="25">
        <f t="shared" si="28"/>
        <v>400</v>
      </c>
      <c r="D114" s="25">
        <f t="shared" si="28"/>
        <v>0</v>
      </c>
      <c r="E114" s="75"/>
      <c r="F114" s="64">
        <f t="shared" si="26"/>
        <v>4</v>
      </c>
      <c r="G114" s="75"/>
      <c r="H114" s="22">
        <f t="shared" si="27"/>
        <v>0.2</v>
      </c>
      <c r="I114" s="8" t="str">
        <f>"+peak angle"</f>
        <v>+peak angle</v>
      </c>
      <c r="J114" s="65"/>
      <c r="K114" s="10">
        <f>K85</f>
        <v>34</v>
      </c>
      <c r="L114" s="65"/>
      <c r="M114" s="9" t="s">
        <v>30</v>
      </c>
      <c r="N114" s="65"/>
      <c r="O114" s="15"/>
      <c r="P114" s="13"/>
      <c r="S114" s="13"/>
      <c r="T114" s="13"/>
    </row>
    <row r="115" spans="2:20">
      <c r="B115" s="3">
        <f t="shared" si="22"/>
        <v>404.3</v>
      </c>
      <c r="C115" s="25">
        <f t="shared" si="28"/>
        <v>400</v>
      </c>
      <c r="D115" s="25">
        <f t="shared" si="28"/>
        <v>0</v>
      </c>
      <c r="E115" s="75"/>
      <c r="F115" s="64">
        <f t="shared" si="26"/>
        <v>4</v>
      </c>
      <c r="G115" s="75"/>
      <c r="H115" s="22">
        <f t="shared" si="27"/>
        <v>0.30000000000000004</v>
      </c>
      <c r="I115" s="8" t="str">
        <f>"+magnitude"</f>
        <v>+magnitude</v>
      </c>
      <c r="J115" s="65"/>
      <c r="K115" s="5">
        <v>223</v>
      </c>
      <c r="L115" s="65"/>
      <c r="M115" s="65" t="s">
        <v>29</v>
      </c>
      <c r="N115" s="65"/>
      <c r="O115" s="15" t="s">
        <v>42</v>
      </c>
      <c r="P115" s="13"/>
      <c r="Q115" s="17">
        <v>1</v>
      </c>
      <c r="S115" s="13"/>
      <c r="T115" s="13"/>
    </row>
    <row r="116" spans="2:20">
      <c r="B116" s="3">
        <f t="shared" si="22"/>
        <v>404.4</v>
      </c>
      <c r="C116" s="25">
        <f t="shared" si="28"/>
        <v>400</v>
      </c>
      <c r="D116" s="25">
        <f t="shared" si="28"/>
        <v>0</v>
      </c>
      <c r="E116" s="75"/>
      <c r="F116" s="64">
        <f t="shared" si="26"/>
        <v>4</v>
      </c>
      <c r="G116" s="75"/>
      <c r="H116" s="22">
        <f t="shared" si="27"/>
        <v>0.4</v>
      </c>
      <c r="I116" s="8" t="s">
        <v>45</v>
      </c>
      <c r="J116" s="6">
        <f>J111</f>
        <v>-2</v>
      </c>
      <c r="K116" s="7">
        <f>2*(K81-K113)/(K81+K113)</f>
        <v>0.93140794223826717</v>
      </c>
      <c r="L116" s="6">
        <f>L111</f>
        <v>2</v>
      </c>
      <c r="M116" s="6" t="s">
        <v>28</v>
      </c>
      <c r="N116" s="65" t="str">
        <f>IF((J116&lt;K116)* (K116&lt;L116),"PASS","FAIL")</f>
        <v>PASS</v>
      </c>
      <c r="O116" s="8"/>
      <c r="R116" s="17">
        <v>1</v>
      </c>
    </row>
    <row r="117" spans="2:20">
      <c r="B117" s="3">
        <f t="shared" si="22"/>
        <v>404.5</v>
      </c>
      <c r="C117" s="25">
        <f t="shared" si="28"/>
        <v>400</v>
      </c>
      <c r="D117" s="25">
        <f t="shared" si="28"/>
        <v>0</v>
      </c>
      <c r="E117" s="76"/>
      <c r="F117" s="64">
        <f t="shared" si="26"/>
        <v>4</v>
      </c>
      <c r="G117" s="76"/>
      <c r="H117" s="22">
        <f t="shared" si="27"/>
        <v>0.5</v>
      </c>
      <c r="I117" s="8" t="s">
        <v>46</v>
      </c>
      <c r="J117" s="6">
        <f>J116</f>
        <v>-2</v>
      </c>
      <c r="K117" s="7">
        <f>2*(K84-K115)/(K84+K115)</f>
        <v>1.207111111111111</v>
      </c>
      <c r="L117" s="6">
        <f>L116</f>
        <v>2</v>
      </c>
      <c r="M117" s="6" t="s">
        <v>28</v>
      </c>
      <c r="N117" s="65" t="str">
        <f>IF((J117&lt;K117)* (K117&lt;L117),"PASS","FAIL")</f>
        <v>PASS</v>
      </c>
      <c r="O117" s="8"/>
      <c r="R117" s="17">
        <v>1</v>
      </c>
    </row>
  </sheetData>
  <mergeCells count="42">
    <mergeCell ref="B89:D89"/>
    <mergeCell ref="E89:G89"/>
    <mergeCell ref="E90:E117"/>
    <mergeCell ref="G90:G93"/>
    <mergeCell ref="O91:O92"/>
    <mergeCell ref="G94:G99"/>
    <mergeCell ref="G100:G105"/>
    <mergeCell ref="G106:G111"/>
    <mergeCell ref="G112:G117"/>
    <mergeCell ref="B46:D46"/>
    <mergeCell ref="E46:O46"/>
    <mergeCell ref="E47:E88"/>
    <mergeCell ref="G47:G52"/>
    <mergeCell ref="O50:O51"/>
    <mergeCell ref="G53:G61"/>
    <mergeCell ref="G62:G70"/>
    <mergeCell ref="G71:G79"/>
    <mergeCell ref="G80:G88"/>
    <mergeCell ref="B32:D32"/>
    <mergeCell ref="E32:O32"/>
    <mergeCell ref="E33:E45"/>
    <mergeCell ref="G33:G35"/>
    <mergeCell ref="G36:G38"/>
    <mergeCell ref="G39:G41"/>
    <mergeCell ref="G42:G44"/>
    <mergeCell ref="G12:G13"/>
    <mergeCell ref="E15:E31"/>
    <mergeCell ref="G15:J15"/>
    <mergeCell ref="G16:G19"/>
    <mergeCell ref="G20:G23"/>
    <mergeCell ref="G24:G27"/>
    <mergeCell ref="G28:G31"/>
    <mergeCell ref="B2:B3"/>
    <mergeCell ref="C2:D3"/>
    <mergeCell ref="E2:I2"/>
    <mergeCell ref="E3:O3"/>
    <mergeCell ref="E4:E14"/>
    <mergeCell ref="G4:G5"/>
    <mergeCell ref="O4:O5"/>
    <mergeCell ref="G6:G7"/>
    <mergeCell ref="G8:G9"/>
    <mergeCell ref="G10:G11"/>
  </mergeCells>
  <conditionalFormatting sqref="N104:N105 N98:N99 N7 N9 N11 N13 N18:N19 N22:N23 N26:N27 N30:N31 N34:N35 N37:N38 N40:N41 N43:N44 N93 N110:N111 N116:N117 N59:N61 N68:N70 N77:N79 N86:N88">
    <cfRule type="expression" dxfId="5" priority="1">
      <formula>N7="FAIL"</formula>
    </cfRule>
    <cfRule type="expression" dxfId="4" priority="2">
      <formula>N7="PASS"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B1:T117"/>
  <sheetViews>
    <sheetView topLeftCell="B94" zoomScale="85" zoomScaleNormal="85" workbookViewId="0">
      <selection activeCell="L137" sqref="L137"/>
    </sheetView>
  </sheetViews>
  <sheetFormatPr defaultRowHeight="15"/>
  <cols>
    <col min="1" max="2" width="9.140625" customWidth="1"/>
    <col min="3" max="3" width="9.140625" style="24" hidden="1" customWidth="1"/>
    <col min="4" max="4" width="3.42578125" style="24" hidden="1" customWidth="1"/>
    <col min="5" max="5" width="16.7109375" customWidth="1"/>
    <col min="6" max="6" width="2.28515625" hidden="1" customWidth="1"/>
    <col min="7" max="7" width="13.7109375" style="1" customWidth="1"/>
    <col min="8" max="8" width="3.85546875" style="21" hidden="1" customWidth="1"/>
    <col min="9" max="9" width="14.7109375" customWidth="1"/>
    <col min="10" max="10" width="9.140625" style="1" customWidth="1"/>
    <col min="11" max="11" width="9.85546875" style="1" bestFit="1" customWidth="1"/>
    <col min="12" max="14" width="9.140625" style="1" customWidth="1"/>
    <col min="15" max="15" width="79.42578125" style="14" customWidth="1"/>
    <col min="16" max="16" width="9.140625" style="14" customWidth="1"/>
    <col min="17" max="17" width="10.7109375" style="17" bestFit="1" customWidth="1"/>
    <col min="18" max="18" width="9.140625" style="17"/>
    <col min="19" max="20" width="9.140625" style="14"/>
  </cols>
  <sheetData>
    <row r="1" spans="2:20">
      <c r="P1" s="51">
        <v>15</v>
      </c>
      <c r="Q1" s="52" t="s">
        <v>38</v>
      </c>
      <c r="R1" s="53">
        <f>60*P1/Q3</f>
        <v>17.307692307692307</v>
      </c>
      <c r="S1" s="14" t="s">
        <v>71</v>
      </c>
    </row>
    <row r="2" spans="2:20">
      <c r="B2" s="86" t="s">
        <v>13</v>
      </c>
      <c r="C2" s="96"/>
      <c r="D2" s="97"/>
      <c r="E2" s="86" t="s">
        <v>24</v>
      </c>
      <c r="F2" s="86"/>
      <c r="G2" s="86"/>
      <c r="H2" s="86"/>
      <c r="I2" s="86"/>
      <c r="J2" s="65" t="s">
        <v>4</v>
      </c>
      <c r="K2" s="65" t="s">
        <v>7</v>
      </c>
      <c r="L2" s="65" t="s">
        <v>5</v>
      </c>
      <c r="M2" s="65" t="s">
        <v>23</v>
      </c>
      <c r="N2" s="65" t="s">
        <v>6</v>
      </c>
      <c r="O2" s="15" t="s">
        <v>19</v>
      </c>
      <c r="P2" s="13"/>
      <c r="Q2" s="16" t="s">
        <v>36</v>
      </c>
      <c r="R2" s="16" t="s">
        <v>37</v>
      </c>
      <c r="S2" s="13"/>
      <c r="T2" s="13"/>
    </row>
    <row r="3" spans="2:20">
      <c r="B3" s="86"/>
      <c r="C3" s="98"/>
      <c r="D3" s="99"/>
      <c r="E3" s="78" t="str">
        <f>"Condition: photopic filter, QTH @"&amp;Calibration!D9&amp;"amps"</f>
        <v>Condition: photopic filter, QTH @8.36amps</v>
      </c>
      <c r="F3" s="79"/>
      <c r="G3" s="79"/>
      <c r="H3" s="79"/>
      <c r="I3" s="79"/>
      <c r="J3" s="79"/>
      <c r="K3" s="79"/>
      <c r="L3" s="79"/>
      <c r="M3" s="79"/>
      <c r="N3" s="79"/>
      <c r="O3" s="80"/>
      <c r="P3" s="13"/>
      <c r="Q3" s="17">
        <f>SUM(Q4:Q196)</f>
        <v>52</v>
      </c>
      <c r="R3" s="17">
        <f>SUM(R6:R196)</f>
        <v>41</v>
      </c>
      <c r="S3" s="13"/>
      <c r="T3" s="13"/>
    </row>
    <row r="4" spans="2:20">
      <c r="B4" s="3">
        <f>C4+D4+F4+H4</f>
        <v>100</v>
      </c>
      <c r="C4" s="25">
        <v>100</v>
      </c>
      <c r="D4" s="25">
        <v>0</v>
      </c>
      <c r="E4" s="74" t="s">
        <v>33</v>
      </c>
      <c r="F4" s="64">
        <v>0</v>
      </c>
      <c r="G4" s="74" t="s">
        <v>75</v>
      </c>
      <c r="H4" s="22">
        <v>0</v>
      </c>
      <c r="I4" s="8" t="s">
        <v>72</v>
      </c>
      <c r="J4" s="65"/>
      <c r="K4" s="5">
        <v>6</v>
      </c>
      <c r="L4" s="65"/>
      <c r="M4" s="65"/>
      <c r="N4" s="65"/>
      <c r="O4" s="72" t="str">
        <f>"Set QTH power to " &amp;Calibration!D9&amp;"amps, set filter wheel such that DUT outputs ~½ Range 1 FS, record FW#"</f>
        <v>Set QTH power to 8.36amps, set filter wheel such that DUT outputs ~½ Range 1 FS, record FW#</v>
      </c>
      <c r="P4" s="13"/>
      <c r="Q4" s="17">
        <v>1</v>
      </c>
      <c r="S4" s="13"/>
      <c r="T4" s="13"/>
    </row>
    <row r="5" spans="2:20">
      <c r="B5" s="3">
        <f t="shared" ref="B5" si="0">C5+D5+F5+H5</f>
        <v>100.1</v>
      </c>
      <c r="C5" s="25">
        <f t="shared" ref="C5:D6" si="1">C4</f>
        <v>100</v>
      </c>
      <c r="D5" s="25">
        <f t="shared" si="1"/>
        <v>0</v>
      </c>
      <c r="E5" s="75"/>
      <c r="F5" s="64">
        <f>F4</f>
        <v>0</v>
      </c>
      <c r="G5" s="76"/>
      <c r="H5" s="22">
        <f>H4+0.1</f>
        <v>0.1</v>
      </c>
      <c r="I5" s="8" t="s">
        <v>73</v>
      </c>
      <c r="J5" s="65"/>
      <c r="K5" s="10">
        <f>VLOOKUP(K4,Calibration!$C$3:$D$8,2)</f>
        <v>225</v>
      </c>
      <c r="L5" s="65"/>
      <c r="M5" s="65" t="s">
        <v>29</v>
      </c>
      <c r="N5" s="65"/>
      <c r="O5" s="73"/>
      <c r="P5" s="13"/>
      <c r="S5" s="13"/>
      <c r="T5" s="13"/>
    </row>
    <row r="6" spans="2:20">
      <c r="B6" s="3">
        <f>C6+D6+F6+H6</f>
        <v>101</v>
      </c>
      <c r="C6" s="25">
        <f t="shared" si="1"/>
        <v>100</v>
      </c>
      <c r="D6" s="25">
        <f t="shared" si="1"/>
        <v>0</v>
      </c>
      <c r="E6" s="75"/>
      <c r="F6" s="64">
        <f>F5+1</f>
        <v>1</v>
      </c>
      <c r="G6" s="77" t="s">
        <v>1</v>
      </c>
      <c r="H6" s="22">
        <v>0</v>
      </c>
      <c r="I6" s="8" t="s">
        <v>9</v>
      </c>
      <c r="J6" s="65"/>
      <c r="K6" s="5">
        <v>269</v>
      </c>
      <c r="L6" s="65"/>
      <c r="M6" s="65" t="s">
        <v>29</v>
      </c>
      <c r="N6" s="65"/>
      <c r="O6" s="15" t="s">
        <v>15</v>
      </c>
      <c r="P6" s="13"/>
      <c r="Q6" s="17">
        <v>1</v>
      </c>
      <c r="S6" s="13"/>
      <c r="T6" s="13"/>
    </row>
    <row r="7" spans="2:20">
      <c r="B7" s="3">
        <f t="shared" ref="B7:B31" si="2">C7+D7+F7+H7</f>
        <v>101.1</v>
      </c>
      <c r="C7" s="25">
        <f>C6</f>
        <v>100</v>
      </c>
      <c r="D7" s="25">
        <f>D6</f>
        <v>0</v>
      </c>
      <c r="E7" s="75"/>
      <c r="F7" s="64">
        <f>F6</f>
        <v>1</v>
      </c>
      <c r="G7" s="77"/>
      <c r="H7" s="22">
        <f>H6+0.1</f>
        <v>0.1</v>
      </c>
      <c r="I7" s="8" t="s">
        <v>10</v>
      </c>
      <c r="J7" s="49">
        <f>-L7</f>
        <v>-0.25</v>
      </c>
      <c r="K7" s="7">
        <f>K6/K$5-1</f>
        <v>0.19555555555555548</v>
      </c>
      <c r="L7" s="47">
        <f>Specifications!E3</f>
        <v>0.25</v>
      </c>
      <c r="M7" s="6" t="s">
        <v>28</v>
      </c>
      <c r="N7" s="65" t="str">
        <f>IF((J7&lt;K7)* (K7&lt;L7),"PASS","FAIL")</f>
        <v>PASS</v>
      </c>
      <c r="O7" s="15"/>
      <c r="P7" s="13"/>
      <c r="R7" s="17">
        <v>1</v>
      </c>
      <c r="S7" s="13"/>
      <c r="T7" s="13"/>
    </row>
    <row r="8" spans="2:20">
      <c r="B8" s="3">
        <f t="shared" si="2"/>
        <v>102</v>
      </c>
      <c r="C8" s="25">
        <f t="shared" ref="C8:D23" si="3">C7</f>
        <v>100</v>
      </c>
      <c r="D8" s="25">
        <f t="shared" si="3"/>
        <v>0</v>
      </c>
      <c r="E8" s="75"/>
      <c r="F8" s="64">
        <f>F7+1</f>
        <v>2</v>
      </c>
      <c r="G8" s="77" t="s">
        <v>2</v>
      </c>
      <c r="H8" s="22">
        <v>0</v>
      </c>
      <c r="I8" s="8" t="s">
        <v>9</v>
      </c>
      <c r="J8" s="65"/>
      <c r="K8" s="5">
        <v>266</v>
      </c>
      <c r="L8" s="65"/>
      <c r="M8" s="65" t="s">
        <v>29</v>
      </c>
      <c r="N8" s="65"/>
      <c r="O8" s="15" t="s">
        <v>16</v>
      </c>
      <c r="P8" s="13"/>
      <c r="Q8" s="17">
        <v>1</v>
      </c>
      <c r="S8" s="13"/>
      <c r="T8" s="13"/>
    </row>
    <row r="9" spans="2:20">
      <c r="B9" s="3">
        <f t="shared" si="2"/>
        <v>102.1</v>
      </c>
      <c r="C9" s="25">
        <f t="shared" si="3"/>
        <v>100</v>
      </c>
      <c r="D9" s="25">
        <f t="shared" si="3"/>
        <v>0</v>
      </c>
      <c r="E9" s="75"/>
      <c r="F9" s="64">
        <f t="shared" ref="F9:F31" si="4">F8</f>
        <v>2</v>
      </c>
      <c r="G9" s="77"/>
      <c r="H9" s="22">
        <f t="shared" ref="H9:H13" si="5">H8+0.1</f>
        <v>0.1</v>
      </c>
      <c r="I9" s="8" t="s">
        <v>10</v>
      </c>
      <c r="J9" s="6">
        <f>J7</f>
        <v>-0.25</v>
      </c>
      <c r="K9" s="7">
        <f>K8/K$5-1</f>
        <v>0.18222222222222229</v>
      </c>
      <c r="L9" s="6">
        <f>L7</f>
        <v>0.25</v>
      </c>
      <c r="M9" s="6" t="s">
        <v>28</v>
      </c>
      <c r="N9" s="65" t="str">
        <f>IF((J9&lt;K9)* (K9&lt;L9),"PASS","FAIL")</f>
        <v>PASS</v>
      </c>
      <c r="O9" s="15"/>
      <c r="P9" s="13"/>
      <c r="R9" s="17">
        <v>1</v>
      </c>
      <c r="S9" s="13"/>
      <c r="T9" s="13"/>
    </row>
    <row r="10" spans="2:20">
      <c r="B10" s="3">
        <f t="shared" si="2"/>
        <v>103</v>
      </c>
      <c r="C10" s="25">
        <f t="shared" si="3"/>
        <v>100</v>
      </c>
      <c r="D10" s="25">
        <f t="shared" si="3"/>
        <v>0</v>
      </c>
      <c r="E10" s="75"/>
      <c r="F10" s="64">
        <f>F9+1</f>
        <v>3</v>
      </c>
      <c r="G10" s="77" t="s">
        <v>3</v>
      </c>
      <c r="H10" s="22">
        <v>0</v>
      </c>
      <c r="I10" s="8" t="s">
        <v>9</v>
      </c>
      <c r="J10" s="65"/>
      <c r="K10" s="5">
        <v>292</v>
      </c>
      <c r="L10" s="65"/>
      <c r="M10" s="65" t="s">
        <v>29</v>
      </c>
      <c r="N10" s="65"/>
      <c r="O10" s="15" t="s">
        <v>17</v>
      </c>
      <c r="P10" s="13"/>
      <c r="Q10" s="17">
        <v>1</v>
      </c>
      <c r="S10" s="13"/>
      <c r="T10" s="13"/>
    </row>
    <row r="11" spans="2:20">
      <c r="B11" s="3">
        <f t="shared" si="2"/>
        <v>103.1</v>
      </c>
      <c r="C11" s="25">
        <f t="shared" si="3"/>
        <v>100</v>
      </c>
      <c r="D11" s="25">
        <f t="shared" si="3"/>
        <v>0</v>
      </c>
      <c r="E11" s="75"/>
      <c r="F11" s="64">
        <f t="shared" si="4"/>
        <v>3</v>
      </c>
      <c r="G11" s="77"/>
      <c r="H11" s="22">
        <f t="shared" si="5"/>
        <v>0.1</v>
      </c>
      <c r="I11" s="8" t="s">
        <v>10</v>
      </c>
      <c r="J11" s="49">
        <f>-L11</f>
        <v>-0.35</v>
      </c>
      <c r="K11" s="7">
        <f>K10/K$5-1</f>
        <v>0.2977777777777777</v>
      </c>
      <c r="L11" s="47">
        <f>Specifications!E4</f>
        <v>0.35</v>
      </c>
      <c r="M11" s="6" t="s">
        <v>28</v>
      </c>
      <c r="N11" s="65" t="str">
        <f>IF((J11&lt;K11)* (K11&lt;L11),"PASS","FAIL")</f>
        <v>PASS</v>
      </c>
      <c r="O11" s="15"/>
      <c r="P11" s="13"/>
      <c r="R11" s="17">
        <v>1</v>
      </c>
      <c r="S11" s="13"/>
      <c r="T11" s="13"/>
    </row>
    <row r="12" spans="2:20">
      <c r="B12" s="3">
        <f t="shared" si="2"/>
        <v>104</v>
      </c>
      <c r="C12" s="25">
        <f t="shared" si="3"/>
        <v>100</v>
      </c>
      <c r="D12" s="25">
        <f t="shared" si="3"/>
        <v>0</v>
      </c>
      <c r="E12" s="75"/>
      <c r="F12" s="64">
        <f>F11+1</f>
        <v>4</v>
      </c>
      <c r="G12" s="77" t="s">
        <v>11</v>
      </c>
      <c r="H12" s="22">
        <v>0</v>
      </c>
      <c r="I12" s="8" t="s">
        <v>9</v>
      </c>
      <c r="J12" s="65"/>
      <c r="K12" s="5">
        <v>290</v>
      </c>
      <c r="L12" s="65"/>
      <c r="M12" s="65" t="s">
        <v>29</v>
      </c>
      <c r="N12" s="65"/>
      <c r="O12" s="15" t="s">
        <v>18</v>
      </c>
      <c r="P12" s="13"/>
      <c r="Q12" s="17">
        <v>1</v>
      </c>
      <c r="S12" s="13"/>
      <c r="T12" s="13"/>
    </row>
    <row r="13" spans="2:20">
      <c r="B13" s="3">
        <f t="shared" si="2"/>
        <v>104.1</v>
      </c>
      <c r="C13" s="25">
        <f t="shared" si="3"/>
        <v>100</v>
      </c>
      <c r="D13" s="25">
        <f t="shared" si="3"/>
        <v>0</v>
      </c>
      <c r="E13" s="75"/>
      <c r="F13" s="64">
        <f t="shared" si="4"/>
        <v>4</v>
      </c>
      <c r="G13" s="77"/>
      <c r="H13" s="22">
        <f t="shared" si="5"/>
        <v>0.1</v>
      </c>
      <c r="I13" s="8" t="s">
        <v>10</v>
      </c>
      <c r="J13" s="6">
        <f>J11</f>
        <v>-0.35</v>
      </c>
      <c r="K13" s="7">
        <f>K12/K$5-1</f>
        <v>0.28888888888888897</v>
      </c>
      <c r="L13" s="6">
        <f>L11</f>
        <v>0.35</v>
      </c>
      <c r="M13" s="6" t="s">
        <v>28</v>
      </c>
      <c r="N13" s="65" t="str">
        <f>IF((J13&lt;K13)* (K13&lt;L13),"PASS","FAIL")</f>
        <v>PASS</v>
      </c>
      <c r="O13" s="15"/>
      <c r="P13" s="13"/>
      <c r="R13" s="17">
        <v>1</v>
      </c>
      <c r="S13" s="13"/>
      <c r="T13" s="13"/>
    </row>
    <row r="14" spans="2:20">
      <c r="B14" s="3">
        <f t="shared" si="2"/>
        <v>105</v>
      </c>
      <c r="C14" s="25">
        <f t="shared" si="3"/>
        <v>100</v>
      </c>
      <c r="D14" s="25">
        <f t="shared" si="3"/>
        <v>0</v>
      </c>
      <c r="E14" s="76"/>
      <c r="F14" s="64">
        <f>F13+1</f>
        <v>5</v>
      </c>
      <c r="G14" s="65" t="s">
        <v>12</v>
      </c>
      <c r="H14" s="22">
        <v>0</v>
      </c>
      <c r="I14" s="8" t="s">
        <v>8</v>
      </c>
      <c r="J14" s="65"/>
      <c r="K14" s="7">
        <f>((MAX(K7,K9,K11,K13)-MIN(K7,K9,K11,K13))/2)</f>
        <v>5.7777777777777706E-2</v>
      </c>
      <c r="L14" s="65"/>
      <c r="M14" s="6" t="s">
        <v>28</v>
      </c>
      <c r="N14" s="65"/>
      <c r="O14" s="15" t="s">
        <v>25</v>
      </c>
      <c r="P14" s="13"/>
      <c r="S14" s="13"/>
      <c r="T14" s="13"/>
    </row>
    <row r="15" spans="2:20">
      <c r="B15" s="3">
        <f t="shared" si="2"/>
        <v>110</v>
      </c>
      <c r="C15" s="25">
        <f t="shared" si="3"/>
        <v>100</v>
      </c>
      <c r="D15" s="25">
        <f>D14+10</f>
        <v>10</v>
      </c>
      <c r="E15" s="84" t="s">
        <v>34</v>
      </c>
      <c r="F15" s="64">
        <v>0</v>
      </c>
      <c r="G15" s="85" t="s">
        <v>31</v>
      </c>
      <c r="H15" s="85"/>
      <c r="I15" s="85"/>
      <c r="J15" s="85"/>
      <c r="K15" s="12">
        <f>K6/2</f>
        <v>134.5</v>
      </c>
      <c r="L15" s="65"/>
      <c r="M15" s="9" t="s">
        <v>30</v>
      </c>
      <c r="N15" s="65"/>
      <c r="O15" s="15" t="s">
        <v>32</v>
      </c>
      <c r="P15" s="13"/>
      <c r="S15" s="13"/>
      <c r="T15" s="13"/>
    </row>
    <row r="16" spans="2:20">
      <c r="B16" s="3">
        <f t="shared" si="2"/>
        <v>111</v>
      </c>
      <c r="C16" s="25">
        <f t="shared" si="3"/>
        <v>100</v>
      </c>
      <c r="D16" s="25">
        <f t="shared" si="3"/>
        <v>10</v>
      </c>
      <c r="E16" s="84"/>
      <c r="F16" s="64">
        <f>F15+1</f>
        <v>1</v>
      </c>
      <c r="G16" s="77" t="s">
        <v>61</v>
      </c>
      <c r="H16" s="22">
        <v>0</v>
      </c>
      <c r="I16" s="8" t="str">
        <f>"-polar @ HM"</f>
        <v>-polar @ HM</v>
      </c>
      <c r="J16" s="65"/>
      <c r="K16" s="5">
        <v>325</v>
      </c>
      <c r="L16" s="65"/>
      <c r="M16" s="9" t="s">
        <v>30</v>
      </c>
      <c r="N16" s="65"/>
      <c r="O16" s="15" t="s">
        <v>20</v>
      </c>
      <c r="P16" s="13"/>
      <c r="Q16" s="17">
        <v>1</v>
      </c>
      <c r="S16" s="13"/>
      <c r="T16" s="13"/>
    </row>
    <row r="17" spans="2:20">
      <c r="B17" s="3">
        <f t="shared" si="2"/>
        <v>111.1</v>
      </c>
      <c r="C17" s="25">
        <f t="shared" si="3"/>
        <v>100</v>
      </c>
      <c r="D17" s="25">
        <f t="shared" si="3"/>
        <v>10</v>
      </c>
      <c r="E17" s="84"/>
      <c r="F17" s="64">
        <f t="shared" si="4"/>
        <v>1</v>
      </c>
      <c r="G17" s="77"/>
      <c r="H17" s="22">
        <f>H16+0.1</f>
        <v>0.1</v>
      </c>
      <c r="I17" s="8" t="str">
        <f>"+polar @ HM"</f>
        <v>+polar @ HM</v>
      </c>
      <c r="J17" s="65"/>
      <c r="K17" s="5">
        <v>24</v>
      </c>
      <c r="L17" s="65"/>
      <c r="M17" s="9" t="s">
        <v>30</v>
      </c>
      <c r="N17" s="65"/>
      <c r="O17" s="15" t="s">
        <v>21</v>
      </c>
      <c r="P17" s="13"/>
      <c r="Q17" s="17">
        <v>1</v>
      </c>
      <c r="S17" s="13"/>
      <c r="T17" s="13"/>
    </row>
    <row r="18" spans="2:20">
      <c r="B18" s="3">
        <f t="shared" si="2"/>
        <v>111.2</v>
      </c>
      <c r="C18" s="25">
        <f t="shared" si="3"/>
        <v>100</v>
      </c>
      <c r="D18" s="25">
        <f t="shared" si="3"/>
        <v>10</v>
      </c>
      <c r="E18" s="84"/>
      <c r="F18" s="64">
        <f t="shared" si="4"/>
        <v>1</v>
      </c>
      <c r="G18" s="77"/>
      <c r="H18" s="22">
        <f t="shared" ref="H18:H31" si="6">H17+0.1</f>
        <v>0.2</v>
      </c>
      <c r="I18" s="8" t="s">
        <v>14</v>
      </c>
      <c r="J18" s="50">
        <f>-L18</f>
        <v>-15</v>
      </c>
      <c r="K18" s="10">
        <f>(K17+(K16-360))/2</f>
        <v>-5.5</v>
      </c>
      <c r="L18" s="48">
        <f>Specifications!E6</f>
        <v>15</v>
      </c>
      <c r="M18" s="9" t="s">
        <v>30</v>
      </c>
      <c r="N18" s="65" t="str">
        <f>IF((J18&lt;K18)* (K18&lt;L18),"PASS","FAIL")</f>
        <v>PASS</v>
      </c>
      <c r="O18" s="15"/>
      <c r="P18" s="13"/>
      <c r="R18" s="17">
        <v>1</v>
      </c>
      <c r="S18" s="13"/>
      <c r="T18" s="13"/>
    </row>
    <row r="19" spans="2:20">
      <c r="B19" s="3">
        <f t="shared" si="2"/>
        <v>111.3</v>
      </c>
      <c r="C19" s="25">
        <f t="shared" si="3"/>
        <v>100</v>
      </c>
      <c r="D19" s="25">
        <f t="shared" si="3"/>
        <v>10</v>
      </c>
      <c r="E19" s="84"/>
      <c r="F19" s="64">
        <f t="shared" si="4"/>
        <v>1</v>
      </c>
      <c r="G19" s="77"/>
      <c r="H19" s="22">
        <f t="shared" si="6"/>
        <v>0.30000000000000004</v>
      </c>
      <c r="I19" s="8" t="s">
        <v>22</v>
      </c>
      <c r="J19" s="48">
        <f>Specifications!E11</f>
        <v>50</v>
      </c>
      <c r="K19" s="10">
        <f>K17-(K16-360)</f>
        <v>59</v>
      </c>
      <c r="L19" s="48">
        <f>Specifications!E12</f>
        <v>70</v>
      </c>
      <c r="M19" s="9" t="s">
        <v>30</v>
      </c>
      <c r="N19" s="65" t="str">
        <f>IF((J19&lt;K19)* (K19&lt;L19),"PASS","FAIL")</f>
        <v>PASS</v>
      </c>
      <c r="O19" s="15"/>
      <c r="P19" s="13"/>
      <c r="R19" s="17">
        <v>1</v>
      </c>
      <c r="S19" s="13"/>
      <c r="T19" s="13"/>
    </row>
    <row r="20" spans="2:20">
      <c r="B20" s="3">
        <f t="shared" si="2"/>
        <v>112</v>
      </c>
      <c r="C20" s="25">
        <f t="shared" si="3"/>
        <v>100</v>
      </c>
      <c r="D20" s="25">
        <f t="shared" si="3"/>
        <v>10</v>
      </c>
      <c r="E20" s="84"/>
      <c r="F20" s="64">
        <f>F19+1</f>
        <v>2</v>
      </c>
      <c r="G20" s="77" t="s">
        <v>62</v>
      </c>
      <c r="H20" s="22">
        <v>0</v>
      </c>
      <c r="I20" s="8" t="str">
        <f>"-polar @ HM"</f>
        <v>-polar @ HM</v>
      </c>
      <c r="J20" s="65"/>
      <c r="K20" s="5">
        <v>328</v>
      </c>
      <c r="L20" s="65"/>
      <c r="M20" s="9" t="s">
        <v>30</v>
      </c>
      <c r="N20" s="65"/>
      <c r="O20" s="15" t="s">
        <v>20</v>
      </c>
      <c r="P20" s="13"/>
      <c r="Q20" s="17">
        <v>1</v>
      </c>
      <c r="S20" s="13"/>
      <c r="T20" s="13"/>
    </row>
    <row r="21" spans="2:20">
      <c r="B21" s="3">
        <f t="shared" si="2"/>
        <v>112.1</v>
      </c>
      <c r="C21" s="25">
        <f t="shared" si="3"/>
        <v>100</v>
      </c>
      <c r="D21" s="25">
        <f t="shared" si="3"/>
        <v>10</v>
      </c>
      <c r="E21" s="84"/>
      <c r="F21" s="64">
        <f t="shared" si="4"/>
        <v>2</v>
      </c>
      <c r="G21" s="77"/>
      <c r="H21" s="22">
        <f t="shared" si="6"/>
        <v>0.1</v>
      </c>
      <c r="I21" s="8" t="str">
        <f>"+polar @ HM"</f>
        <v>+polar @ HM</v>
      </c>
      <c r="J21" s="65"/>
      <c r="K21" s="5">
        <v>26</v>
      </c>
      <c r="L21" s="65"/>
      <c r="M21" s="9" t="s">
        <v>30</v>
      </c>
      <c r="N21" s="65"/>
      <c r="O21" s="15" t="s">
        <v>21</v>
      </c>
      <c r="P21" s="13"/>
      <c r="Q21" s="16">
        <v>1</v>
      </c>
      <c r="S21" s="13"/>
      <c r="T21" s="13"/>
    </row>
    <row r="22" spans="2:20">
      <c r="B22" s="3">
        <f t="shared" si="2"/>
        <v>112.2</v>
      </c>
      <c r="C22" s="25">
        <f t="shared" si="3"/>
        <v>100</v>
      </c>
      <c r="D22" s="25">
        <f t="shared" si="3"/>
        <v>10</v>
      </c>
      <c r="E22" s="84"/>
      <c r="F22" s="64">
        <f t="shared" si="4"/>
        <v>2</v>
      </c>
      <c r="G22" s="77"/>
      <c r="H22" s="22">
        <f t="shared" si="6"/>
        <v>0.2</v>
      </c>
      <c r="I22" s="8" t="s">
        <v>14</v>
      </c>
      <c r="J22" s="65">
        <f>J18</f>
        <v>-15</v>
      </c>
      <c r="K22" s="10">
        <f>(K21+(K20-360))/2</f>
        <v>-3</v>
      </c>
      <c r="L22" s="65">
        <f>L18</f>
        <v>15</v>
      </c>
      <c r="M22" s="9" t="s">
        <v>30</v>
      </c>
      <c r="N22" s="65" t="str">
        <f>IF((J22&lt;K22)* (K22&lt;L22),"PASS","FAIL")</f>
        <v>PASS</v>
      </c>
      <c r="O22" s="15"/>
      <c r="P22" s="13"/>
      <c r="R22" s="17">
        <v>1</v>
      </c>
      <c r="S22" s="13"/>
      <c r="T22" s="13"/>
    </row>
    <row r="23" spans="2:20">
      <c r="B23" s="3">
        <f t="shared" si="2"/>
        <v>112.3</v>
      </c>
      <c r="C23" s="25">
        <f t="shared" si="3"/>
        <v>100</v>
      </c>
      <c r="D23" s="25">
        <f t="shared" si="3"/>
        <v>10</v>
      </c>
      <c r="E23" s="84"/>
      <c r="F23" s="64">
        <f t="shared" si="4"/>
        <v>2</v>
      </c>
      <c r="G23" s="77"/>
      <c r="H23" s="22">
        <f t="shared" si="6"/>
        <v>0.30000000000000004</v>
      </c>
      <c r="I23" s="8" t="s">
        <v>22</v>
      </c>
      <c r="J23" s="65">
        <f>J19</f>
        <v>50</v>
      </c>
      <c r="K23" s="10">
        <f>K21-(K20-360)</f>
        <v>58</v>
      </c>
      <c r="L23" s="65">
        <f>L19</f>
        <v>70</v>
      </c>
      <c r="M23" s="9" t="s">
        <v>30</v>
      </c>
      <c r="N23" s="65" t="str">
        <f>IF((J23&lt;K23)* (K23&lt;L23),"PASS","FAIL")</f>
        <v>PASS</v>
      </c>
      <c r="O23" s="15"/>
      <c r="P23" s="13"/>
      <c r="R23" s="17">
        <v>1</v>
      </c>
      <c r="S23" s="13"/>
      <c r="T23" s="13"/>
    </row>
    <row r="24" spans="2:20">
      <c r="B24" s="3">
        <f t="shared" si="2"/>
        <v>113</v>
      </c>
      <c r="C24" s="25">
        <f t="shared" ref="C24:D31" si="7">C23</f>
        <v>100</v>
      </c>
      <c r="D24" s="25">
        <f t="shared" si="7"/>
        <v>10</v>
      </c>
      <c r="E24" s="84"/>
      <c r="F24" s="64">
        <f>F23+1</f>
        <v>3</v>
      </c>
      <c r="G24" s="77" t="s">
        <v>26</v>
      </c>
      <c r="H24" s="22">
        <v>0</v>
      </c>
      <c r="I24" s="8" t="str">
        <f>"-polar @ HM"</f>
        <v>-polar @ HM</v>
      </c>
      <c r="J24" s="65"/>
      <c r="K24" s="5">
        <v>332</v>
      </c>
      <c r="L24" s="65"/>
      <c r="M24" s="9" t="s">
        <v>30</v>
      </c>
      <c r="N24" s="65"/>
      <c r="O24" s="15" t="s">
        <v>20</v>
      </c>
      <c r="P24" s="13"/>
      <c r="Q24" s="17">
        <v>1</v>
      </c>
      <c r="S24" s="13"/>
      <c r="T24" s="13"/>
    </row>
    <row r="25" spans="2:20">
      <c r="B25" s="3">
        <f t="shared" si="2"/>
        <v>113.1</v>
      </c>
      <c r="C25" s="25">
        <f t="shared" si="7"/>
        <v>100</v>
      </c>
      <c r="D25" s="25">
        <f t="shared" si="7"/>
        <v>10</v>
      </c>
      <c r="E25" s="84"/>
      <c r="F25" s="64">
        <f t="shared" si="4"/>
        <v>3</v>
      </c>
      <c r="G25" s="77"/>
      <c r="H25" s="22">
        <f t="shared" si="6"/>
        <v>0.1</v>
      </c>
      <c r="I25" s="8" t="str">
        <f>"+polar @ HM"</f>
        <v>+polar @ HM</v>
      </c>
      <c r="J25" s="65"/>
      <c r="K25" s="5">
        <v>30</v>
      </c>
      <c r="L25" s="65"/>
      <c r="M25" s="9" t="s">
        <v>30</v>
      </c>
      <c r="N25" s="65"/>
      <c r="O25" s="15" t="s">
        <v>21</v>
      </c>
      <c r="P25" s="13"/>
      <c r="Q25" s="16">
        <v>1</v>
      </c>
      <c r="S25" s="13"/>
      <c r="T25" s="13"/>
    </row>
    <row r="26" spans="2:20">
      <c r="B26" s="3">
        <f t="shared" si="2"/>
        <v>113.2</v>
      </c>
      <c r="C26" s="25">
        <f t="shared" si="7"/>
        <v>100</v>
      </c>
      <c r="D26" s="25">
        <f t="shared" si="7"/>
        <v>10</v>
      </c>
      <c r="E26" s="84"/>
      <c r="F26" s="64">
        <f t="shared" si="4"/>
        <v>3</v>
      </c>
      <c r="G26" s="77"/>
      <c r="H26" s="22">
        <f t="shared" si="6"/>
        <v>0.2</v>
      </c>
      <c r="I26" s="8" t="s">
        <v>14</v>
      </c>
      <c r="J26" s="65">
        <f>J22</f>
        <v>-15</v>
      </c>
      <c r="K26" s="10">
        <f>(K25+(K24-360))/2</f>
        <v>1</v>
      </c>
      <c r="L26" s="65">
        <f>L22</f>
        <v>15</v>
      </c>
      <c r="M26" s="9" t="s">
        <v>30</v>
      </c>
      <c r="N26" s="65" t="str">
        <f>IF((J26&lt;K26)* (K26&lt;L26),"PASS","FAIL")</f>
        <v>PASS</v>
      </c>
      <c r="O26" s="15"/>
      <c r="P26" s="13"/>
      <c r="R26" s="17">
        <v>1</v>
      </c>
      <c r="S26" s="13"/>
      <c r="T26" s="13"/>
    </row>
    <row r="27" spans="2:20">
      <c r="B27" s="3">
        <f t="shared" si="2"/>
        <v>113.3</v>
      </c>
      <c r="C27" s="25">
        <f t="shared" si="7"/>
        <v>100</v>
      </c>
      <c r="D27" s="25">
        <f t="shared" si="7"/>
        <v>10</v>
      </c>
      <c r="E27" s="84"/>
      <c r="F27" s="64">
        <f t="shared" si="4"/>
        <v>3</v>
      </c>
      <c r="G27" s="77"/>
      <c r="H27" s="22">
        <f t="shared" si="6"/>
        <v>0.30000000000000004</v>
      </c>
      <c r="I27" s="8" t="s">
        <v>22</v>
      </c>
      <c r="J27" s="65">
        <f>J23</f>
        <v>50</v>
      </c>
      <c r="K27" s="10">
        <f>K25-(K24-360)</f>
        <v>58</v>
      </c>
      <c r="L27" s="65">
        <f>L23</f>
        <v>70</v>
      </c>
      <c r="M27" s="9" t="s">
        <v>30</v>
      </c>
      <c r="N27" s="65" t="str">
        <f>IF((J27&lt;K27)* (K27&lt;L27),"PASS","FAIL")</f>
        <v>PASS</v>
      </c>
      <c r="O27" s="15"/>
      <c r="P27" s="13"/>
      <c r="R27" s="17">
        <v>1</v>
      </c>
      <c r="S27" s="13"/>
      <c r="T27" s="13"/>
    </row>
    <row r="28" spans="2:20">
      <c r="B28" s="3">
        <f t="shared" si="2"/>
        <v>114</v>
      </c>
      <c r="C28" s="25">
        <f t="shared" si="7"/>
        <v>100</v>
      </c>
      <c r="D28" s="25">
        <f t="shared" si="7"/>
        <v>10</v>
      </c>
      <c r="E28" s="84"/>
      <c r="F28" s="64">
        <f>F27+1</f>
        <v>4</v>
      </c>
      <c r="G28" s="77" t="s">
        <v>27</v>
      </c>
      <c r="H28" s="22">
        <v>0</v>
      </c>
      <c r="I28" s="8" t="str">
        <f>"-polar @ HM"</f>
        <v>-polar @ HM</v>
      </c>
      <c r="J28" s="65"/>
      <c r="K28" s="5">
        <v>333</v>
      </c>
      <c r="L28" s="65"/>
      <c r="M28" s="9" t="s">
        <v>30</v>
      </c>
      <c r="N28" s="65"/>
      <c r="O28" s="15" t="s">
        <v>20</v>
      </c>
      <c r="P28" s="13"/>
      <c r="Q28" s="17">
        <v>1</v>
      </c>
      <c r="S28" s="13"/>
      <c r="T28" s="13"/>
    </row>
    <row r="29" spans="2:20">
      <c r="B29" s="3">
        <f t="shared" si="2"/>
        <v>114.1</v>
      </c>
      <c r="C29" s="25">
        <f t="shared" si="7"/>
        <v>100</v>
      </c>
      <c r="D29" s="25">
        <f t="shared" si="7"/>
        <v>10</v>
      </c>
      <c r="E29" s="84"/>
      <c r="F29" s="64">
        <f t="shared" si="4"/>
        <v>4</v>
      </c>
      <c r="G29" s="77"/>
      <c r="H29" s="22">
        <f t="shared" si="6"/>
        <v>0.1</v>
      </c>
      <c r="I29" s="8" t="str">
        <f>"+polar @ HM"</f>
        <v>+polar @ HM</v>
      </c>
      <c r="J29" s="65"/>
      <c r="K29" s="5">
        <v>32</v>
      </c>
      <c r="L29" s="65"/>
      <c r="M29" s="9" t="s">
        <v>30</v>
      </c>
      <c r="N29" s="65"/>
      <c r="O29" s="15" t="s">
        <v>21</v>
      </c>
      <c r="P29" s="13"/>
      <c r="Q29" s="16">
        <v>1</v>
      </c>
      <c r="S29" s="13"/>
      <c r="T29" s="13"/>
    </row>
    <row r="30" spans="2:20">
      <c r="B30" s="3">
        <f t="shared" si="2"/>
        <v>114.2</v>
      </c>
      <c r="C30" s="25">
        <f t="shared" si="7"/>
        <v>100</v>
      </c>
      <c r="D30" s="25">
        <f t="shared" si="7"/>
        <v>10</v>
      </c>
      <c r="E30" s="84"/>
      <c r="F30" s="64">
        <f t="shared" si="4"/>
        <v>4</v>
      </c>
      <c r="G30" s="77"/>
      <c r="H30" s="22">
        <f t="shared" si="6"/>
        <v>0.2</v>
      </c>
      <c r="I30" s="8" t="s">
        <v>14</v>
      </c>
      <c r="J30" s="65">
        <f>J26</f>
        <v>-15</v>
      </c>
      <c r="K30" s="10">
        <f>(K29+(K28-360))/2</f>
        <v>2.5</v>
      </c>
      <c r="L30" s="65">
        <f>L26</f>
        <v>15</v>
      </c>
      <c r="M30" s="9" t="s">
        <v>30</v>
      </c>
      <c r="N30" s="65" t="str">
        <f>IF((J30&lt;K30)* (K30&lt;L30),"PASS","FAIL")</f>
        <v>PASS</v>
      </c>
      <c r="O30" s="15"/>
      <c r="P30" s="13"/>
      <c r="R30" s="17">
        <v>1</v>
      </c>
      <c r="S30" s="13"/>
      <c r="T30" s="13"/>
    </row>
    <row r="31" spans="2:20">
      <c r="B31" s="3">
        <f t="shared" si="2"/>
        <v>114.3</v>
      </c>
      <c r="C31" s="25">
        <f t="shared" si="7"/>
        <v>100</v>
      </c>
      <c r="D31" s="25">
        <f t="shared" si="7"/>
        <v>10</v>
      </c>
      <c r="E31" s="84"/>
      <c r="F31" s="64">
        <f t="shared" si="4"/>
        <v>4</v>
      </c>
      <c r="G31" s="77"/>
      <c r="H31" s="22">
        <f t="shared" si="6"/>
        <v>0.30000000000000004</v>
      </c>
      <c r="I31" s="8" t="s">
        <v>22</v>
      </c>
      <c r="J31" s="65">
        <f>J27</f>
        <v>50</v>
      </c>
      <c r="K31" s="10">
        <f>K29-(K28-360)</f>
        <v>59</v>
      </c>
      <c r="L31" s="65">
        <f>L27</f>
        <v>70</v>
      </c>
      <c r="M31" s="9" t="s">
        <v>30</v>
      </c>
      <c r="N31" s="65" t="str">
        <f>IF((J31&lt;K31)* (K31&lt;L31),"PASS","FAIL")</f>
        <v>PASS</v>
      </c>
      <c r="O31" s="15"/>
      <c r="P31" s="13"/>
      <c r="R31" s="17">
        <v>1</v>
      </c>
      <c r="S31" s="13"/>
      <c r="T31" s="13"/>
    </row>
    <row r="32" spans="2:20">
      <c r="B32" s="90"/>
      <c r="C32" s="91"/>
      <c r="D32" s="92"/>
      <c r="E32" s="78" t="s">
        <v>100</v>
      </c>
      <c r="F32" s="79"/>
      <c r="G32" s="79"/>
      <c r="H32" s="79"/>
      <c r="I32" s="79"/>
      <c r="J32" s="79"/>
      <c r="K32" s="79"/>
      <c r="L32" s="79"/>
      <c r="M32" s="79"/>
      <c r="N32" s="79"/>
      <c r="O32" s="80"/>
      <c r="P32" s="13"/>
      <c r="S32" s="13"/>
      <c r="T32" s="13"/>
    </row>
    <row r="33" spans="2:20">
      <c r="B33" s="3">
        <f t="shared" ref="B33:B45" si="8">C33+D33+F33+H33</f>
        <v>200</v>
      </c>
      <c r="C33" s="26">
        <f>C31+100</f>
        <v>200</v>
      </c>
      <c r="D33" s="26">
        <v>0</v>
      </c>
      <c r="E33" s="81" t="s">
        <v>39</v>
      </c>
      <c r="F33" s="66">
        <v>0</v>
      </c>
      <c r="G33" s="74" t="s">
        <v>1</v>
      </c>
      <c r="H33" s="22">
        <v>0</v>
      </c>
      <c r="I33" s="8" t="s">
        <v>9</v>
      </c>
      <c r="J33" s="65"/>
      <c r="K33" s="5">
        <v>292</v>
      </c>
      <c r="L33" s="65"/>
      <c r="M33" s="65" t="s">
        <v>29</v>
      </c>
      <c r="N33" s="65"/>
      <c r="O33" s="15" t="s">
        <v>15</v>
      </c>
      <c r="P33" s="13"/>
      <c r="Q33" s="17">
        <v>1</v>
      </c>
      <c r="S33" s="13"/>
      <c r="T33" s="13"/>
    </row>
    <row r="34" spans="2:20">
      <c r="B34" s="3">
        <f t="shared" si="8"/>
        <v>200.1</v>
      </c>
      <c r="C34" s="25">
        <f t="shared" ref="C34:D45" si="9">C33</f>
        <v>200</v>
      </c>
      <c r="D34" s="25">
        <f t="shared" si="9"/>
        <v>0</v>
      </c>
      <c r="E34" s="82"/>
      <c r="F34" s="64">
        <f t="shared" ref="F34:F44" si="10">F33</f>
        <v>0</v>
      </c>
      <c r="G34" s="75"/>
      <c r="H34" s="22">
        <f t="shared" ref="H34:H44" si="11">H33+0.1</f>
        <v>0.1</v>
      </c>
      <c r="I34" s="8" t="s">
        <v>10</v>
      </c>
      <c r="J34" s="6">
        <f>-L34</f>
        <v>-0.35</v>
      </c>
      <c r="K34" s="7">
        <f>K33/K$5-1</f>
        <v>0.2977777777777777</v>
      </c>
      <c r="L34" s="47">
        <f>Specifications!E5</f>
        <v>0.35</v>
      </c>
      <c r="M34" s="6" t="s">
        <v>28</v>
      </c>
      <c r="N34" s="65" t="str">
        <f>IF((J34&lt;K34)* (K34&lt;L34),"PASS","FAIL")</f>
        <v>PASS</v>
      </c>
      <c r="O34" s="15"/>
      <c r="P34" s="13"/>
      <c r="R34" s="17">
        <v>1</v>
      </c>
      <c r="S34" s="13"/>
      <c r="T34" s="13"/>
    </row>
    <row r="35" spans="2:20">
      <c r="B35" s="3">
        <f t="shared" si="8"/>
        <v>200.2</v>
      </c>
      <c r="C35" s="25">
        <f t="shared" si="9"/>
        <v>200</v>
      </c>
      <c r="D35" s="25">
        <f t="shared" si="9"/>
        <v>0</v>
      </c>
      <c r="E35" s="82"/>
      <c r="F35" s="64">
        <f t="shared" si="10"/>
        <v>0</v>
      </c>
      <c r="G35" s="76"/>
      <c r="H35" s="22">
        <f t="shared" si="11"/>
        <v>0.2</v>
      </c>
      <c r="I35" s="8" t="s">
        <v>35</v>
      </c>
      <c r="J35" s="6">
        <f>-L35</f>
        <v>-0.15</v>
      </c>
      <c r="K35" s="7">
        <f>K33/K6-1</f>
        <v>8.5501858736059422E-2</v>
      </c>
      <c r="L35" s="47">
        <f>Specifications!E15</f>
        <v>0.15</v>
      </c>
      <c r="M35" s="6" t="s">
        <v>28</v>
      </c>
      <c r="N35" s="65" t="str">
        <f>IF((J35&lt;K35)* (K35&lt;L35),"PASS","FAIL")</f>
        <v>PASS</v>
      </c>
      <c r="O35" s="15"/>
      <c r="P35" s="13"/>
      <c r="R35" s="17">
        <v>1</v>
      </c>
      <c r="S35" s="13"/>
      <c r="T35" s="13"/>
    </row>
    <row r="36" spans="2:20">
      <c r="B36" s="3">
        <f t="shared" si="8"/>
        <v>201</v>
      </c>
      <c r="C36" s="25">
        <f t="shared" si="9"/>
        <v>200</v>
      </c>
      <c r="D36" s="25">
        <f t="shared" si="9"/>
        <v>0</v>
      </c>
      <c r="E36" s="82"/>
      <c r="F36" s="64">
        <f>F35+1</f>
        <v>1</v>
      </c>
      <c r="G36" s="74" t="s">
        <v>2</v>
      </c>
      <c r="H36" s="22">
        <v>0</v>
      </c>
      <c r="I36" s="8" t="s">
        <v>9</v>
      </c>
      <c r="J36" s="65"/>
      <c r="K36" s="5">
        <v>290</v>
      </c>
      <c r="L36" s="65"/>
      <c r="M36" s="65" t="s">
        <v>29</v>
      </c>
      <c r="N36" s="65"/>
      <c r="O36" s="15" t="s">
        <v>16</v>
      </c>
      <c r="P36" s="13"/>
      <c r="Q36" s="17">
        <v>1</v>
      </c>
      <c r="S36" s="13"/>
      <c r="T36" s="13"/>
    </row>
    <row r="37" spans="2:20">
      <c r="B37" s="3">
        <f t="shared" si="8"/>
        <v>201.1</v>
      </c>
      <c r="C37" s="25">
        <f t="shared" si="9"/>
        <v>200</v>
      </c>
      <c r="D37" s="25">
        <f t="shared" si="9"/>
        <v>0</v>
      </c>
      <c r="E37" s="82"/>
      <c r="F37" s="64">
        <f t="shared" si="10"/>
        <v>1</v>
      </c>
      <c r="G37" s="75"/>
      <c r="H37" s="22">
        <f t="shared" si="11"/>
        <v>0.1</v>
      </c>
      <c r="I37" s="8" t="s">
        <v>10</v>
      </c>
      <c r="J37" s="6">
        <f>J34</f>
        <v>-0.35</v>
      </c>
      <c r="K37" s="7">
        <f>K36/K$5-1</f>
        <v>0.28888888888888897</v>
      </c>
      <c r="L37" s="6">
        <f>L34</f>
        <v>0.35</v>
      </c>
      <c r="M37" s="6" t="s">
        <v>28</v>
      </c>
      <c r="N37" s="65" t="str">
        <f>IF((J37&lt;K37)* (K37&lt;L37),"PASS","FAIL")</f>
        <v>PASS</v>
      </c>
      <c r="O37" s="15"/>
      <c r="P37" s="13"/>
      <c r="R37" s="17">
        <v>1</v>
      </c>
      <c r="S37" s="13"/>
      <c r="T37" s="13"/>
    </row>
    <row r="38" spans="2:20">
      <c r="B38" s="3">
        <f t="shared" si="8"/>
        <v>201.2</v>
      </c>
      <c r="C38" s="25">
        <f t="shared" si="9"/>
        <v>200</v>
      </c>
      <c r="D38" s="25">
        <f t="shared" si="9"/>
        <v>0</v>
      </c>
      <c r="E38" s="82"/>
      <c r="F38" s="64">
        <f t="shared" si="10"/>
        <v>1</v>
      </c>
      <c r="G38" s="76"/>
      <c r="H38" s="22">
        <f t="shared" si="11"/>
        <v>0.2</v>
      </c>
      <c r="I38" s="8" t="s">
        <v>35</v>
      </c>
      <c r="J38" s="6">
        <f>J35</f>
        <v>-0.15</v>
      </c>
      <c r="K38" s="7">
        <f>K36/K8-1</f>
        <v>9.0225563909774431E-2</v>
      </c>
      <c r="L38" s="6">
        <f>L35</f>
        <v>0.15</v>
      </c>
      <c r="M38" s="6" t="s">
        <v>28</v>
      </c>
      <c r="N38" s="65" t="str">
        <f>IF((J38&lt;K38)* (K38&lt;L38),"PASS","FAIL")</f>
        <v>PASS</v>
      </c>
      <c r="O38" s="15"/>
      <c r="P38" s="13"/>
      <c r="R38" s="17">
        <v>1</v>
      </c>
      <c r="S38" s="13"/>
      <c r="T38" s="13"/>
    </row>
    <row r="39" spans="2:20">
      <c r="B39" s="3">
        <f t="shared" si="8"/>
        <v>202</v>
      </c>
      <c r="C39" s="25">
        <f t="shared" si="9"/>
        <v>200</v>
      </c>
      <c r="D39" s="25">
        <f t="shared" si="9"/>
        <v>0</v>
      </c>
      <c r="E39" s="82"/>
      <c r="F39" s="64">
        <f>F38+1</f>
        <v>2</v>
      </c>
      <c r="G39" s="74" t="s">
        <v>3</v>
      </c>
      <c r="H39" s="22">
        <v>0</v>
      </c>
      <c r="I39" s="8" t="s">
        <v>9</v>
      </c>
      <c r="J39" s="65"/>
      <c r="K39" s="5">
        <v>223</v>
      </c>
      <c r="L39" s="65"/>
      <c r="M39" s="65" t="s">
        <v>29</v>
      </c>
      <c r="N39" s="65"/>
      <c r="O39" s="15" t="s">
        <v>17</v>
      </c>
      <c r="P39" s="13"/>
      <c r="Q39" s="17">
        <v>1</v>
      </c>
      <c r="S39" s="13"/>
      <c r="T39" s="13"/>
    </row>
    <row r="40" spans="2:20">
      <c r="B40" s="3">
        <f t="shared" si="8"/>
        <v>202.1</v>
      </c>
      <c r="C40" s="25">
        <f t="shared" si="9"/>
        <v>200</v>
      </c>
      <c r="D40" s="25">
        <f t="shared" si="9"/>
        <v>0</v>
      </c>
      <c r="E40" s="82"/>
      <c r="F40" s="64">
        <f t="shared" si="10"/>
        <v>2</v>
      </c>
      <c r="G40" s="75"/>
      <c r="H40" s="22">
        <f t="shared" si="11"/>
        <v>0.1</v>
      </c>
      <c r="I40" s="8" t="s">
        <v>10</v>
      </c>
      <c r="J40" s="6">
        <f>J37</f>
        <v>-0.35</v>
      </c>
      <c r="K40" s="7">
        <f>K39/K$5-1</f>
        <v>-8.8888888888888351E-3</v>
      </c>
      <c r="L40" s="6">
        <f>L37</f>
        <v>0.35</v>
      </c>
      <c r="M40" s="6" t="s">
        <v>28</v>
      </c>
      <c r="N40" s="65" t="str">
        <f>IF((J40&lt;K40)* (K40&lt;L40),"PASS","FAIL")</f>
        <v>PASS</v>
      </c>
      <c r="O40" s="15"/>
      <c r="P40" s="13"/>
      <c r="R40" s="17">
        <v>1</v>
      </c>
      <c r="S40" s="13"/>
      <c r="T40" s="13"/>
    </row>
    <row r="41" spans="2:20">
      <c r="B41" s="3">
        <f t="shared" si="8"/>
        <v>202.2</v>
      </c>
      <c r="C41" s="25">
        <f t="shared" si="9"/>
        <v>200</v>
      </c>
      <c r="D41" s="25">
        <f t="shared" si="9"/>
        <v>0</v>
      </c>
      <c r="E41" s="82"/>
      <c r="F41" s="64">
        <f t="shared" si="10"/>
        <v>2</v>
      </c>
      <c r="G41" s="76"/>
      <c r="H41" s="22">
        <f t="shared" si="11"/>
        <v>0.2</v>
      </c>
      <c r="I41" s="8" t="s">
        <v>35</v>
      </c>
      <c r="J41" s="6">
        <f>-L41</f>
        <v>-0.3</v>
      </c>
      <c r="K41" s="7">
        <f>K39/K10-1</f>
        <v>-0.23630136986301364</v>
      </c>
      <c r="L41" s="47">
        <f>Specifications!E16</f>
        <v>0.3</v>
      </c>
      <c r="M41" s="6" t="s">
        <v>28</v>
      </c>
      <c r="N41" s="65" t="str">
        <f>IF((J41&lt;K41)* (K41&lt;L41),"PASS","FAIL")</f>
        <v>PASS</v>
      </c>
      <c r="O41" s="15"/>
      <c r="P41" s="13"/>
      <c r="R41" s="17">
        <v>1</v>
      </c>
      <c r="S41" s="13"/>
      <c r="T41" s="13"/>
    </row>
    <row r="42" spans="2:20">
      <c r="B42" s="3">
        <f t="shared" si="8"/>
        <v>203</v>
      </c>
      <c r="C42" s="25">
        <f t="shared" si="9"/>
        <v>200</v>
      </c>
      <c r="D42" s="25">
        <f t="shared" si="9"/>
        <v>0</v>
      </c>
      <c r="E42" s="82"/>
      <c r="F42" s="64">
        <f>F41+1</f>
        <v>3</v>
      </c>
      <c r="G42" s="74" t="s">
        <v>11</v>
      </c>
      <c r="H42" s="22">
        <v>0</v>
      </c>
      <c r="I42" s="8" t="s">
        <v>9</v>
      </c>
      <c r="J42" s="65"/>
      <c r="K42" s="5">
        <v>221</v>
      </c>
      <c r="L42" s="65"/>
      <c r="M42" s="65" t="s">
        <v>29</v>
      </c>
      <c r="N42" s="65"/>
      <c r="O42" s="15" t="s">
        <v>18</v>
      </c>
      <c r="P42" s="13"/>
      <c r="Q42" s="17">
        <v>1</v>
      </c>
      <c r="S42" s="13"/>
      <c r="T42" s="13"/>
    </row>
    <row r="43" spans="2:20">
      <c r="B43" s="3">
        <f t="shared" si="8"/>
        <v>203.1</v>
      </c>
      <c r="C43" s="25">
        <f t="shared" si="9"/>
        <v>200</v>
      </c>
      <c r="D43" s="25">
        <f t="shared" si="9"/>
        <v>0</v>
      </c>
      <c r="E43" s="82"/>
      <c r="F43" s="64">
        <f t="shared" si="10"/>
        <v>3</v>
      </c>
      <c r="G43" s="75"/>
      <c r="H43" s="22">
        <f t="shared" si="11"/>
        <v>0.1</v>
      </c>
      <c r="I43" s="8" t="s">
        <v>10</v>
      </c>
      <c r="J43" s="6">
        <f>J40</f>
        <v>-0.35</v>
      </c>
      <c r="K43" s="7">
        <f>K42/K$5-1</f>
        <v>-1.7777777777777781E-2</v>
      </c>
      <c r="L43" s="6">
        <f>L40</f>
        <v>0.35</v>
      </c>
      <c r="M43" s="6" t="s">
        <v>28</v>
      </c>
      <c r="N43" s="65" t="str">
        <f>IF((J43&lt;K43)* (K43&lt;L43),"PASS","FAIL")</f>
        <v>PASS</v>
      </c>
      <c r="O43" s="15"/>
      <c r="P43" s="13"/>
      <c r="R43" s="17">
        <v>1</v>
      </c>
      <c r="S43" s="13"/>
      <c r="T43" s="13"/>
    </row>
    <row r="44" spans="2:20">
      <c r="B44" s="3">
        <f t="shared" si="8"/>
        <v>203.2</v>
      </c>
      <c r="C44" s="25">
        <f t="shared" si="9"/>
        <v>200</v>
      </c>
      <c r="D44" s="25">
        <f t="shared" si="9"/>
        <v>0</v>
      </c>
      <c r="E44" s="82"/>
      <c r="F44" s="64">
        <f t="shared" si="10"/>
        <v>3</v>
      </c>
      <c r="G44" s="76"/>
      <c r="H44" s="22">
        <f t="shared" si="11"/>
        <v>0.2</v>
      </c>
      <c r="I44" s="8" t="s">
        <v>35</v>
      </c>
      <c r="J44" s="6">
        <f>J41</f>
        <v>-0.3</v>
      </c>
      <c r="K44" s="7">
        <f>K42/K12-1</f>
        <v>-0.23793103448275865</v>
      </c>
      <c r="L44" s="6">
        <f>L41</f>
        <v>0.3</v>
      </c>
      <c r="M44" s="6" t="s">
        <v>28</v>
      </c>
      <c r="N44" s="65" t="str">
        <f>IF((J44&lt;K44)* (K44&lt;L44),"PASS","FAIL")</f>
        <v>PASS</v>
      </c>
      <c r="O44" s="15"/>
      <c r="P44" s="13"/>
      <c r="R44" s="17">
        <v>1</v>
      </c>
      <c r="S44" s="13"/>
      <c r="T44" s="13"/>
    </row>
    <row r="45" spans="2:20">
      <c r="B45" s="3">
        <f t="shared" si="8"/>
        <v>204</v>
      </c>
      <c r="C45" s="25">
        <f t="shared" si="9"/>
        <v>200</v>
      </c>
      <c r="D45" s="25">
        <f t="shared" si="9"/>
        <v>0</v>
      </c>
      <c r="E45" s="83"/>
      <c r="F45" s="64">
        <f>F44+1</f>
        <v>4</v>
      </c>
      <c r="G45" s="65" t="s">
        <v>12</v>
      </c>
      <c r="H45" s="22">
        <v>0</v>
      </c>
      <c r="I45" s="8" t="s">
        <v>8</v>
      </c>
      <c r="J45" s="65"/>
      <c r="K45" s="7">
        <f>((MAX(K34,K37,K40,K43)-MIN(K34,K37,K40,K43))/2)</f>
        <v>0.15777777777777774</v>
      </c>
      <c r="L45" s="65"/>
      <c r="M45" s="6" t="s">
        <v>28</v>
      </c>
      <c r="N45" s="65"/>
      <c r="O45" s="15" t="s">
        <v>25</v>
      </c>
      <c r="P45" s="13"/>
      <c r="S45" s="13"/>
      <c r="T45" s="13"/>
    </row>
    <row r="46" spans="2:20">
      <c r="B46" s="93"/>
      <c r="C46" s="94"/>
      <c r="D46" s="95"/>
      <c r="E46" s="87" t="s">
        <v>63</v>
      </c>
      <c r="F46" s="88"/>
      <c r="G46" s="88"/>
      <c r="H46" s="88"/>
      <c r="I46" s="88"/>
      <c r="J46" s="88"/>
      <c r="K46" s="88"/>
      <c r="L46" s="88"/>
      <c r="M46" s="88"/>
      <c r="N46" s="88"/>
      <c r="O46" s="89"/>
      <c r="P46" s="13"/>
      <c r="S46" s="13"/>
      <c r="T46" s="13"/>
    </row>
    <row r="47" spans="2:20" ht="15" customHeight="1">
      <c r="B47" s="3">
        <f>C47+D47+F47+H49</f>
        <v>300.2</v>
      </c>
      <c r="C47" s="26">
        <f>C45+100</f>
        <v>300</v>
      </c>
      <c r="D47" s="26">
        <v>0</v>
      </c>
      <c r="E47" s="81" t="s">
        <v>101</v>
      </c>
      <c r="F47" s="66">
        <v>0</v>
      </c>
      <c r="G47" s="74" t="s">
        <v>2</v>
      </c>
      <c r="H47" s="22">
        <v>0</v>
      </c>
      <c r="I47" s="8" t="s">
        <v>68</v>
      </c>
      <c r="J47" s="65"/>
      <c r="K47" s="5">
        <v>2</v>
      </c>
      <c r="L47" s="65"/>
      <c r="M47" s="65"/>
      <c r="N47" s="65"/>
      <c r="O47" s="15" t="s">
        <v>89</v>
      </c>
      <c r="P47" s="13"/>
      <c r="Q47" s="17">
        <v>1</v>
      </c>
      <c r="S47" s="13"/>
      <c r="T47" s="13"/>
    </row>
    <row r="48" spans="2:20">
      <c r="B48" s="3">
        <f t="shared" ref="B48:B88" si="12">C48+D48+F48+H48</f>
        <v>300.10000000000002</v>
      </c>
      <c r="C48" s="25">
        <f t="shared" ref="C48:D63" si="13">C47</f>
        <v>300</v>
      </c>
      <c r="D48" s="25">
        <f t="shared" si="13"/>
        <v>0</v>
      </c>
      <c r="E48" s="82"/>
      <c r="F48" s="64">
        <f t="shared" ref="F48:F52" si="14">F47</f>
        <v>0</v>
      </c>
      <c r="G48" s="75"/>
      <c r="H48" s="22">
        <f t="shared" ref="H48:H52" si="15">H47+0.1</f>
        <v>0.1</v>
      </c>
      <c r="I48" s="8" t="s">
        <v>0</v>
      </c>
      <c r="J48" s="65"/>
      <c r="K48" s="10">
        <f>VLOOKUP(K47,Calibration!C3:D8,2)</f>
        <v>8440</v>
      </c>
      <c r="L48" s="65"/>
      <c r="M48" s="65"/>
      <c r="N48" s="65"/>
      <c r="O48" s="15" t="s">
        <v>69</v>
      </c>
      <c r="P48" s="13"/>
      <c r="S48" s="13"/>
      <c r="T48" s="13"/>
    </row>
    <row r="49" spans="2:20" ht="15" customHeight="1">
      <c r="B49" s="3">
        <f>C49+D49+F47+H49</f>
        <v>300.2</v>
      </c>
      <c r="C49" s="25">
        <f t="shared" si="13"/>
        <v>300</v>
      </c>
      <c r="D49" s="25">
        <f t="shared" si="13"/>
        <v>0</v>
      </c>
      <c r="E49" s="82"/>
      <c r="F49" s="64">
        <f t="shared" si="14"/>
        <v>0</v>
      </c>
      <c r="G49" s="75"/>
      <c r="H49" s="22">
        <f t="shared" si="15"/>
        <v>0.2</v>
      </c>
      <c r="I49" s="8" t="s">
        <v>9</v>
      </c>
      <c r="J49" s="65"/>
      <c r="K49" s="18">
        <v>436</v>
      </c>
      <c r="L49" s="65"/>
      <c r="M49" s="65" t="s">
        <v>29</v>
      </c>
      <c r="N49" s="65"/>
      <c r="O49" s="15" t="s">
        <v>16</v>
      </c>
      <c r="P49" s="13"/>
      <c r="Q49" s="17">
        <v>1</v>
      </c>
      <c r="S49" s="13"/>
      <c r="T49" s="13"/>
    </row>
    <row r="50" spans="2:20" ht="15" customHeight="1">
      <c r="B50" s="3">
        <f t="shared" si="12"/>
        <v>300.3</v>
      </c>
      <c r="C50" s="25">
        <f t="shared" si="13"/>
        <v>300</v>
      </c>
      <c r="D50" s="25">
        <f t="shared" si="13"/>
        <v>0</v>
      </c>
      <c r="E50" s="82"/>
      <c r="F50" s="64">
        <f t="shared" si="14"/>
        <v>0</v>
      </c>
      <c r="G50" s="75"/>
      <c r="H50" s="22">
        <f t="shared" si="15"/>
        <v>0.30000000000000004</v>
      </c>
      <c r="I50" s="8" t="s">
        <v>66</v>
      </c>
      <c r="J50" s="65"/>
      <c r="K50" s="7">
        <f>K49/K48</f>
        <v>5.1658767772511847E-2</v>
      </c>
      <c r="L50" s="65"/>
      <c r="M50" s="65"/>
      <c r="N50" s="65"/>
      <c r="O50" s="70" t="s">
        <v>70</v>
      </c>
      <c r="P50" s="13"/>
      <c r="S50" s="13"/>
      <c r="T50" s="13"/>
    </row>
    <row r="51" spans="2:20" ht="15" customHeight="1">
      <c r="B51" s="3">
        <f t="shared" si="12"/>
        <v>300.39999999999998</v>
      </c>
      <c r="C51" s="25">
        <f t="shared" si="13"/>
        <v>300</v>
      </c>
      <c r="D51" s="25">
        <f t="shared" si="13"/>
        <v>0</v>
      </c>
      <c r="E51" s="82"/>
      <c r="F51" s="64">
        <f t="shared" si="14"/>
        <v>0</v>
      </c>
      <c r="G51" s="75"/>
      <c r="H51" s="22">
        <f t="shared" si="15"/>
        <v>0.4</v>
      </c>
      <c r="I51" s="8" t="s">
        <v>67</v>
      </c>
      <c r="J51" s="65"/>
      <c r="K51" s="20">
        <f>1/K50</f>
        <v>19.357798165137616</v>
      </c>
      <c r="L51" s="65"/>
      <c r="M51" s="65"/>
      <c r="N51" s="65"/>
      <c r="O51" s="71"/>
      <c r="P51" s="13"/>
      <c r="S51" s="13"/>
      <c r="T51" s="13"/>
    </row>
    <row r="52" spans="2:20" ht="15" customHeight="1">
      <c r="B52" s="3">
        <f t="shared" si="12"/>
        <v>300.5</v>
      </c>
      <c r="C52" s="25">
        <f t="shared" si="13"/>
        <v>300</v>
      </c>
      <c r="D52" s="25">
        <f t="shared" si="13"/>
        <v>0</v>
      </c>
      <c r="E52" s="82"/>
      <c r="F52" s="64">
        <f t="shared" si="14"/>
        <v>0</v>
      </c>
      <c r="G52" s="76"/>
      <c r="H52" s="22">
        <f t="shared" si="15"/>
        <v>0.5</v>
      </c>
      <c r="I52" s="8" t="s">
        <v>31</v>
      </c>
      <c r="J52" s="65"/>
      <c r="K52" s="20">
        <f>K49/2</f>
        <v>218</v>
      </c>
      <c r="L52" s="65"/>
      <c r="M52" s="9" t="s">
        <v>30</v>
      </c>
      <c r="N52" s="65"/>
      <c r="O52" s="15" t="s">
        <v>32</v>
      </c>
      <c r="P52" s="13"/>
      <c r="S52" s="13"/>
      <c r="T52" s="13"/>
    </row>
    <row r="53" spans="2:20">
      <c r="B53" s="3">
        <f t="shared" si="12"/>
        <v>301</v>
      </c>
      <c r="C53" s="25">
        <f t="shared" si="13"/>
        <v>300</v>
      </c>
      <c r="D53" s="25">
        <f t="shared" si="13"/>
        <v>0</v>
      </c>
      <c r="E53" s="82"/>
      <c r="F53" s="64">
        <f>F52+1</f>
        <v>1</v>
      </c>
      <c r="G53" s="77" t="str">
        <f>G16</f>
        <v>Azimuth=270°</v>
      </c>
      <c r="H53" s="22">
        <v>0</v>
      </c>
      <c r="I53" s="8" t="str">
        <f>"-polar @ HM"</f>
        <v>-polar @ HM</v>
      </c>
      <c r="J53" s="65"/>
      <c r="K53" s="5">
        <v>317</v>
      </c>
      <c r="L53" s="65"/>
      <c r="M53" s="9" t="s">
        <v>30</v>
      </c>
      <c r="N53" s="65"/>
      <c r="O53" s="15" t="s">
        <v>20</v>
      </c>
      <c r="P53" s="13"/>
      <c r="Q53" s="17">
        <v>1</v>
      </c>
      <c r="S53" s="13"/>
      <c r="T53" s="13"/>
    </row>
    <row r="54" spans="2:20">
      <c r="B54" s="3">
        <f t="shared" si="12"/>
        <v>301.10000000000002</v>
      </c>
      <c r="C54" s="25">
        <f t="shared" si="13"/>
        <v>300</v>
      </c>
      <c r="D54" s="25">
        <f t="shared" si="13"/>
        <v>0</v>
      </c>
      <c r="E54" s="82"/>
      <c r="F54" s="64">
        <f t="shared" ref="F54:F88" si="16">F53</f>
        <v>1</v>
      </c>
      <c r="G54" s="77"/>
      <c r="H54" s="22">
        <f t="shared" ref="H54:H88" si="17">H53+0.1</f>
        <v>0.1</v>
      </c>
      <c r="I54" s="8" t="str">
        <f>"-magnitude"</f>
        <v>-magnitude</v>
      </c>
      <c r="J54" s="65"/>
      <c r="K54" s="5">
        <v>721</v>
      </c>
      <c r="L54" s="65"/>
      <c r="M54" s="65" t="s">
        <v>29</v>
      </c>
      <c r="N54" s="65"/>
      <c r="O54" s="15" t="s">
        <v>40</v>
      </c>
      <c r="P54" s="13"/>
      <c r="Q54" s="17">
        <v>1</v>
      </c>
      <c r="S54" s="13"/>
      <c r="T54" s="13"/>
    </row>
    <row r="55" spans="2:20">
      <c r="B55" s="3">
        <f t="shared" si="12"/>
        <v>301.2</v>
      </c>
      <c r="C55" s="25">
        <f t="shared" si="13"/>
        <v>300</v>
      </c>
      <c r="D55" s="25">
        <f t="shared" si="13"/>
        <v>0</v>
      </c>
      <c r="E55" s="82"/>
      <c r="F55" s="64">
        <f t="shared" si="16"/>
        <v>1</v>
      </c>
      <c r="G55" s="77"/>
      <c r="H55" s="22">
        <f t="shared" si="17"/>
        <v>0.2</v>
      </c>
      <c r="I55" s="8" t="str">
        <f>"-peak angle"</f>
        <v>-peak angle</v>
      </c>
      <c r="J55" s="65"/>
      <c r="K55" s="5">
        <v>342</v>
      </c>
      <c r="L55" s="65"/>
      <c r="M55" s="9" t="s">
        <v>30</v>
      </c>
      <c r="N55" s="65"/>
      <c r="O55" s="15" t="s">
        <v>41</v>
      </c>
      <c r="P55" s="13"/>
      <c r="Q55" s="17">
        <v>1</v>
      </c>
      <c r="S55" s="13"/>
      <c r="T55" s="13"/>
    </row>
    <row r="56" spans="2:20">
      <c r="B56" s="3">
        <f t="shared" si="12"/>
        <v>301.3</v>
      </c>
      <c r="C56" s="25">
        <f t="shared" si="13"/>
        <v>300</v>
      </c>
      <c r="D56" s="25">
        <f t="shared" si="13"/>
        <v>0</v>
      </c>
      <c r="E56" s="82"/>
      <c r="F56" s="64">
        <f t="shared" si="16"/>
        <v>1</v>
      </c>
      <c r="G56" s="77"/>
      <c r="H56" s="22">
        <f t="shared" si="17"/>
        <v>0.30000000000000004</v>
      </c>
      <c r="I56" s="8" t="str">
        <f>"+polar @ HM"</f>
        <v>+polar @ HM</v>
      </c>
      <c r="J56" s="65"/>
      <c r="K56" s="5">
        <v>36</v>
      </c>
      <c r="L56" s="65"/>
      <c r="M56" s="9" t="s">
        <v>30</v>
      </c>
      <c r="N56" s="65"/>
      <c r="O56" s="15" t="s">
        <v>21</v>
      </c>
      <c r="P56" s="13"/>
      <c r="Q56" s="17">
        <v>1</v>
      </c>
      <c r="S56" s="13"/>
      <c r="T56" s="13"/>
    </row>
    <row r="57" spans="2:20">
      <c r="B57" s="3">
        <f t="shared" si="12"/>
        <v>301.39999999999998</v>
      </c>
      <c r="C57" s="25">
        <f t="shared" si="13"/>
        <v>300</v>
      </c>
      <c r="D57" s="25">
        <f t="shared" si="13"/>
        <v>0</v>
      </c>
      <c r="E57" s="82"/>
      <c r="F57" s="64">
        <f t="shared" si="16"/>
        <v>1</v>
      </c>
      <c r="G57" s="77"/>
      <c r="H57" s="22">
        <f t="shared" si="17"/>
        <v>0.4</v>
      </c>
      <c r="I57" s="8" t="str">
        <f>"+magnitude"</f>
        <v>+magnitude</v>
      </c>
      <c r="J57" s="65"/>
      <c r="K57" s="5">
        <v>972</v>
      </c>
      <c r="L57" s="65"/>
      <c r="M57" s="65" t="s">
        <v>29</v>
      </c>
      <c r="N57" s="65"/>
      <c r="O57" s="15" t="s">
        <v>42</v>
      </c>
      <c r="P57" s="13"/>
      <c r="Q57" s="17">
        <v>1</v>
      </c>
      <c r="S57" s="13"/>
      <c r="T57" s="13"/>
    </row>
    <row r="58" spans="2:20">
      <c r="B58" s="3">
        <f t="shared" si="12"/>
        <v>301.5</v>
      </c>
      <c r="C58" s="25">
        <f t="shared" si="13"/>
        <v>300</v>
      </c>
      <c r="D58" s="25">
        <f t="shared" si="13"/>
        <v>0</v>
      </c>
      <c r="E58" s="82"/>
      <c r="F58" s="64">
        <f t="shared" si="16"/>
        <v>1</v>
      </c>
      <c r="G58" s="77"/>
      <c r="H58" s="22">
        <f t="shared" si="17"/>
        <v>0.5</v>
      </c>
      <c r="I58" s="8" t="str">
        <f>"+peak angle"</f>
        <v>+peak angle</v>
      </c>
      <c r="J58" s="65"/>
      <c r="K58" s="5">
        <v>15</v>
      </c>
      <c r="L58" s="65"/>
      <c r="M58" s="9" t="s">
        <v>30</v>
      </c>
      <c r="N58" s="65"/>
      <c r="O58" s="15" t="s">
        <v>41</v>
      </c>
      <c r="P58" s="13"/>
      <c r="Q58" s="17">
        <v>1</v>
      </c>
      <c r="S58" s="13"/>
      <c r="T58" s="13"/>
    </row>
    <row r="59" spans="2:20">
      <c r="B59" s="3">
        <f t="shared" si="12"/>
        <v>301.60000000000002</v>
      </c>
      <c r="C59" s="25">
        <f>C57</f>
        <v>300</v>
      </c>
      <c r="D59" s="25">
        <f>D57</f>
        <v>0</v>
      </c>
      <c r="E59" s="82"/>
      <c r="F59" s="64">
        <f>F57</f>
        <v>1</v>
      </c>
      <c r="G59" s="77"/>
      <c r="H59" s="22">
        <f t="shared" si="17"/>
        <v>0.6</v>
      </c>
      <c r="I59" s="8" t="s">
        <v>64</v>
      </c>
      <c r="J59" s="6">
        <f>-L59</f>
        <v>-2</v>
      </c>
      <c r="K59" s="7">
        <f>MAX(K54,K57)/K$49-1</f>
        <v>1.2293577981651378</v>
      </c>
      <c r="L59" s="47">
        <f>Specifications!E10</f>
        <v>2</v>
      </c>
      <c r="M59" s="9" t="s">
        <v>30</v>
      </c>
      <c r="N59" s="65" t="str">
        <f>IF((J59&lt;K59)* (K59&lt;L59),"PASS","FAIL")</f>
        <v>PASS</v>
      </c>
      <c r="O59" s="15"/>
      <c r="P59" s="13"/>
      <c r="R59" s="17">
        <v>1</v>
      </c>
      <c r="S59" s="13"/>
      <c r="T59" s="13"/>
    </row>
    <row r="60" spans="2:20">
      <c r="B60" s="3">
        <f t="shared" si="12"/>
        <v>301.7</v>
      </c>
      <c r="C60" s="25">
        <f>C58</f>
        <v>300</v>
      </c>
      <c r="D60" s="25">
        <f>D58</f>
        <v>0</v>
      </c>
      <c r="E60" s="82"/>
      <c r="F60" s="64">
        <f>F58</f>
        <v>1</v>
      </c>
      <c r="G60" s="77"/>
      <c r="H60" s="22">
        <f t="shared" si="17"/>
        <v>0.7</v>
      </c>
      <c r="I60" s="8" t="s">
        <v>14</v>
      </c>
      <c r="J60" s="65">
        <f>-L60</f>
        <v>-15</v>
      </c>
      <c r="K60" s="10">
        <f>(K56+(K53-360))/2</f>
        <v>-3.5</v>
      </c>
      <c r="L60" s="65">
        <f>L18</f>
        <v>15</v>
      </c>
      <c r="M60" s="9" t="s">
        <v>30</v>
      </c>
      <c r="N60" s="65" t="str">
        <f>IF((J60&lt;K60)* (K60&lt;L60),"PASS","FAIL")</f>
        <v>PASS</v>
      </c>
      <c r="O60" s="15"/>
      <c r="P60" s="13"/>
      <c r="R60" s="17">
        <v>1</v>
      </c>
      <c r="S60" s="13"/>
      <c r="T60" s="13"/>
    </row>
    <row r="61" spans="2:20">
      <c r="B61" s="3">
        <f t="shared" si="12"/>
        <v>301.8</v>
      </c>
      <c r="C61" s="25">
        <f t="shared" si="13"/>
        <v>300</v>
      </c>
      <c r="D61" s="25">
        <f t="shared" si="13"/>
        <v>0</v>
      </c>
      <c r="E61" s="82"/>
      <c r="F61" s="64">
        <f t="shared" si="16"/>
        <v>1</v>
      </c>
      <c r="G61" s="77"/>
      <c r="H61" s="22">
        <f t="shared" si="17"/>
        <v>0.79999999999999993</v>
      </c>
      <c r="I61" s="8" t="s">
        <v>22</v>
      </c>
      <c r="J61" s="48">
        <f>Specifications!E13</f>
        <v>35</v>
      </c>
      <c r="K61" s="10">
        <f>K56-(K53-360)</f>
        <v>79</v>
      </c>
      <c r="L61" s="48">
        <f>Specifications!E14</f>
        <v>85</v>
      </c>
      <c r="M61" s="9" t="s">
        <v>30</v>
      </c>
      <c r="N61" s="65" t="str">
        <f>IF((J61&lt;K61)* (K61&lt;L61),"PASS","FAIL")</f>
        <v>PASS</v>
      </c>
      <c r="O61" s="15"/>
      <c r="P61" s="13"/>
      <c r="R61" s="17">
        <v>1</v>
      </c>
      <c r="S61" s="13"/>
      <c r="T61" s="13"/>
    </row>
    <row r="62" spans="2:20">
      <c r="B62" s="3">
        <f t="shared" si="12"/>
        <v>302</v>
      </c>
      <c r="C62" s="25">
        <f t="shared" si="13"/>
        <v>300</v>
      </c>
      <c r="D62" s="25">
        <f t="shared" si="13"/>
        <v>0</v>
      </c>
      <c r="E62" s="82"/>
      <c r="F62" s="64">
        <f>F61+1</f>
        <v>2</v>
      </c>
      <c r="G62" s="77" t="str">
        <f>G20</f>
        <v>Azimuth=315°</v>
      </c>
      <c r="H62" s="22">
        <v>0</v>
      </c>
      <c r="I62" s="8" t="str">
        <f>"-polar @ HM"</f>
        <v>-polar @ HM</v>
      </c>
      <c r="J62" s="65"/>
      <c r="K62" s="5">
        <v>322</v>
      </c>
      <c r="L62" s="65"/>
      <c r="M62" s="9" t="s">
        <v>30</v>
      </c>
      <c r="N62" s="65"/>
      <c r="O62" s="15" t="s">
        <v>20</v>
      </c>
      <c r="P62" s="13"/>
      <c r="Q62" s="17">
        <v>1</v>
      </c>
      <c r="S62" s="13"/>
      <c r="T62" s="13"/>
    </row>
    <row r="63" spans="2:20">
      <c r="B63" s="3">
        <f t="shared" si="12"/>
        <v>302.10000000000002</v>
      </c>
      <c r="C63" s="25">
        <f t="shared" si="13"/>
        <v>300</v>
      </c>
      <c r="D63" s="25">
        <f t="shared" si="13"/>
        <v>0</v>
      </c>
      <c r="E63" s="82"/>
      <c r="F63" s="64">
        <f t="shared" si="16"/>
        <v>2</v>
      </c>
      <c r="G63" s="77"/>
      <c r="H63" s="22">
        <f t="shared" si="17"/>
        <v>0.1</v>
      </c>
      <c r="I63" s="8" t="str">
        <f>"-magnitude"</f>
        <v>-magnitude</v>
      </c>
      <c r="J63" s="65"/>
      <c r="K63" s="5">
        <v>656</v>
      </c>
      <c r="L63" s="65"/>
      <c r="M63" s="65" t="s">
        <v>29</v>
      </c>
      <c r="N63" s="65"/>
      <c r="O63" s="15" t="s">
        <v>40</v>
      </c>
      <c r="P63" s="13"/>
      <c r="Q63" s="17">
        <v>1</v>
      </c>
      <c r="S63" s="13"/>
      <c r="T63" s="13"/>
    </row>
    <row r="64" spans="2:20">
      <c r="B64" s="3">
        <f t="shared" si="12"/>
        <v>302.2</v>
      </c>
      <c r="C64" s="25">
        <f t="shared" ref="C64:D79" si="18">C63</f>
        <v>300</v>
      </c>
      <c r="D64" s="25">
        <f t="shared" si="18"/>
        <v>0</v>
      </c>
      <c r="E64" s="82"/>
      <c r="F64" s="64">
        <f t="shared" si="16"/>
        <v>2</v>
      </c>
      <c r="G64" s="77"/>
      <c r="H64" s="22">
        <f t="shared" si="17"/>
        <v>0.2</v>
      </c>
      <c r="I64" s="8" t="str">
        <f>"-peak angle"</f>
        <v>-peak angle</v>
      </c>
      <c r="J64" s="65"/>
      <c r="K64" s="5">
        <v>346</v>
      </c>
      <c r="L64" s="65"/>
      <c r="M64" s="9" t="s">
        <v>30</v>
      </c>
      <c r="N64" s="65"/>
      <c r="O64" s="15" t="s">
        <v>41</v>
      </c>
      <c r="P64" s="13"/>
      <c r="Q64" s="17">
        <v>1</v>
      </c>
      <c r="S64" s="13"/>
      <c r="T64" s="13"/>
    </row>
    <row r="65" spans="2:20">
      <c r="B65" s="3">
        <f t="shared" si="12"/>
        <v>302.3</v>
      </c>
      <c r="C65" s="25">
        <f t="shared" si="18"/>
        <v>300</v>
      </c>
      <c r="D65" s="25">
        <f t="shared" si="18"/>
        <v>0</v>
      </c>
      <c r="E65" s="82"/>
      <c r="F65" s="64">
        <f t="shared" si="16"/>
        <v>2</v>
      </c>
      <c r="G65" s="77"/>
      <c r="H65" s="22">
        <f t="shared" si="17"/>
        <v>0.30000000000000004</v>
      </c>
      <c r="I65" s="8" t="str">
        <f>"+polar @ HM"</f>
        <v>+polar @ HM</v>
      </c>
      <c r="J65" s="65"/>
      <c r="K65" s="5">
        <v>36</v>
      </c>
      <c r="L65" s="65"/>
      <c r="M65" s="9" t="s">
        <v>30</v>
      </c>
      <c r="N65" s="65"/>
      <c r="O65" s="15" t="s">
        <v>21</v>
      </c>
      <c r="P65" s="13"/>
      <c r="Q65" s="17">
        <v>1</v>
      </c>
      <c r="S65" s="13"/>
      <c r="T65" s="13"/>
    </row>
    <row r="66" spans="2:20">
      <c r="B66" s="3">
        <f t="shared" si="12"/>
        <v>302.39999999999998</v>
      </c>
      <c r="C66" s="25">
        <f t="shared" si="18"/>
        <v>300</v>
      </c>
      <c r="D66" s="25">
        <f t="shared" si="18"/>
        <v>0</v>
      </c>
      <c r="E66" s="82"/>
      <c r="F66" s="64">
        <f t="shared" si="16"/>
        <v>2</v>
      </c>
      <c r="G66" s="77"/>
      <c r="H66" s="22">
        <f t="shared" si="17"/>
        <v>0.4</v>
      </c>
      <c r="I66" s="8" t="str">
        <f>"+magnitude"</f>
        <v>+magnitude</v>
      </c>
      <c r="J66" s="65"/>
      <c r="K66" s="5">
        <v>850</v>
      </c>
      <c r="L66" s="65"/>
      <c r="M66" s="65" t="s">
        <v>29</v>
      </c>
      <c r="N66" s="65"/>
      <c r="O66" s="15" t="s">
        <v>42</v>
      </c>
      <c r="P66" s="13"/>
      <c r="Q66" s="17">
        <v>1</v>
      </c>
      <c r="S66" s="13"/>
      <c r="T66" s="13"/>
    </row>
    <row r="67" spans="2:20">
      <c r="B67" s="3">
        <f t="shared" si="12"/>
        <v>302.5</v>
      </c>
      <c r="C67" s="25">
        <f t="shared" si="18"/>
        <v>300</v>
      </c>
      <c r="D67" s="25">
        <f t="shared" si="18"/>
        <v>0</v>
      </c>
      <c r="E67" s="82"/>
      <c r="F67" s="64">
        <f t="shared" si="16"/>
        <v>2</v>
      </c>
      <c r="G67" s="77"/>
      <c r="H67" s="22">
        <f t="shared" si="17"/>
        <v>0.5</v>
      </c>
      <c r="I67" s="8" t="str">
        <f>"+peak angle"</f>
        <v>+peak angle</v>
      </c>
      <c r="J67" s="65"/>
      <c r="K67" s="5">
        <v>19</v>
      </c>
      <c r="L67" s="65"/>
      <c r="M67" s="9" t="s">
        <v>30</v>
      </c>
      <c r="N67" s="65"/>
      <c r="O67" s="15" t="s">
        <v>41</v>
      </c>
      <c r="P67" s="13"/>
      <c r="Q67" s="17">
        <v>1</v>
      </c>
      <c r="S67" s="13"/>
      <c r="T67" s="13"/>
    </row>
    <row r="68" spans="2:20">
      <c r="B68" s="3">
        <f t="shared" si="12"/>
        <v>302.60000000000002</v>
      </c>
      <c r="C68" s="25">
        <f>C66</f>
        <v>300</v>
      </c>
      <c r="D68" s="25">
        <f>D66</f>
        <v>0</v>
      </c>
      <c r="E68" s="82"/>
      <c r="F68" s="64">
        <f>F66</f>
        <v>2</v>
      </c>
      <c r="G68" s="77"/>
      <c r="H68" s="22">
        <f t="shared" si="17"/>
        <v>0.6</v>
      </c>
      <c r="I68" s="8" t="s">
        <v>64</v>
      </c>
      <c r="J68" s="6">
        <f>J59</f>
        <v>-2</v>
      </c>
      <c r="K68" s="7">
        <f>MAX(K63,K66)/K$49-1</f>
        <v>0.94954128440366969</v>
      </c>
      <c r="L68" s="6">
        <f>L59</f>
        <v>2</v>
      </c>
      <c r="M68" s="9" t="s">
        <v>30</v>
      </c>
      <c r="N68" s="65" t="str">
        <f>IF((J68&lt;K68)* (K68&lt;L68),"PASS","FAIL")</f>
        <v>PASS</v>
      </c>
      <c r="O68" s="15"/>
      <c r="P68" s="13"/>
      <c r="R68" s="17">
        <v>1</v>
      </c>
      <c r="S68" s="13"/>
      <c r="T68" s="13"/>
    </row>
    <row r="69" spans="2:20">
      <c r="B69" s="3">
        <f t="shared" si="12"/>
        <v>302.7</v>
      </c>
      <c r="C69" s="25">
        <f>C67</f>
        <v>300</v>
      </c>
      <c r="D69" s="25">
        <f>D67</f>
        <v>0</v>
      </c>
      <c r="E69" s="82"/>
      <c r="F69" s="64">
        <f>F67</f>
        <v>2</v>
      </c>
      <c r="G69" s="77"/>
      <c r="H69" s="22">
        <f t="shared" si="17"/>
        <v>0.7</v>
      </c>
      <c r="I69" s="8" t="s">
        <v>14</v>
      </c>
      <c r="J69" s="65">
        <f>J60</f>
        <v>-15</v>
      </c>
      <c r="K69" s="10">
        <f>(K65+(K62-360))/2</f>
        <v>-1</v>
      </c>
      <c r="L69" s="65">
        <f>L60</f>
        <v>15</v>
      </c>
      <c r="M69" s="9" t="s">
        <v>30</v>
      </c>
      <c r="N69" s="65" t="str">
        <f>IF((J69&lt;K69)* (K69&lt;L69),"PASS","FAIL")</f>
        <v>PASS</v>
      </c>
      <c r="O69" s="15"/>
      <c r="P69" s="13"/>
      <c r="R69" s="17">
        <v>1</v>
      </c>
      <c r="S69" s="13"/>
      <c r="T69" s="13"/>
    </row>
    <row r="70" spans="2:20">
      <c r="B70" s="3">
        <f t="shared" si="12"/>
        <v>302.8</v>
      </c>
      <c r="C70" s="25">
        <f t="shared" si="18"/>
        <v>300</v>
      </c>
      <c r="D70" s="25">
        <f t="shared" si="18"/>
        <v>0</v>
      </c>
      <c r="E70" s="82"/>
      <c r="F70" s="64">
        <f t="shared" si="16"/>
        <v>2</v>
      </c>
      <c r="G70" s="77"/>
      <c r="H70" s="22">
        <f t="shared" si="17"/>
        <v>0.79999999999999993</v>
      </c>
      <c r="I70" s="8" t="s">
        <v>22</v>
      </c>
      <c r="J70" s="65">
        <f>J61</f>
        <v>35</v>
      </c>
      <c r="K70" s="10">
        <f>K65-(K62-360)</f>
        <v>74</v>
      </c>
      <c r="L70" s="65">
        <f>L61</f>
        <v>85</v>
      </c>
      <c r="M70" s="9" t="s">
        <v>30</v>
      </c>
      <c r="N70" s="65" t="str">
        <f>IF((J70&lt;K70)* (K70&lt;L70),"PASS","FAIL")</f>
        <v>PASS</v>
      </c>
      <c r="O70" s="15"/>
      <c r="P70" s="13"/>
      <c r="R70" s="17">
        <v>1</v>
      </c>
      <c r="S70" s="13"/>
      <c r="T70" s="13"/>
    </row>
    <row r="71" spans="2:20">
      <c r="B71" s="3">
        <f t="shared" si="12"/>
        <v>303</v>
      </c>
      <c r="C71" s="25">
        <f t="shared" si="18"/>
        <v>300</v>
      </c>
      <c r="D71" s="25">
        <f t="shared" si="18"/>
        <v>0</v>
      </c>
      <c r="E71" s="82"/>
      <c r="F71" s="64">
        <f>F70+1</f>
        <v>3</v>
      </c>
      <c r="G71" s="77" t="str">
        <f>G24</f>
        <v>Azimuth=0°</v>
      </c>
      <c r="H71" s="22">
        <v>0</v>
      </c>
      <c r="I71" s="8" t="str">
        <f>"-polar @ HM"</f>
        <v>-polar @ HM</v>
      </c>
      <c r="J71" s="65"/>
      <c r="K71" s="5">
        <v>331</v>
      </c>
      <c r="L71" s="65"/>
      <c r="M71" s="9" t="s">
        <v>30</v>
      </c>
      <c r="N71" s="65"/>
      <c r="O71" s="15" t="s">
        <v>20</v>
      </c>
      <c r="P71" s="13"/>
      <c r="Q71" s="17">
        <v>1</v>
      </c>
      <c r="S71" s="13"/>
      <c r="T71" s="13"/>
    </row>
    <row r="72" spans="2:20">
      <c r="B72" s="3">
        <f t="shared" si="12"/>
        <v>303.10000000000002</v>
      </c>
      <c r="C72" s="25">
        <f t="shared" si="18"/>
        <v>300</v>
      </c>
      <c r="D72" s="25">
        <f t="shared" si="18"/>
        <v>0</v>
      </c>
      <c r="E72" s="82"/>
      <c r="F72" s="64">
        <f t="shared" si="16"/>
        <v>3</v>
      </c>
      <c r="G72" s="77"/>
      <c r="H72" s="22">
        <f t="shared" si="17"/>
        <v>0.1</v>
      </c>
      <c r="I72" s="8" t="str">
        <f>"-magnitude"</f>
        <v>-magnitude</v>
      </c>
      <c r="J72" s="65"/>
      <c r="K72" s="5">
        <v>526</v>
      </c>
      <c r="L72" s="65"/>
      <c r="M72" s="65" t="s">
        <v>29</v>
      </c>
      <c r="N72" s="65"/>
      <c r="O72" s="15" t="s">
        <v>40</v>
      </c>
      <c r="P72" s="13"/>
      <c r="Q72" s="17">
        <v>1</v>
      </c>
      <c r="S72" s="13"/>
      <c r="T72" s="13"/>
    </row>
    <row r="73" spans="2:20">
      <c r="B73" s="3">
        <f t="shared" si="12"/>
        <v>303.2</v>
      </c>
      <c r="C73" s="25">
        <f t="shared" si="18"/>
        <v>300</v>
      </c>
      <c r="D73" s="25">
        <f t="shared" si="18"/>
        <v>0</v>
      </c>
      <c r="E73" s="82"/>
      <c r="F73" s="64">
        <f t="shared" si="16"/>
        <v>3</v>
      </c>
      <c r="G73" s="77"/>
      <c r="H73" s="22">
        <f t="shared" si="17"/>
        <v>0.2</v>
      </c>
      <c r="I73" s="8" t="str">
        <f>"-peak angle"</f>
        <v>-peak angle</v>
      </c>
      <c r="J73" s="65"/>
      <c r="K73" s="5">
        <v>346</v>
      </c>
      <c r="L73" s="65"/>
      <c r="M73" s="9" t="s">
        <v>30</v>
      </c>
      <c r="N73" s="65"/>
      <c r="O73" s="15" t="s">
        <v>41</v>
      </c>
      <c r="P73" s="13"/>
      <c r="Q73" s="17">
        <v>1</v>
      </c>
      <c r="S73" s="13"/>
      <c r="T73" s="13"/>
    </row>
    <row r="74" spans="2:20">
      <c r="B74" s="3">
        <f t="shared" si="12"/>
        <v>303.3</v>
      </c>
      <c r="C74" s="25">
        <f t="shared" si="18"/>
        <v>300</v>
      </c>
      <c r="D74" s="25">
        <f t="shared" si="18"/>
        <v>0</v>
      </c>
      <c r="E74" s="82"/>
      <c r="F74" s="64">
        <f t="shared" si="16"/>
        <v>3</v>
      </c>
      <c r="G74" s="77"/>
      <c r="H74" s="22">
        <f t="shared" si="17"/>
        <v>0.30000000000000004</v>
      </c>
      <c r="I74" s="8" t="str">
        <f>"+polar @ HM"</f>
        <v>+polar @ HM</v>
      </c>
      <c r="J74" s="65"/>
      <c r="K74" s="5">
        <v>24</v>
      </c>
      <c r="L74" s="65"/>
      <c r="M74" s="9" t="s">
        <v>30</v>
      </c>
      <c r="N74" s="65"/>
      <c r="O74" s="15" t="s">
        <v>21</v>
      </c>
      <c r="P74" s="13"/>
      <c r="Q74" s="17">
        <v>1</v>
      </c>
      <c r="S74" s="13"/>
      <c r="T74" s="13"/>
    </row>
    <row r="75" spans="2:20">
      <c r="B75" s="3">
        <f t="shared" si="12"/>
        <v>303.39999999999998</v>
      </c>
      <c r="C75" s="25">
        <f t="shared" si="18"/>
        <v>300</v>
      </c>
      <c r="D75" s="25">
        <f t="shared" si="18"/>
        <v>0</v>
      </c>
      <c r="E75" s="82"/>
      <c r="F75" s="64">
        <f t="shared" si="16"/>
        <v>3</v>
      </c>
      <c r="G75" s="77"/>
      <c r="H75" s="22">
        <f t="shared" si="17"/>
        <v>0.4</v>
      </c>
      <c r="I75" s="8" t="str">
        <f>"+magnitude"</f>
        <v>+magnitude</v>
      </c>
      <c r="J75" s="65"/>
      <c r="K75" s="5">
        <v>616</v>
      </c>
      <c r="L75" s="65"/>
      <c r="M75" s="65" t="s">
        <v>29</v>
      </c>
      <c r="N75" s="65"/>
      <c r="O75" s="15" t="s">
        <v>42</v>
      </c>
      <c r="P75" s="13"/>
      <c r="Q75" s="17">
        <v>1</v>
      </c>
      <c r="S75" s="13"/>
      <c r="T75" s="13"/>
    </row>
    <row r="76" spans="2:20">
      <c r="B76" s="3">
        <f t="shared" si="12"/>
        <v>303.5</v>
      </c>
      <c r="C76" s="25">
        <f t="shared" si="18"/>
        <v>300</v>
      </c>
      <c r="D76" s="25">
        <f t="shared" si="18"/>
        <v>0</v>
      </c>
      <c r="E76" s="82"/>
      <c r="F76" s="64">
        <f t="shared" si="16"/>
        <v>3</v>
      </c>
      <c r="G76" s="77"/>
      <c r="H76" s="22">
        <f t="shared" si="17"/>
        <v>0.5</v>
      </c>
      <c r="I76" s="8" t="str">
        <f>"+peak angle"</f>
        <v>+peak angle</v>
      </c>
      <c r="J76" s="65"/>
      <c r="K76" s="5">
        <v>12</v>
      </c>
      <c r="L76" s="65"/>
      <c r="M76" s="9" t="s">
        <v>30</v>
      </c>
      <c r="N76" s="65"/>
      <c r="O76" s="15" t="s">
        <v>41</v>
      </c>
      <c r="P76" s="13"/>
      <c r="Q76" s="17">
        <v>1</v>
      </c>
      <c r="S76" s="13"/>
      <c r="T76" s="13"/>
    </row>
    <row r="77" spans="2:20">
      <c r="B77" s="3">
        <f t="shared" si="12"/>
        <v>303.60000000000002</v>
      </c>
      <c r="C77" s="25">
        <f t="shared" si="18"/>
        <v>300</v>
      </c>
      <c r="D77" s="25">
        <f t="shared" si="18"/>
        <v>0</v>
      </c>
      <c r="E77" s="82"/>
      <c r="F77" s="64">
        <f t="shared" si="16"/>
        <v>3</v>
      </c>
      <c r="G77" s="77"/>
      <c r="H77" s="22">
        <f t="shared" si="17"/>
        <v>0.6</v>
      </c>
      <c r="I77" s="8" t="s">
        <v>64</v>
      </c>
      <c r="J77" s="6">
        <f>J68</f>
        <v>-2</v>
      </c>
      <c r="K77" s="7">
        <f>MAX(K72,K75)/K$49-1</f>
        <v>0.41284403669724767</v>
      </c>
      <c r="L77" s="6">
        <f>L68</f>
        <v>2</v>
      </c>
      <c r="M77" s="9" t="s">
        <v>30</v>
      </c>
      <c r="N77" s="65" t="str">
        <f>IF((J77&lt;K77)* (K77&lt;L77),"PASS","FAIL")</f>
        <v>PASS</v>
      </c>
      <c r="O77" s="15"/>
      <c r="P77" s="13"/>
      <c r="R77" s="17">
        <v>1</v>
      </c>
      <c r="S77" s="13"/>
      <c r="T77" s="13"/>
    </row>
    <row r="78" spans="2:20">
      <c r="B78" s="3">
        <f t="shared" si="12"/>
        <v>303.7</v>
      </c>
      <c r="C78" s="25">
        <f t="shared" si="18"/>
        <v>300</v>
      </c>
      <c r="D78" s="25">
        <f t="shared" si="18"/>
        <v>0</v>
      </c>
      <c r="E78" s="82"/>
      <c r="F78" s="64">
        <f>F76</f>
        <v>3</v>
      </c>
      <c r="G78" s="77"/>
      <c r="H78" s="22">
        <f t="shared" si="17"/>
        <v>0.7</v>
      </c>
      <c r="I78" s="8" t="s">
        <v>14</v>
      </c>
      <c r="J78" s="65">
        <f>J69</f>
        <v>-15</v>
      </c>
      <c r="K78" s="10">
        <f>(K74+(K71-360))/2</f>
        <v>-2.5</v>
      </c>
      <c r="L78" s="65">
        <f>L69</f>
        <v>15</v>
      </c>
      <c r="M78" s="9" t="s">
        <v>30</v>
      </c>
      <c r="N78" s="65" t="str">
        <f>IF((J78&lt;K78)* (K78&lt;L78),"PASS","FAIL")</f>
        <v>PASS</v>
      </c>
      <c r="O78" s="15"/>
      <c r="P78" s="13"/>
      <c r="R78" s="17">
        <v>1</v>
      </c>
      <c r="S78" s="13"/>
      <c r="T78" s="13"/>
    </row>
    <row r="79" spans="2:20">
      <c r="B79" s="3">
        <f t="shared" si="12"/>
        <v>303.8</v>
      </c>
      <c r="C79" s="25">
        <f t="shared" si="18"/>
        <v>300</v>
      </c>
      <c r="D79" s="25">
        <f t="shared" si="18"/>
        <v>0</v>
      </c>
      <c r="E79" s="82"/>
      <c r="F79" s="64">
        <f t="shared" si="16"/>
        <v>3</v>
      </c>
      <c r="G79" s="77"/>
      <c r="H79" s="22">
        <f t="shared" si="17"/>
        <v>0.79999999999999993</v>
      </c>
      <c r="I79" s="8" t="s">
        <v>22</v>
      </c>
      <c r="J79" s="65">
        <f>J70</f>
        <v>35</v>
      </c>
      <c r="K79" s="10">
        <f>K74-(K71-360)</f>
        <v>53</v>
      </c>
      <c r="L79" s="65">
        <f>L70</f>
        <v>85</v>
      </c>
      <c r="M79" s="9" t="s">
        <v>30</v>
      </c>
      <c r="N79" s="65" t="str">
        <f>IF((J79&lt;K79)* (K79&lt;L79),"PASS","FAIL")</f>
        <v>PASS</v>
      </c>
      <c r="O79" s="15"/>
      <c r="P79" s="13"/>
      <c r="R79" s="17">
        <v>1</v>
      </c>
      <c r="S79" s="13"/>
      <c r="T79" s="13"/>
    </row>
    <row r="80" spans="2:20">
      <c r="B80" s="3">
        <f t="shared" si="12"/>
        <v>304</v>
      </c>
      <c r="C80" s="25">
        <f t="shared" ref="C80:D88" si="19">C79</f>
        <v>300</v>
      </c>
      <c r="D80" s="25">
        <f t="shared" si="19"/>
        <v>0</v>
      </c>
      <c r="E80" s="82"/>
      <c r="F80" s="64">
        <f>F79+1</f>
        <v>4</v>
      </c>
      <c r="G80" s="77" t="str">
        <f>G28</f>
        <v>Azimuth=45°</v>
      </c>
      <c r="H80" s="22">
        <v>0</v>
      </c>
      <c r="I80" s="8" t="str">
        <f>"-polar @ HM"</f>
        <v>-polar @ HM</v>
      </c>
      <c r="J80" s="65"/>
      <c r="K80" s="5">
        <v>323</v>
      </c>
      <c r="L80" s="65"/>
      <c r="M80" s="9" t="s">
        <v>30</v>
      </c>
      <c r="N80" s="65"/>
      <c r="O80" s="15" t="s">
        <v>20</v>
      </c>
      <c r="P80" s="13"/>
      <c r="Q80" s="17">
        <v>1</v>
      </c>
      <c r="S80" s="13"/>
      <c r="T80" s="13"/>
    </row>
    <row r="81" spans="2:20">
      <c r="B81" s="3">
        <f t="shared" si="12"/>
        <v>304.10000000000002</v>
      </c>
      <c r="C81" s="25">
        <f t="shared" si="19"/>
        <v>300</v>
      </c>
      <c r="D81" s="25">
        <f t="shared" si="19"/>
        <v>0</v>
      </c>
      <c r="E81" s="82"/>
      <c r="F81" s="64">
        <f t="shared" si="16"/>
        <v>4</v>
      </c>
      <c r="G81" s="77"/>
      <c r="H81" s="22">
        <f t="shared" si="17"/>
        <v>0.1</v>
      </c>
      <c r="I81" s="8" t="str">
        <f>"-magnitude"</f>
        <v>-magnitude</v>
      </c>
      <c r="J81" s="65"/>
      <c r="K81" s="5">
        <v>586</v>
      </c>
      <c r="L81" s="65"/>
      <c r="M81" s="65" t="s">
        <v>29</v>
      </c>
      <c r="N81" s="65"/>
      <c r="O81" s="15" t="s">
        <v>40</v>
      </c>
      <c r="P81" s="13"/>
      <c r="Q81" s="17">
        <v>1</v>
      </c>
      <c r="S81" s="13"/>
      <c r="T81" s="13"/>
    </row>
    <row r="82" spans="2:20">
      <c r="B82" s="3">
        <f t="shared" si="12"/>
        <v>304.2</v>
      </c>
      <c r="C82" s="25">
        <f t="shared" si="19"/>
        <v>300</v>
      </c>
      <c r="D82" s="25">
        <f t="shared" si="19"/>
        <v>0</v>
      </c>
      <c r="E82" s="82"/>
      <c r="F82" s="64">
        <f t="shared" si="16"/>
        <v>4</v>
      </c>
      <c r="G82" s="77"/>
      <c r="H82" s="22">
        <f t="shared" si="17"/>
        <v>0.2</v>
      </c>
      <c r="I82" s="8" t="str">
        <f>"-peak angle"</f>
        <v>-peak angle</v>
      </c>
      <c r="J82" s="65"/>
      <c r="K82" s="5">
        <v>342</v>
      </c>
      <c r="L82" s="65"/>
      <c r="M82" s="9" t="s">
        <v>30</v>
      </c>
      <c r="N82" s="65"/>
      <c r="O82" s="15" t="s">
        <v>41</v>
      </c>
      <c r="P82" s="13"/>
      <c r="Q82" s="17">
        <v>1</v>
      </c>
      <c r="S82" s="13"/>
      <c r="T82" s="13"/>
    </row>
    <row r="83" spans="2:20">
      <c r="B83" s="3">
        <f t="shared" si="12"/>
        <v>304.3</v>
      </c>
      <c r="C83" s="25">
        <f t="shared" si="19"/>
        <v>300</v>
      </c>
      <c r="D83" s="25">
        <f t="shared" si="19"/>
        <v>0</v>
      </c>
      <c r="E83" s="82"/>
      <c r="F83" s="64">
        <f t="shared" si="16"/>
        <v>4</v>
      </c>
      <c r="G83" s="77"/>
      <c r="H83" s="22">
        <f t="shared" si="17"/>
        <v>0.30000000000000004</v>
      </c>
      <c r="I83" s="8" t="str">
        <f>"+polar @ HM"</f>
        <v>+polar @ HM</v>
      </c>
      <c r="J83" s="65"/>
      <c r="K83" s="5">
        <v>28</v>
      </c>
      <c r="L83" s="65"/>
      <c r="M83" s="9" t="s">
        <v>30</v>
      </c>
      <c r="N83" s="65"/>
      <c r="O83" s="15" t="s">
        <v>21</v>
      </c>
      <c r="P83" s="13"/>
      <c r="Q83" s="17">
        <v>1</v>
      </c>
      <c r="S83" s="13"/>
      <c r="T83" s="13"/>
    </row>
    <row r="84" spans="2:20">
      <c r="B84" s="3">
        <f t="shared" si="12"/>
        <v>304.39999999999998</v>
      </c>
      <c r="C84" s="25">
        <f t="shared" si="19"/>
        <v>300</v>
      </c>
      <c r="D84" s="25">
        <f t="shared" si="19"/>
        <v>0</v>
      </c>
      <c r="E84" s="82"/>
      <c r="F84" s="64">
        <f t="shared" si="16"/>
        <v>4</v>
      </c>
      <c r="G84" s="77"/>
      <c r="H84" s="22">
        <f t="shared" si="17"/>
        <v>0.4</v>
      </c>
      <c r="I84" s="8" t="str">
        <f>"+magnitude"</f>
        <v>+magnitude</v>
      </c>
      <c r="J84" s="65"/>
      <c r="K84" s="5">
        <v>704</v>
      </c>
      <c r="L84" s="65"/>
      <c r="M84" s="65" t="s">
        <v>29</v>
      </c>
      <c r="N84" s="65"/>
      <c r="O84" s="15" t="s">
        <v>42</v>
      </c>
      <c r="P84" s="13"/>
      <c r="Q84" s="17">
        <v>1</v>
      </c>
      <c r="S84" s="13"/>
      <c r="T84" s="13"/>
    </row>
    <row r="85" spans="2:20">
      <c r="B85" s="3">
        <f t="shared" si="12"/>
        <v>304.5</v>
      </c>
      <c r="C85" s="25">
        <f t="shared" si="19"/>
        <v>300</v>
      </c>
      <c r="D85" s="25">
        <f t="shared" si="19"/>
        <v>0</v>
      </c>
      <c r="E85" s="82"/>
      <c r="F85" s="64">
        <f t="shared" si="16"/>
        <v>4</v>
      </c>
      <c r="G85" s="77"/>
      <c r="H85" s="22">
        <f t="shared" si="17"/>
        <v>0.5</v>
      </c>
      <c r="I85" s="8" t="str">
        <f>"+peak angle"</f>
        <v>+peak angle</v>
      </c>
      <c r="J85" s="65"/>
      <c r="K85" s="5">
        <v>16</v>
      </c>
      <c r="L85" s="65"/>
      <c r="M85" s="9" t="s">
        <v>30</v>
      </c>
      <c r="N85" s="65"/>
      <c r="O85" s="15" t="s">
        <v>41</v>
      </c>
      <c r="P85" s="13"/>
      <c r="Q85" s="17">
        <v>1</v>
      </c>
      <c r="S85" s="13"/>
      <c r="T85" s="13"/>
    </row>
    <row r="86" spans="2:20">
      <c r="B86" s="3">
        <f t="shared" si="12"/>
        <v>304.60000000000002</v>
      </c>
      <c r="C86" s="25">
        <f t="shared" si="19"/>
        <v>300</v>
      </c>
      <c r="D86" s="25">
        <f t="shared" si="19"/>
        <v>0</v>
      </c>
      <c r="E86" s="82"/>
      <c r="F86" s="64">
        <f t="shared" si="16"/>
        <v>4</v>
      </c>
      <c r="G86" s="77"/>
      <c r="H86" s="22">
        <f t="shared" si="17"/>
        <v>0.6</v>
      </c>
      <c r="I86" s="8" t="s">
        <v>64</v>
      </c>
      <c r="J86" s="6">
        <f>J77</f>
        <v>-2</v>
      </c>
      <c r="K86" s="7">
        <f>MAX(K81,K84)/K$49-1</f>
        <v>0.6146788990825689</v>
      </c>
      <c r="L86" s="6">
        <f>L77</f>
        <v>2</v>
      </c>
      <c r="M86" s="9" t="s">
        <v>30</v>
      </c>
      <c r="N86" s="65" t="str">
        <f>IF((J86&lt;K86)* (K86&lt;L86),"PASS","FAIL")</f>
        <v>PASS</v>
      </c>
      <c r="O86" s="15"/>
      <c r="P86" s="13"/>
      <c r="R86" s="17">
        <v>1</v>
      </c>
      <c r="S86" s="13"/>
      <c r="T86" s="13"/>
    </row>
    <row r="87" spans="2:20">
      <c r="B87" s="3">
        <f t="shared" si="12"/>
        <v>304.7</v>
      </c>
      <c r="C87" s="25">
        <f t="shared" si="19"/>
        <v>300</v>
      </c>
      <c r="D87" s="25">
        <f t="shared" si="19"/>
        <v>0</v>
      </c>
      <c r="E87" s="82"/>
      <c r="F87" s="64">
        <f t="shared" si="16"/>
        <v>4</v>
      </c>
      <c r="G87" s="77"/>
      <c r="H87" s="22">
        <f t="shared" si="17"/>
        <v>0.7</v>
      </c>
      <c r="I87" s="8" t="s">
        <v>14</v>
      </c>
      <c r="J87" s="65">
        <f>J78</f>
        <v>-15</v>
      </c>
      <c r="K87" s="10">
        <f>(K83+(K80-360))/2</f>
        <v>-4.5</v>
      </c>
      <c r="L87" s="65">
        <f t="shared" ref="L87:L88" si="20">L78</f>
        <v>15</v>
      </c>
      <c r="M87" s="9" t="s">
        <v>30</v>
      </c>
      <c r="N87" s="65" t="str">
        <f>IF((J87&lt;K87)* (K87&lt;L87),"PASS","FAIL")</f>
        <v>PASS</v>
      </c>
      <c r="O87" s="15"/>
      <c r="P87" s="13"/>
      <c r="R87" s="17">
        <v>1</v>
      </c>
      <c r="S87" s="13"/>
      <c r="T87" s="13"/>
    </row>
    <row r="88" spans="2:20">
      <c r="B88" s="3">
        <f t="shared" si="12"/>
        <v>304.8</v>
      </c>
      <c r="C88" s="25">
        <f t="shared" si="19"/>
        <v>300</v>
      </c>
      <c r="D88" s="25">
        <f t="shared" si="19"/>
        <v>0</v>
      </c>
      <c r="E88" s="83"/>
      <c r="F88" s="64">
        <f t="shared" si="16"/>
        <v>4</v>
      </c>
      <c r="G88" s="77"/>
      <c r="H88" s="22">
        <f t="shared" si="17"/>
        <v>0.79999999999999993</v>
      </c>
      <c r="I88" s="8" t="s">
        <v>22</v>
      </c>
      <c r="J88" s="65">
        <f t="shared" ref="J88" si="21">J79</f>
        <v>35</v>
      </c>
      <c r="K88" s="10">
        <f>K83-(K80-360)</f>
        <v>65</v>
      </c>
      <c r="L88" s="65">
        <f t="shared" si="20"/>
        <v>85</v>
      </c>
      <c r="M88" s="9" t="s">
        <v>30</v>
      </c>
      <c r="N88" s="65" t="str">
        <f>IF((J88&lt;K88)* (K88&lt;L88),"PASS","FAIL")</f>
        <v>PASS</v>
      </c>
      <c r="O88" s="15"/>
      <c r="P88" s="13"/>
      <c r="R88" s="17">
        <v>1</v>
      </c>
      <c r="S88" s="13"/>
      <c r="T88" s="13"/>
    </row>
    <row r="89" spans="2:20">
      <c r="B89" s="90"/>
      <c r="C89" s="91"/>
      <c r="D89" s="92"/>
      <c r="E89" s="86" t="s">
        <v>43</v>
      </c>
      <c r="F89" s="86"/>
      <c r="G89" s="86"/>
      <c r="H89" s="3"/>
      <c r="I89" s="8" t="s">
        <v>0</v>
      </c>
      <c r="J89" s="65"/>
      <c r="K89" s="65">
        <f>K48</f>
        <v>8440</v>
      </c>
      <c r="L89" s="65"/>
      <c r="M89" s="65"/>
      <c r="N89" s="65"/>
      <c r="O89" s="15" t="str">
        <f>"Swap 0.4ND for Photopic filter &amp; adjust current to "&amp;Calibration!D9&amp;" amps"</f>
        <v>Swap 0.4ND for Photopic filter &amp; adjust current to 8.36 amps</v>
      </c>
      <c r="P89" s="13"/>
      <c r="S89" s="13"/>
      <c r="T89" s="13"/>
    </row>
    <row r="90" spans="2:20" ht="15" customHeight="1">
      <c r="B90" s="3">
        <f t="shared" ref="B90:B117" si="22">C90+D90+F90+H90</f>
        <v>400</v>
      </c>
      <c r="C90" s="26">
        <f>C88+100</f>
        <v>400</v>
      </c>
      <c r="D90" s="26">
        <v>0</v>
      </c>
      <c r="E90" s="74" t="s">
        <v>35</v>
      </c>
      <c r="F90" s="23">
        <v>0</v>
      </c>
      <c r="G90" s="86"/>
      <c r="H90" s="22">
        <v>0</v>
      </c>
      <c r="I90" s="8" t="s">
        <v>9</v>
      </c>
      <c r="J90" s="65"/>
      <c r="K90" s="18">
        <v>209</v>
      </c>
      <c r="L90" s="65"/>
      <c r="M90" s="65" t="s">
        <v>29</v>
      </c>
      <c r="N90" s="65"/>
      <c r="O90" s="15" t="s">
        <v>16</v>
      </c>
      <c r="P90" s="13"/>
      <c r="Q90" s="17">
        <v>1</v>
      </c>
      <c r="S90" s="13"/>
      <c r="T90" s="13"/>
    </row>
    <row r="91" spans="2:20" ht="15" customHeight="1">
      <c r="B91" s="3">
        <f t="shared" si="22"/>
        <v>400.1</v>
      </c>
      <c r="C91" s="25">
        <f t="shared" ref="C91:D106" si="23">C90</f>
        <v>400</v>
      </c>
      <c r="D91" s="25">
        <f t="shared" si="23"/>
        <v>0</v>
      </c>
      <c r="E91" s="75"/>
      <c r="F91" s="63">
        <f t="shared" ref="F91:F93" si="24">F90</f>
        <v>0</v>
      </c>
      <c r="G91" s="86"/>
      <c r="H91" s="22">
        <f t="shared" ref="H91:H93" si="25">H90+0.1</f>
        <v>0.1</v>
      </c>
      <c r="I91" s="8" t="s">
        <v>66</v>
      </c>
      <c r="J91" s="65"/>
      <c r="K91" s="7">
        <f>K90/K89</f>
        <v>2.4763033175355449E-2</v>
      </c>
      <c r="L91" s="65"/>
      <c r="M91" s="65"/>
      <c r="N91" s="65"/>
      <c r="O91" s="70" t="s">
        <v>70</v>
      </c>
      <c r="P91" s="13"/>
      <c r="S91" s="13"/>
      <c r="T91" s="13"/>
    </row>
    <row r="92" spans="2:20" ht="15" customHeight="1">
      <c r="B92" s="3">
        <f t="shared" si="22"/>
        <v>400.2</v>
      </c>
      <c r="C92" s="25">
        <f t="shared" si="23"/>
        <v>400</v>
      </c>
      <c r="D92" s="25">
        <f t="shared" si="23"/>
        <v>0</v>
      </c>
      <c r="E92" s="75"/>
      <c r="F92" s="63">
        <f t="shared" si="24"/>
        <v>0</v>
      </c>
      <c r="G92" s="86"/>
      <c r="H92" s="22">
        <f t="shared" si="25"/>
        <v>0.2</v>
      </c>
      <c r="I92" s="8" t="s">
        <v>67</v>
      </c>
      <c r="J92" s="65"/>
      <c r="K92" s="20">
        <f>1/K91</f>
        <v>40.382775119617229</v>
      </c>
      <c r="L92" s="65"/>
      <c r="M92" s="65"/>
      <c r="N92" s="65"/>
      <c r="O92" s="71"/>
      <c r="P92" s="13"/>
      <c r="S92" s="13"/>
      <c r="T92" s="13"/>
    </row>
    <row r="93" spans="2:20" ht="15" customHeight="1">
      <c r="B93" s="3">
        <f t="shared" si="22"/>
        <v>400.3</v>
      </c>
      <c r="C93" s="25">
        <f t="shared" si="23"/>
        <v>400</v>
      </c>
      <c r="D93" s="25">
        <f t="shared" si="23"/>
        <v>0</v>
      </c>
      <c r="E93" s="75"/>
      <c r="F93" s="63">
        <f t="shared" si="24"/>
        <v>0</v>
      </c>
      <c r="G93" s="86"/>
      <c r="H93" s="22">
        <f t="shared" si="25"/>
        <v>0.30000000000000004</v>
      </c>
      <c r="I93" s="8" t="s">
        <v>44</v>
      </c>
      <c r="J93" s="6">
        <f>-L93</f>
        <v>-1</v>
      </c>
      <c r="K93" s="7">
        <f>2*(K49-K90)/(K49+K90)</f>
        <v>0.70387596899224802</v>
      </c>
      <c r="L93" s="47">
        <f>Specifications!E17</f>
        <v>1</v>
      </c>
      <c r="M93" s="6" t="s">
        <v>28</v>
      </c>
      <c r="N93" s="65" t="str">
        <f>IF((J93&lt;K93)* (K93&lt;L93),"PASS","FAIL")</f>
        <v>PASS</v>
      </c>
      <c r="O93" s="8"/>
      <c r="R93" s="17">
        <v>1</v>
      </c>
      <c r="S93" s="13"/>
      <c r="T93" s="13"/>
    </row>
    <row r="94" spans="2:20" ht="15" customHeight="1">
      <c r="B94" s="3">
        <f t="shared" si="22"/>
        <v>401</v>
      </c>
      <c r="C94" s="25">
        <f t="shared" si="23"/>
        <v>400</v>
      </c>
      <c r="D94" s="25">
        <f t="shared" si="23"/>
        <v>0</v>
      </c>
      <c r="E94" s="75"/>
      <c r="F94" s="64">
        <f>F93+1</f>
        <v>1</v>
      </c>
      <c r="G94" s="74" t="str">
        <f>G53</f>
        <v>Azimuth=270°</v>
      </c>
      <c r="H94" s="22">
        <v>0</v>
      </c>
      <c r="I94" s="8" t="str">
        <f>"-peak angle"</f>
        <v>-peak angle</v>
      </c>
      <c r="J94" s="65"/>
      <c r="K94" s="10">
        <f>K55</f>
        <v>342</v>
      </c>
      <c r="L94" s="65"/>
      <c r="M94" s="9" t="s">
        <v>30</v>
      </c>
      <c r="N94" s="65"/>
      <c r="O94" s="15"/>
      <c r="P94" s="13"/>
      <c r="S94" s="13"/>
      <c r="T94" s="13"/>
    </row>
    <row r="95" spans="2:20">
      <c r="B95" s="3">
        <f t="shared" si="22"/>
        <v>401.1</v>
      </c>
      <c r="C95" s="25">
        <f t="shared" si="23"/>
        <v>400</v>
      </c>
      <c r="D95" s="25">
        <f t="shared" si="23"/>
        <v>0</v>
      </c>
      <c r="E95" s="75"/>
      <c r="F95" s="64">
        <f t="shared" ref="F95:F117" si="26">F94</f>
        <v>1</v>
      </c>
      <c r="G95" s="75"/>
      <c r="H95" s="22">
        <f t="shared" ref="H95:H117" si="27">H94+0.1</f>
        <v>0.1</v>
      </c>
      <c r="I95" s="8" t="str">
        <f>"-magnitude"</f>
        <v>-magnitude</v>
      </c>
      <c r="J95" s="65"/>
      <c r="K95" s="5">
        <v>218</v>
      </c>
      <c r="L95" s="65"/>
      <c r="M95" s="65" t="s">
        <v>29</v>
      </c>
      <c r="N95" s="65"/>
      <c r="O95" s="15" t="s">
        <v>40</v>
      </c>
      <c r="P95" s="13"/>
      <c r="Q95" s="17">
        <v>1</v>
      </c>
      <c r="S95" s="13"/>
      <c r="T95" s="13"/>
    </row>
    <row r="96" spans="2:20">
      <c r="B96" s="3">
        <f t="shared" si="22"/>
        <v>401.2</v>
      </c>
      <c r="C96" s="25">
        <f t="shared" si="23"/>
        <v>400</v>
      </c>
      <c r="D96" s="25">
        <f t="shared" si="23"/>
        <v>0</v>
      </c>
      <c r="E96" s="75"/>
      <c r="F96" s="64">
        <f t="shared" si="26"/>
        <v>1</v>
      </c>
      <c r="G96" s="75"/>
      <c r="H96" s="22">
        <f t="shared" si="27"/>
        <v>0.2</v>
      </c>
      <c r="I96" s="8" t="str">
        <f>"+peak angle"</f>
        <v>+peak angle</v>
      </c>
      <c r="J96" s="65"/>
      <c r="K96" s="10">
        <f>K58</f>
        <v>15</v>
      </c>
      <c r="L96" s="65"/>
      <c r="M96" s="9" t="s">
        <v>30</v>
      </c>
      <c r="N96" s="65"/>
      <c r="O96" s="15"/>
      <c r="P96" s="13"/>
      <c r="S96" s="13"/>
      <c r="T96" s="13"/>
    </row>
    <row r="97" spans="2:20">
      <c r="B97" s="3">
        <f t="shared" si="22"/>
        <v>401.3</v>
      </c>
      <c r="C97" s="25">
        <f t="shared" si="23"/>
        <v>400</v>
      </c>
      <c r="D97" s="25">
        <f t="shared" si="23"/>
        <v>0</v>
      </c>
      <c r="E97" s="75"/>
      <c r="F97" s="64">
        <f t="shared" si="26"/>
        <v>1</v>
      </c>
      <c r="G97" s="75"/>
      <c r="H97" s="22">
        <f t="shared" si="27"/>
        <v>0.30000000000000004</v>
      </c>
      <c r="I97" s="8" t="str">
        <f>"+magnitude"</f>
        <v>+magnitude</v>
      </c>
      <c r="J97" s="65"/>
      <c r="K97" s="5">
        <v>212</v>
      </c>
      <c r="L97" s="65"/>
      <c r="M97" s="65" t="s">
        <v>29</v>
      </c>
      <c r="N97" s="65"/>
      <c r="O97" s="15" t="s">
        <v>42</v>
      </c>
      <c r="P97" s="13"/>
      <c r="Q97" s="17">
        <v>1</v>
      </c>
      <c r="S97" s="13"/>
      <c r="T97" s="13"/>
    </row>
    <row r="98" spans="2:20">
      <c r="B98" s="3">
        <f t="shared" si="22"/>
        <v>401.4</v>
      </c>
      <c r="C98" s="25">
        <f t="shared" si="23"/>
        <v>400</v>
      </c>
      <c r="D98" s="25">
        <f t="shared" si="23"/>
        <v>0</v>
      </c>
      <c r="E98" s="75"/>
      <c r="F98" s="64">
        <f t="shared" si="26"/>
        <v>1</v>
      </c>
      <c r="G98" s="75"/>
      <c r="H98" s="22">
        <f t="shared" si="27"/>
        <v>0.4</v>
      </c>
      <c r="I98" s="8" t="s">
        <v>45</v>
      </c>
      <c r="J98" s="6">
        <f>-L98</f>
        <v>-2</v>
      </c>
      <c r="K98" s="7">
        <f>2*(K54-K95)/(K54+K95)</f>
        <v>1.0713525026624069</v>
      </c>
      <c r="L98" s="47">
        <f>Specifications!E18</f>
        <v>2</v>
      </c>
      <c r="M98" s="6" t="s">
        <v>28</v>
      </c>
      <c r="N98" s="65" t="str">
        <f>IF((J98&lt;K98)* (K98&lt;L98),"PASS","FAIL")</f>
        <v>PASS</v>
      </c>
      <c r="O98" s="8"/>
      <c r="R98" s="17">
        <v>1</v>
      </c>
    </row>
    <row r="99" spans="2:20">
      <c r="B99" s="3">
        <f t="shared" si="22"/>
        <v>401.5</v>
      </c>
      <c r="C99" s="25">
        <f t="shared" si="23"/>
        <v>400</v>
      </c>
      <c r="D99" s="25">
        <f t="shared" si="23"/>
        <v>0</v>
      </c>
      <c r="E99" s="75"/>
      <c r="F99" s="64">
        <f t="shared" si="26"/>
        <v>1</v>
      </c>
      <c r="G99" s="76"/>
      <c r="H99" s="22">
        <f t="shared" si="27"/>
        <v>0.5</v>
      </c>
      <c r="I99" s="8" t="s">
        <v>46</v>
      </c>
      <c r="J99" s="6">
        <f>J98</f>
        <v>-2</v>
      </c>
      <c r="K99" s="7">
        <f>2*(K57-K97)/(K57+K97)</f>
        <v>1.2837837837837838</v>
      </c>
      <c r="L99" s="6">
        <f>L98</f>
        <v>2</v>
      </c>
      <c r="M99" s="6" t="s">
        <v>28</v>
      </c>
      <c r="N99" s="65" t="str">
        <f>IF((J99&lt;K99)* (K99&lt;L99),"PASS","FAIL")</f>
        <v>PASS</v>
      </c>
      <c r="O99" s="8"/>
      <c r="R99" s="17">
        <v>1</v>
      </c>
    </row>
    <row r="100" spans="2:20" ht="15" customHeight="1">
      <c r="B100" s="3">
        <f t="shared" si="22"/>
        <v>402</v>
      </c>
      <c r="C100" s="25">
        <f t="shared" si="23"/>
        <v>400</v>
      </c>
      <c r="D100" s="25">
        <f t="shared" si="23"/>
        <v>0</v>
      </c>
      <c r="E100" s="75"/>
      <c r="F100" s="64">
        <f>F99+1</f>
        <v>2</v>
      </c>
      <c r="G100" s="74" t="str">
        <f>G62</f>
        <v>Azimuth=315°</v>
      </c>
      <c r="H100" s="22">
        <v>0</v>
      </c>
      <c r="I100" s="8" t="str">
        <f>"-peak angle"</f>
        <v>-peak angle</v>
      </c>
      <c r="J100" s="65"/>
      <c r="K100" s="10">
        <f>K64</f>
        <v>346</v>
      </c>
      <c r="L100" s="65"/>
      <c r="M100" s="9" t="s">
        <v>30</v>
      </c>
      <c r="N100" s="65"/>
      <c r="O100" s="15"/>
      <c r="P100" s="13"/>
      <c r="S100" s="13"/>
      <c r="T100" s="13"/>
    </row>
    <row r="101" spans="2:20">
      <c r="B101" s="3">
        <f t="shared" si="22"/>
        <v>402.1</v>
      </c>
      <c r="C101" s="25">
        <f t="shared" si="23"/>
        <v>400</v>
      </c>
      <c r="D101" s="25">
        <f t="shared" si="23"/>
        <v>0</v>
      </c>
      <c r="E101" s="75"/>
      <c r="F101" s="64">
        <f t="shared" si="26"/>
        <v>2</v>
      </c>
      <c r="G101" s="75"/>
      <c r="H101" s="22">
        <f t="shared" si="27"/>
        <v>0.1</v>
      </c>
      <c r="I101" s="8" t="str">
        <f>"-magnitude"</f>
        <v>-magnitude</v>
      </c>
      <c r="J101" s="65"/>
      <c r="K101" s="5">
        <v>217</v>
      </c>
      <c r="L101" s="65"/>
      <c r="M101" s="65" t="s">
        <v>29</v>
      </c>
      <c r="N101" s="65"/>
      <c r="O101" s="15" t="s">
        <v>40</v>
      </c>
      <c r="P101" s="13"/>
      <c r="Q101" s="17">
        <v>1</v>
      </c>
      <c r="S101" s="13"/>
      <c r="T101" s="13"/>
    </row>
    <row r="102" spans="2:20">
      <c r="B102" s="3">
        <f t="shared" si="22"/>
        <v>402.2</v>
      </c>
      <c r="C102" s="25">
        <f t="shared" si="23"/>
        <v>400</v>
      </c>
      <c r="D102" s="25">
        <f t="shared" si="23"/>
        <v>0</v>
      </c>
      <c r="E102" s="75"/>
      <c r="F102" s="64">
        <f t="shared" si="26"/>
        <v>2</v>
      </c>
      <c r="G102" s="75"/>
      <c r="H102" s="22">
        <f t="shared" si="27"/>
        <v>0.2</v>
      </c>
      <c r="I102" s="8" t="str">
        <f>"+peak angle"</f>
        <v>+peak angle</v>
      </c>
      <c r="J102" s="65"/>
      <c r="K102" s="10">
        <f>K67</f>
        <v>19</v>
      </c>
      <c r="L102" s="65"/>
      <c r="M102" s="9" t="s">
        <v>30</v>
      </c>
      <c r="N102" s="65"/>
      <c r="O102" s="15"/>
      <c r="P102" s="13"/>
      <c r="S102" s="13"/>
      <c r="T102" s="13"/>
    </row>
    <row r="103" spans="2:20">
      <c r="B103" s="3">
        <f t="shared" si="22"/>
        <v>402.3</v>
      </c>
      <c r="C103" s="25">
        <f t="shared" si="23"/>
        <v>400</v>
      </c>
      <c r="D103" s="25">
        <f t="shared" si="23"/>
        <v>0</v>
      </c>
      <c r="E103" s="75"/>
      <c r="F103" s="64">
        <f t="shared" si="26"/>
        <v>2</v>
      </c>
      <c r="G103" s="75"/>
      <c r="H103" s="22">
        <f t="shared" si="27"/>
        <v>0.30000000000000004</v>
      </c>
      <c r="I103" s="8" t="str">
        <f>"+magnitude"</f>
        <v>+magnitude</v>
      </c>
      <c r="J103" s="65"/>
      <c r="K103" s="5">
        <v>213</v>
      </c>
      <c r="L103" s="65"/>
      <c r="M103" s="65" t="s">
        <v>29</v>
      </c>
      <c r="N103" s="65"/>
      <c r="O103" s="15" t="s">
        <v>42</v>
      </c>
      <c r="P103" s="13"/>
      <c r="Q103" s="17">
        <v>1</v>
      </c>
      <c r="S103" s="13"/>
      <c r="T103" s="13"/>
    </row>
    <row r="104" spans="2:20">
      <c r="B104" s="3">
        <f t="shared" si="22"/>
        <v>402.4</v>
      </c>
      <c r="C104" s="25">
        <f t="shared" si="23"/>
        <v>400</v>
      </c>
      <c r="D104" s="25">
        <f t="shared" si="23"/>
        <v>0</v>
      </c>
      <c r="E104" s="75"/>
      <c r="F104" s="64">
        <f t="shared" si="26"/>
        <v>2</v>
      </c>
      <c r="G104" s="75"/>
      <c r="H104" s="22">
        <f t="shared" si="27"/>
        <v>0.4</v>
      </c>
      <c r="I104" s="8" t="s">
        <v>45</v>
      </c>
      <c r="J104" s="6">
        <f>J99</f>
        <v>-2</v>
      </c>
      <c r="K104" s="7">
        <f>2*(K66-K103)/(K66+K103)</f>
        <v>1.1984948259642521</v>
      </c>
      <c r="L104" s="6">
        <f>L99</f>
        <v>2</v>
      </c>
      <c r="M104" s="6" t="s">
        <v>28</v>
      </c>
      <c r="N104" s="65" t="str">
        <f>IF((J104&lt;K104)* (K104&lt;L104),"PASS","FAIL")</f>
        <v>PASS</v>
      </c>
      <c r="O104" s="8"/>
      <c r="R104" s="17">
        <v>1</v>
      </c>
    </row>
    <row r="105" spans="2:20">
      <c r="B105" s="3">
        <f t="shared" si="22"/>
        <v>402.5</v>
      </c>
      <c r="C105" s="25">
        <f t="shared" si="23"/>
        <v>400</v>
      </c>
      <c r="D105" s="25">
        <f t="shared" si="23"/>
        <v>0</v>
      </c>
      <c r="E105" s="75"/>
      <c r="F105" s="64">
        <f t="shared" si="26"/>
        <v>2</v>
      </c>
      <c r="G105" s="76"/>
      <c r="H105" s="22">
        <f t="shared" si="27"/>
        <v>0.5</v>
      </c>
      <c r="I105" s="8" t="s">
        <v>46</v>
      </c>
      <c r="J105" s="6">
        <f>J104</f>
        <v>-2</v>
      </c>
      <c r="K105" s="7">
        <f>2*(K67-K103)/(K67+K103)</f>
        <v>-1.6724137931034482</v>
      </c>
      <c r="L105" s="6">
        <f>L104</f>
        <v>2</v>
      </c>
      <c r="M105" s="6" t="s">
        <v>28</v>
      </c>
      <c r="N105" s="65" t="str">
        <f>IF((J105&lt;K105)* (K105&lt;L105),"PASS","FAIL")</f>
        <v>PASS</v>
      </c>
      <c r="O105" s="8"/>
      <c r="R105" s="17">
        <v>1</v>
      </c>
    </row>
    <row r="106" spans="2:20" ht="15" customHeight="1">
      <c r="B106" s="3">
        <f t="shared" si="22"/>
        <v>403</v>
      </c>
      <c r="C106" s="25">
        <f t="shared" si="23"/>
        <v>400</v>
      </c>
      <c r="D106" s="25">
        <f t="shared" si="23"/>
        <v>0</v>
      </c>
      <c r="E106" s="75"/>
      <c r="F106" s="64">
        <f>F105+1</f>
        <v>3</v>
      </c>
      <c r="G106" s="74" t="str">
        <f>G71</f>
        <v>Azimuth=0°</v>
      </c>
      <c r="H106" s="22">
        <v>0</v>
      </c>
      <c r="I106" s="8" t="str">
        <f>"-peak angle"</f>
        <v>-peak angle</v>
      </c>
      <c r="J106" s="65"/>
      <c r="K106" s="10">
        <f>K73</f>
        <v>346</v>
      </c>
      <c r="L106" s="65"/>
      <c r="M106" s="9" t="s">
        <v>30</v>
      </c>
      <c r="N106" s="65"/>
      <c r="O106" s="15"/>
      <c r="P106" s="13"/>
      <c r="S106" s="13"/>
      <c r="T106" s="13"/>
    </row>
    <row r="107" spans="2:20">
      <c r="B107" s="3">
        <f t="shared" si="22"/>
        <v>403.1</v>
      </c>
      <c r="C107" s="25">
        <f t="shared" ref="C107:D117" si="28">C106</f>
        <v>400</v>
      </c>
      <c r="D107" s="25">
        <f t="shared" si="28"/>
        <v>0</v>
      </c>
      <c r="E107" s="75"/>
      <c r="F107" s="64">
        <f t="shared" si="26"/>
        <v>3</v>
      </c>
      <c r="G107" s="75"/>
      <c r="H107" s="22">
        <f t="shared" si="27"/>
        <v>0.1</v>
      </c>
      <c r="I107" s="8" t="str">
        <f>"-magnitude"</f>
        <v>-magnitude</v>
      </c>
      <c r="J107" s="65"/>
      <c r="K107" s="5">
        <v>215</v>
      </c>
      <c r="L107" s="65"/>
      <c r="M107" s="65" t="s">
        <v>29</v>
      </c>
      <c r="N107" s="65"/>
      <c r="O107" s="15" t="s">
        <v>40</v>
      </c>
      <c r="P107" s="13"/>
      <c r="Q107" s="17">
        <v>1</v>
      </c>
      <c r="S107" s="13"/>
      <c r="T107" s="13"/>
    </row>
    <row r="108" spans="2:20">
      <c r="B108" s="3">
        <f t="shared" si="22"/>
        <v>403.2</v>
      </c>
      <c r="C108" s="25">
        <f t="shared" si="28"/>
        <v>400</v>
      </c>
      <c r="D108" s="25">
        <f t="shared" si="28"/>
        <v>0</v>
      </c>
      <c r="E108" s="75"/>
      <c r="F108" s="64">
        <f t="shared" si="26"/>
        <v>3</v>
      </c>
      <c r="G108" s="75"/>
      <c r="H108" s="22">
        <f t="shared" si="27"/>
        <v>0.2</v>
      </c>
      <c r="I108" s="8" t="str">
        <f>"+peak angle"</f>
        <v>+peak angle</v>
      </c>
      <c r="J108" s="65"/>
      <c r="K108" s="10">
        <f>K76</f>
        <v>12</v>
      </c>
      <c r="L108" s="65"/>
      <c r="M108" s="9" t="s">
        <v>30</v>
      </c>
      <c r="N108" s="65"/>
      <c r="O108" s="15"/>
      <c r="P108" s="13"/>
      <c r="S108" s="13"/>
      <c r="T108" s="13"/>
    </row>
    <row r="109" spans="2:20">
      <c r="B109" s="3">
        <f t="shared" si="22"/>
        <v>403.3</v>
      </c>
      <c r="C109" s="25">
        <f t="shared" si="28"/>
        <v>400</v>
      </c>
      <c r="D109" s="25">
        <f t="shared" si="28"/>
        <v>0</v>
      </c>
      <c r="E109" s="75"/>
      <c r="F109" s="64">
        <f t="shared" si="26"/>
        <v>3</v>
      </c>
      <c r="G109" s="75"/>
      <c r="H109" s="22">
        <f t="shared" si="27"/>
        <v>0.30000000000000004</v>
      </c>
      <c r="I109" s="8" t="str">
        <f>"+magnitude"</f>
        <v>+magnitude</v>
      </c>
      <c r="J109" s="65"/>
      <c r="K109" s="5">
        <v>216</v>
      </c>
      <c r="L109" s="65"/>
      <c r="M109" s="65" t="s">
        <v>29</v>
      </c>
      <c r="N109" s="65"/>
      <c r="O109" s="15" t="s">
        <v>42</v>
      </c>
      <c r="P109" s="13"/>
      <c r="Q109" s="17">
        <v>1</v>
      </c>
      <c r="S109" s="13"/>
      <c r="T109" s="13"/>
    </row>
    <row r="110" spans="2:20">
      <c r="B110" s="3">
        <f t="shared" si="22"/>
        <v>403.4</v>
      </c>
      <c r="C110" s="25">
        <f t="shared" si="28"/>
        <v>400</v>
      </c>
      <c r="D110" s="25">
        <f t="shared" si="28"/>
        <v>0</v>
      </c>
      <c r="E110" s="75"/>
      <c r="F110" s="64">
        <f t="shared" si="26"/>
        <v>3</v>
      </c>
      <c r="G110" s="75"/>
      <c r="H110" s="22">
        <f t="shared" si="27"/>
        <v>0.4</v>
      </c>
      <c r="I110" s="8" t="s">
        <v>45</v>
      </c>
      <c r="J110" s="6">
        <f>J105</f>
        <v>-2</v>
      </c>
      <c r="K110" s="7">
        <f>2*(K72-K107)/(K72+K107)</f>
        <v>0.8394062078272605</v>
      </c>
      <c r="L110" s="6">
        <f>L105</f>
        <v>2</v>
      </c>
      <c r="M110" s="6" t="s">
        <v>28</v>
      </c>
      <c r="N110" s="65" t="str">
        <f>IF((J110&lt;K110)* (K110&lt;L110),"PASS","FAIL")</f>
        <v>PASS</v>
      </c>
      <c r="O110" s="8"/>
      <c r="R110" s="17">
        <v>1</v>
      </c>
    </row>
    <row r="111" spans="2:20">
      <c r="B111" s="3">
        <f t="shared" si="22"/>
        <v>403.5</v>
      </c>
      <c r="C111" s="25">
        <f t="shared" si="28"/>
        <v>400</v>
      </c>
      <c r="D111" s="25">
        <f t="shared" si="28"/>
        <v>0</v>
      </c>
      <c r="E111" s="75"/>
      <c r="F111" s="64">
        <f t="shared" si="26"/>
        <v>3</v>
      </c>
      <c r="G111" s="76"/>
      <c r="H111" s="22">
        <f t="shared" si="27"/>
        <v>0.5</v>
      </c>
      <c r="I111" s="8" t="s">
        <v>46</v>
      </c>
      <c r="J111" s="6">
        <f>J110</f>
        <v>-2</v>
      </c>
      <c r="K111" s="7">
        <f>2*(K75-K109)/(K75+K109)</f>
        <v>0.96153846153846156</v>
      </c>
      <c r="L111" s="6">
        <f>L110</f>
        <v>2</v>
      </c>
      <c r="M111" s="6" t="s">
        <v>28</v>
      </c>
      <c r="N111" s="65" t="str">
        <f>IF((J111&lt;K111)* (K111&lt;L111),"PASS","FAIL")</f>
        <v>PASS</v>
      </c>
      <c r="O111" s="8"/>
      <c r="R111" s="17">
        <v>1</v>
      </c>
    </row>
    <row r="112" spans="2:20" ht="15" customHeight="1">
      <c r="B112" s="3">
        <f t="shared" si="22"/>
        <v>404</v>
      </c>
      <c r="C112" s="25">
        <f t="shared" si="28"/>
        <v>400</v>
      </c>
      <c r="D112" s="25">
        <f t="shared" si="28"/>
        <v>0</v>
      </c>
      <c r="E112" s="75"/>
      <c r="F112" s="64">
        <f>F111+1</f>
        <v>4</v>
      </c>
      <c r="G112" s="74" t="str">
        <f>G80</f>
        <v>Azimuth=45°</v>
      </c>
      <c r="H112" s="22">
        <v>0</v>
      </c>
      <c r="I112" s="8" t="str">
        <f>"-peak angle"</f>
        <v>-peak angle</v>
      </c>
      <c r="J112" s="65"/>
      <c r="K112" s="10">
        <f>K82</f>
        <v>342</v>
      </c>
      <c r="L112" s="65"/>
      <c r="M112" s="9" t="s">
        <v>30</v>
      </c>
      <c r="N112" s="65"/>
      <c r="O112" s="15"/>
      <c r="P112" s="13"/>
      <c r="S112" s="13"/>
      <c r="T112" s="13"/>
    </row>
    <row r="113" spans="2:20">
      <c r="B113" s="3">
        <f t="shared" si="22"/>
        <v>404.1</v>
      </c>
      <c r="C113" s="25">
        <f t="shared" si="28"/>
        <v>400</v>
      </c>
      <c r="D113" s="25">
        <f t="shared" si="28"/>
        <v>0</v>
      </c>
      <c r="E113" s="75"/>
      <c r="F113" s="64">
        <f t="shared" si="26"/>
        <v>4</v>
      </c>
      <c r="G113" s="75"/>
      <c r="H113" s="22">
        <f t="shared" si="27"/>
        <v>0.1</v>
      </c>
      <c r="I113" s="8" t="str">
        <f>"-magnitude"</f>
        <v>-magnitude</v>
      </c>
      <c r="J113" s="65"/>
      <c r="K113" s="5">
        <v>216</v>
      </c>
      <c r="L113" s="65"/>
      <c r="M113" s="65" t="s">
        <v>29</v>
      </c>
      <c r="N113" s="65"/>
      <c r="O113" s="15" t="s">
        <v>40</v>
      </c>
      <c r="P113" s="13"/>
      <c r="Q113" s="17">
        <v>1</v>
      </c>
      <c r="S113" s="13"/>
      <c r="T113" s="13"/>
    </row>
    <row r="114" spans="2:20">
      <c r="B114" s="3">
        <f t="shared" si="22"/>
        <v>404.2</v>
      </c>
      <c r="C114" s="25">
        <f t="shared" si="28"/>
        <v>400</v>
      </c>
      <c r="D114" s="25">
        <f t="shared" si="28"/>
        <v>0</v>
      </c>
      <c r="E114" s="75"/>
      <c r="F114" s="64">
        <f t="shared" si="26"/>
        <v>4</v>
      </c>
      <c r="G114" s="75"/>
      <c r="H114" s="22">
        <f t="shared" si="27"/>
        <v>0.2</v>
      </c>
      <c r="I114" s="8" t="str">
        <f>"+peak angle"</f>
        <v>+peak angle</v>
      </c>
      <c r="J114" s="65"/>
      <c r="K114" s="10">
        <f>K85</f>
        <v>16</v>
      </c>
      <c r="L114" s="65"/>
      <c r="M114" s="9" t="s">
        <v>30</v>
      </c>
      <c r="N114" s="65"/>
      <c r="O114" s="15"/>
      <c r="P114" s="13"/>
      <c r="S114" s="13"/>
      <c r="T114" s="13"/>
    </row>
    <row r="115" spans="2:20">
      <c r="B115" s="3">
        <f t="shared" si="22"/>
        <v>404.3</v>
      </c>
      <c r="C115" s="25">
        <f t="shared" si="28"/>
        <v>400</v>
      </c>
      <c r="D115" s="25">
        <f t="shared" si="28"/>
        <v>0</v>
      </c>
      <c r="E115" s="75"/>
      <c r="F115" s="64">
        <f t="shared" si="26"/>
        <v>4</v>
      </c>
      <c r="G115" s="75"/>
      <c r="H115" s="22">
        <f t="shared" si="27"/>
        <v>0.30000000000000004</v>
      </c>
      <c r="I115" s="8" t="str">
        <f>"+magnitude"</f>
        <v>+magnitude</v>
      </c>
      <c r="J115" s="65"/>
      <c r="K115" s="5">
        <v>218</v>
      </c>
      <c r="L115" s="65"/>
      <c r="M115" s="65" t="s">
        <v>29</v>
      </c>
      <c r="N115" s="65"/>
      <c r="O115" s="15" t="s">
        <v>42</v>
      </c>
      <c r="P115" s="13"/>
      <c r="Q115" s="17">
        <v>1</v>
      </c>
      <c r="S115" s="13"/>
      <c r="T115" s="13"/>
    </row>
    <row r="116" spans="2:20">
      <c r="B116" s="3">
        <f t="shared" si="22"/>
        <v>404.4</v>
      </c>
      <c r="C116" s="25">
        <f t="shared" si="28"/>
        <v>400</v>
      </c>
      <c r="D116" s="25">
        <f t="shared" si="28"/>
        <v>0</v>
      </c>
      <c r="E116" s="75"/>
      <c r="F116" s="64">
        <f t="shared" si="26"/>
        <v>4</v>
      </c>
      <c r="G116" s="75"/>
      <c r="H116" s="22">
        <f t="shared" si="27"/>
        <v>0.4</v>
      </c>
      <c r="I116" s="8" t="s">
        <v>45</v>
      </c>
      <c r="J116" s="6">
        <f>J111</f>
        <v>-2</v>
      </c>
      <c r="K116" s="7">
        <f>2*(K81-K113)/(K81+K113)</f>
        <v>0.92269326683291775</v>
      </c>
      <c r="L116" s="6">
        <f>L111</f>
        <v>2</v>
      </c>
      <c r="M116" s="6" t="s">
        <v>28</v>
      </c>
      <c r="N116" s="65" t="str">
        <f>IF((J116&lt;K116)* (K116&lt;L116),"PASS","FAIL")</f>
        <v>PASS</v>
      </c>
      <c r="O116" s="8"/>
      <c r="R116" s="17">
        <v>1</v>
      </c>
    </row>
    <row r="117" spans="2:20">
      <c r="B117" s="3">
        <f t="shared" si="22"/>
        <v>404.5</v>
      </c>
      <c r="C117" s="25">
        <f t="shared" si="28"/>
        <v>400</v>
      </c>
      <c r="D117" s="25">
        <f t="shared" si="28"/>
        <v>0</v>
      </c>
      <c r="E117" s="76"/>
      <c r="F117" s="64">
        <f t="shared" si="26"/>
        <v>4</v>
      </c>
      <c r="G117" s="76"/>
      <c r="H117" s="22">
        <f t="shared" si="27"/>
        <v>0.5</v>
      </c>
      <c r="I117" s="8" t="s">
        <v>46</v>
      </c>
      <c r="J117" s="6">
        <f>J116</f>
        <v>-2</v>
      </c>
      <c r="K117" s="7">
        <f>2*(K84-K115)/(K84+K115)</f>
        <v>1.054229934924078</v>
      </c>
      <c r="L117" s="6">
        <f>L116</f>
        <v>2</v>
      </c>
      <c r="M117" s="6" t="s">
        <v>28</v>
      </c>
      <c r="N117" s="65" t="str">
        <f>IF((J117&lt;K117)* (K117&lt;L117),"PASS","FAIL")</f>
        <v>PASS</v>
      </c>
      <c r="O117" s="8"/>
      <c r="R117" s="17">
        <v>1</v>
      </c>
    </row>
  </sheetData>
  <mergeCells count="42">
    <mergeCell ref="B89:D89"/>
    <mergeCell ref="E89:G89"/>
    <mergeCell ref="E90:E117"/>
    <mergeCell ref="G90:G93"/>
    <mergeCell ref="O91:O92"/>
    <mergeCell ref="G94:G99"/>
    <mergeCell ref="G100:G105"/>
    <mergeCell ref="G106:G111"/>
    <mergeCell ref="G112:G117"/>
    <mergeCell ref="B46:D46"/>
    <mergeCell ref="E46:O46"/>
    <mergeCell ref="E47:E88"/>
    <mergeCell ref="G47:G52"/>
    <mergeCell ref="O50:O51"/>
    <mergeCell ref="G53:G61"/>
    <mergeCell ref="G62:G70"/>
    <mergeCell ref="G71:G79"/>
    <mergeCell ref="G80:G88"/>
    <mergeCell ref="B32:D32"/>
    <mergeCell ref="E32:O32"/>
    <mergeCell ref="E33:E45"/>
    <mergeCell ref="G33:G35"/>
    <mergeCell ref="G36:G38"/>
    <mergeCell ref="G39:G41"/>
    <mergeCell ref="G42:G44"/>
    <mergeCell ref="G12:G13"/>
    <mergeCell ref="E15:E31"/>
    <mergeCell ref="G15:J15"/>
    <mergeCell ref="G16:G19"/>
    <mergeCell ref="G20:G23"/>
    <mergeCell ref="G24:G27"/>
    <mergeCell ref="G28:G31"/>
    <mergeCell ref="B2:B3"/>
    <mergeCell ref="C2:D3"/>
    <mergeCell ref="E2:I2"/>
    <mergeCell ref="E3:O3"/>
    <mergeCell ref="E4:E14"/>
    <mergeCell ref="G4:G5"/>
    <mergeCell ref="O4:O5"/>
    <mergeCell ref="G6:G7"/>
    <mergeCell ref="G8:G9"/>
    <mergeCell ref="G10:G11"/>
  </mergeCells>
  <conditionalFormatting sqref="N104:N105 N98:N99 N7 N9 N11 N13 N18:N19 N22:N23 N26:N27 N30:N31 N34:N35 N37:N38 N40:N41 N43:N44 N93 N110:N111 N116:N117 N59:N61 N68:N70 N77:N79 N86:N88">
    <cfRule type="expression" dxfId="3" priority="1">
      <formula>N7="FAIL"</formula>
    </cfRule>
    <cfRule type="expression" dxfId="2" priority="2">
      <formula>N7="PASS"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B1:T117"/>
  <sheetViews>
    <sheetView topLeftCell="B1" zoomScale="85" zoomScaleNormal="85" workbookViewId="0">
      <selection activeCell="K4" sqref="K4 K6 K8 K10 K12 K16:K17 K20:K21 K24:K25 K28:K29 K33 K36 K39 K42 K47 K49 K53:K58 K62:K67 K71:K76 K80:K85 K90 K95 K97 K101 K103 K107 K109 K113 K115"/>
    </sheetView>
  </sheetViews>
  <sheetFormatPr defaultRowHeight="15"/>
  <cols>
    <col min="1" max="2" width="9.140625" customWidth="1"/>
    <col min="3" max="3" width="9.140625" style="24" hidden="1" customWidth="1"/>
    <col min="4" max="4" width="3.42578125" style="24" hidden="1" customWidth="1"/>
    <col min="5" max="5" width="16.7109375" customWidth="1"/>
    <col min="6" max="6" width="2.28515625" hidden="1" customWidth="1"/>
    <col min="7" max="7" width="13.7109375" style="1" customWidth="1"/>
    <col min="8" max="8" width="3.85546875" style="21" hidden="1" customWidth="1"/>
    <col min="9" max="9" width="14.7109375" customWidth="1"/>
    <col min="10" max="10" width="9.140625" style="1" customWidth="1"/>
    <col min="11" max="11" width="9.85546875" style="1" bestFit="1" customWidth="1"/>
    <col min="12" max="14" width="9.140625" style="1" customWidth="1"/>
    <col min="15" max="15" width="79.42578125" style="14" customWidth="1"/>
    <col min="16" max="16" width="9.140625" style="14" customWidth="1"/>
    <col min="17" max="17" width="10.7109375" style="17" bestFit="1" customWidth="1"/>
    <col min="18" max="18" width="9.140625" style="17"/>
    <col min="19" max="20" width="9.140625" style="14"/>
  </cols>
  <sheetData>
    <row r="1" spans="2:20">
      <c r="P1" s="51">
        <v>15</v>
      </c>
      <c r="Q1" s="52" t="s">
        <v>38</v>
      </c>
      <c r="R1" s="53">
        <f>60*P1/Q3</f>
        <v>17.307692307692307</v>
      </c>
      <c r="S1" s="14" t="s">
        <v>71</v>
      </c>
    </row>
    <row r="2" spans="2:20">
      <c r="B2" s="86" t="s">
        <v>13</v>
      </c>
      <c r="C2" s="96"/>
      <c r="D2" s="97"/>
      <c r="E2" s="86" t="s">
        <v>24</v>
      </c>
      <c r="F2" s="86"/>
      <c r="G2" s="86"/>
      <c r="H2" s="86"/>
      <c r="I2" s="86"/>
      <c r="J2" s="65" t="s">
        <v>4</v>
      </c>
      <c r="K2" s="65" t="s">
        <v>7</v>
      </c>
      <c r="L2" s="65" t="s">
        <v>5</v>
      </c>
      <c r="M2" s="65" t="s">
        <v>23</v>
      </c>
      <c r="N2" s="65" t="s">
        <v>6</v>
      </c>
      <c r="O2" s="15" t="s">
        <v>19</v>
      </c>
      <c r="P2" s="13"/>
      <c r="Q2" s="16" t="s">
        <v>36</v>
      </c>
      <c r="R2" s="16" t="s">
        <v>37</v>
      </c>
      <c r="S2" s="13"/>
      <c r="T2" s="13"/>
    </row>
    <row r="3" spans="2:20">
      <c r="B3" s="86"/>
      <c r="C3" s="98"/>
      <c r="D3" s="99"/>
      <c r="E3" s="78" t="str">
        <f>"Condition: photopic filter, QTH @"&amp;Calibration!D9&amp;"amps"</f>
        <v>Condition: photopic filter, QTH @8.36amps</v>
      </c>
      <c r="F3" s="79"/>
      <c r="G3" s="79"/>
      <c r="H3" s="79"/>
      <c r="I3" s="79"/>
      <c r="J3" s="79"/>
      <c r="K3" s="79"/>
      <c r="L3" s="79"/>
      <c r="M3" s="79"/>
      <c r="N3" s="79"/>
      <c r="O3" s="80"/>
      <c r="P3" s="13"/>
      <c r="Q3" s="17">
        <f>SUM(Q4:Q196)</f>
        <v>52</v>
      </c>
      <c r="R3" s="17">
        <f>SUM(R6:R196)</f>
        <v>41</v>
      </c>
      <c r="S3" s="13"/>
      <c r="T3" s="13"/>
    </row>
    <row r="4" spans="2:20">
      <c r="B4" s="3">
        <f>C4+D4+F4+H4</f>
        <v>100</v>
      </c>
      <c r="C4" s="25">
        <v>100</v>
      </c>
      <c r="D4" s="25">
        <v>0</v>
      </c>
      <c r="E4" s="74" t="s">
        <v>33</v>
      </c>
      <c r="F4" s="64">
        <v>0</v>
      </c>
      <c r="G4" s="74" t="s">
        <v>75</v>
      </c>
      <c r="H4" s="22">
        <v>0</v>
      </c>
      <c r="I4" s="8" t="s">
        <v>72</v>
      </c>
      <c r="J4" s="65"/>
      <c r="K4" s="5"/>
      <c r="L4" s="65"/>
      <c r="M4" s="65"/>
      <c r="N4" s="65"/>
      <c r="O4" s="72" t="str">
        <f>"Set QTH power to " &amp;Calibration!D9&amp;"amps, set filter wheel such that DUT outputs ~½ Range 1 FS, record FW#"</f>
        <v>Set QTH power to 8.36amps, set filter wheel such that DUT outputs ~½ Range 1 FS, record FW#</v>
      </c>
      <c r="P4" s="13"/>
      <c r="Q4" s="17">
        <v>1</v>
      </c>
      <c r="S4" s="13"/>
      <c r="T4" s="13"/>
    </row>
    <row r="5" spans="2:20">
      <c r="B5" s="3">
        <f t="shared" ref="B5" si="0">C5+D5+F5+H5</f>
        <v>100.1</v>
      </c>
      <c r="C5" s="25">
        <f t="shared" ref="C5:D6" si="1">C4</f>
        <v>100</v>
      </c>
      <c r="D5" s="25">
        <f t="shared" si="1"/>
        <v>0</v>
      </c>
      <c r="E5" s="75"/>
      <c r="F5" s="64">
        <f>F4</f>
        <v>0</v>
      </c>
      <c r="G5" s="76"/>
      <c r="H5" s="22">
        <f>H4+0.1</f>
        <v>0.1</v>
      </c>
      <c r="I5" s="8" t="s">
        <v>73</v>
      </c>
      <c r="J5" s="65"/>
      <c r="K5" s="10" t="e">
        <f>VLOOKUP(K4,Calibration!$C$3:$D$8,2)</f>
        <v>#N/A</v>
      </c>
      <c r="L5" s="65"/>
      <c r="M5" s="65" t="s">
        <v>29</v>
      </c>
      <c r="N5" s="65"/>
      <c r="O5" s="73"/>
      <c r="P5" s="13"/>
      <c r="S5" s="13"/>
      <c r="T5" s="13"/>
    </row>
    <row r="6" spans="2:20">
      <c r="B6" s="3">
        <f>C6+D6+F6+H6</f>
        <v>101</v>
      </c>
      <c r="C6" s="25">
        <f t="shared" si="1"/>
        <v>100</v>
      </c>
      <c r="D6" s="25">
        <f t="shared" si="1"/>
        <v>0</v>
      </c>
      <c r="E6" s="75"/>
      <c r="F6" s="64">
        <f>F5+1</f>
        <v>1</v>
      </c>
      <c r="G6" s="77" t="s">
        <v>1</v>
      </c>
      <c r="H6" s="22">
        <v>0</v>
      </c>
      <c r="I6" s="8" t="s">
        <v>9</v>
      </c>
      <c r="J6" s="65"/>
      <c r="K6" s="5"/>
      <c r="L6" s="65"/>
      <c r="M6" s="65" t="s">
        <v>29</v>
      </c>
      <c r="N6" s="65"/>
      <c r="O6" s="15" t="s">
        <v>15</v>
      </c>
      <c r="P6" s="13"/>
      <c r="Q6" s="17">
        <v>1</v>
      </c>
      <c r="S6" s="13"/>
      <c r="T6" s="13"/>
    </row>
    <row r="7" spans="2:20">
      <c r="B7" s="3">
        <f t="shared" ref="B7:B31" si="2">C7+D7+F7+H7</f>
        <v>101.1</v>
      </c>
      <c r="C7" s="25">
        <f>C6</f>
        <v>100</v>
      </c>
      <c r="D7" s="25">
        <f>D6</f>
        <v>0</v>
      </c>
      <c r="E7" s="75"/>
      <c r="F7" s="64">
        <f>F6</f>
        <v>1</v>
      </c>
      <c r="G7" s="77"/>
      <c r="H7" s="22">
        <f>H6+0.1</f>
        <v>0.1</v>
      </c>
      <c r="I7" s="8" t="s">
        <v>10</v>
      </c>
      <c r="J7" s="49">
        <f>-L7</f>
        <v>-0.25</v>
      </c>
      <c r="K7" s="7" t="e">
        <f>K6/K$5-1</f>
        <v>#N/A</v>
      </c>
      <c r="L7" s="47">
        <f>Specifications!E3</f>
        <v>0.25</v>
      </c>
      <c r="M7" s="6" t="s">
        <v>28</v>
      </c>
      <c r="N7" s="65" t="e">
        <f>IF((J7&lt;K7)* (K7&lt;L7),"PASS","FAIL")</f>
        <v>#N/A</v>
      </c>
      <c r="O7" s="15"/>
      <c r="P7" s="13"/>
      <c r="R7" s="17">
        <v>1</v>
      </c>
      <c r="S7" s="13"/>
      <c r="T7" s="13"/>
    </row>
    <row r="8" spans="2:20">
      <c r="B8" s="3">
        <f t="shared" si="2"/>
        <v>102</v>
      </c>
      <c r="C8" s="25">
        <f t="shared" ref="C8:D23" si="3">C7</f>
        <v>100</v>
      </c>
      <c r="D8" s="25">
        <f t="shared" si="3"/>
        <v>0</v>
      </c>
      <c r="E8" s="75"/>
      <c r="F8" s="64">
        <f>F7+1</f>
        <v>2</v>
      </c>
      <c r="G8" s="77" t="s">
        <v>2</v>
      </c>
      <c r="H8" s="22">
        <v>0</v>
      </c>
      <c r="I8" s="8" t="s">
        <v>9</v>
      </c>
      <c r="J8" s="65"/>
      <c r="K8" s="5"/>
      <c r="L8" s="65"/>
      <c r="M8" s="65" t="s">
        <v>29</v>
      </c>
      <c r="N8" s="65"/>
      <c r="O8" s="15" t="s">
        <v>16</v>
      </c>
      <c r="P8" s="13"/>
      <c r="Q8" s="17">
        <v>1</v>
      </c>
      <c r="S8" s="13"/>
      <c r="T8" s="13"/>
    </row>
    <row r="9" spans="2:20">
      <c r="B9" s="3">
        <f t="shared" si="2"/>
        <v>102.1</v>
      </c>
      <c r="C9" s="25">
        <f t="shared" si="3"/>
        <v>100</v>
      </c>
      <c r="D9" s="25">
        <f t="shared" si="3"/>
        <v>0</v>
      </c>
      <c r="E9" s="75"/>
      <c r="F9" s="64">
        <f t="shared" ref="F9:F31" si="4">F8</f>
        <v>2</v>
      </c>
      <c r="G9" s="77"/>
      <c r="H9" s="22">
        <f t="shared" ref="H9:H13" si="5">H8+0.1</f>
        <v>0.1</v>
      </c>
      <c r="I9" s="8" t="s">
        <v>10</v>
      </c>
      <c r="J9" s="6">
        <f>J7</f>
        <v>-0.25</v>
      </c>
      <c r="K9" s="7" t="e">
        <f>K8/K$5-1</f>
        <v>#N/A</v>
      </c>
      <c r="L9" s="6">
        <f>L7</f>
        <v>0.25</v>
      </c>
      <c r="M9" s="6" t="s">
        <v>28</v>
      </c>
      <c r="N9" s="65" t="e">
        <f>IF((J9&lt;K9)* (K9&lt;L9),"PASS","FAIL")</f>
        <v>#N/A</v>
      </c>
      <c r="O9" s="15"/>
      <c r="P9" s="13"/>
      <c r="R9" s="17">
        <v>1</v>
      </c>
      <c r="S9" s="13"/>
      <c r="T9" s="13"/>
    </row>
    <row r="10" spans="2:20">
      <c r="B10" s="3">
        <f t="shared" si="2"/>
        <v>103</v>
      </c>
      <c r="C10" s="25">
        <f t="shared" si="3"/>
        <v>100</v>
      </c>
      <c r="D10" s="25">
        <f t="shared" si="3"/>
        <v>0</v>
      </c>
      <c r="E10" s="75"/>
      <c r="F10" s="64">
        <f>F9+1</f>
        <v>3</v>
      </c>
      <c r="G10" s="77" t="s">
        <v>3</v>
      </c>
      <c r="H10" s="22">
        <v>0</v>
      </c>
      <c r="I10" s="8" t="s">
        <v>9</v>
      </c>
      <c r="J10" s="65"/>
      <c r="K10" s="5"/>
      <c r="L10" s="65"/>
      <c r="M10" s="65" t="s">
        <v>29</v>
      </c>
      <c r="N10" s="65"/>
      <c r="O10" s="15" t="s">
        <v>17</v>
      </c>
      <c r="P10" s="13"/>
      <c r="Q10" s="17">
        <v>1</v>
      </c>
      <c r="S10" s="13"/>
      <c r="T10" s="13"/>
    </row>
    <row r="11" spans="2:20">
      <c r="B11" s="3">
        <f t="shared" si="2"/>
        <v>103.1</v>
      </c>
      <c r="C11" s="25">
        <f t="shared" si="3"/>
        <v>100</v>
      </c>
      <c r="D11" s="25">
        <f t="shared" si="3"/>
        <v>0</v>
      </c>
      <c r="E11" s="75"/>
      <c r="F11" s="64">
        <f t="shared" si="4"/>
        <v>3</v>
      </c>
      <c r="G11" s="77"/>
      <c r="H11" s="22">
        <f t="shared" si="5"/>
        <v>0.1</v>
      </c>
      <c r="I11" s="8" t="s">
        <v>10</v>
      </c>
      <c r="J11" s="49">
        <f>-L11</f>
        <v>-0.35</v>
      </c>
      <c r="K11" s="7" t="e">
        <f>K10/K$5-1</f>
        <v>#N/A</v>
      </c>
      <c r="L11" s="47">
        <f>Specifications!E4</f>
        <v>0.35</v>
      </c>
      <c r="M11" s="6" t="s">
        <v>28</v>
      </c>
      <c r="N11" s="65" t="e">
        <f>IF((J11&lt;K11)* (K11&lt;L11),"PASS","FAIL")</f>
        <v>#N/A</v>
      </c>
      <c r="O11" s="15"/>
      <c r="P11" s="13"/>
      <c r="R11" s="17">
        <v>1</v>
      </c>
      <c r="S11" s="13"/>
      <c r="T11" s="13"/>
    </row>
    <row r="12" spans="2:20">
      <c r="B12" s="3">
        <f t="shared" si="2"/>
        <v>104</v>
      </c>
      <c r="C12" s="25">
        <f t="shared" si="3"/>
        <v>100</v>
      </c>
      <c r="D12" s="25">
        <f t="shared" si="3"/>
        <v>0</v>
      </c>
      <c r="E12" s="75"/>
      <c r="F12" s="64">
        <f>F11+1</f>
        <v>4</v>
      </c>
      <c r="G12" s="77" t="s">
        <v>11</v>
      </c>
      <c r="H12" s="22">
        <v>0</v>
      </c>
      <c r="I12" s="8" t="s">
        <v>9</v>
      </c>
      <c r="J12" s="65"/>
      <c r="K12" s="5"/>
      <c r="L12" s="65"/>
      <c r="M12" s="65" t="s">
        <v>29</v>
      </c>
      <c r="N12" s="65"/>
      <c r="O12" s="15" t="s">
        <v>18</v>
      </c>
      <c r="P12" s="13"/>
      <c r="Q12" s="17">
        <v>1</v>
      </c>
      <c r="S12" s="13"/>
      <c r="T12" s="13"/>
    </row>
    <row r="13" spans="2:20">
      <c r="B13" s="3">
        <f t="shared" si="2"/>
        <v>104.1</v>
      </c>
      <c r="C13" s="25">
        <f t="shared" si="3"/>
        <v>100</v>
      </c>
      <c r="D13" s="25">
        <f t="shared" si="3"/>
        <v>0</v>
      </c>
      <c r="E13" s="75"/>
      <c r="F13" s="64">
        <f t="shared" si="4"/>
        <v>4</v>
      </c>
      <c r="G13" s="77"/>
      <c r="H13" s="22">
        <f t="shared" si="5"/>
        <v>0.1</v>
      </c>
      <c r="I13" s="8" t="s">
        <v>10</v>
      </c>
      <c r="J13" s="6">
        <f>J11</f>
        <v>-0.35</v>
      </c>
      <c r="K13" s="7" t="e">
        <f>K12/K$5-1</f>
        <v>#N/A</v>
      </c>
      <c r="L13" s="6">
        <f>L11</f>
        <v>0.35</v>
      </c>
      <c r="M13" s="6" t="s">
        <v>28</v>
      </c>
      <c r="N13" s="65" t="e">
        <f>IF((J13&lt;K13)* (K13&lt;L13),"PASS","FAIL")</f>
        <v>#N/A</v>
      </c>
      <c r="O13" s="15"/>
      <c r="P13" s="13"/>
      <c r="R13" s="17">
        <v>1</v>
      </c>
      <c r="S13" s="13"/>
      <c r="T13" s="13"/>
    </row>
    <row r="14" spans="2:20">
      <c r="B14" s="3">
        <f t="shared" si="2"/>
        <v>105</v>
      </c>
      <c r="C14" s="25">
        <f t="shared" si="3"/>
        <v>100</v>
      </c>
      <c r="D14" s="25">
        <f t="shared" si="3"/>
        <v>0</v>
      </c>
      <c r="E14" s="76"/>
      <c r="F14" s="64">
        <f>F13+1</f>
        <v>5</v>
      </c>
      <c r="G14" s="65" t="s">
        <v>12</v>
      </c>
      <c r="H14" s="22">
        <v>0</v>
      </c>
      <c r="I14" s="8" t="s">
        <v>8</v>
      </c>
      <c r="J14" s="65"/>
      <c r="K14" s="7" t="e">
        <f>((MAX(K7,K9,K11,K13)-MIN(K7,K9,K11,K13))/2)</f>
        <v>#N/A</v>
      </c>
      <c r="L14" s="65"/>
      <c r="M14" s="6" t="s">
        <v>28</v>
      </c>
      <c r="N14" s="65"/>
      <c r="O14" s="15" t="s">
        <v>25</v>
      </c>
      <c r="P14" s="13"/>
      <c r="S14" s="13"/>
      <c r="T14" s="13"/>
    </row>
    <row r="15" spans="2:20">
      <c r="B15" s="3">
        <f t="shared" si="2"/>
        <v>110</v>
      </c>
      <c r="C15" s="25">
        <f t="shared" si="3"/>
        <v>100</v>
      </c>
      <c r="D15" s="25">
        <f>D14+10</f>
        <v>10</v>
      </c>
      <c r="E15" s="84" t="s">
        <v>34</v>
      </c>
      <c r="F15" s="64">
        <v>0</v>
      </c>
      <c r="G15" s="85" t="s">
        <v>31</v>
      </c>
      <c r="H15" s="85"/>
      <c r="I15" s="85"/>
      <c r="J15" s="85"/>
      <c r="K15" s="12">
        <f>K6/2</f>
        <v>0</v>
      </c>
      <c r="L15" s="65"/>
      <c r="M15" s="9" t="s">
        <v>30</v>
      </c>
      <c r="N15" s="65"/>
      <c r="O15" s="15" t="s">
        <v>32</v>
      </c>
      <c r="P15" s="13"/>
      <c r="S15" s="13"/>
      <c r="T15" s="13"/>
    </row>
    <row r="16" spans="2:20">
      <c r="B16" s="3">
        <f t="shared" si="2"/>
        <v>111</v>
      </c>
      <c r="C16" s="25">
        <f t="shared" si="3"/>
        <v>100</v>
      </c>
      <c r="D16" s="25">
        <f t="shared" si="3"/>
        <v>10</v>
      </c>
      <c r="E16" s="84"/>
      <c r="F16" s="64">
        <f>F15+1</f>
        <v>1</v>
      </c>
      <c r="G16" s="77" t="s">
        <v>61</v>
      </c>
      <c r="H16" s="22">
        <v>0</v>
      </c>
      <c r="I16" s="8" t="str">
        <f>"-polar @ HM"</f>
        <v>-polar @ HM</v>
      </c>
      <c r="J16" s="65"/>
      <c r="K16" s="5"/>
      <c r="L16" s="65"/>
      <c r="M16" s="9" t="s">
        <v>30</v>
      </c>
      <c r="N16" s="65"/>
      <c r="O16" s="15" t="s">
        <v>20</v>
      </c>
      <c r="P16" s="13"/>
      <c r="Q16" s="17">
        <v>1</v>
      </c>
      <c r="S16" s="13"/>
      <c r="T16" s="13"/>
    </row>
    <row r="17" spans="2:20">
      <c r="B17" s="3">
        <f t="shared" si="2"/>
        <v>111.1</v>
      </c>
      <c r="C17" s="25">
        <f t="shared" si="3"/>
        <v>100</v>
      </c>
      <c r="D17" s="25">
        <f t="shared" si="3"/>
        <v>10</v>
      </c>
      <c r="E17" s="84"/>
      <c r="F17" s="64">
        <f t="shared" si="4"/>
        <v>1</v>
      </c>
      <c r="G17" s="77"/>
      <c r="H17" s="22">
        <f>H16+0.1</f>
        <v>0.1</v>
      </c>
      <c r="I17" s="8" t="str">
        <f>"+polar @ HM"</f>
        <v>+polar @ HM</v>
      </c>
      <c r="J17" s="65"/>
      <c r="K17" s="5"/>
      <c r="L17" s="65"/>
      <c r="M17" s="9" t="s">
        <v>30</v>
      </c>
      <c r="N17" s="65"/>
      <c r="O17" s="15" t="s">
        <v>21</v>
      </c>
      <c r="P17" s="13"/>
      <c r="Q17" s="17">
        <v>1</v>
      </c>
      <c r="S17" s="13"/>
      <c r="T17" s="13"/>
    </row>
    <row r="18" spans="2:20">
      <c r="B18" s="3">
        <f t="shared" si="2"/>
        <v>111.2</v>
      </c>
      <c r="C18" s="25">
        <f t="shared" si="3"/>
        <v>100</v>
      </c>
      <c r="D18" s="25">
        <f t="shared" si="3"/>
        <v>10</v>
      </c>
      <c r="E18" s="84"/>
      <c r="F18" s="64">
        <f t="shared" si="4"/>
        <v>1</v>
      </c>
      <c r="G18" s="77"/>
      <c r="H18" s="22">
        <f t="shared" ref="H18:H31" si="6">H17+0.1</f>
        <v>0.2</v>
      </c>
      <c r="I18" s="8" t="s">
        <v>14</v>
      </c>
      <c r="J18" s="50">
        <f>-L18</f>
        <v>-15</v>
      </c>
      <c r="K18" s="10">
        <f>(K17+(K16-360))/2</f>
        <v>-180</v>
      </c>
      <c r="L18" s="48">
        <f>Specifications!E6</f>
        <v>15</v>
      </c>
      <c r="M18" s="9" t="s">
        <v>30</v>
      </c>
      <c r="N18" s="65" t="str">
        <f>IF((J18&lt;K18)* (K18&lt;L18),"PASS","FAIL")</f>
        <v>FAIL</v>
      </c>
      <c r="O18" s="15"/>
      <c r="P18" s="13"/>
      <c r="R18" s="17">
        <v>1</v>
      </c>
      <c r="S18" s="13"/>
      <c r="T18" s="13"/>
    </row>
    <row r="19" spans="2:20">
      <c r="B19" s="3">
        <f t="shared" si="2"/>
        <v>111.3</v>
      </c>
      <c r="C19" s="25">
        <f t="shared" si="3"/>
        <v>100</v>
      </c>
      <c r="D19" s="25">
        <f t="shared" si="3"/>
        <v>10</v>
      </c>
      <c r="E19" s="84"/>
      <c r="F19" s="64">
        <f t="shared" si="4"/>
        <v>1</v>
      </c>
      <c r="G19" s="77"/>
      <c r="H19" s="22">
        <f t="shared" si="6"/>
        <v>0.30000000000000004</v>
      </c>
      <c r="I19" s="8" t="s">
        <v>22</v>
      </c>
      <c r="J19" s="48">
        <f>Specifications!E11</f>
        <v>50</v>
      </c>
      <c r="K19" s="10">
        <f>K17-(K16-360)</f>
        <v>360</v>
      </c>
      <c r="L19" s="48">
        <f>Specifications!E12</f>
        <v>70</v>
      </c>
      <c r="M19" s="9" t="s">
        <v>30</v>
      </c>
      <c r="N19" s="65" t="str">
        <f>IF((J19&lt;K19)* (K19&lt;L19),"PASS","FAIL")</f>
        <v>FAIL</v>
      </c>
      <c r="O19" s="15"/>
      <c r="P19" s="13"/>
      <c r="R19" s="17">
        <v>1</v>
      </c>
      <c r="S19" s="13"/>
      <c r="T19" s="13"/>
    </row>
    <row r="20" spans="2:20">
      <c r="B20" s="3">
        <f t="shared" si="2"/>
        <v>112</v>
      </c>
      <c r="C20" s="25">
        <f t="shared" si="3"/>
        <v>100</v>
      </c>
      <c r="D20" s="25">
        <f t="shared" si="3"/>
        <v>10</v>
      </c>
      <c r="E20" s="84"/>
      <c r="F20" s="64">
        <f>F19+1</f>
        <v>2</v>
      </c>
      <c r="G20" s="77" t="s">
        <v>62</v>
      </c>
      <c r="H20" s="22">
        <v>0</v>
      </c>
      <c r="I20" s="8" t="str">
        <f>"-polar @ HM"</f>
        <v>-polar @ HM</v>
      </c>
      <c r="J20" s="65"/>
      <c r="K20" s="5"/>
      <c r="L20" s="65"/>
      <c r="M20" s="9" t="s">
        <v>30</v>
      </c>
      <c r="N20" s="65"/>
      <c r="O20" s="15" t="s">
        <v>20</v>
      </c>
      <c r="P20" s="13"/>
      <c r="Q20" s="17">
        <v>1</v>
      </c>
      <c r="S20" s="13"/>
      <c r="T20" s="13"/>
    </row>
    <row r="21" spans="2:20">
      <c r="B21" s="3">
        <f t="shared" si="2"/>
        <v>112.1</v>
      </c>
      <c r="C21" s="25">
        <f t="shared" si="3"/>
        <v>100</v>
      </c>
      <c r="D21" s="25">
        <f t="shared" si="3"/>
        <v>10</v>
      </c>
      <c r="E21" s="84"/>
      <c r="F21" s="64">
        <f t="shared" si="4"/>
        <v>2</v>
      </c>
      <c r="G21" s="77"/>
      <c r="H21" s="22">
        <f t="shared" si="6"/>
        <v>0.1</v>
      </c>
      <c r="I21" s="8" t="str">
        <f>"+polar @ HM"</f>
        <v>+polar @ HM</v>
      </c>
      <c r="J21" s="65"/>
      <c r="K21" s="5"/>
      <c r="L21" s="65"/>
      <c r="M21" s="9" t="s">
        <v>30</v>
      </c>
      <c r="N21" s="65"/>
      <c r="O21" s="15" t="s">
        <v>21</v>
      </c>
      <c r="P21" s="13"/>
      <c r="Q21" s="16">
        <v>1</v>
      </c>
      <c r="S21" s="13"/>
      <c r="T21" s="13"/>
    </row>
    <row r="22" spans="2:20">
      <c r="B22" s="3">
        <f t="shared" si="2"/>
        <v>112.2</v>
      </c>
      <c r="C22" s="25">
        <f t="shared" si="3"/>
        <v>100</v>
      </c>
      <c r="D22" s="25">
        <f t="shared" si="3"/>
        <v>10</v>
      </c>
      <c r="E22" s="84"/>
      <c r="F22" s="64">
        <f t="shared" si="4"/>
        <v>2</v>
      </c>
      <c r="G22" s="77"/>
      <c r="H22" s="22">
        <f t="shared" si="6"/>
        <v>0.2</v>
      </c>
      <c r="I22" s="8" t="s">
        <v>14</v>
      </c>
      <c r="J22" s="65">
        <f>J18</f>
        <v>-15</v>
      </c>
      <c r="K22" s="10">
        <f>(K21+(K20-360))/2</f>
        <v>-180</v>
      </c>
      <c r="L22" s="65">
        <f>L18</f>
        <v>15</v>
      </c>
      <c r="M22" s="9" t="s">
        <v>30</v>
      </c>
      <c r="N22" s="65" t="str">
        <f>IF((J22&lt;K22)* (K22&lt;L22),"PASS","FAIL")</f>
        <v>FAIL</v>
      </c>
      <c r="O22" s="15"/>
      <c r="P22" s="13"/>
      <c r="R22" s="17">
        <v>1</v>
      </c>
      <c r="S22" s="13"/>
      <c r="T22" s="13"/>
    </row>
    <row r="23" spans="2:20">
      <c r="B23" s="3">
        <f t="shared" si="2"/>
        <v>112.3</v>
      </c>
      <c r="C23" s="25">
        <f t="shared" si="3"/>
        <v>100</v>
      </c>
      <c r="D23" s="25">
        <f t="shared" si="3"/>
        <v>10</v>
      </c>
      <c r="E23" s="84"/>
      <c r="F23" s="64">
        <f t="shared" si="4"/>
        <v>2</v>
      </c>
      <c r="G23" s="77"/>
      <c r="H23" s="22">
        <f t="shared" si="6"/>
        <v>0.30000000000000004</v>
      </c>
      <c r="I23" s="8" t="s">
        <v>22</v>
      </c>
      <c r="J23" s="65">
        <f>J19</f>
        <v>50</v>
      </c>
      <c r="K23" s="10">
        <f>K21-(K20-360)</f>
        <v>360</v>
      </c>
      <c r="L23" s="65">
        <f>L19</f>
        <v>70</v>
      </c>
      <c r="M23" s="9" t="s">
        <v>30</v>
      </c>
      <c r="N23" s="65" t="str">
        <f>IF((J23&lt;K23)* (K23&lt;L23),"PASS","FAIL")</f>
        <v>FAIL</v>
      </c>
      <c r="O23" s="15"/>
      <c r="P23" s="13"/>
      <c r="R23" s="17">
        <v>1</v>
      </c>
      <c r="S23" s="13"/>
      <c r="T23" s="13"/>
    </row>
    <row r="24" spans="2:20">
      <c r="B24" s="3">
        <f t="shared" si="2"/>
        <v>113</v>
      </c>
      <c r="C24" s="25">
        <f t="shared" ref="C24:D31" si="7">C23</f>
        <v>100</v>
      </c>
      <c r="D24" s="25">
        <f t="shared" si="7"/>
        <v>10</v>
      </c>
      <c r="E24" s="84"/>
      <c r="F24" s="64">
        <f>F23+1</f>
        <v>3</v>
      </c>
      <c r="G24" s="77" t="s">
        <v>26</v>
      </c>
      <c r="H24" s="22">
        <v>0</v>
      </c>
      <c r="I24" s="8" t="str">
        <f>"-polar @ HM"</f>
        <v>-polar @ HM</v>
      </c>
      <c r="J24" s="65"/>
      <c r="K24" s="5"/>
      <c r="L24" s="65"/>
      <c r="M24" s="9" t="s">
        <v>30</v>
      </c>
      <c r="N24" s="65"/>
      <c r="O24" s="15" t="s">
        <v>20</v>
      </c>
      <c r="P24" s="13"/>
      <c r="Q24" s="17">
        <v>1</v>
      </c>
      <c r="S24" s="13"/>
      <c r="T24" s="13"/>
    </row>
    <row r="25" spans="2:20">
      <c r="B25" s="3">
        <f t="shared" si="2"/>
        <v>113.1</v>
      </c>
      <c r="C25" s="25">
        <f t="shared" si="7"/>
        <v>100</v>
      </c>
      <c r="D25" s="25">
        <f t="shared" si="7"/>
        <v>10</v>
      </c>
      <c r="E25" s="84"/>
      <c r="F25" s="64">
        <f t="shared" si="4"/>
        <v>3</v>
      </c>
      <c r="G25" s="77"/>
      <c r="H25" s="22">
        <f t="shared" si="6"/>
        <v>0.1</v>
      </c>
      <c r="I25" s="8" t="str">
        <f>"+polar @ HM"</f>
        <v>+polar @ HM</v>
      </c>
      <c r="J25" s="65"/>
      <c r="K25" s="5"/>
      <c r="L25" s="65"/>
      <c r="M25" s="9" t="s">
        <v>30</v>
      </c>
      <c r="N25" s="65"/>
      <c r="O25" s="15" t="s">
        <v>21</v>
      </c>
      <c r="P25" s="13"/>
      <c r="Q25" s="16">
        <v>1</v>
      </c>
      <c r="S25" s="13"/>
      <c r="T25" s="13"/>
    </row>
    <row r="26" spans="2:20">
      <c r="B26" s="3">
        <f t="shared" si="2"/>
        <v>113.2</v>
      </c>
      <c r="C26" s="25">
        <f t="shared" si="7"/>
        <v>100</v>
      </c>
      <c r="D26" s="25">
        <f t="shared" si="7"/>
        <v>10</v>
      </c>
      <c r="E26" s="84"/>
      <c r="F26" s="64">
        <f t="shared" si="4"/>
        <v>3</v>
      </c>
      <c r="G26" s="77"/>
      <c r="H26" s="22">
        <f t="shared" si="6"/>
        <v>0.2</v>
      </c>
      <c r="I26" s="8" t="s">
        <v>14</v>
      </c>
      <c r="J26" s="65">
        <f>J22</f>
        <v>-15</v>
      </c>
      <c r="K26" s="10">
        <f>(K25+(K24-360))/2</f>
        <v>-180</v>
      </c>
      <c r="L26" s="65">
        <f>L22</f>
        <v>15</v>
      </c>
      <c r="M26" s="9" t="s">
        <v>30</v>
      </c>
      <c r="N26" s="65" t="str">
        <f>IF((J26&lt;K26)* (K26&lt;L26),"PASS","FAIL")</f>
        <v>FAIL</v>
      </c>
      <c r="O26" s="15"/>
      <c r="P26" s="13"/>
      <c r="R26" s="17">
        <v>1</v>
      </c>
      <c r="S26" s="13"/>
      <c r="T26" s="13"/>
    </row>
    <row r="27" spans="2:20">
      <c r="B27" s="3">
        <f t="shared" si="2"/>
        <v>113.3</v>
      </c>
      <c r="C27" s="25">
        <f t="shared" si="7"/>
        <v>100</v>
      </c>
      <c r="D27" s="25">
        <f t="shared" si="7"/>
        <v>10</v>
      </c>
      <c r="E27" s="84"/>
      <c r="F27" s="64">
        <f t="shared" si="4"/>
        <v>3</v>
      </c>
      <c r="G27" s="77"/>
      <c r="H27" s="22">
        <f t="shared" si="6"/>
        <v>0.30000000000000004</v>
      </c>
      <c r="I27" s="8" t="s">
        <v>22</v>
      </c>
      <c r="J27" s="65">
        <f>J23</f>
        <v>50</v>
      </c>
      <c r="K27" s="10">
        <f>K25-(K24-360)</f>
        <v>360</v>
      </c>
      <c r="L27" s="65">
        <f>L23</f>
        <v>70</v>
      </c>
      <c r="M27" s="9" t="s">
        <v>30</v>
      </c>
      <c r="N27" s="65" t="str">
        <f>IF((J27&lt;K27)* (K27&lt;L27),"PASS","FAIL")</f>
        <v>FAIL</v>
      </c>
      <c r="O27" s="15"/>
      <c r="P27" s="13"/>
      <c r="R27" s="17">
        <v>1</v>
      </c>
      <c r="S27" s="13"/>
      <c r="T27" s="13"/>
    </row>
    <row r="28" spans="2:20">
      <c r="B28" s="3">
        <f t="shared" si="2"/>
        <v>114</v>
      </c>
      <c r="C28" s="25">
        <f t="shared" si="7"/>
        <v>100</v>
      </c>
      <c r="D28" s="25">
        <f t="shared" si="7"/>
        <v>10</v>
      </c>
      <c r="E28" s="84"/>
      <c r="F28" s="64">
        <f>F27+1</f>
        <v>4</v>
      </c>
      <c r="G28" s="77" t="s">
        <v>27</v>
      </c>
      <c r="H28" s="22">
        <v>0</v>
      </c>
      <c r="I28" s="8" t="str">
        <f>"-polar @ HM"</f>
        <v>-polar @ HM</v>
      </c>
      <c r="J28" s="65"/>
      <c r="K28" s="5"/>
      <c r="L28" s="65"/>
      <c r="M28" s="9" t="s">
        <v>30</v>
      </c>
      <c r="N28" s="65"/>
      <c r="O28" s="15" t="s">
        <v>20</v>
      </c>
      <c r="P28" s="13"/>
      <c r="Q28" s="17">
        <v>1</v>
      </c>
      <c r="S28" s="13"/>
      <c r="T28" s="13"/>
    </row>
    <row r="29" spans="2:20">
      <c r="B29" s="3">
        <f t="shared" si="2"/>
        <v>114.1</v>
      </c>
      <c r="C29" s="25">
        <f t="shared" si="7"/>
        <v>100</v>
      </c>
      <c r="D29" s="25">
        <f t="shared" si="7"/>
        <v>10</v>
      </c>
      <c r="E29" s="84"/>
      <c r="F29" s="64">
        <f t="shared" si="4"/>
        <v>4</v>
      </c>
      <c r="G29" s="77"/>
      <c r="H29" s="22">
        <f t="shared" si="6"/>
        <v>0.1</v>
      </c>
      <c r="I29" s="8" t="str">
        <f>"+polar @ HM"</f>
        <v>+polar @ HM</v>
      </c>
      <c r="J29" s="65"/>
      <c r="K29" s="5"/>
      <c r="L29" s="65"/>
      <c r="M29" s="9" t="s">
        <v>30</v>
      </c>
      <c r="N29" s="65"/>
      <c r="O29" s="15" t="s">
        <v>21</v>
      </c>
      <c r="P29" s="13"/>
      <c r="Q29" s="16">
        <v>1</v>
      </c>
      <c r="S29" s="13"/>
      <c r="T29" s="13"/>
    </row>
    <row r="30" spans="2:20">
      <c r="B30" s="3">
        <f t="shared" si="2"/>
        <v>114.2</v>
      </c>
      <c r="C30" s="25">
        <f t="shared" si="7"/>
        <v>100</v>
      </c>
      <c r="D30" s="25">
        <f t="shared" si="7"/>
        <v>10</v>
      </c>
      <c r="E30" s="84"/>
      <c r="F30" s="64">
        <f t="shared" si="4"/>
        <v>4</v>
      </c>
      <c r="G30" s="77"/>
      <c r="H30" s="22">
        <f t="shared" si="6"/>
        <v>0.2</v>
      </c>
      <c r="I30" s="8" t="s">
        <v>14</v>
      </c>
      <c r="J30" s="65">
        <f>J26</f>
        <v>-15</v>
      </c>
      <c r="K30" s="10">
        <f>(K29+(K28-360))/2</f>
        <v>-180</v>
      </c>
      <c r="L30" s="65">
        <f>L26</f>
        <v>15</v>
      </c>
      <c r="M30" s="9" t="s">
        <v>30</v>
      </c>
      <c r="N30" s="65" t="str">
        <f>IF((J30&lt;K30)* (K30&lt;L30),"PASS","FAIL")</f>
        <v>FAIL</v>
      </c>
      <c r="O30" s="15"/>
      <c r="P30" s="13"/>
      <c r="R30" s="17">
        <v>1</v>
      </c>
      <c r="S30" s="13"/>
      <c r="T30" s="13"/>
    </row>
    <row r="31" spans="2:20">
      <c r="B31" s="3">
        <f t="shared" si="2"/>
        <v>114.3</v>
      </c>
      <c r="C31" s="25">
        <f t="shared" si="7"/>
        <v>100</v>
      </c>
      <c r="D31" s="25">
        <f t="shared" si="7"/>
        <v>10</v>
      </c>
      <c r="E31" s="84"/>
      <c r="F31" s="64">
        <f t="shared" si="4"/>
        <v>4</v>
      </c>
      <c r="G31" s="77"/>
      <c r="H31" s="22">
        <f t="shared" si="6"/>
        <v>0.30000000000000004</v>
      </c>
      <c r="I31" s="8" t="s">
        <v>22</v>
      </c>
      <c r="J31" s="65">
        <f>J27</f>
        <v>50</v>
      </c>
      <c r="K31" s="10">
        <f>K29-(K28-360)</f>
        <v>360</v>
      </c>
      <c r="L31" s="65">
        <f>L27</f>
        <v>70</v>
      </c>
      <c r="M31" s="9" t="s">
        <v>30</v>
      </c>
      <c r="N31" s="65" t="str">
        <f>IF((J31&lt;K31)* (K31&lt;L31),"PASS","FAIL")</f>
        <v>FAIL</v>
      </c>
      <c r="O31" s="15"/>
      <c r="P31" s="13"/>
      <c r="R31" s="17">
        <v>1</v>
      </c>
      <c r="S31" s="13"/>
      <c r="T31" s="13"/>
    </row>
    <row r="32" spans="2:20">
      <c r="B32" s="90"/>
      <c r="C32" s="91"/>
      <c r="D32" s="92"/>
      <c r="E32" s="78" t="s">
        <v>100</v>
      </c>
      <c r="F32" s="79"/>
      <c r="G32" s="79"/>
      <c r="H32" s="79"/>
      <c r="I32" s="79"/>
      <c r="J32" s="79"/>
      <c r="K32" s="79"/>
      <c r="L32" s="79"/>
      <c r="M32" s="79"/>
      <c r="N32" s="79"/>
      <c r="O32" s="80"/>
      <c r="P32" s="13"/>
      <c r="S32" s="13"/>
      <c r="T32" s="13"/>
    </row>
    <row r="33" spans="2:20">
      <c r="B33" s="3">
        <f t="shared" ref="B33:B45" si="8">C33+D33+F33+H33</f>
        <v>200</v>
      </c>
      <c r="C33" s="26">
        <f>C31+100</f>
        <v>200</v>
      </c>
      <c r="D33" s="26">
        <v>0</v>
      </c>
      <c r="E33" s="81" t="s">
        <v>39</v>
      </c>
      <c r="F33" s="66">
        <v>0</v>
      </c>
      <c r="G33" s="74" t="s">
        <v>1</v>
      </c>
      <c r="H33" s="22">
        <v>0</v>
      </c>
      <c r="I33" s="8" t="s">
        <v>9</v>
      </c>
      <c r="J33" s="65"/>
      <c r="K33" s="5"/>
      <c r="L33" s="65"/>
      <c r="M33" s="65" t="s">
        <v>29</v>
      </c>
      <c r="N33" s="65"/>
      <c r="O33" s="15" t="s">
        <v>15</v>
      </c>
      <c r="P33" s="13"/>
      <c r="Q33" s="17">
        <v>1</v>
      </c>
      <c r="S33" s="13"/>
      <c r="T33" s="13"/>
    </row>
    <row r="34" spans="2:20">
      <c r="B34" s="3">
        <f t="shared" si="8"/>
        <v>200.1</v>
      </c>
      <c r="C34" s="25">
        <f t="shared" ref="C34:D45" si="9">C33</f>
        <v>200</v>
      </c>
      <c r="D34" s="25">
        <f t="shared" si="9"/>
        <v>0</v>
      </c>
      <c r="E34" s="82"/>
      <c r="F34" s="64">
        <f t="shared" ref="F34:F44" si="10">F33</f>
        <v>0</v>
      </c>
      <c r="G34" s="75"/>
      <c r="H34" s="22">
        <f t="shared" ref="H34:H44" si="11">H33+0.1</f>
        <v>0.1</v>
      </c>
      <c r="I34" s="8" t="s">
        <v>10</v>
      </c>
      <c r="J34" s="6">
        <f>-L34</f>
        <v>-0.35</v>
      </c>
      <c r="K34" s="7" t="e">
        <f>K33/K$5-1</f>
        <v>#N/A</v>
      </c>
      <c r="L34" s="47">
        <f>Specifications!E5</f>
        <v>0.35</v>
      </c>
      <c r="M34" s="6" t="s">
        <v>28</v>
      </c>
      <c r="N34" s="65" t="e">
        <f>IF((J34&lt;K34)* (K34&lt;L34),"PASS","FAIL")</f>
        <v>#N/A</v>
      </c>
      <c r="O34" s="15"/>
      <c r="P34" s="13"/>
      <c r="R34" s="17">
        <v>1</v>
      </c>
      <c r="S34" s="13"/>
      <c r="T34" s="13"/>
    </row>
    <row r="35" spans="2:20">
      <c r="B35" s="3">
        <f t="shared" si="8"/>
        <v>200.2</v>
      </c>
      <c r="C35" s="25">
        <f t="shared" si="9"/>
        <v>200</v>
      </c>
      <c r="D35" s="25">
        <f t="shared" si="9"/>
        <v>0</v>
      </c>
      <c r="E35" s="82"/>
      <c r="F35" s="64">
        <f t="shared" si="10"/>
        <v>0</v>
      </c>
      <c r="G35" s="76"/>
      <c r="H35" s="22">
        <f t="shared" si="11"/>
        <v>0.2</v>
      </c>
      <c r="I35" s="8" t="s">
        <v>35</v>
      </c>
      <c r="J35" s="6">
        <f>-L35</f>
        <v>-0.15</v>
      </c>
      <c r="K35" s="7" t="e">
        <f>K33/K6-1</f>
        <v>#DIV/0!</v>
      </c>
      <c r="L35" s="47">
        <f>Specifications!E15</f>
        <v>0.15</v>
      </c>
      <c r="M35" s="6" t="s">
        <v>28</v>
      </c>
      <c r="N35" s="65" t="e">
        <f>IF((J35&lt;K35)* (K35&lt;L35),"PASS","FAIL")</f>
        <v>#DIV/0!</v>
      </c>
      <c r="O35" s="15"/>
      <c r="P35" s="13"/>
      <c r="R35" s="17">
        <v>1</v>
      </c>
      <c r="S35" s="13"/>
      <c r="T35" s="13"/>
    </row>
    <row r="36" spans="2:20">
      <c r="B36" s="3">
        <f t="shared" si="8"/>
        <v>201</v>
      </c>
      <c r="C36" s="25">
        <f t="shared" si="9"/>
        <v>200</v>
      </c>
      <c r="D36" s="25">
        <f t="shared" si="9"/>
        <v>0</v>
      </c>
      <c r="E36" s="82"/>
      <c r="F36" s="64">
        <f>F35+1</f>
        <v>1</v>
      </c>
      <c r="G36" s="74" t="s">
        <v>2</v>
      </c>
      <c r="H36" s="22">
        <v>0</v>
      </c>
      <c r="I36" s="8" t="s">
        <v>9</v>
      </c>
      <c r="J36" s="65"/>
      <c r="K36" s="5"/>
      <c r="L36" s="65"/>
      <c r="M36" s="65" t="s">
        <v>29</v>
      </c>
      <c r="N36" s="65"/>
      <c r="O36" s="15" t="s">
        <v>16</v>
      </c>
      <c r="P36" s="13"/>
      <c r="Q36" s="17">
        <v>1</v>
      </c>
      <c r="S36" s="13"/>
      <c r="T36" s="13"/>
    </row>
    <row r="37" spans="2:20">
      <c r="B37" s="3">
        <f t="shared" si="8"/>
        <v>201.1</v>
      </c>
      <c r="C37" s="25">
        <f t="shared" si="9"/>
        <v>200</v>
      </c>
      <c r="D37" s="25">
        <f t="shared" si="9"/>
        <v>0</v>
      </c>
      <c r="E37" s="82"/>
      <c r="F37" s="64">
        <f t="shared" si="10"/>
        <v>1</v>
      </c>
      <c r="G37" s="75"/>
      <c r="H37" s="22">
        <f t="shared" si="11"/>
        <v>0.1</v>
      </c>
      <c r="I37" s="8" t="s">
        <v>10</v>
      </c>
      <c r="J37" s="6">
        <f>J34</f>
        <v>-0.35</v>
      </c>
      <c r="K37" s="7" t="e">
        <f>K36/K$5-1</f>
        <v>#N/A</v>
      </c>
      <c r="L37" s="6">
        <f>L34</f>
        <v>0.35</v>
      </c>
      <c r="M37" s="6" t="s">
        <v>28</v>
      </c>
      <c r="N37" s="65" t="e">
        <f>IF((J37&lt;K37)* (K37&lt;L37),"PASS","FAIL")</f>
        <v>#N/A</v>
      </c>
      <c r="O37" s="15"/>
      <c r="P37" s="13"/>
      <c r="R37" s="17">
        <v>1</v>
      </c>
      <c r="S37" s="13"/>
      <c r="T37" s="13"/>
    </row>
    <row r="38" spans="2:20">
      <c r="B38" s="3">
        <f t="shared" si="8"/>
        <v>201.2</v>
      </c>
      <c r="C38" s="25">
        <f t="shared" si="9"/>
        <v>200</v>
      </c>
      <c r="D38" s="25">
        <f t="shared" si="9"/>
        <v>0</v>
      </c>
      <c r="E38" s="82"/>
      <c r="F38" s="64">
        <f t="shared" si="10"/>
        <v>1</v>
      </c>
      <c r="G38" s="76"/>
      <c r="H38" s="22">
        <f t="shared" si="11"/>
        <v>0.2</v>
      </c>
      <c r="I38" s="8" t="s">
        <v>35</v>
      </c>
      <c r="J38" s="6">
        <f>J35</f>
        <v>-0.15</v>
      </c>
      <c r="K38" s="7" t="e">
        <f>K36/K8-1</f>
        <v>#DIV/0!</v>
      </c>
      <c r="L38" s="6">
        <f>L35</f>
        <v>0.15</v>
      </c>
      <c r="M38" s="6" t="s">
        <v>28</v>
      </c>
      <c r="N38" s="65" t="e">
        <f>IF((J38&lt;K38)* (K38&lt;L38),"PASS","FAIL")</f>
        <v>#DIV/0!</v>
      </c>
      <c r="O38" s="15"/>
      <c r="P38" s="13"/>
      <c r="R38" s="17">
        <v>1</v>
      </c>
      <c r="S38" s="13"/>
      <c r="T38" s="13"/>
    </row>
    <row r="39" spans="2:20">
      <c r="B39" s="3">
        <f t="shared" si="8"/>
        <v>202</v>
      </c>
      <c r="C39" s="25">
        <f t="shared" si="9"/>
        <v>200</v>
      </c>
      <c r="D39" s="25">
        <f t="shared" si="9"/>
        <v>0</v>
      </c>
      <c r="E39" s="82"/>
      <c r="F39" s="64">
        <f>F38+1</f>
        <v>2</v>
      </c>
      <c r="G39" s="74" t="s">
        <v>3</v>
      </c>
      <c r="H39" s="22">
        <v>0</v>
      </c>
      <c r="I39" s="8" t="s">
        <v>9</v>
      </c>
      <c r="J39" s="65"/>
      <c r="K39" s="5"/>
      <c r="L39" s="65"/>
      <c r="M39" s="65" t="s">
        <v>29</v>
      </c>
      <c r="N39" s="65"/>
      <c r="O39" s="15" t="s">
        <v>17</v>
      </c>
      <c r="P39" s="13"/>
      <c r="Q39" s="17">
        <v>1</v>
      </c>
      <c r="S39" s="13"/>
      <c r="T39" s="13"/>
    </row>
    <row r="40" spans="2:20">
      <c r="B40" s="3">
        <f t="shared" si="8"/>
        <v>202.1</v>
      </c>
      <c r="C40" s="25">
        <f t="shared" si="9"/>
        <v>200</v>
      </c>
      <c r="D40" s="25">
        <f t="shared" si="9"/>
        <v>0</v>
      </c>
      <c r="E40" s="82"/>
      <c r="F40" s="64">
        <f t="shared" si="10"/>
        <v>2</v>
      </c>
      <c r="G40" s="75"/>
      <c r="H40" s="22">
        <f t="shared" si="11"/>
        <v>0.1</v>
      </c>
      <c r="I40" s="8" t="s">
        <v>10</v>
      </c>
      <c r="J40" s="6">
        <f>J37</f>
        <v>-0.35</v>
      </c>
      <c r="K40" s="7" t="e">
        <f>K39/K$5-1</f>
        <v>#N/A</v>
      </c>
      <c r="L40" s="6">
        <f>L37</f>
        <v>0.35</v>
      </c>
      <c r="M40" s="6" t="s">
        <v>28</v>
      </c>
      <c r="N40" s="65" t="e">
        <f>IF((J40&lt;K40)* (K40&lt;L40),"PASS","FAIL")</f>
        <v>#N/A</v>
      </c>
      <c r="O40" s="15"/>
      <c r="P40" s="13"/>
      <c r="R40" s="17">
        <v>1</v>
      </c>
      <c r="S40" s="13"/>
      <c r="T40" s="13"/>
    </row>
    <row r="41" spans="2:20">
      <c r="B41" s="3">
        <f t="shared" si="8"/>
        <v>202.2</v>
      </c>
      <c r="C41" s="25">
        <f t="shared" si="9"/>
        <v>200</v>
      </c>
      <c r="D41" s="25">
        <f t="shared" si="9"/>
        <v>0</v>
      </c>
      <c r="E41" s="82"/>
      <c r="F41" s="64">
        <f t="shared" si="10"/>
        <v>2</v>
      </c>
      <c r="G41" s="76"/>
      <c r="H41" s="22">
        <f t="shared" si="11"/>
        <v>0.2</v>
      </c>
      <c r="I41" s="8" t="s">
        <v>35</v>
      </c>
      <c r="J41" s="6">
        <f>-L41</f>
        <v>-0.3</v>
      </c>
      <c r="K41" s="7" t="e">
        <f>K39/K10-1</f>
        <v>#DIV/0!</v>
      </c>
      <c r="L41" s="47">
        <f>Specifications!E16</f>
        <v>0.3</v>
      </c>
      <c r="M41" s="6" t="s">
        <v>28</v>
      </c>
      <c r="N41" s="65" t="e">
        <f>IF((J41&lt;K41)* (K41&lt;L41),"PASS","FAIL")</f>
        <v>#DIV/0!</v>
      </c>
      <c r="O41" s="15"/>
      <c r="P41" s="13"/>
      <c r="R41" s="17">
        <v>1</v>
      </c>
      <c r="S41" s="13"/>
      <c r="T41" s="13"/>
    </row>
    <row r="42" spans="2:20">
      <c r="B42" s="3">
        <f t="shared" si="8"/>
        <v>203</v>
      </c>
      <c r="C42" s="25">
        <f t="shared" si="9"/>
        <v>200</v>
      </c>
      <c r="D42" s="25">
        <f t="shared" si="9"/>
        <v>0</v>
      </c>
      <c r="E42" s="82"/>
      <c r="F42" s="64">
        <f>F41+1</f>
        <v>3</v>
      </c>
      <c r="G42" s="74" t="s">
        <v>11</v>
      </c>
      <c r="H42" s="22">
        <v>0</v>
      </c>
      <c r="I42" s="8" t="s">
        <v>9</v>
      </c>
      <c r="J42" s="65"/>
      <c r="K42" s="5"/>
      <c r="L42" s="65"/>
      <c r="M42" s="65" t="s">
        <v>29</v>
      </c>
      <c r="N42" s="65"/>
      <c r="O42" s="15" t="s">
        <v>18</v>
      </c>
      <c r="P42" s="13"/>
      <c r="Q42" s="17">
        <v>1</v>
      </c>
      <c r="S42" s="13"/>
      <c r="T42" s="13"/>
    </row>
    <row r="43" spans="2:20">
      <c r="B43" s="3">
        <f t="shared" si="8"/>
        <v>203.1</v>
      </c>
      <c r="C43" s="25">
        <f t="shared" si="9"/>
        <v>200</v>
      </c>
      <c r="D43" s="25">
        <f t="shared" si="9"/>
        <v>0</v>
      </c>
      <c r="E43" s="82"/>
      <c r="F43" s="64">
        <f t="shared" si="10"/>
        <v>3</v>
      </c>
      <c r="G43" s="75"/>
      <c r="H43" s="22">
        <f t="shared" si="11"/>
        <v>0.1</v>
      </c>
      <c r="I43" s="8" t="s">
        <v>10</v>
      </c>
      <c r="J43" s="6">
        <f>J40</f>
        <v>-0.35</v>
      </c>
      <c r="K43" s="7" t="e">
        <f>K42/K$5-1</f>
        <v>#N/A</v>
      </c>
      <c r="L43" s="6">
        <f>L40</f>
        <v>0.35</v>
      </c>
      <c r="M43" s="6" t="s">
        <v>28</v>
      </c>
      <c r="N43" s="65" t="e">
        <f>IF((J43&lt;K43)* (K43&lt;L43),"PASS","FAIL")</f>
        <v>#N/A</v>
      </c>
      <c r="O43" s="15"/>
      <c r="P43" s="13"/>
      <c r="R43" s="17">
        <v>1</v>
      </c>
      <c r="S43" s="13"/>
      <c r="T43" s="13"/>
    </row>
    <row r="44" spans="2:20">
      <c r="B44" s="3">
        <f t="shared" si="8"/>
        <v>203.2</v>
      </c>
      <c r="C44" s="25">
        <f t="shared" si="9"/>
        <v>200</v>
      </c>
      <c r="D44" s="25">
        <f t="shared" si="9"/>
        <v>0</v>
      </c>
      <c r="E44" s="82"/>
      <c r="F44" s="64">
        <f t="shared" si="10"/>
        <v>3</v>
      </c>
      <c r="G44" s="76"/>
      <c r="H44" s="22">
        <f t="shared" si="11"/>
        <v>0.2</v>
      </c>
      <c r="I44" s="8" t="s">
        <v>35</v>
      </c>
      <c r="J44" s="6">
        <f>J41</f>
        <v>-0.3</v>
      </c>
      <c r="K44" s="7" t="e">
        <f>K42/K12-1</f>
        <v>#DIV/0!</v>
      </c>
      <c r="L44" s="6">
        <f>L41</f>
        <v>0.3</v>
      </c>
      <c r="M44" s="6" t="s">
        <v>28</v>
      </c>
      <c r="N44" s="65" t="e">
        <f>IF((J44&lt;K44)* (K44&lt;L44),"PASS","FAIL")</f>
        <v>#DIV/0!</v>
      </c>
      <c r="O44" s="15"/>
      <c r="P44" s="13"/>
      <c r="R44" s="17">
        <v>1</v>
      </c>
      <c r="S44" s="13"/>
      <c r="T44" s="13"/>
    </row>
    <row r="45" spans="2:20">
      <c r="B45" s="3">
        <f t="shared" si="8"/>
        <v>204</v>
      </c>
      <c r="C45" s="25">
        <f t="shared" si="9"/>
        <v>200</v>
      </c>
      <c r="D45" s="25">
        <f t="shared" si="9"/>
        <v>0</v>
      </c>
      <c r="E45" s="83"/>
      <c r="F45" s="64">
        <f>F44+1</f>
        <v>4</v>
      </c>
      <c r="G45" s="65" t="s">
        <v>12</v>
      </c>
      <c r="H45" s="22">
        <v>0</v>
      </c>
      <c r="I45" s="8" t="s">
        <v>8</v>
      </c>
      <c r="J45" s="65"/>
      <c r="K45" s="7" t="e">
        <f>((MAX(K34,K37,K40,K43)-MIN(K34,K37,K40,K43))/2)</f>
        <v>#N/A</v>
      </c>
      <c r="L45" s="65"/>
      <c r="M45" s="6" t="s">
        <v>28</v>
      </c>
      <c r="N45" s="65"/>
      <c r="O45" s="15" t="s">
        <v>25</v>
      </c>
      <c r="P45" s="13"/>
      <c r="S45" s="13"/>
      <c r="T45" s="13"/>
    </row>
    <row r="46" spans="2:20">
      <c r="B46" s="93"/>
      <c r="C46" s="94"/>
      <c r="D46" s="95"/>
      <c r="E46" s="87" t="s">
        <v>63</v>
      </c>
      <c r="F46" s="88"/>
      <c r="G46" s="88"/>
      <c r="H46" s="88"/>
      <c r="I46" s="88"/>
      <c r="J46" s="88"/>
      <c r="K46" s="88"/>
      <c r="L46" s="88"/>
      <c r="M46" s="88"/>
      <c r="N46" s="88"/>
      <c r="O46" s="89"/>
      <c r="P46" s="13"/>
      <c r="S46" s="13"/>
      <c r="T46" s="13"/>
    </row>
    <row r="47" spans="2:20" ht="15" customHeight="1">
      <c r="B47" s="3">
        <f>C47+D47+F47+H49</f>
        <v>300.2</v>
      </c>
      <c r="C47" s="26">
        <f>C45+100</f>
        <v>300</v>
      </c>
      <c r="D47" s="26">
        <v>0</v>
      </c>
      <c r="E47" s="81" t="s">
        <v>101</v>
      </c>
      <c r="F47" s="66">
        <v>0</v>
      </c>
      <c r="G47" s="74" t="s">
        <v>2</v>
      </c>
      <c r="H47" s="22">
        <v>0</v>
      </c>
      <c r="I47" s="8" t="s">
        <v>68</v>
      </c>
      <c r="J47" s="65"/>
      <c r="K47" s="5"/>
      <c r="L47" s="65"/>
      <c r="M47" s="65"/>
      <c r="N47" s="65"/>
      <c r="O47" s="15" t="s">
        <v>89</v>
      </c>
      <c r="P47" s="13"/>
      <c r="Q47" s="17">
        <v>1</v>
      </c>
      <c r="S47" s="13"/>
      <c r="T47" s="13"/>
    </row>
    <row r="48" spans="2:20">
      <c r="B48" s="3">
        <f t="shared" ref="B48:B88" si="12">C48+D48+F48+H48</f>
        <v>300.10000000000002</v>
      </c>
      <c r="C48" s="25">
        <f t="shared" ref="C48:D63" si="13">C47</f>
        <v>300</v>
      </c>
      <c r="D48" s="25">
        <f t="shared" si="13"/>
        <v>0</v>
      </c>
      <c r="E48" s="82"/>
      <c r="F48" s="64">
        <f t="shared" ref="F48:F52" si="14">F47</f>
        <v>0</v>
      </c>
      <c r="G48" s="75"/>
      <c r="H48" s="22">
        <f t="shared" ref="H48:H52" si="15">H47+0.1</f>
        <v>0.1</v>
      </c>
      <c r="I48" s="8" t="s">
        <v>0</v>
      </c>
      <c r="J48" s="65"/>
      <c r="K48" s="10" t="e">
        <f>VLOOKUP(K47,Calibration!C3:D8,2)</f>
        <v>#N/A</v>
      </c>
      <c r="L48" s="65"/>
      <c r="M48" s="65"/>
      <c r="N48" s="65"/>
      <c r="O48" s="15" t="s">
        <v>69</v>
      </c>
      <c r="P48" s="13"/>
      <c r="S48" s="13"/>
      <c r="T48" s="13"/>
    </row>
    <row r="49" spans="2:20" ht="15" customHeight="1">
      <c r="B49" s="3">
        <f>C49+D49+F47+H49</f>
        <v>300.2</v>
      </c>
      <c r="C49" s="25">
        <f t="shared" si="13"/>
        <v>300</v>
      </c>
      <c r="D49" s="25">
        <f t="shared" si="13"/>
        <v>0</v>
      </c>
      <c r="E49" s="82"/>
      <c r="F49" s="64">
        <f t="shared" si="14"/>
        <v>0</v>
      </c>
      <c r="G49" s="75"/>
      <c r="H49" s="22">
        <f t="shared" si="15"/>
        <v>0.2</v>
      </c>
      <c r="I49" s="8" t="s">
        <v>9</v>
      </c>
      <c r="J49" s="65"/>
      <c r="K49" s="18"/>
      <c r="L49" s="65"/>
      <c r="M49" s="65" t="s">
        <v>29</v>
      </c>
      <c r="N49" s="65"/>
      <c r="O49" s="15" t="s">
        <v>16</v>
      </c>
      <c r="P49" s="13"/>
      <c r="Q49" s="17">
        <v>1</v>
      </c>
      <c r="S49" s="13"/>
      <c r="T49" s="13"/>
    </row>
    <row r="50" spans="2:20" ht="15" customHeight="1">
      <c r="B50" s="3">
        <f t="shared" si="12"/>
        <v>300.3</v>
      </c>
      <c r="C50" s="25">
        <f t="shared" si="13"/>
        <v>300</v>
      </c>
      <c r="D50" s="25">
        <f t="shared" si="13"/>
        <v>0</v>
      </c>
      <c r="E50" s="82"/>
      <c r="F50" s="64">
        <f t="shared" si="14"/>
        <v>0</v>
      </c>
      <c r="G50" s="75"/>
      <c r="H50" s="22">
        <f t="shared" si="15"/>
        <v>0.30000000000000004</v>
      </c>
      <c r="I50" s="8" t="s">
        <v>66</v>
      </c>
      <c r="J50" s="65"/>
      <c r="K50" s="7" t="e">
        <f>K49/K48</f>
        <v>#N/A</v>
      </c>
      <c r="L50" s="65"/>
      <c r="M50" s="65"/>
      <c r="N50" s="65"/>
      <c r="O50" s="70" t="s">
        <v>70</v>
      </c>
      <c r="P50" s="13"/>
      <c r="S50" s="13"/>
      <c r="T50" s="13"/>
    </row>
    <row r="51" spans="2:20" ht="15" customHeight="1">
      <c r="B51" s="3">
        <f t="shared" si="12"/>
        <v>300.39999999999998</v>
      </c>
      <c r="C51" s="25">
        <f t="shared" si="13"/>
        <v>300</v>
      </c>
      <c r="D51" s="25">
        <f t="shared" si="13"/>
        <v>0</v>
      </c>
      <c r="E51" s="82"/>
      <c r="F51" s="64">
        <f t="shared" si="14"/>
        <v>0</v>
      </c>
      <c r="G51" s="75"/>
      <c r="H51" s="22">
        <f t="shared" si="15"/>
        <v>0.4</v>
      </c>
      <c r="I51" s="8" t="s">
        <v>67</v>
      </c>
      <c r="J51" s="65"/>
      <c r="K51" s="20" t="e">
        <f>1/K50</f>
        <v>#N/A</v>
      </c>
      <c r="L51" s="65"/>
      <c r="M51" s="65"/>
      <c r="N51" s="65"/>
      <c r="O51" s="71"/>
      <c r="P51" s="13"/>
      <c r="S51" s="13"/>
      <c r="T51" s="13"/>
    </row>
    <row r="52" spans="2:20" ht="15" customHeight="1">
      <c r="B52" s="3">
        <f t="shared" si="12"/>
        <v>300.5</v>
      </c>
      <c r="C52" s="25">
        <f t="shared" si="13"/>
        <v>300</v>
      </c>
      <c r="D52" s="25">
        <f t="shared" si="13"/>
        <v>0</v>
      </c>
      <c r="E52" s="82"/>
      <c r="F52" s="64">
        <f t="shared" si="14"/>
        <v>0</v>
      </c>
      <c r="G52" s="76"/>
      <c r="H52" s="22">
        <f t="shared" si="15"/>
        <v>0.5</v>
      </c>
      <c r="I52" s="8" t="s">
        <v>31</v>
      </c>
      <c r="J52" s="65"/>
      <c r="K52" s="20">
        <f>K49/2</f>
        <v>0</v>
      </c>
      <c r="L52" s="65"/>
      <c r="M52" s="9" t="s">
        <v>30</v>
      </c>
      <c r="N52" s="65"/>
      <c r="O52" s="15" t="s">
        <v>32</v>
      </c>
      <c r="P52" s="13"/>
      <c r="S52" s="13"/>
      <c r="T52" s="13"/>
    </row>
    <row r="53" spans="2:20">
      <c r="B53" s="3">
        <f t="shared" si="12"/>
        <v>301</v>
      </c>
      <c r="C53" s="25">
        <f t="shared" si="13"/>
        <v>300</v>
      </c>
      <c r="D53" s="25">
        <f t="shared" si="13"/>
        <v>0</v>
      </c>
      <c r="E53" s="82"/>
      <c r="F53" s="64">
        <f>F52+1</f>
        <v>1</v>
      </c>
      <c r="G53" s="77" t="str">
        <f>G16</f>
        <v>Azimuth=270°</v>
      </c>
      <c r="H53" s="22">
        <v>0</v>
      </c>
      <c r="I53" s="8" t="str">
        <f>"-polar @ HM"</f>
        <v>-polar @ HM</v>
      </c>
      <c r="J53" s="65"/>
      <c r="K53" s="5"/>
      <c r="L53" s="65"/>
      <c r="M53" s="9" t="s">
        <v>30</v>
      </c>
      <c r="N53" s="65"/>
      <c r="O53" s="15" t="s">
        <v>20</v>
      </c>
      <c r="P53" s="13"/>
      <c r="Q53" s="17">
        <v>1</v>
      </c>
      <c r="S53" s="13"/>
      <c r="T53" s="13"/>
    </row>
    <row r="54" spans="2:20">
      <c r="B54" s="3">
        <f t="shared" si="12"/>
        <v>301.10000000000002</v>
      </c>
      <c r="C54" s="25">
        <f t="shared" si="13"/>
        <v>300</v>
      </c>
      <c r="D54" s="25">
        <f t="shared" si="13"/>
        <v>0</v>
      </c>
      <c r="E54" s="82"/>
      <c r="F54" s="64">
        <f t="shared" ref="F54:F88" si="16">F53</f>
        <v>1</v>
      </c>
      <c r="G54" s="77"/>
      <c r="H54" s="22">
        <f t="shared" ref="H54:H88" si="17">H53+0.1</f>
        <v>0.1</v>
      </c>
      <c r="I54" s="8" t="str">
        <f>"-magnitude"</f>
        <v>-magnitude</v>
      </c>
      <c r="J54" s="65"/>
      <c r="K54" s="5"/>
      <c r="L54" s="65"/>
      <c r="M54" s="65" t="s">
        <v>29</v>
      </c>
      <c r="N54" s="65"/>
      <c r="O54" s="15" t="s">
        <v>40</v>
      </c>
      <c r="P54" s="13"/>
      <c r="Q54" s="17">
        <v>1</v>
      </c>
      <c r="S54" s="13"/>
      <c r="T54" s="13"/>
    </row>
    <row r="55" spans="2:20">
      <c r="B55" s="3">
        <f t="shared" si="12"/>
        <v>301.2</v>
      </c>
      <c r="C55" s="25">
        <f t="shared" si="13"/>
        <v>300</v>
      </c>
      <c r="D55" s="25">
        <f t="shared" si="13"/>
        <v>0</v>
      </c>
      <c r="E55" s="82"/>
      <c r="F55" s="64">
        <f t="shared" si="16"/>
        <v>1</v>
      </c>
      <c r="G55" s="77"/>
      <c r="H55" s="22">
        <f t="shared" si="17"/>
        <v>0.2</v>
      </c>
      <c r="I55" s="8" t="str">
        <f>"-peak angle"</f>
        <v>-peak angle</v>
      </c>
      <c r="J55" s="65"/>
      <c r="K55" s="5"/>
      <c r="L55" s="65"/>
      <c r="M55" s="9" t="s">
        <v>30</v>
      </c>
      <c r="N55" s="65"/>
      <c r="O55" s="15" t="s">
        <v>41</v>
      </c>
      <c r="P55" s="13"/>
      <c r="Q55" s="17">
        <v>1</v>
      </c>
      <c r="S55" s="13"/>
      <c r="T55" s="13"/>
    </row>
    <row r="56" spans="2:20">
      <c r="B56" s="3">
        <f t="shared" si="12"/>
        <v>301.3</v>
      </c>
      <c r="C56" s="25">
        <f t="shared" si="13"/>
        <v>300</v>
      </c>
      <c r="D56" s="25">
        <f t="shared" si="13"/>
        <v>0</v>
      </c>
      <c r="E56" s="82"/>
      <c r="F56" s="64">
        <f t="shared" si="16"/>
        <v>1</v>
      </c>
      <c r="G56" s="77"/>
      <c r="H56" s="22">
        <f t="shared" si="17"/>
        <v>0.30000000000000004</v>
      </c>
      <c r="I56" s="8" t="str">
        <f>"+polar @ HM"</f>
        <v>+polar @ HM</v>
      </c>
      <c r="J56" s="65"/>
      <c r="K56" s="5"/>
      <c r="L56" s="65"/>
      <c r="M56" s="9" t="s">
        <v>30</v>
      </c>
      <c r="N56" s="65"/>
      <c r="O56" s="15" t="s">
        <v>21</v>
      </c>
      <c r="P56" s="13"/>
      <c r="Q56" s="17">
        <v>1</v>
      </c>
      <c r="S56" s="13"/>
      <c r="T56" s="13"/>
    </row>
    <row r="57" spans="2:20">
      <c r="B57" s="3">
        <f t="shared" si="12"/>
        <v>301.39999999999998</v>
      </c>
      <c r="C57" s="25">
        <f t="shared" si="13"/>
        <v>300</v>
      </c>
      <c r="D57" s="25">
        <f t="shared" si="13"/>
        <v>0</v>
      </c>
      <c r="E57" s="82"/>
      <c r="F57" s="64">
        <f t="shared" si="16"/>
        <v>1</v>
      </c>
      <c r="G57" s="77"/>
      <c r="H57" s="22">
        <f t="shared" si="17"/>
        <v>0.4</v>
      </c>
      <c r="I57" s="8" t="str">
        <f>"+magnitude"</f>
        <v>+magnitude</v>
      </c>
      <c r="J57" s="65"/>
      <c r="K57" s="5"/>
      <c r="L57" s="65"/>
      <c r="M57" s="65" t="s">
        <v>29</v>
      </c>
      <c r="N57" s="65"/>
      <c r="O57" s="15" t="s">
        <v>42</v>
      </c>
      <c r="P57" s="13"/>
      <c r="Q57" s="17">
        <v>1</v>
      </c>
      <c r="S57" s="13"/>
      <c r="T57" s="13"/>
    </row>
    <row r="58" spans="2:20">
      <c r="B58" s="3">
        <f t="shared" si="12"/>
        <v>301.5</v>
      </c>
      <c r="C58" s="25">
        <f t="shared" si="13"/>
        <v>300</v>
      </c>
      <c r="D58" s="25">
        <f t="shared" si="13"/>
        <v>0</v>
      </c>
      <c r="E58" s="82"/>
      <c r="F58" s="64">
        <f t="shared" si="16"/>
        <v>1</v>
      </c>
      <c r="G58" s="77"/>
      <c r="H58" s="22">
        <f t="shared" si="17"/>
        <v>0.5</v>
      </c>
      <c r="I58" s="8" t="str">
        <f>"+peak angle"</f>
        <v>+peak angle</v>
      </c>
      <c r="J58" s="65"/>
      <c r="K58" s="5"/>
      <c r="L58" s="65"/>
      <c r="M58" s="9" t="s">
        <v>30</v>
      </c>
      <c r="N58" s="65"/>
      <c r="O58" s="15" t="s">
        <v>41</v>
      </c>
      <c r="P58" s="13"/>
      <c r="Q58" s="17">
        <v>1</v>
      </c>
      <c r="S58" s="13"/>
      <c r="T58" s="13"/>
    </row>
    <row r="59" spans="2:20">
      <c r="B59" s="3">
        <f t="shared" si="12"/>
        <v>301.60000000000002</v>
      </c>
      <c r="C59" s="25">
        <f>C57</f>
        <v>300</v>
      </c>
      <c r="D59" s="25">
        <f>D57</f>
        <v>0</v>
      </c>
      <c r="E59" s="82"/>
      <c r="F59" s="64">
        <f>F57</f>
        <v>1</v>
      </c>
      <c r="G59" s="77"/>
      <c r="H59" s="22">
        <f t="shared" si="17"/>
        <v>0.6</v>
      </c>
      <c r="I59" s="8" t="s">
        <v>64</v>
      </c>
      <c r="J59" s="6">
        <f>-L59</f>
        <v>-2</v>
      </c>
      <c r="K59" s="7" t="e">
        <f>MAX(K54,K57)/K$49-1</f>
        <v>#DIV/0!</v>
      </c>
      <c r="L59" s="47">
        <f>Specifications!E10</f>
        <v>2</v>
      </c>
      <c r="M59" s="9" t="s">
        <v>30</v>
      </c>
      <c r="N59" s="65" t="e">
        <f>IF((J59&lt;K59)* (K59&lt;L59),"PASS","FAIL")</f>
        <v>#DIV/0!</v>
      </c>
      <c r="O59" s="15"/>
      <c r="P59" s="13"/>
      <c r="R59" s="17">
        <v>1</v>
      </c>
      <c r="S59" s="13"/>
      <c r="T59" s="13"/>
    </row>
    <row r="60" spans="2:20">
      <c r="B60" s="3">
        <f t="shared" si="12"/>
        <v>301.7</v>
      </c>
      <c r="C60" s="25">
        <f>C58</f>
        <v>300</v>
      </c>
      <c r="D60" s="25">
        <f>D58</f>
        <v>0</v>
      </c>
      <c r="E60" s="82"/>
      <c r="F60" s="64">
        <f>F58</f>
        <v>1</v>
      </c>
      <c r="G60" s="77"/>
      <c r="H60" s="22">
        <f t="shared" si="17"/>
        <v>0.7</v>
      </c>
      <c r="I60" s="8" t="s">
        <v>14</v>
      </c>
      <c r="J60" s="65">
        <f>-L60</f>
        <v>-15</v>
      </c>
      <c r="K60" s="10">
        <f>(K56+(K53-360))/2</f>
        <v>-180</v>
      </c>
      <c r="L60" s="65">
        <f>L18</f>
        <v>15</v>
      </c>
      <c r="M60" s="9" t="s">
        <v>30</v>
      </c>
      <c r="N60" s="65" t="str">
        <f>IF((J60&lt;K60)* (K60&lt;L60),"PASS","FAIL")</f>
        <v>FAIL</v>
      </c>
      <c r="O60" s="15"/>
      <c r="P60" s="13"/>
      <c r="R60" s="17">
        <v>1</v>
      </c>
      <c r="S60" s="13"/>
      <c r="T60" s="13"/>
    </row>
    <row r="61" spans="2:20">
      <c r="B61" s="3">
        <f t="shared" si="12"/>
        <v>301.8</v>
      </c>
      <c r="C61" s="25">
        <f t="shared" si="13"/>
        <v>300</v>
      </c>
      <c r="D61" s="25">
        <f t="shared" si="13"/>
        <v>0</v>
      </c>
      <c r="E61" s="82"/>
      <c r="F61" s="64">
        <f t="shared" si="16"/>
        <v>1</v>
      </c>
      <c r="G61" s="77"/>
      <c r="H61" s="22">
        <f t="shared" si="17"/>
        <v>0.79999999999999993</v>
      </c>
      <c r="I61" s="8" t="s">
        <v>22</v>
      </c>
      <c r="J61" s="48">
        <f>Specifications!E13</f>
        <v>35</v>
      </c>
      <c r="K61" s="10">
        <f>K56-(K53-360)</f>
        <v>360</v>
      </c>
      <c r="L61" s="48">
        <f>Specifications!E14</f>
        <v>85</v>
      </c>
      <c r="M61" s="9" t="s">
        <v>30</v>
      </c>
      <c r="N61" s="65" t="str">
        <f>IF((J61&lt;K61)* (K61&lt;L61),"PASS","FAIL")</f>
        <v>FAIL</v>
      </c>
      <c r="O61" s="15"/>
      <c r="P61" s="13"/>
      <c r="R61" s="17">
        <v>1</v>
      </c>
      <c r="S61" s="13"/>
      <c r="T61" s="13"/>
    </row>
    <row r="62" spans="2:20">
      <c r="B62" s="3">
        <f t="shared" si="12"/>
        <v>302</v>
      </c>
      <c r="C62" s="25">
        <f t="shared" si="13"/>
        <v>300</v>
      </c>
      <c r="D62" s="25">
        <f t="shared" si="13"/>
        <v>0</v>
      </c>
      <c r="E62" s="82"/>
      <c r="F62" s="64">
        <f>F61+1</f>
        <v>2</v>
      </c>
      <c r="G62" s="77" t="str">
        <f>G20</f>
        <v>Azimuth=315°</v>
      </c>
      <c r="H62" s="22">
        <v>0</v>
      </c>
      <c r="I62" s="8" t="str">
        <f>"-polar @ HM"</f>
        <v>-polar @ HM</v>
      </c>
      <c r="J62" s="65"/>
      <c r="K62" s="5"/>
      <c r="L62" s="65"/>
      <c r="M62" s="9" t="s">
        <v>30</v>
      </c>
      <c r="N62" s="65"/>
      <c r="O62" s="15" t="s">
        <v>20</v>
      </c>
      <c r="P62" s="13"/>
      <c r="Q62" s="17">
        <v>1</v>
      </c>
      <c r="S62" s="13"/>
      <c r="T62" s="13"/>
    </row>
    <row r="63" spans="2:20">
      <c r="B63" s="3">
        <f t="shared" si="12"/>
        <v>302.10000000000002</v>
      </c>
      <c r="C63" s="25">
        <f t="shared" si="13"/>
        <v>300</v>
      </c>
      <c r="D63" s="25">
        <f t="shared" si="13"/>
        <v>0</v>
      </c>
      <c r="E63" s="82"/>
      <c r="F63" s="64">
        <f t="shared" si="16"/>
        <v>2</v>
      </c>
      <c r="G63" s="77"/>
      <c r="H63" s="22">
        <f t="shared" si="17"/>
        <v>0.1</v>
      </c>
      <c r="I63" s="8" t="str">
        <f>"-magnitude"</f>
        <v>-magnitude</v>
      </c>
      <c r="J63" s="65"/>
      <c r="K63" s="5"/>
      <c r="L63" s="65"/>
      <c r="M63" s="65" t="s">
        <v>29</v>
      </c>
      <c r="N63" s="65"/>
      <c r="O63" s="15" t="s">
        <v>40</v>
      </c>
      <c r="P63" s="13"/>
      <c r="Q63" s="17">
        <v>1</v>
      </c>
      <c r="S63" s="13"/>
      <c r="T63" s="13"/>
    </row>
    <row r="64" spans="2:20">
      <c r="B64" s="3">
        <f t="shared" si="12"/>
        <v>302.2</v>
      </c>
      <c r="C64" s="25">
        <f t="shared" ref="C64:D79" si="18">C63</f>
        <v>300</v>
      </c>
      <c r="D64" s="25">
        <f t="shared" si="18"/>
        <v>0</v>
      </c>
      <c r="E64" s="82"/>
      <c r="F64" s="64">
        <f t="shared" si="16"/>
        <v>2</v>
      </c>
      <c r="G64" s="77"/>
      <c r="H64" s="22">
        <f t="shared" si="17"/>
        <v>0.2</v>
      </c>
      <c r="I64" s="8" t="str">
        <f>"-peak angle"</f>
        <v>-peak angle</v>
      </c>
      <c r="J64" s="65"/>
      <c r="K64" s="5"/>
      <c r="L64" s="65"/>
      <c r="M64" s="9" t="s">
        <v>30</v>
      </c>
      <c r="N64" s="65"/>
      <c r="O64" s="15" t="s">
        <v>41</v>
      </c>
      <c r="P64" s="13"/>
      <c r="Q64" s="17">
        <v>1</v>
      </c>
      <c r="S64" s="13"/>
      <c r="T64" s="13"/>
    </row>
    <row r="65" spans="2:20">
      <c r="B65" s="3">
        <f t="shared" si="12"/>
        <v>302.3</v>
      </c>
      <c r="C65" s="25">
        <f t="shared" si="18"/>
        <v>300</v>
      </c>
      <c r="D65" s="25">
        <f t="shared" si="18"/>
        <v>0</v>
      </c>
      <c r="E65" s="82"/>
      <c r="F65" s="64">
        <f t="shared" si="16"/>
        <v>2</v>
      </c>
      <c r="G65" s="77"/>
      <c r="H65" s="22">
        <f t="shared" si="17"/>
        <v>0.30000000000000004</v>
      </c>
      <c r="I65" s="8" t="str">
        <f>"+polar @ HM"</f>
        <v>+polar @ HM</v>
      </c>
      <c r="J65" s="65"/>
      <c r="K65" s="5"/>
      <c r="L65" s="65"/>
      <c r="M65" s="9" t="s">
        <v>30</v>
      </c>
      <c r="N65" s="65"/>
      <c r="O65" s="15" t="s">
        <v>21</v>
      </c>
      <c r="P65" s="13"/>
      <c r="Q65" s="17">
        <v>1</v>
      </c>
      <c r="S65" s="13"/>
      <c r="T65" s="13"/>
    </row>
    <row r="66" spans="2:20">
      <c r="B66" s="3">
        <f t="shared" si="12"/>
        <v>302.39999999999998</v>
      </c>
      <c r="C66" s="25">
        <f t="shared" si="18"/>
        <v>300</v>
      </c>
      <c r="D66" s="25">
        <f t="shared" si="18"/>
        <v>0</v>
      </c>
      <c r="E66" s="82"/>
      <c r="F66" s="64">
        <f t="shared" si="16"/>
        <v>2</v>
      </c>
      <c r="G66" s="77"/>
      <c r="H66" s="22">
        <f t="shared" si="17"/>
        <v>0.4</v>
      </c>
      <c r="I66" s="8" t="str">
        <f>"+magnitude"</f>
        <v>+magnitude</v>
      </c>
      <c r="J66" s="65"/>
      <c r="K66" s="5"/>
      <c r="L66" s="65"/>
      <c r="M66" s="65" t="s">
        <v>29</v>
      </c>
      <c r="N66" s="65"/>
      <c r="O66" s="15" t="s">
        <v>42</v>
      </c>
      <c r="P66" s="13"/>
      <c r="Q66" s="17">
        <v>1</v>
      </c>
      <c r="S66" s="13"/>
      <c r="T66" s="13"/>
    </row>
    <row r="67" spans="2:20">
      <c r="B67" s="3">
        <f t="shared" si="12"/>
        <v>302.5</v>
      </c>
      <c r="C67" s="25">
        <f t="shared" si="18"/>
        <v>300</v>
      </c>
      <c r="D67" s="25">
        <f t="shared" si="18"/>
        <v>0</v>
      </c>
      <c r="E67" s="82"/>
      <c r="F67" s="64">
        <f t="shared" si="16"/>
        <v>2</v>
      </c>
      <c r="G67" s="77"/>
      <c r="H67" s="22">
        <f t="shared" si="17"/>
        <v>0.5</v>
      </c>
      <c r="I67" s="8" t="str">
        <f>"+peak angle"</f>
        <v>+peak angle</v>
      </c>
      <c r="J67" s="65"/>
      <c r="K67" s="5"/>
      <c r="L67" s="65"/>
      <c r="M67" s="9" t="s">
        <v>30</v>
      </c>
      <c r="N67" s="65"/>
      <c r="O67" s="15" t="s">
        <v>41</v>
      </c>
      <c r="P67" s="13"/>
      <c r="Q67" s="17">
        <v>1</v>
      </c>
      <c r="S67" s="13"/>
      <c r="T67" s="13"/>
    </row>
    <row r="68" spans="2:20">
      <c r="B68" s="3">
        <f t="shared" si="12"/>
        <v>302.60000000000002</v>
      </c>
      <c r="C68" s="25">
        <f>C66</f>
        <v>300</v>
      </c>
      <c r="D68" s="25">
        <f>D66</f>
        <v>0</v>
      </c>
      <c r="E68" s="82"/>
      <c r="F68" s="64">
        <f>F66</f>
        <v>2</v>
      </c>
      <c r="G68" s="77"/>
      <c r="H68" s="22">
        <f t="shared" si="17"/>
        <v>0.6</v>
      </c>
      <c r="I68" s="8" t="s">
        <v>64</v>
      </c>
      <c r="J68" s="6">
        <f>J59</f>
        <v>-2</v>
      </c>
      <c r="K68" s="7" t="e">
        <f>MAX(K63,K66)/K$49-1</f>
        <v>#DIV/0!</v>
      </c>
      <c r="L68" s="6">
        <f>L59</f>
        <v>2</v>
      </c>
      <c r="M68" s="9" t="s">
        <v>30</v>
      </c>
      <c r="N68" s="65" t="e">
        <f>IF((J68&lt;K68)* (K68&lt;L68),"PASS","FAIL")</f>
        <v>#DIV/0!</v>
      </c>
      <c r="O68" s="15"/>
      <c r="P68" s="13"/>
      <c r="R68" s="17">
        <v>1</v>
      </c>
      <c r="S68" s="13"/>
      <c r="T68" s="13"/>
    </row>
    <row r="69" spans="2:20">
      <c r="B69" s="3">
        <f t="shared" si="12"/>
        <v>302.7</v>
      </c>
      <c r="C69" s="25">
        <f>C67</f>
        <v>300</v>
      </c>
      <c r="D69" s="25">
        <f>D67</f>
        <v>0</v>
      </c>
      <c r="E69" s="82"/>
      <c r="F69" s="64">
        <f>F67</f>
        <v>2</v>
      </c>
      <c r="G69" s="77"/>
      <c r="H69" s="22">
        <f t="shared" si="17"/>
        <v>0.7</v>
      </c>
      <c r="I69" s="8" t="s">
        <v>14</v>
      </c>
      <c r="J69" s="65">
        <f>J60</f>
        <v>-15</v>
      </c>
      <c r="K69" s="10">
        <f>(K65+(K62-360))/2</f>
        <v>-180</v>
      </c>
      <c r="L69" s="65">
        <f>L60</f>
        <v>15</v>
      </c>
      <c r="M69" s="9" t="s">
        <v>30</v>
      </c>
      <c r="N69" s="65" t="str">
        <f>IF((J69&lt;K69)* (K69&lt;L69),"PASS","FAIL")</f>
        <v>FAIL</v>
      </c>
      <c r="O69" s="15"/>
      <c r="P69" s="13"/>
      <c r="R69" s="17">
        <v>1</v>
      </c>
      <c r="S69" s="13"/>
      <c r="T69" s="13"/>
    </row>
    <row r="70" spans="2:20">
      <c r="B70" s="3">
        <f t="shared" si="12"/>
        <v>302.8</v>
      </c>
      <c r="C70" s="25">
        <f t="shared" si="18"/>
        <v>300</v>
      </c>
      <c r="D70" s="25">
        <f t="shared" si="18"/>
        <v>0</v>
      </c>
      <c r="E70" s="82"/>
      <c r="F70" s="64">
        <f t="shared" si="16"/>
        <v>2</v>
      </c>
      <c r="G70" s="77"/>
      <c r="H70" s="22">
        <f t="shared" si="17"/>
        <v>0.79999999999999993</v>
      </c>
      <c r="I70" s="8" t="s">
        <v>22</v>
      </c>
      <c r="J70" s="65">
        <f>J61</f>
        <v>35</v>
      </c>
      <c r="K70" s="10">
        <f>K65-(K62-360)</f>
        <v>360</v>
      </c>
      <c r="L70" s="65">
        <f>L61</f>
        <v>85</v>
      </c>
      <c r="M70" s="9" t="s">
        <v>30</v>
      </c>
      <c r="N70" s="65" t="str">
        <f>IF((J70&lt;K70)* (K70&lt;L70),"PASS","FAIL")</f>
        <v>FAIL</v>
      </c>
      <c r="O70" s="15"/>
      <c r="P70" s="13"/>
      <c r="R70" s="17">
        <v>1</v>
      </c>
      <c r="S70" s="13"/>
      <c r="T70" s="13"/>
    </row>
    <row r="71" spans="2:20">
      <c r="B71" s="3">
        <f t="shared" si="12"/>
        <v>303</v>
      </c>
      <c r="C71" s="25">
        <f t="shared" si="18"/>
        <v>300</v>
      </c>
      <c r="D71" s="25">
        <f t="shared" si="18"/>
        <v>0</v>
      </c>
      <c r="E71" s="82"/>
      <c r="F71" s="64">
        <f>F70+1</f>
        <v>3</v>
      </c>
      <c r="G71" s="77" t="str">
        <f>G24</f>
        <v>Azimuth=0°</v>
      </c>
      <c r="H71" s="22">
        <v>0</v>
      </c>
      <c r="I71" s="8" t="str">
        <f>"-polar @ HM"</f>
        <v>-polar @ HM</v>
      </c>
      <c r="J71" s="65"/>
      <c r="K71" s="5"/>
      <c r="L71" s="65"/>
      <c r="M71" s="9" t="s">
        <v>30</v>
      </c>
      <c r="N71" s="65"/>
      <c r="O71" s="15" t="s">
        <v>20</v>
      </c>
      <c r="P71" s="13"/>
      <c r="Q71" s="17">
        <v>1</v>
      </c>
      <c r="S71" s="13"/>
      <c r="T71" s="13"/>
    </row>
    <row r="72" spans="2:20">
      <c r="B72" s="3">
        <f t="shared" si="12"/>
        <v>303.10000000000002</v>
      </c>
      <c r="C72" s="25">
        <f t="shared" si="18"/>
        <v>300</v>
      </c>
      <c r="D72" s="25">
        <f t="shared" si="18"/>
        <v>0</v>
      </c>
      <c r="E72" s="82"/>
      <c r="F72" s="64">
        <f t="shared" si="16"/>
        <v>3</v>
      </c>
      <c r="G72" s="77"/>
      <c r="H72" s="22">
        <f t="shared" si="17"/>
        <v>0.1</v>
      </c>
      <c r="I72" s="8" t="str">
        <f>"-magnitude"</f>
        <v>-magnitude</v>
      </c>
      <c r="J72" s="65"/>
      <c r="K72" s="5"/>
      <c r="L72" s="65"/>
      <c r="M72" s="65" t="s">
        <v>29</v>
      </c>
      <c r="N72" s="65"/>
      <c r="O72" s="15" t="s">
        <v>40</v>
      </c>
      <c r="P72" s="13"/>
      <c r="Q72" s="17">
        <v>1</v>
      </c>
      <c r="S72" s="13"/>
      <c r="T72" s="13"/>
    </row>
    <row r="73" spans="2:20">
      <c r="B73" s="3">
        <f t="shared" si="12"/>
        <v>303.2</v>
      </c>
      <c r="C73" s="25">
        <f t="shared" si="18"/>
        <v>300</v>
      </c>
      <c r="D73" s="25">
        <f t="shared" si="18"/>
        <v>0</v>
      </c>
      <c r="E73" s="82"/>
      <c r="F73" s="64">
        <f t="shared" si="16"/>
        <v>3</v>
      </c>
      <c r="G73" s="77"/>
      <c r="H73" s="22">
        <f t="shared" si="17"/>
        <v>0.2</v>
      </c>
      <c r="I73" s="8" t="str">
        <f>"-peak angle"</f>
        <v>-peak angle</v>
      </c>
      <c r="J73" s="65"/>
      <c r="K73" s="5"/>
      <c r="L73" s="65"/>
      <c r="M73" s="9" t="s">
        <v>30</v>
      </c>
      <c r="N73" s="65"/>
      <c r="O73" s="15" t="s">
        <v>41</v>
      </c>
      <c r="P73" s="13"/>
      <c r="Q73" s="17">
        <v>1</v>
      </c>
      <c r="S73" s="13"/>
      <c r="T73" s="13"/>
    </row>
    <row r="74" spans="2:20">
      <c r="B74" s="3">
        <f t="shared" si="12"/>
        <v>303.3</v>
      </c>
      <c r="C74" s="25">
        <f t="shared" si="18"/>
        <v>300</v>
      </c>
      <c r="D74" s="25">
        <f t="shared" si="18"/>
        <v>0</v>
      </c>
      <c r="E74" s="82"/>
      <c r="F74" s="64">
        <f t="shared" si="16"/>
        <v>3</v>
      </c>
      <c r="G74" s="77"/>
      <c r="H74" s="22">
        <f t="shared" si="17"/>
        <v>0.30000000000000004</v>
      </c>
      <c r="I74" s="8" t="str">
        <f>"+polar @ HM"</f>
        <v>+polar @ HM</v>
      </c>
      <c r="J74" s="65"/>
      <c r="K74" s="5"/>
      <c r="L74" s="65"/>
      <c r="M74" s="9" t="s">
        <v>30</v>
      </c>
      <c r="N74" s="65"/>
      <c r="O74" s="15" t="s">
        <v>21</v>
      </c>
      <c r="P74" s="13"/>
      <c r="Q74" s="17">
        <v>1</v>
      </c>
      <c r="S74" s="13"/>
      <c r="T74" s="13"/>
    </row>
    <row r="75" spans="2:20">
      <c r="B75" s="3">
        <f t="shared" si="12"/>
        <v>303.39999999999998</v>
      </c>
      <c r="C75" s="25">
        <f t="shared" si="18"/>
        <v>300</v>
      </c>
      <c r="D75" s="25">
        <f t="shared" si="18"/>
        <v>0</v>
      </c>
      <c r="E75" s="82"/>
      <c r="F75" s="64">
        <f t="shared" si="16"/>
        <v>3</v>
      </c>
      <c r="G75" s="77"/>
      <c r="H75" s="22">
        <f t="shared" si="17"/>
        <v>0.4</v>
      </c>
      <c r="I75" s="8" t="str">
        <f>"+magnitude"</f>
        <v>+magnitude</v>
      </c>
      <c r="J75" s="65"/>
      <c r="K75" s="5"/>
      <c r="L75" s="65"/>
      <c r="M75" s="65" t="s">
        <v>29</v>
      </c>
      <c r="N75" s="65"/>
      <c r="O75" s="15" t="s">
        <v>42</v>
      </c>
      <c r="P75" s="13"/>
      <c r="Q75" s="17">
        <v>1</v>
      </c>
      <c r="S75" s="13"/>
      <c r="T75" s="13"/>
    </row>
    <row r="76" spans="2:20">
      <c r="B76" s="3">
        <f t="shared" si="12"/>
        <v>303.5</v>
      </c>
      <c r="C76" s="25">
        <f t="shared" si="18"/>
        <v>300</v>
      </c>
      <c r="D76" s="25">
        <f t="shared" si="18"/>
        <v>0</v>
      </c>
      <c r="E76" s="82"/>
      <c r="F76" s="64">
        <f t="shared" si="16"/>
        <v>3</v>
      </c>
      <c r="G76" s="77"/>
      <c r="H76" s="22">
        <f t="shared" si="17"/>
        <v>0.5</v>
      </c>
      <c r="I76" s="8" t="str">
        <f>"+peak angle"</f>
        <v>+peak angle</v>
      </c>
      <c r="J76" s="65"/>
      <c r="K76" s="5"/>
      <c r="L76" s="65"/>
      <c r="M76" s="9" t="s">
        <v>30</v>
      </c>
      <c r="N76" s="65"/>
      <c r="O76" s="15" t="s">
        <v>41</v>
      </c>
      <c r="P76" s="13"/>
      <c r="Q76" s="17">
        <v>1</v>
      </c>
      <c r="S76" s="13"/>
      <c r="T76" s="13"/>
    </row>
    <row r="77" spans="2:20">
      <c r="B77" s="3">
        <f t="shared" si="12"/>
        <v>303.60000000000002</v>
      </c>
      <c r="C77" s="25">
        <f t="shared" si="18"/>
        <v>300</v>
      </c>
      <c r="D77" s="25">
        <f t="shared" si="18"/>
        <v>0</v>
      </c>
      <c r="E77" s="82"/>
      <c r="F77" s="64">
        <f t="shared" si="16"/>
        <v>3</v>
      </c>
      <c r="G77" s="77"/>
      <c r="H77" s="22">
        <f t="shared" si="17"/>
        <v>0.6</v>
      </c>
      <c r="I77" s="8" t="s">
        <v>64</v>
      </c>
      <c r="J77" s="6">
        <f>J68</f>
        <v>-2</v>
      </c>
      <c r="K77" s="7" t="e">
        <f>MAX(K72,K75)/K$49-1</f>
        <v>#DIV/0!</v>
      </c>
      <c r="L77" s="6">
        <f>L68</f>
        <v>2</v>
      </c>
      <c r="M77" s="9" t="s">
        <v>30</v>
      </c>
      <c r="N77" s="65" t="e">
        <f>IF((J77&lt;K77)* (K77&lt;L77),"PASS","FAIL")</f>
        <v>#DIV/0!</v>
      </c>
      <c r="O77" s="15"/>
      <c r="P77" s="13"/>
      <c r="R77" s="17">
        <v>1</v>
      </c>
      <c r="S77" s="13"/>
      <c r="T77" s="13"/>
    </row>
    <row r="78" spans="2:20">
      <c r="B78" s="3">
        <f t="shared" si="12"/>
        <v>303.7</v>
      </c>
      <c r="C78" s="25">
        <f t="shared" si="18"/>
        <v>300</v>
      </c>
      <c r="D78" s="25">
        <f t="shared" si="18"/>
        <v>0</v>
      </c>
      <c r="E78" s="82"/>
      <c r="F78" s="64">
        <f>F76</f>
        <v>3</v>
      </c>
      <c r="G78" s="77"/>
      <c r="H78" s="22">
        <f t="shared" si="17"/>
        <v>0.7</v>
      </c>
      <c r="I78" s="8" t="s">
        <v>14</v>
      </c>
      <c r="J78" s="65">
        <f>J69</f>
        <v>-15</v>
      </c>
      <c r="K78" s="10">
        <f>(K74+(K71-360))/2</f>
        <v>-180</v>
      </c>
      <c r="L78" s="65">
        <f>L69</f>
        <v>15</v>
      </c>
      <c r="M78" s="9" t="s">
        <v>30</v>
      </c>
      <c r="N78" s="65" t="str">
        <f>IF((J78&lt;K78)* (K78&lt;L78),"PASS","FAIL")</f>
        <v>FAIL</v>
      </c>
      <c r="O78" s="15"/>
      <c r="P78" s="13"/>
      <c r="R78" s="17">
        <v>1</v>
      </c>
      <c r="S78" s="13"/>
      <c r="T78" s="13"/>
    </row>
    <row r="79" spans="2:20">
      <c r="B79" s="3">
        <f t="shared" si="12"/>
        <v>303.8</v>
      </c>
      <c r="C79" s="25">
        <f t="shared" si="18"/>
        <v>300</v>
      </c>
      <c r="D79" s="25">
        <f t="shared" si="18"/>
        <v>0</v>
      </c>
      <c r="E79" s="82"/>
      <c r="F79" s="64">
        <f t="shared" si="16"/>
        <v>3</v>
      </c>
      <c r="G79" s="77"/>
      <c r="H79" s="22">
        <f t="shared" si="17"/>
        <v>0.79999999999999993</v>
      </c>
      <c r="I79" s="8" t="s">
        <v>22</v>
      </c>
      <c r="J79" s="65">
        <f>J70</f>
        <v>35</v>
      </c>
      <c r="K79" s="10">
        <f>K74-(K71-360)</f>
        <v>360</v>
      </c>
      <c r="L79" s="65">
        <f>L70</f>
        <v>85</v>
      </c>
      <c r="M79" s="9" t="s">
        <v>30</v>
      </c>
      <c r="N79" s="65" t="str">
        <f>IF((J79&lt;K79)* (K79&lt;L79),"PASS","FAIL")</f>
        <v>FAIL</v>
      </c>
      <c r="O79" s="15"/>
      <c r="P79" s="13"/>
      <c r="R79" s="17">
        <v>1</v>
      </c>
      <c r="S79" s="13"/>
      <c r="T79" s="13"/>
    </row>
    <row r="80" spans="2:20">
      <c r="B80" s="3">
        <f t="shared" si="12"/>
        <v>304</v>
      </c>
      <c r="C80" s="25">
        <f t="shared" ref="C80:D88" si="19">C79</f>
        <v>300</v>
      </c>
      <c r="D80" s="25">
        <f t="shared" si="19"/>
        <v>0</v>
      </c>
      <c r="E80" s="82"/>
      <c r="F80" s="64">
        <f>F79+1</f>
        <v>4</v>
      </c>
      <c r="G80" s="77" t="str">
        <f>G28</f>
        <v>Azimuth=45°</v>
      </c>
      <c r="H80" s="22">
        <v>0</v>
      </c>
      <c r="I80" s="8" t="str">
        <f>"-polar @ HM"</f>
        <v>-polar @ HM</v>
      </c>
      <c r="J80" s="65"/>
      <c r="K80" s="5"/>
      <c r="L80" s="65"/>
      <c r="M80" s="9" t="s">
        <v>30</v>
      </c>
      <c r="N80" s="65"/>
      <c r="O80" s="15" t="s">
        <v>20</v>
      </c>
      <c r="P80" s="13"/>
      <c r="Q80" s="17">
        <v>1</v>
      </c>
      <c r="S80" s="13"/>
      <c r="T80" s="13"/>
    </row>
    <row r="81" spans="2:20">
      <c r="B81" s="3">
        <f t="shared" si="12"/>
        <v>304.10000000000002</v>
      </c>
      <c r="C81" s="25">
        <f t="shared" si="19"/>
        <v>300</v>
      </c>
      <c r="D81" s="25">
        <f t="shared" si="19"/>
        <v>0</v>
      </c>
      <c r="E81" s="82"/>
      <c r="F81" s="64">
        <f t="shared" si="16"/>
        <v>4</v>
      </c>
      <c r="G81" s="77"/>
      <c r="H81" s="22">
        <f t="shared" si="17"/>
        <v>0.1</v>
      </c>
      <c r="I81" s="8" t="str">
        <f>"-magnitude"</f>
        <v>-magnitude</v>
      </c>
      <c r="J81" s="65"/>
      <c r="K81" s="5"/>
      <c r="L81" s="65"/>
      <c r="M81" s="65" t="s">
        <v>29</v>
      </c>
      <c r="N81" s="65"/>
      <c r="O81" s="15" t="s">
        <v>40</v>
      </c>
      <c r="P81" s="13"/>
      <c r="Q81" s="17">
        <v>1</v>
      </c>
      <c r="S81" s="13"/>
      <c r="T81" s="13"/>
    </row>
    <row r="82" spans="2:20">
      <c r="B82" s="3">
        <f t="shared" si="12"/>
        <v>304.2</v>
      </c>
      <c r="C82" s="25">
        <f t="shared" si="19"/>
        <v>300</v>
      </c>
      <c r="D82" s="25">
        <f t="shared" si="19"/>
        <v>0</v>
      </c>
      <c r="E82" s="82"/>
      <c r="F82" s="64">
        <f t="shared" si="16"/>
        <v>4</v>
      </c>
      <c r="G82" s="77"/>
      <c r="H82" s="22">
        <f t="shared" si="17"/>
        <v>0.2</v>
      </c>
      <c r="I82" s="8" t="str">
        <f>"-peak angle"</f>
        <v>-peak angle</v>
      </c>
      <c r="J82" s="65"/>
      <c r="K82" s="5"/>
      <c r="L82" s="65"/>
      <c r="M82" s="9" t="s">
        <v>30</v>
      </c>
      <c r="N82" s="65"/>
      <c r="O82" s="15" t="s">
        <v>41</v>
      </c>
      <c r="P82" s="13"/>
      <c r="Q82" s="17">
        <v>1</v>
      </c>
      <c r="S82" s="13"/>
      <c r="T82" s="13"/>
    </row>
    <row r="83" spans="2:20">
      <c r="B83" s="3">
        <f t="shared" si="12"/>
        <v>304.3</v>
      </c>
      <c r="C83" s="25">
        <f t="shared" si="19"/>
        <v>300</v>
      </c>
      <c r="D83" s="25">
        <f t="shared" si="19"/>
        <v>0</v>
      </c>
      <c r="E83" s="82"/>
      <c r="F83" s="64">
        <f t="shared" si="16"/>
        <v>4</v>
      </c>
      <c r="G83" s="77"/>
      <c r="H83" s="22">
        <f t="shared" si="17"/>
        <v>0.30000000000000004</v>
      </c>
      <c r="I83" s="8" t="str">
        <f>"+polar @ HM"</f>
        <v>+polar @ HM</v>
      </c>
      <c r="J83" s="65"/>
      <c r="K83" s="5"/>
      <c r="L83" s="65"/>
      <c r="M83" s="9" t="s">
        <v>30</v>
      </c>
      <c r="N83" s="65"/>
      <c r="O83" s="15" t="s">
        <v>21</v>
      </c>
      <c r="P83" s="13"/>
      <c r="Q83" s="17">
        <v>1</v>
      </c>
      <c r="S83" s="13"/>
      <c r="T83" s="13"/>
    </row>
    <row r="84" spans="2:20">
      <c r="B84" s="3">
        <f t="shared" si="12"/>
        <v>304.39999999999998</v>
      </c>
      <c r="C84" s="25">
        <f t="shared" si="19"/>
        <v>300</v>
      </c>
      <c r="D84" s="25">
        <f t="shared" si="19"/>
        <v>0</v>
      </c>
      <c r="E84" s="82"/>
      <c r="F84" s="64">
        <f t="shared" si="16"/>
        <v>4</v>
      </c>
      <c r="G84" s="77"/>
      <c r="H84" s="22">
        <f t="shared" si="17"/>
        <v>0.4</v>
      </c>
      <c r="I84" s="8" t="str">
        <f>"+magnitude"</f>
        <v>+magnitude</v>
      </c>
      <c r="J84" s="65"/>
      <c r="K84" s="5"/>
      <c r="L84" s="65"/>
      <c r="M84" s="65" t="s">
        <v>29</v>
      </c>
      <c r="N84" s="65"/>
      <c r="O84" s="15" t="s">
        <v>42</v>
      </c>
      <c r="P84" s="13"/>
      <c r="Q84" s="17">
        <v>1</v>
      </c>
      <c r="S84" s="13"/>
      <c r="T84" s="13"/>
    </row>
    <row r="85" spans="2:20">
      <c r="B85" s="3">
        <f t="shared" si="12"/>
        <v>304.5</v>
      </c>
      <c r="C85" s="25">
        <f t="shared" si="19"/>
        <v>300</v>
      </c>
      <c r="D85" s="25">
        <f t="shared" si="19"/>
        <v>0</v>
      </c>
      <c r="E85" s="82"/>
      <c r="F85" s="64">
        <f t="shared" si="16"/>
        <v>4</v>
      </c>
      <c r="G85" s="77"/>
      <c r="H85" s="22">
        <f t="shared" si="17"/>
        <v>0.5</v>
      </c>
      <c r="I85" s="8" t="str">
        <f>"+peak angle"</f>
        <v>+peak angle</v>
      </c>
      <c r="J85" s="65"/>
      <c r="K85" s="5"/>
      <c r="L85" s="65"/>
      <c r="M85" s="9" t="s">
        <v>30</v>
      </c>
      <c r="N85" s="65"/>
      <c r="O85" s="15" t="s">
        <v>41</v>
      </c>
      <c r="P85" s="13"/>
      <c r="Q85" s="17">
        <v>1</v>
      </c>
      <c r="S85" s="13"/>
      <c r="T85" s="13"/>
    </row>
    <row r="86" spans="2:20">
      <c r="B86" s="3">
        <f t="shared" si="12"/>
        <v>304.60000000000002</v>
      </c>
      <c r="C86" s="25">
        <f t="shared" si="19"/>
        <v>300</v>
      </c>
      <c r="D86" s="25">
        <f t="shared" si="19"/>
        <v>0</v>
      </c>
      <c r="E86" s="82"/>
      <c r="F86" s="64">
        <f t="shared" si="16"/>
        <v>4</v>
      </c>
      <c r="G86" s="77"/>
      <c r="H86" s="22">
        <f t="shared" si="17"/>
        <v>0.6</v>
      </c>
      <c r="I86" s="8" t="s">
        <v>64</v>
      </c>
      <c r="J86" s="6">
        <f>J77</f>
        <v>-2</v>
      </c>
      <c r="K86" s="7" t="e">
        <f>MAX(K81,K84)/K$49-1</f>
        <v>#DIV/0!</v>
      </c>
      <c r="L86" s="6">
        <f>L77</f>
        <v>2</v>
      </c>
      <c r="M86" s="9" t="s">
        <v>30</v>
      </c>
      <c r="N86" s="65" t="e">
        <f>IF((J86&lt;K86)* (K86&lt;L86),"PASS","FAIL")</f>
        <v>#DIV/0!</v>
      </c>
      <c r="O86" s="15"/>
      <c r="P86" s="13"/>
      <c r="R86" s="17">
        <v>1</v>
      </c>
      <c r="S86" s="13"/>
      <c r="T86" s="13"/>
    </row>
    <row r="87" spans="2:20">
      <c r="B87" s="3">
        <f t="shared" si="12"/>
        <v>304.7</v>
      </c>
      <c r="C87" s="25">
        <f t="shared" si="19"/>
        <v>300</v>
      </c>
      <c r="D87" s="25">
        <f t="shared" si="19"/>
        <v>0</v>
      </c>
      <c r="E87" s="82"/>
      <c r="F87" s="64">
        <f t="shared" si="16"/>
        <v>4</v>
      </c>
      <c r="G87" s="77"/>
      <c r="H87" s="22">
        <f t="shared" si="17"/>
        <v>0.7</v>
      </c>
      <c r="I87" s="8" t="s">
        <v>14</v>
      </c>
      <c r="J87" s="65">
        <f>J78</f>
        <v>-15</v>
      </c>
      <c r="K87" s="10">
        <f>(K83+(K80-360))/2</f>
        <v>-180</v>
      </c>
      <c r="L87" s="65">
        <f t="shared" ref="L87:L88" si="20">L78</f>
        <v>15</v>
      </c>
      <c r="M87" s="9" t="s">
        <v>30</v>
      </c>
      <c r="N87" s="65" t="str">
        <f>IF((J87&lt;K87)* (K87&lt;L87),"PASS","FAIL")</f>
        <v>FAIL</v>
      </c>
      <c r="O87" s="15"/>
      <c r="P87" s="13"/>
      <c r="R87" s="17">
        <v>1</v>
      </c>
      <c r="S87" s="13"/>
      <c r="T87" s="13"/>
    </row>
    <row r="88" spans="2:20">
      <c r="B88" s="3">
        <f t="shared" si="12"/>
        <v>304.8</v>
      </c>
      <c r="C88" s="25">
        <f t="shared" si="19"/>
        <v>300</v>
      </c>
      <c r="D88" s="25">
        <f t="shared" si="19"/>
        <v>0</v>
      </c>
      <c r="E88" s="83"/>
      <c r="F88" s="64">
        <f t="shared" si="16"/>
        <v>4</v>
      </c>
      <c r="G88" s="77"/>
      <c r="H88" s="22">
        <f t="shared" si="17"/>
        <v>0.79999999999999993</v>
      </c>
      <c r="I88" s="8" t="s">
        <v>22</v>
      </c>
      <c r="J88" s="65">
        <f t="shared" ref="J88" si="21">J79</f>
        <v>35</v>
      </c>
      <c r="K88" s="10">
        <f>K83-(K80-360)</f>
        <v>360</v>
      </c>
      <c r="L88" s="65">
        <f t="shared" si="20"/>
        <v>85</v>
      </c>
      <c r="M88" s="9" t="s">
        <v>30</v>
      </c>
      <c r="N88" s="65" t="str">
        <f>IF((J88&lt;K88)* (K88&lt;L88),"PASS","FAIL")</f>
        <v>FAIL</v>
      </c>
      <c r="O88" s="15"/>
      <c r="P88" s="13"/>
      <c r="R88" s="17">
        <v>1</v>
      </c>
      <c r="S88" s="13"/>
      <c r="T88" s="13"/>
    </row>
    <row r="89" spans="2:20">
      <c r="B89" s="90"/>
      <c r="C89" s="91"/>
      <c r="D89" s="92"/>
      <c r="E89" s="86" t="s">
        <v>43</v>
      </c>
      <c r="F89" s="86"/>
      <c r="G89" s="86"/>
      <c r="H89" s="3"/>
      <c r="I89" s="8" t="s">
        <v>0</v>
      </c>
      <c r="J89" s="65"/>
      <c r="K89" s="65" t="e">
        <f>K48</f>
        <v>#N/A</v>
      </c>
      <c r="L89" s="65"/>
      <c r="M89" s="65"/>
      <c r="N89" s="65"/>
      <c r="O89" s="15" t="str">
        <f>"Swap 0.4ND for Photopic filter &amp; adjust current to "&amp;Calibration!D9&amp;" amps"</f>
        <v>Swap 0.4ND for Photopic filter &amp; adjust current to 8.36 amps</v>
      </c>
      <c r="P89" s="13"/>
      <c r="S89" s="13"/>
      <c r="T89" s="13"/>
    </row>
    <row r="90" spans="2:20" ht="15" customHeight="1">
      <c r="B90" s="3">
        <f t="shared" ref="B90:B117" si="22">C90+D90+F90+H90</f>
        <v>400</v>
      </c>
      <c r="C90" s="26">
        <f>C88+100</f>
        <v>400</v>
      </c>
      <c r="D90" s="26">
        <v>0</v>
      </c>
      <c r="E90" s="74" t="s">
        <v>35</v>
      </c>
      <c r="F90" s="23">
        <v>0</v>
      </c>
      <c r="G90" s="86"/>
      <c r="H90" s="22">
        <v>0</v>
      </c>
      <c r="I90" s="8" t="s">
        <v>9</v>
      </c>
      <c r="J90" s="65"/>
      <c r="K90" s="18"/>
      <c r="L90" s="65"/>
      <c r="M90" s="65" t="s">
        <v>29</v>
      </c>
      <c r="N90" s="65"/>
      <c r="O90" s="15" t="s">
        <v>16</v>
      </c>
      <c r="P90" s="13"/>
      <c r="Q90" s="17">
        <v>1</v>
      </c>
      <c r="S90" s="13"/>
      <c r="T90" s="13"/>
    </row>
    <row r="91" spans="2:20" ht="15" customHeight="1">
      <c r="B91" s="3">
        <f t="shared" si="22"/>
        <v>400.1</v>
      </c>
      <c r="C91" s="25">
        <f t="shared" ref="C91:D106" si="23">C90</f>
        <v>400</v>
      </c>
      <c r="D91" s="25">
        <f t="shared" si="23"/>
        <v>0</v>
      </c>
      <c r="E91" s="75"/>
      <c r="F91" s="63">
        <f t="shared" ref="F91:F93" si="24">F90</f>
        <v>0</v>
      </c>
      <c r="G91" s="86"/>
      <c r="H91" s="22">
        <f t="shared" ref="H91:H93" si="25">H90+0.1</f>
        <v>0.1</v>
      </c>
      <c r="I91" s="8" t="s">
        <v>66</v>
      </c>
      <c r="J91" s="65"/>
      <c r="K91" s="7" t="e">
        <f>K90/K89</f>
        <v>#N/A</v>
      </c>
      <c r="L91" s="65"/>
      <c r="M91" s="65"/>
      <c r="N91" s="65"/>
      <c r="O91" s="70" t="s">
        <v>70</v>
      </c>
      <c r="P91" s="13"/>
      <c r="S91" s="13"/>
      <c r="T91" s="13"/>
    </row>
    <row r="92" spans="2:20" ht="15" customHeight="1">
      <c r="B92" s="3">
        <f t="shared" si="22"/>
        <v>400.2</v>
      </c>
      <c r="C92" s="25">
        <f t="shared" si="23"/>
        <v>400</v>
      </c>
      <c r="D92" s="25">
        <f t="shared" si="23"/>
        <v>0</v>
      </c>
      <c r="E92" s="75"/>
      <c r="F92" s="63">
        <f t="shared" si="24"/>
        <v>0</v>
      </c>
      <c r="G92" s="86"/>
      <c r="H92" s="22">
        <f t="shared" si="25"/>
        <v>0.2</v>
      </c>
      <c r="I92" s="8" t="s">
        <v>67</v>
      </c>
      <c r="J92" s="65"/>
      <c r="K92" s="20" t="e">
        <f>1/K91</f>
        <v>#N/A</v>
      </c>
      <c r="L92" s="65"/>
      <c r="M92" s="65"/>
      <c r="N92" s="65"/>
      <c r="O92" s="71"/>
      <c r="P92" s="13"/>
      <c r="S92" s="13"/>
      <c r="T92" s="13"/>
    </row>
    <row r="93" spans="2:20" ht="15" customHeight="1">
      <c r="B93" s="3">
        <f t="shared" si="22"/>
        <v>400.3</v>
      </c>
      <c r="C93" s="25">
        <f t="shared" si="23"/>
        <v>400</v>
      </c>
      <c r="D93" s="25">
        <f t="shared" si="23"/>
        <v>0</v>
      </c>
      <c r="E93" s="75"/>
      <c r="F93" s="63">
        <f t="shared" si="24"/>
        <v>0</v>
      </c>
      <c r="G93" s="86"/>
      <c r="H93" s="22">
        <f t="shared" si="25"/>
        <v>0.30000000000000004</v>
      </c>
      <c r="I93" s="8" t="s">
        <v>44</v>
      </c>
      <c r="J93" s="6">
        <f>-L93</f>
        <v>-1</v>
      </c>
      <c r="K93" s="7" t="e">
        <f>2*(K49-K90)/(K49+K90)</f>
        <v>#DIV/0!</v>
      </c>
      <c r="L93" s="47">
        <f>Specifications!E17</f>
        <v>1</v>
      </c>
      <c r="M93" s="6" t="s">
        <v>28</v>
      </c>
      <c r="N93" s="65" t="e">
        <f>IF((J93&lt;K93)* (K93&lt;L93),"PASS","FAIL")</f>
        <v>#DIV/0!</v>
      </c>
      <c r="O93" s="8"/>
      <c r="R93" s="17">
        <v>1</v>
      </c>
      <c r="S93" s="13"/>
      <c r="T93" s="13"/>
    </row>
    <row r="94" spans="2:20" ht="15" customHeight="1">
      <c r="B94" s="3">
        <f t="shared" si="22"/>
        <v>401</v>
      </c>
      <c r="C94" s="25">
        <f t="shared" si="23"/>
        <v>400</v>
      </c>
      <c r="D94" s="25">
        <f t="shared" si="23"/>
        <v>0</v>
      </c>
      <c r="E94" s="75"/>
      <c r="F94" s="64">
        <f>F93+1</f>
        <v>1</v>
      </c>
      <c r="G94" s="74" t="str">
        <f>G53</f>
        <v>Azimuth=270°</v>
      </c>
      <c r="H94" s="22">
        <v>0</v>
      </c>
      <c r="I94" s="8" t="str">
        <f>"-peak angle"</f>
        <v>-peak angle</v>
      </c>
      <c r="J94" s="65"/>
      <c r="K94" s="10">
        <f>K55</f>
        <v>0</v>
      </c>
      <c r="L94" s="65"/>
      <c r="M94" s="9" t="s">
        <v>30</v>
      </c>
      <c r="N94" s="65"/>
      <c r="O94" s="15"/>
      <c r="P94" s="13"/>
      <c r="S94" s="13"/>
      <c r="T94" s="13"/>
    </row>
    <row r="95" spans="2:20">
      <c r="B95" s="3">
        <f t="shared" si="22"/>
        <v>401.1</v>
      </c>
      <c r="C95" s="25">
        <f t="shared" si="23"/>
        <v>400</v>
      </c>
      <c r="D95" s="25">
        <f t="shared" si="23"/>
        <v>0</v>
      </c>
      <c r="E95" s="75"/>
      <c r="F95" s="64">
        <f t="shared" ref="F95:F117" si="26">F94</f>
        <v>1</v>
      </c>
      <c r="G95" s="75"/>
      <c r="H95" s="22">
        <f t="shared" ref="H95:H117" si="27">H94+0.1</f>
        <v>0.1</v>
      </c>
      <c r="I95" s="8" t="str">
        <f>"-magnitude"</f>
        <v>-magnitude</v>
      </c>
      <c r="J95" s="65"/>
      <c r="K95" s="5"/>
      <c r="L95" s="65"/>
      <c r="M95" s="65" t="s">
        <v>29</v>
      </c>
      <c r="N95" s="65"/>
      <c r="O95" s="15" t="s">
        <v>40</v>
      </c>
      <c r="P95" s="13"/>
      <c r="Q95" s="17">
        <v>1</v>
      </c>
      <c r="S95" s="13"/>
      <c r="T95" s="13"/>
    </row>
    <row r="96" spans="2:20">
      <c r="B96" s="3">
        <f t="shared" si="22"/>
        <v>401.2</v>
      </c>
      <c r="C96" s="25">
        <f t="shared" si="23"/>
        <v>400</v>
      </c>
      <c r="D96" s="25">
        <f t="shared" si="23"/>
        <v>0</v>
      </c>
      <c r="E96" s="75"/>
      <c r="F96" s="64">
        <f t="shared" si="26"/>
        <v>1</v>
      </c>
      <c r="G96" s="75"/>
      <c r="H96" s="22">
        <f t="shared" si="27"/>
        <v>0.2</v>
      </c>
      <c r="I96" s="8" t="str">
        <f>"+peak angle"</f>
        <v>+peak angle</v>
      </c>
      <c r="J96" s="65"/>
      <c r="K96" s="10">
        <f>K58</f>
        <v>0</v>
      </c>
      <c r="L96" s="65"/>
      <c r="M96" s="9" t="s">
        <v>30</v>
      </c>
      <c r="N96" s="65"/>
      <c r="O96" s="15"/>
      <c r="P96" s="13"/>
      <c r="S96" s="13"/>
      <c r="T96" s="13"/>
    </row>
    <row r="97" spans="2:20">
      <c r="B97" s="3">
        <f t="shared" si="22"/>
        <v>401.3</v>
      </c>
      <c r="C97" s="25">
        <f t="shared" si="23"/>
        <v>400</v>
      </c>
      <c r="D97" s="25">
        <f t="shared" si="23"/>
        <v>0</v>
      </c>
      <c r="E97" s="75"/>
      <c r="F97" s="64">
        <f t="shared" si="26"/>
        <v>1</v>
      </c>
      <c r="G97" s="75"/>
      <c r="H97" s="22">
        <f t="shared" si="27"/>
        <v>0.30000000000000004</v>
      </c>
      <c r="I97" s="8" t="str">
        <f>"+magnitude"</f>
        <v>+magnitude</v>
      </c>
      <c r="J97" s="65"/>
      <c r="K97" s="5"/>
      <c r="L97" s="65"/>
      <c r="M97" s="65" t="s">
        <v>29</v>
      </c>
      <c r="N97" s="65"/>
      <c r="O97" s="15" t="s">
        <v>42</v>
      </c>
      <c r="P97" s="13"/>
      <c r="Q97" s="17">
        <v>1</v>
      </c>
      <c r="S97" s="13"/>
      <c r="T97" s="13"/>
    </row>
    <row r="98" spans="2:20">
      <c r="B98" s="3">
        <f t="shared" si="22"/>
        <v>401.4</v>
      </c>
      <c r="C98" s="25">
        <f t="shared" si="23"/>
        <v>400</v>
      </c>
      <c r="D98" s="25">
        <f t="shared" si="23"/>
        <v>0</v>
      </c>
      <c r="E98" s="75"/>
      <c r="F98" s="64">
        <f t="shared" si="26"/>
        <v>1</v>
      </c>
      <c r="G98" s="75"/>
      <c r="H98" s="22">
        <f t="shared" si="27"/>
        <v>0.4</v>
      </c>
      <c r="I98" s="8" t="s">
        <v>45</v>
      </c>
      <c r="J98" s="6">
        <f>-L98</f>
        <v>-2</v>
      </c>
      <c r="K98" s="7" t="e">
        <f>2*(K54-K95)/(K54+K95)</f>
        <v>#DIV/0!</v>
      </c>
      <c r="L98" s="47">
        <f>Specifications!E18</f>
        <v>2</v>
      </c>
      <c r="M98" s="6" t="s">
        <v>28</v>
      </c>
      <c r="N98" s="65" t="e">
        <f>IF((J98&lt;K98)* (K98&lt;L98),"PASS","FAIL")</f>
        <v>#DIV/0!</v>
      </c>
      <c r="O98" s="8"/>
      <c r="R98" s="17">
        <v>1</v>
      </c>
    </row>
    <row r="99" spans="2:20">
      <c r="B99" s="3">
        <f t="shared" si="22"/>
        <v>401.5</v>
      </c>
      <c r="C99" s="25">
        <f t="shared" si="23"/>
        <v>400</v>
      </c>
      <c r="D99" s="25">
        <f t="shared" si="23"/>
        <v>0</v>
      </c>
      <c r="E99" s="75"/>
      <c r="F99" s="64">
        <f t="shared" si="26"/>
        <v>1</v>
      </c>
      <c r="G99" s="76"/>
      <c r="H99" s="22">
        <f t="shared" si="27"/>
        <v>0.5</v>
      </c>
      <c r="I99" s="8" t="s">
        <v>46</v>
      </c>
      <c r="J99" s="6">
        <f>J98</f>
        <v>-2</v>
      </c>
      <c r="K99" s="7" t="e">
        <f>2*(K57-K97)/(K57+K97)</f>
        <v>#DIV/0!</v>
      </c>
      <c r="L99" s="6">
        <f>L98</f>
        <v>2</v>
      </c>
      <c r="M99" s="6" t="s">
        <v>28</v>
      </c>
      <c r="N99" s="65" t="e">
        <f>IF((J99&lt;K99)* (K99&lt;L99),"PASS","FAIL")</f>
        <v>#DIV/0!</v>
      </c>
      <c r="O99" s="8"/>
      <c r="R99" s="17">
        <v>1</v>
      </c>
    </row>
    <row r="100" spans="2:20" ht="15" customHeight="1">
      <c r="B100" s="3">
        <f t="shared" si="22"/>
        <v>402</v>
      </c>
      <c r="C100" s="25">
        <f t="shared" si="23"/>
        <v>400</v>
      </c>
      <c r="D100" s="25">
        <f t="shared" si="23"/>
        <v>0</v>
      </c>
      <c r="E100" s="75"/>
      <c r="F100" s="64">
        <f>F99+1</f>
        <v>2</v>
      </c>
      <c r="G100" s="74" t="str">
        <f>G62</f>
        <v>Azimuth=315°</v>
      </c>
      <c r="H100" s="22">
        <v>0</v>
      </c>
      <c r="I100" s="8" t="str">
        <f>"-peak angle"</f>
        <v>-peak angle</v>
      </c>
      <c r="J100" s="65"/>
      <c r="K100" s="10">
        <f>K64</f>
        <v>0</v>
      </c>
      <c r="L100" s="65"/>
      <c r="M100" s="9" t="s">
        <v>30</v>
      </c>
      <c r="N100" s="65"/>
      <c r="O100" s="15"/>
      <c r="P100" s="13"/>
      <c r="S100" s="13"/>
      <c r="T100" s="13"/>
    </row>
    <row r="101" spans="2:20">
      <c r="B101" s="3">
        <f t="shared" si="22"/>
        <v>402.1</v>
      </c>
      <c r="C101" s="25">
        <f t="shared" si="23"/>
        <v>400</v>
      </c>
      <c r="D101" s="25">
        <f t="shared" si="23"/>
        <v>0</v>
      </c>
      <c r="E101" s="75"/>
      <c r="F101" s="64">
        <f t="shared" si="26"/>
        <v>2</v>
      </c>
      <c r="G101" s="75"/>
      <c r="H101" s="22">
        <f t="shared" si="27"/>
        <v>0.1</v>
      </c>
      <c r="I101" s="8" t="str">
        <f>"-magnitude"</f>
        <v>-magnitude</v>
      </c>
      <c r="J101" s="65"/>
      <c r="K101" s="5"/>
      <c r="L101" s="65"/>
      <c r="M101" s="65" t="s">
        <v>29</v>
      </c>
      <c r="N101" s="65"/>
      <c r="O101" s="15" t="s">
        <v>40</v>
      </c>
      <c r="P101" s="13"/>
      <c r="Q101" s="17">
        <v>1</v>
      </c>
      <c r="S101" s="13"/>
      <c r="T101" s="13"/>
    </row>
    <row r="102" spans="2:20">
      <c r="B102" s="3">
        <f t="shared" si="22"/>
        <v>402.2</v>
      </c>
      <c r="C102" s="25">
        <f t="shared" si="23"/>
        <v>400</v>
      </c>
      <c r="D102" s="25">
        <f t="shared" si="23"/>
        <v>0</v>
      </c>
      <c r="E102" s="75"/>
      <c r="F102" s="64">
        <f t="shared" si="26"/>
        <v>2</v>
      </c>
      <c r="G102" s="75"/>
      <c r="H102" s="22">
        <f t="shared" si="27"/>
        <v>0.2</v>
      </c>
      <c r="I102" s="8" t="str">
        <f>"+peak angle"</f>
        <v>+peak angle</v>
      </c>
      <c r="J102" s="65"/>
      <c r="K102" s="10">
        <f>K67</f>
        <v>0</v>
      </c>
      <c r="L102" s="65"/>
      <c r="M102" s="9" t="s">
        <v>30</v>
      </c>
      <c r="N102" s="65"/>
      <c r="O102" s="15"/>
      <c r="P102" s="13"/>
      <c r="S102" s="13"/>
      <c r="T102" s="13"/>
    </row>
    <row r="103" spans="2:20">
      <c r="B103" s="3">
        <f t="shared" si="22"/>
        <v>402.3</v>
      </c>
      <c r="C103" s="25">
        <f t="shared" si="23"/>
        <v>400</v>
      </c>
      <c r="D103" s="25">
        <f t="shared" si="23"/>
        <v>0</v>
      </c>
      <c r="E103" s="75"/>
      <c r="F103" s="64">
        <f t="shared" si="26"/>
        <v>2</v>
      </c>
      <c r="G103" s="75"/>
      <c r="H103" s="22">
        <f t="shared" si="27"/>
        <v>0.30000000000000004</v>
      </c>
      <c r="I103" s="8" t="str">
        <f>"+magnitude"</f>
        <v>+magnitude</v>
      </c>
      <c r="J103" s="65"/>
      <c r="K103" s="5"/>
      <c r="L103" s="65"/>
      <c r="M103" s="65" t="s">
        <v>29</v>
      </c>
      <c r="N103" s="65"/>
      <c r="O103" s="15" t="s">
        <v>42</v>
      </c>
      <c r="P103" s="13"/>
      <c r="Q103" s="17">
        <v>1</v>
      </c>
      <c r="S103" s="13"/>
      <c r="T103" s="13"/>
    </row>
    <row r="104" spans="2:20">
      <c r="B104" s="3">
        <f t="shared" si="22"/>
        <v>402.4</v>
      </c>
      <c r="C104" s="25">
        <f t="shared" si="23"/>
        <v>400</v>
      </c>
      <c r="D104" s="25">
        <f t="shared" si="23"/>
        <v>0</v>
      </c>
      <c r="E104" s="75"/>
      <c r="F104" s="64">
        <f t="shared" si="26"/>
        <v>2</v>
      </c>
      <c r="G104" s="75"/>
      <c r="H104" s="22">
        <f t="shared" si="27"/>
        <v>0.4</v>
      </c>
      <c r="I104" s="8" t="s">
        <v>45</v>
      </c>
      <c r="J104" s="6">
        <f>J99</f>
        <v>-2</v>
      </c>
      <c r="K104" s="7" t="e">
        <f>2*(K66-K103)/(K66+K103)</f>
        <v>#DIV/0!</v>
      </c>
      <c r="L104" s="6">
        <f>L99</f>
        <v>2</v>
      </c>
      <c r="M104" s="6" t="s">
        <v>28</v>
      </c>
      <c r="N104" s="65" t="e">
        <f>IF((J104&lt;K104)* (K104&lt;L104),"PASS","FAIL")</f>
        <v>#DIV/0!</v>
      </c>
      <c r="O104" s="8"/>
      <c r="R104" s="17">
        <v>1</v>
      </c>
    </row>
    <row r="105" spans="2:20">
      <c r="B105" s="3">
        <f t="shared" si="22"/>
        <v>402.5</v>
      </c>
      <c r="C105" s="25">
        <f t="shared" si="23"/>
        <v>400</v>
      </c>
      <c r="D105" s="25">
        <f t="shared" si="23"/>
        <v>0</v>
      </c>
      <c r="E105" s="75"/>
      <c r="F105" s="64">
        <f t="shared" si="26"/>
        <v>2</v>
      </c>
      <c r="G105" s="76"/>
      <c r="H105" s="22">
        <f t="shared" si="27"/>
        <v>0.5</v>
      </c>
      <c r="I105" s="8" t="s">
        <v>46</v>
      </c>
      <c r="J105" s="6">
        <f>J104</f>
        <v>-2</v>
      </c>
      <c r="K105" s="7" t="e">
        <f>2*(K67-K103)/(K67+K103)</f>
        <v>#DIV/0!</v>
      </c>
      <c r="L105" s="6">
        <f>L104</f>
        <v>2</v>
      </c>
      <c r="M105" s="6" t="s">
        <v>28</v>
      </c>
      <c r="N105" s="65" t="e">
        <f>IF((J105&lt;K105)* (K105&lt;L105),"PASS","FAIL")</f>
        <v>#DIV/0!</v>
      </c>
      <c r="O105" s="8"/>
      <c r="R105" s="17">
        <v>1</v>
      </c>
    </row>
    <row r="106" spans="2:20" ht="15" customHeight="1">
      <c r="B106" s="3">
        <f t="shared" si="22"/>
        <v>403</v>
      </c>
      <c r="C106" s="25">
        <f t="shared" si="23"/>
        <v>400</v>
      </c>
      <c r="D106" s="25">
        <f t="shared" si="23"/>
        <v>0</v>
      </c>
      <c r="E106" s="75"/>
      <c r="F106" s="64">
        <f>F105+1</f>
        <v>3</v>
      </c>
      <c r="G106" s="74" t="str">
        <f>G71</f>
        <v>Azimuth=0°</v>
      </c>
      <c r="H106" s="22">
        <v>0</v>
      </c>
      <c r="I106" s="8" t="str">
        <f>"-peak angle"</f>
        <v>-peak angle</v>
      </c>
      <c r="J106" s="65"/>
      <c r="K106" s="10">
        <f>K73</f>
        <v>0</v>
      </c>
      <c r="L106" s="65"/>
      <c r="M106" s="9" t="s">
        <v>30</v>
      </c>
      <c r="N106" s="65"/>
      <c r="O106" s="15"/>
      <c r="P106" s="13"/>
      <c r="S106" s="13"/>
      <c r="T106" s="13"/>
    </row>
    <row r="107" spans="2:20">
      <c r="B107" s="3">
        <f t="shared" si="22"/>
        <v>403.1</v>
      </c>
      <c r="C107" s="25">
        <f t="shared" ref="C107:D117" si="28">C106</f>
        <v>400</v>
      </c>
      <c r="D107" s="25">
        <f t="shared" si="28"/>
        <v>0</v>
      </c>
      <c r="E107" s="75"/>
      <c r="F107" s="64">
        <f t="shared" si="26"/>
        <v>3</v>
      </c>
      <c r="G107" s="75"/>
      <c r="H107" s="22">
        <f t="shared" si="27"/>
        <v>0.1</v>
      </c>
      <c r="I107" s="8" t="str">
        <f>"-magnitude"</f>
        <v>-magnitude</v>
      </c>
      <c r="J107" s="65"/>
      <c r="K107" s="5"/>
      <c r="L107" s="65"/>
      <c r="M107" s="65" t="s">
        <v>29</v>
      </c>
      <c r="N107" s="65"/>
      <c r="O107" s="15" t="s">
        <v>40</v>
      </c>
      <c r="P107" s="13"/>
      <c r="Q107" s="17">
        <v>1</v>
      </c>
      <c r="S107" s="13"/>
      <c r="T107" s="13"/>
    </row>
    <row r="108" spans="2:20">
      <c r="B108" s="3">
        <f t="shared" si="22"/>
        <v>403.2</v>
      </c>
      <c r="C108" s="25">
        <f t="shared" si="28"/>
        <v>400</v>
      </c>
      <c r="D108" s="25">
        <f t="shared" si="28"/>
        <v>0</v>
      </c>
      <c r="E108" s="75"/>
      <c r="F108" s="64">
        <f t="shared" si="26"/>
        <v>3</v>
      </c>
      <c r="G108" s="75"/>
      <c r="H108" s="22">
        <f t="shared" si="27"/>
        <v>0.2</v>
      </c>
      <c r="I108" s="8" t="str">
        <f>"+peak angle"</f>
        <v>+peak angle</v>
      </c>
      <c r="J108" s="65"/>
      <c r="K108" s="10">
        <f>K76</f>
        <v>0</v>
      </c>
      <c r="L108" s="65"/>
      <c r="M108" s="9" t="s">
        <v>30</v>
      </c>
      <c r="N108" s="65"/>
      <c r="O108" s="15"/>
      <c r="P108" s="13"/>
      <c r="S108" s="13"/>
      <c r="T108" s="13"/>
    </row>
    <row r="109" spans="2:20">
      <c r="B109" s="3">
        <f t="shared" si="22"/>
        <v>403.3</v>
      </c>
      <c r="C109" s="25">
        <f t="shared" si="28"/>
        <v>400</v>
      </c>
      <c r="D109" s="25">
        <f t="shared" si="28"/>
        <v>0</v>
      </c>
      <c r="E109" s="75"/>
      <c r="F109" s="64">
        <f t="shared" si="26"/>
        <v>3</v>
      </c>
      <c r="G109" s="75"/>
      <c r="H109" s="22">
        <f t="shared" si="27"/>
        <v>0.30000000000000004</v>
      </c>
      <c r="I109" s="8" t="str">
        <f>"+magnitude"</f>
        <v>+magnitude</v>
      </c>
      <c r="J109" s="65"/>
      <c r="K109" s="5"/>
      <c r="L109" s="65"/>
      <c r="M109" s="65" t="s">
        <v>29</v>
      </c>
      <c r="N109" s="65"/>
      <c r="O109" s="15" t="s">
        <v>42</v>
      </c>
      <c r="P109" s="13"/>
      <c r="Q109" s="17">
        <v>1</v>
      </c>
      <c r="S109" s="13"/>
      <c r="T109" s="13"/>
    </row>
    <row r="110" spans="2:20">
      <c r="B110" s="3">
        <f t="shared" si="22"/>
        <v>403.4</v>
      </c>
      <c r="C110" s="25">
        <f t="shared" si="28"/>
        <v>400</v>
      </c>
      <c r="D110" s="25">
        <f t="shared" si="28"/>
        <v>0</v>
      </c>
      <c r="E110" s="75"/>
      <c r="F110" s="64">
        <f t="shared" si="26"/>
        <v>3</v>
      </c>
      <c r="G110" s="75"/>
      <c r="H110" s="22">
        <f t="shared" si="27"/>
        <v>0.4</v>
      </c>
      <c r="I110" s="8" t="s">
        <v>45</v>
      </c>
      <c r="J110" s="6">
        <f>J105</f>
        <v>-2</v>
      </c>
      <c r="K110" s="7" t="e">
        <f>2*(K72-K107)/(K72+K107)</f>
        <v>#DIV/0!</v>
      </c>
      <c r="L110" s="6">
        <f>L105</f>
        <v>2</v>
      </c>
      <c r="M110" s="6" t="s">
        <v>28</v>
      </c>
      <c r="N110" s="65" t="e">
        <f>IF((J110&lt;K110)* (K110&lt;L110),"PASS","FAIL")</f>
        <v>#DIV/0!</v>
      </c>
      <c r="O110" s="8"/>
      <c r="R110" s="17">
        <v>1</v>
      </c>
    </row>
    <row r="111" spans="2:20">
      <c r="B111" s="3">
        <f t="shared" si="22"/>
        <v>403.5</v>
      </c>
      <c r="C111" s="25">
        <f t="shared" si="28"/>
        <v>400</v>
      </c>
      <c r="D111" s="25">
        <f t="shared" si="28"/>
        <v>0</v>
      </c>
      <c r="E111" s="75"/>
      <c r="F111" s="64">
        <f t="shared" si="26"/>
        <v>3</v>
      </c>
      <c r="G111" s="76"/>
      <c r="H111" s="22">
        <f t="shared" si="27"/>
        <v>0.5</v>
      </c>
      <c r="I111" s="8" t="s">
        <v>46</v>
      </c>
      <c r="J111" s="6">
        <f>J110</f>
        <v>-2</v>
      </c>
      <c r="K111" s="7" t="e">
        <f>2*(K75-K109)/(K75+K109)</f>
        <v>#DIV/0!</v>
      </c>
      <c r="L111" s="6">
        <f>L110</f>
        <v>2</v>
      </c>
      <c r="M111" s="6" t="s">
        <v>28</v>
      </c>
      <c r="N111" s="65" t="e">
        <f>IF((J111&lt;K111)* (K111&lt;L111),"PASS","FAIL")</f>
        <v>#DIV/0!</v>
      </c>
      <c r="O111" s="8"/>
      <c r="R111" s="17">
        <v>1</v>
      </c>
    </row>
    <row r="112" spans="2:20" ht="15" customHeight="1">
      <c r="B112" s="3">
        <f t="shared" si="22"/>
        <v>404</v>
      </c>
      <c r="C112" s="25">
        <f t="shared" si="28"/>
        <v>400</v>
      </c>
      <c r="D112" s="25">
        <f t="shared" si="28"/>
        <v>0</v>
      </c>
      <c r="E112" s="75"/>
      <c r="F112" s="64">
        <f>F111+1</f>
        <v>4</v>
      </c>
      <c r="G112" s="74" t="str">
        <f>G80</f>
        <v>Azimuth=45°</v>
      </c>
      <c r="H112" s="22">
        <v>0</v>
      </c>
      <c r="I112" s="8" t="str">
        <f>"-peak angle"</f>
        <v>-peak angle</v>
      </c>
      <c r="J112" s="65"/>
      <c r="K112" s="10">
        <f>K82</f>
        <v>0</v>
      </c>
      <c r="L112" s="65"/>
      <c r="M112" s="9" t="s">
        <v>30</v>
      </c>
      <c r="N112" s="65"/>
      <c r="O112" s="15"/>
      <c r="P112" s="13"/>
      <c r="S112" s="13"/>
      <c r="T112" s="13"/>
    </row>
    <row r="113" spans="2:20">
      <c r="B113" s="3">
        <f t="shared" si="22"/>
        <v>404.1</v>
      </c>
      <c r="C113" s="25">
        <f t="shared" si="28"/>
        <v>400</v>
      </c>
      <c r="D113" s="25">
        <f t="shared" si="28"/>
        <v>0</v>
      </c>
      <c r="E113" s="75"/>
      <c r="F113" s="64">
        <f t="shared" si="26"/>
        <v>4</v>
      </c>
      <c r="G113" s="75"/>
      <c r="H113" s="22">
        <f t="shared" si="27"/>
        <v>0.1</v>
      </c>
      <c r="I113" s="8" t="str">
        <f>"-magnitude"</f>
        <v>-magnitude</v>
      </c>
      <c r="J113" s="65"/>
      <c r="K113" s="5"/>
      <c r="L113" s="65"/>
      <c r="M113" s="65" t="s">
        <v>29</v>
      </c>
      <c r="N113" s="65"/>
      <c r="O113" s="15" t="s">
        <v>40</v>
      </c>
      <c r="P113" s="13"/>
      <c r="Q113" s="17">
        <v>1</v>
      </c>
      <c r="S113" s="13"/>
      <c r="T113" s="13"/>
    </row>
    <row r="114" spans="2:20">
      <c r="B114" s="3">
        <f t="shared" si="22"/>
        <v>404.2</v>
      </c>
      <c r="C114" s="25">
        <f t="shared" si="28"/>
        <v>400</v>
      </c>
      <c r="D114" s="25">
        <f t="shared" si="28"/>
        <v>0</v>
      </c>
      <c r="E114" s="75"/>
      <c r="F114" s="64">
        <f t="shared" si="26"/>
        <v>4</v>
      </c>
      <c r="G114" s="75"/>
      <c r="H114" s="22">
        <f t="shared" si="27"/>
        <v>0.2</v>
      </c>
      <c r="I114" s="8" t="str">
        <f>"+peak angle"</f>
        <v>+peak angle</v>
      </c>
      <c r="J114" s="65"/>
      <c r="K114" s="10">
        <f>K85</f>
        <v>0</v>
      </c>
      <c r="L114" s="65"/>
      <c r="M114" s="9" t="s">
        <v>30</v>
      </c>
      <c r="N114" s="65"/>
      <c r="O114" s="15"/>
      <c r="P114" s="13"/>
      <c r="S114" s="13"/>
      <c r="T114" s="13"/>
    </row>
    <row r="115" spans="2:20">
      <c r="B115" s="3">
        <f t="shared" si="22"/>
        <v>404.3</v>
      </c>
      <c r="C115" s="25">
        <f t="shared" si="28"/>
        <v>400</v>
      </c>
      <c r="D115" s="25">
        <f t="shared" si="28"/>
        <v>0</v>
      </c>
      <c r="E115" s="75"/>
      <c r="F115" s="64">
        <f t="shared" si="26"/>
        <v>4</v>
      </c>
      <c r="G115" s="75"/>
      <c r="H115" s="22">
        <f t="shared" si="27"/>
        <v>0.30000000000000004</v>
      </c>
      <c r="I115" s="8" t="str">
        <f>"+magnitude"</f>
        <v>+magnitude</v>
      </c>
      <c r="J115" s="65"/>
      <c r="K115" s="5"/>
      <c r="L115" s="65"/>
      <c r="M115" s="65" t="s">
        <v>29</v>
      </c>
      <c r="N115" s="65"/>
      <c r="O115" s="15" t="s">
        <v>42</v>
      </c>
      <c r="P115" s="13"/>
      <c r="Q115" s="17">
        <v>1</v>
      </c>
      <c r="S115" s="13"/>
      <c r="T115" s="13"/>
    </row>
    <row r="116" spans="2:20">
      <c r="B116" s="3">
        <f t="shared" si="22"/>
        <v>404.4</v>
      </c>
      <c r="C116" s="25">
        <f t="shared" si="28"/>
        <v>400</v>
      </c>
      <c r="D116" s="25">
        <f t="shared" si="28"/>
        <v>0</v>
      </c>
      <c r="E116" s="75"/>
      <c r="F116" s="64">
        <f t="shared" si="26"/>
        <v>4</v>
      </c>
      <c r="G116" s="75"/>
      <c r="H116" s="22">
        <f t="shared" si="27"/>
        <v>0.4</v>
      </c>
      <c r="I116" s="8" t="s">
        <v>45</v>
      </c>
      <c r="J116" s="6">
        <f>J111</f>
        <v>-2</v>
      </c>
      <c r="K116" s="7" t="e">
        <f>2*(K81-K113)/(K81+K113)</f>
        <v>#DIV/0!</v>
      </c>
      <c r="L116" s="6">
        <f>L111</f>
        <v>2</v>
      </c>
      <c r="M116" s="6" t="s">
        <v>28</v>
      </c>
      <c r="N116" s="65" t="e">
        <f>IF((J116&lt;K116)* (K116&lt;L116),"PASS","FAIL")</f>
        <v>#DIV/0!</v>
      </c>
      <c r="O116" s="8"/>
      <c r="R116" s="17">
        <v>1</v>
      </c>
    </row>
    <row r="117" spans="2:20">
      <c r="B117" s="3">
        <f t="shared" si="22"/>
        <v>404.5</v>
      </c>
      <c r="C117" s="25">
        <f t="shared" si="28"/>
        <v>400</v>
      </c>
      <c r="D117" s="25">
        <f t="shared" si="28"/>
        <v>0</v>
      </c>
      <c r="E117" s="76"/>
      <c r="F117" s="64">
        <f t="shared" si="26"/>
        <v>4</v>
      </c>
      <c r="G117" s="76"/>
      <c r="H117" s="22">
        <f t="shared" si="27"/>
        <v>0.5</v>
      </c>
      <c r="I117" s="8" t="s">
        <v>46</v>
      </c>
      <c r="J117" s="6">
        <f>J116</f>
        <v>-2</v>
      </c>
      <c r="K117" s="7" t="e">
        <f>2*(K84-K115)/(K84+K115)</f>
        <v>#DIV/0!</v>
      </c>
      <c r="L117" s="6">
        <f>L116</f>
        <v>2</v>
      </c>
      <c r="M117" s="6" t="s">
        <v>28</v>
      </c>
      <c r="N117" s="65" t="e">
        <f>IF((J117&lt;K117)* (K117&lt;L117),"PASS","FAIL")</f>
        <v>#DIV/0!</v>
      </c>
      <c r="O117" s="8"/>
      <c r="R117" s="17">
        <v>1</v>
      </c>
    </row>
  </sheetData>
  <mergeCells count="42">
    <mergeCell ref="B89:D89"/>
    <mergeCell ref="E89:G89"/>
    <mergeCell ref="E90:E117"/>
    <mergeCell ref="G90:G93"/>
    <mergeCell ref="O91:O92"/>
    <mergeCell ref="G94:G99"/>
    <mergeCell ref="G100:G105"/>
    <mergeCell ref="G106:G111"/>
    <mergeCell ref="G112:G117"/>
    <mergeCell ref="B46:D46"/>
    <mergeCell ref="E46:O46"/>
    <mergeCell ref="E47:E88"/>
    <mergeCell ref="G47:G52"/>
    <mergeCell ref="O50:O51"/>
    <mergeCell ref="G53:G61"/>
    <mergeCell ref="G62:G70"/>
    <mergeCell ref="G71:G79"/>
    <mergeCell ref="G80:G88"/>
    <mergeCell ref="B32:D32"/>
    <mergeCell ref="E32:O32"/>
    <mergeCell ref="E33:E45"/>
    <mergeCell ref="G33:G35"/>
    <mergeCell ref="G36:G38"/>
    <mergeCell ref="G39:G41"/>
    <mergeCell ref="G42:G44"/>
    <mergeCell ref="G12:G13"/>
    <mergeCell ref="E15:E31"/>
    <mergeCell ref="G15:J15"/>
    <mergeCell ref="G16:G19"/>
    <mergeCell ref="G20:G23"/>
    <mergeCell ref="G24:G27"/>
    <mergeCell ref="G28:G31"/>
    <mergeCell ref="B2:B3"/>
    <mergeCell ref="C2:D3"/>
    <mergeCell ref="E2:I2"/>
    <mergeCell ref="E3:O3"/>
    <mergeCell ref="E4:E14"/>
    <mergeCell ref="G4:G5"/>
    <mergeCell ref="O4:O5"/>
    <mergeCell ref="G6:G7"/>
    <mergeCell ref="G8:G9"/>
    <mergeCell ref="G10:G11"/>
  </mergeCells>
  <conditionalFormatting sqref="N104:N105 N98:N99 N7 N9 N11 N13 N18:N19 N22:N23 N26:N27 N30:N31 N34:N35 N37:N38 N40:N41 N43:N44 N93 N110:N111 N116:N117 N59:N61 N68:N70 N77:N79 N86:N88">
    <cfRule type="expression" dxfId="1" priority="1">
      <formula>N7="FAIL"</formula>
    </cfRule>
    <cfRule type="expression" dxfId="0" priority="2">
      <formula>N7="PASS"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Calibration</vt:lpstr>
      <vt:lpstr>Test List</vt:lpstr>
      <vt:lpstr>Specifications</vt:lpstr>
      <vt:lpstr>dut-setup</vt:lpstr>
      <vt:lpstr>filterWheels</vt:lpstr>
      <vt:lpstr>#1</vt:lpstr>
      <vt:lpstr>#2</vt:lpstr>
      <vt:lpstr>#3</vt:lpstr>
      <vt:lpstr>Sheet4</vt:lpstr>
    </vt:vector>
  </TitlesOfParts>
  <Company>Intersil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jgetchel</dc:creator>
  <cp:lastModifiedBy>jgetchel</cp:lastModifiedBy>
  <dcterms:created xsi:type="dcterms:W3CDTF">2013-04-13T20:17:18Z</dcterms:created>
  <dcterms:modified xsi:type="dcterms:W3CDTF">2013-05-22T02:26:17Z</dcterms:modified>
</cp:coreProperties>
</file>