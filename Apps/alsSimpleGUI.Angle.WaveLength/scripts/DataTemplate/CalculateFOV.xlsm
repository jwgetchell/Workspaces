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pptx" ContentType="application/vnd.openxmlformats-officedocument.presentationml.presentation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-15" yWindow="0" windowWidth="16485" windowHeight="9750" tabRatio="784"/>
  </bookViews>
  <sheets>
    <sheet name="Summary" sheetId="1" r:id="rId1"/>
  </sheets>
  <functionGroups builtInGroupCount="18"/>
  <definedNames>
    <definedName name="apertureRadius">Summary!$D$6</definedName>
    <definedName name="halfAngle">Summary!$D$7</definedName>
    <definedName name="packageHeight">Summary!$D$4</definedName>
    <definedName name="plateThickness">Summary!$D$3</definedName>
    <definedName name="sensorHalfWidth">Summary!$D$5</definedName>
    <definedName name="solver_adj" localSheetId="0" hidden="1">Summary!$D$6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Summary!$D$8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1.65</definedName>
    <definedName name="solver_ver" localSheetId="0" hidden="1">3</definedName>
    <definedName name="spacer">Summary!$D$8</definedName>
  </definedNames>
  <calcPr calcId="152511"/>
</workbook>
</file>

<file path=xl/calcChain.xml><?xml version="1.0" encoding="utf-8"?>
<calcChain xmlns="http://schemas.openxmlformats.org/spreadsheetml/2006/main">
  <c r="D8" i="1" l="1"/>
  <c r="D5" i="1" l="1"/>
  <c r="D11" i="1" l="1"/>
  <c r="E11" i="1" s="1"/>
</calcChain>
</file>

<file path=xl/sharedStrings.xml><?xml version="1.0" encoding="utf-8"?>
<sst xmlns="http://schemas.openxmlformats.org/spreadsheetml/2006/main" count="10" uniqueCount="10">
  <si>
    <t>Half Angle</t>
  </si>
  <si>
    <t>Spacer</t>
  </si>
  <si>
    <t>Solver for spacer height</t>
  </si>
  <si>
    <t>Plate thickness</t>
  </si>
  <si>
    <t>Package height</t>
  </si>
  <si>
    <t>Sensor half width</t>
  </si>
  <si>
    <t>Aperature Diameter</t>
  </si>
  <si>
    <t>Aperture Radius</t>
  </si>
  <si>
    <t>mm</t>
  </si>
  <si>
    <t>inches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</si>
</sst>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\ ??/32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</xdr:row>
          <xdr:rowOff>0</xdr:rowOff>
        </xdr:from>
        <xdr:to>
          <xdr:col>15</xdr:col>
          <xdr:colOff>219075</xdr:colOff>
          <xdr:row>22</xdr:row>
          <xdr:rowOff>38100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PowerPoint_Presentation1.ppt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4"/>
  <sheetViews>
    <sheetView tabSelected="1" zoomScale="110" zoomScaleNormal="110" workbookViewId="0">
      <selection activeCell="F7" sqref="F7"/>
    </sheetView>
  </sheetViews>
  <sheetFormatPr defaultRowHeight="15" x14ac:dyDescent="0.25"/>
  <cols>
    <col min="1" max="16384" width="9.140625" style="2"/>
  </cols>
  <sheetData>
    <row r="2" spans="2:5" x14ac:dyDescent="0.25">
      <c r="B2" s="9" t="s">
        <v>2</v>
      </c>
      <c r="C2" s="9"/>
      <c r="D2" s="9"/>
    </row>
    <row r="3" spans="2:5" x14ac:dyDescent="0.25">
      <c r="B3" s="8" t="s">
        <v>3</v>
      </c>
      <c r="C3" s="8"/>
      <c r="D3" s="4">
        <v>0.9</v>
      </c>
    </row>
    <row r="4" spans="2:5" x14ac:dyDescent="0.25">
      <c r="B4" s="8" t="s">
        <v>4</v>
      </c>
      <c r="C4" s="8"/>
      <c r="D4" s="4">
        <v>0.7</v>
      </c>
    </row>
    <row r="5" spans="2:5" x14ac:dyDescent="0.25">
      <c r="B5" s="8" t="s">
        <v>5</v>
      </c>
      <c r="C5" s="8"/>
      <c r="D5" s="4">
        <f>0.49/2</f>
        <v>0.245</v>
      </c>
    </row>
    <row r="6" spans="2:5" x14ac:dyDescent="0.25">
      <c r="B6" s="8" t="s">
        <v>7</v>
      </c>
      <c r="C6" s="8"/>
      <c r="D6" s="4">
        <v>1.5403839456879695</v>
      </c>
      <c r="E6" s="3"/>
    </row>
    <row r="7" spans="2:5" x14ac:dyDescent="0.25">
      <c r="B7" s="8" t="s">
        <v>0</v>
      </c>
      <c r="C7" s="8"/>
      <c r="D7" s="4">
        <v>35</v>
      </c>
    </row>
    <row r="8" spans="2:5" x14ac:dyDescent="0.25">
      <c r="B8" s="8" t="s">
        <v>1</v>
      </c>
      <c r="C8" s="8"/>
      <c r="D8" s="5">
        <f>(apertureRadius-sensorHalfWidth)/TAN(halfAngle*PI()/180)-plateThickness+packageHeight</f>
        <v>1.6500000000000092</v>
      </c>
      <c r="E8" s="2">
        <v>1.65</v>
      </c>
    </row>
    <row r="10" spans="2:5" x14ac:dyDescent="0.25">
      <c r="B10" s="7" t="s">
        <v>6</v>
      </c>
      <c r="C10" s="7"/>
      <c r="D10" s="2" t="s">
        <v>8</v>
      </c>
      <c r="E10" s="2" t="s">
        <v>9</v>
      </c>
    </row>
    <row r="11" spans="2:5" x14ac:dyDescent="0.25">
      <c r="B11" s="7"/>
      <c r="C11" s="7"/>
      <c r="D11" s="1">
        <f>D6*2</f>
        <v>3.0807678913759391</v>
      </c>
      <c r="E11" s="3">
        <f>(D11)/25.4</f>
        <v>0.12129007446361965</v>
      </c>
    </row>
    <row r="14" spans="2:5" x14ac:dyDescent="0.25">
      <c r="C14" s="6"/>
    </row>
  </sheetData>
  <mergeCells count="8">
    <mergeCell ref="B10:C11"/>
    <mergeCell ref="B8:C8"/>
    <mergeCell ref="B2:D2"/>
    <mergeCell ref="B3:C3"/>
    <mergeCell ref="B4:C4"/>
    <mergeCell ref="B5:C5"/>
    <mergeCell ref="B6:C6"/>
    <mergeCell ref="B7:C7"/>
  </mergeCells>
  <pageMargins left="0.7" right="0.7" top="0.75" bottom="0.75" header="0.3" footer="0.3"/>
  <pageSetup scale="180" orientation="landscape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PowerPoint.Show.12" shapeId="1027" r:id="rId4">
          <objectPr defaultSize="0" autoPict="0" r:id="rId5">
            <anchor moveWithCells="1" sizeWithCells="1">
              <from>
                <xdr:col>6</xdr:col>
                <xdr:colOff>238125</xdr:colOff>
                <xdr:row>1</xdr:row>
                <xdr:rowOff>0</xdr:rowOff>
              </from>
              <to>
                <xdr:col>15</xdr:col>
                <xdr:colOff>219075</xdr:colOff>
                <xdr:row>22</xdr:row>
                <xdr:rowOff>38100</xdr:rowOff>
              </to>
            </anchor>
          </objectPr>
        </oleObject>
      </mc:Choice>
      <mc:Fallback>
        <oleObject progId="PowerPoint.Show.12" shapeId="1027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Summary</vt:lpstr>
      <vt:lpstr>apertureRadius</vt:lpstr>
      <vt:lpstr>halfAngle</vt:lpstr>
      <vt:lpstr>packageHeight</vt:lpstr>
      <vt:lpstr>plateThickness</vt:lpstr>
      <vt:lpstr>sensorHalfWidth</vt:lpstr>
      <vt:lpstr>spacer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2015-05-06T23:21:07Z</dcterms:modified>
</cp:coreProperties>
</file>