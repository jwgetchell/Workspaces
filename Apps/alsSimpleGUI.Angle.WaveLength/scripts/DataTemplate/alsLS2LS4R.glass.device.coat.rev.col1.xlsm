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0" yWindow="60" windowWidth="18585" windowHeight="9675" tabRatio="721" activeTab="1"/>
  </bookViews>
  <sheets>
    <sheet name="Summary" sheetId="2" r:id="rId1"/>
    <sheet name="Calculations" sheetId="4" r:id="rId2"/>
    <sheet name="Calculations (2)" sheetId="9" r:id="rId3"/>
    <sheet name="data0" sheetId="3" r:id="rId4"/>
    <sheet name="count0" sheetId="7" r:id="rId5"/>
  </sheets>
  <functionGroups/>
  <definedNames>
    <definedName name="_xlnm._FilterDatabase" localSheetId="1" hidden="1">Calculations!$A$44:$F$53</definedName>
    <definedName name="_xlnm._FilterDatabase" localSheetId="2" hidden="1">'Calculations (2)'!$A$44:$F$53</definedName>
    <definedName name="count" localSheetId="2">'Calculations (2)'!$Q$45</definedName>
    <definedName name="count">Calculations!$Q$45</definedName>
    <definedName name="K_0" localSheetId="2">'Calculations (2)'!$C$52</definedName>
    <definedName name="K_0">Calculations!$C$52</definedName>
    <definedName name="K_0a">#REF!</definedName>
    <definedName name="K_1" localSheetId="2">'Calculations (2)'!$C$53</definedName>
    <definedName name="K_1">Calculations!$C$53</definedName>
    <definedName name="k0" localSheetId="2">'Calculations (2)'!$C$52</definedName>
    <definedName name="k0">Calculations!$C$52</definedName>
    <definedName name="Lux">Summary!$G$1</definedName>
    <definedName name="maxComp" localSheetId="2">'Calculations (2)'!$Q$48</definedName>
    <definedName name="maxComp">Calculations!$Q$48</definedName>
    <definedName name="minComp">Summary!$F$1</definedName>
    <definedName name="_xlnm.Print_Area" localSheetId="3">data0!$B$1:$AL$7</definedName>
    <definedName name="_xlnm.Print_Area" localSheetId="0">Summary!$A$1:$H$12</definedName>
    <definedName name="r_0">Summary!$I$3</definedName>
    <definedName name="r_1">Summary!$I$4</definedName>
    <definedName name="r_2">Summary!$I$5</definedName>
    <definedName name="r_3">Summary!$I$6</definedName>
    <definedName name="r0">Summary!$I$3</definedName>
    <definedName name="res">Summary!$J$7</definedName>
    <definedName name="solver_adj" localSheetId="1" hidden="1">Calculations!$C$53</definedName>
    <definedName name="solver_adj" localSheetId="2" hidden="1">'Calculations (2)'!$C$53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Calculations!$C$54</definedName>
    <definedName name="solver_opt" localSheetId="2" hidden="1">'Calculations (2)'!$C$54</definedName>
    <definedName name="solver_pre" localSheetId="1" hidden="1">0.000001</definedName>
    <definedName name="solver_pre" localSheetId="2" hidden="1">0.000001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v_0">Summary!$F$7</definedName>
    <definedName name="v_1">Summary!$E$7</definedName>
  </definedNames>
  <calcPr calcId="125725"/>
</workbook>
</file>

<file path=xl/calcChain.xml><?xml version="1.0" encoding="utf-8"?>
<calcChain xmlns="http://schemas.openxmlformats.org/spreadsheetml/2006/main">
  <c r="P21" i="4"/>
  <c r="P20"/>
  <c r="P29" s="1"/>
  <c r="P19"/>
  <c r="P18"/>
  <c r="P17"/>
  <c r="P37" s="1"/>
  <c r="P16"/>
  <c r="P15"/>
  <c r="P14"/>
  <c r="P13"/>
  <c r="P12"/>
  <c r="P34" s="1"/>
  <c r="P11"/>
  <c r="P10"/>
  <c r="P27" s="1"/>
  <c r="P9"/>
  <c r="P8"/>
  <c r="P7"/>
  <c r="P6"/>
  <c r="P31" s="1"/>
  <c r="P5"/>
  <c r="P4"/>
  <c r="P3"/>
  <c r="P2"/>
  <c r="P30" s="1"/>
  <c r="P38" s="1"/>
  <c r="O46" i="9"/>
  <c r="B45"/>
  <c r="P33" i="4" l="1"/>
  <c r="P35"/>
  <c r="P40" s="1"/>
  <c r="P22"/>
  <c r="P24"/>
  <c r="P26"/>
  <c r="P28"/>
  <c r="P32"/>
  <c r="P39" s="1"/>
  <c r="P36"/>
  <c r="P41" s="1"/>
  <c r="P42"/>
  <c r="P23"/>
  <c r="P25"/>
  <c r="C41" i="9"/>
  <c r="C40"/>
  <c r="C39"/>
  <c r="C38"/>
  <c r="B38"/>
  <c r="B36"/>
  <c r="B34"/>
  <c r="B32"/>
  <c r="C31"/>
  <c r="C33" s="1"/>
  <c r="C35" s="1"/>
  <c r="C37" s="1"/>
  <c r="C30"/>
  <c r="C32" s="1"/>
  <c r="C34" s="1"/>
  <c r="C36" s="1"/>
  <c r="B30"/>
  <c r="C29"/>
  <c r="C28"/>
  <c r="C27"/>
  <c r="C26"/>
  <c r="AO21"/>
  <c r="AN21"/>
  <c r="AK21"/>
  <c r="AJ21"/>
  <c r="AI21"/>
  <c r="AH21"/>
  <c r="AG21"/>
  <c r="AE21"/>
  <c r="AD21"/>
  <c r="AC21"/>
  <c r="AA21"/>
  <c r="Y21"/>
  <c r="X21"/>
  <c r="W21"/>
  <c r="U21"/>
  <c r="S21"/>
  <c r="R21"/>
  <c r="Q21"/>
  <c r="O21"/>
  <c r="N21"/>
  <c r="M21"/>
  <c r="L21"/>
  <c r="K21"/>
  <c r="J21"/>
  <c r="F21"/>
  <c r="AO20"/>
  <c r="AN20"/>
  <c r="AK20"/>
  <c r="AJ20"/>
  <c r="AI20"/>
  <c r="AH20"/>
  <c r="AG20"/>
  <c r="AE20"/>
  <c r="AD20"/>
  <c r="AC20"/>
  <c r="AA20"/>
  <c r="Y20"/>
  <c r="X20"/>
  <c r="W20"/>
  <c r="U20"/>
  <c r="S20"/>
  <c r="R20"/>
  <c r="Q20"/>
  <c r="O20"/>
  <c r="N20"/>
  <c r="M20"/>
  <c r="L20"/>
  <c r="K20"/>
  <c r="J20"/>
  <c r="AO19"/>
  <c r="AN19"/>
  <c r="AK19"/>
  <c r="AJ19"/>
  <c r="AI19"/>
  <c r="AH19"/>
  <c r="AG19"/>
  <c r="AE19"/>
  <c r="AD19"/>
  <c r="AC19"/>
  <c r="AA19"/>
  <c r="Y19"/>
  <c r="X19"/>
  <c r="W19"/>
  <c r="U19"/>
  <c r="S19"/>
  <c r="R19"/>
  <c r="Q19"/>
  <c r="O19"/>
  <c r="N19"/>
  <c r="M19"/>
  <c r="L19"/>
  <c r="K19"/>
  <c r="J19"/>
  <c r="AO18"/>
  <c r="AN18"/>
  <c r="AK18"/>
  <c r="AJ18"/>
  <c r="AI18"/>
  <c r="AH18"/>
  <c r="AG18"/>
  <c r="AE18"/>
  <c r="AD18"/>
  <c r="AC18"/>
  <c r="AA18"/>
  <c r="Y18"/>
  <c r="X18"/>
  <c r="W18"/>
  <c r="U18"/>
  <c r="S18"/>
  <c r="R18"/>
  <c r="Q18"/>
  <c r="O18"/>
  <c r="N18"/>
  <c r="M18"/>
  <c r="L18"/>
  <c r="K18"/>
  <c r="J18"/>
  <c r="H18" s="1"/>
  <c r="AO17"/>
  <c r="AO37" s="1"/>
  <c r="AN17"/>
  <c r="AK17"/>
  <c r="AK37" s="1"/>
  <c r="AJ17"/>
  <c r="AI17"/>
  <c r="AI37" s="1"/>
  <c r="AH17"/>
  <c r="AG17"/>
  <c r="AG37" s="1"/>
  <c r="AE17"/>
  <c r="AD17"/>
  <c r="AD37" s="1"/>
  <c r="AC17"/>
  <c r="AA17"/>
  <c r="AA37" s="1"/>
  <c r="Y17"/>
  <c r="X17"/>
  <c r="X37" s="1"/>
  <c r="W17"/>
  <c r="U17"/>
  <c r="U37" s="1"/>
  <c r="S17"/>
  <c r="R17"/>
  <c r="R37" s="1"/>
  <c r="Q17"/>
  <c r="O17"/>
  <c r="O37" s="1"/>
  <c r="N17"/>
  <c r="M17"/>
  <c r="M37" s="1"/>
  <c r="L17"/>
  <c r="K17"/>
  <c r="K37" s="1"/>
  <c r="J17"/>
  <c r="AO16"/>
  <c r="AN16"/>
  <c r="AK16"/>
  <c r="AJ16"/>
  <c r="AI16"/>
  <c r="AH16"/>
  <c r="AG16"/>
  <c r="AE16"/>
  <c r="AD16"/>
  <c r="AC16"/>
  <c r="AA16"/>
  <c r="Y16"/>
  <c r="X16"/>
  <c r="W16"/>
  <c r="U16"/>
  <c r="S16"/>
  <c r="R16"/>
  <c r="Q16"/>
  <c r="O16"/>
  <c r="N16"/>
  <c r="M16"/>
  <c r="L16"/>
  <c r="K16"/>
  <c r="J16"/>
  <c r="H16" s="1"/>
  <c r="AO15"/>
  <c r="AN15"/>
  <c r="AK15"/>
  <c r="AJ15"/>
  <c r="AI15"/>
  <c r="AH15"/>
  <c r="AG15"/>
  <c r="AE15"/>
  <c r="AD15"/>
  <c r="AC15"/>
  <c r="AA15"/>
  <c r="Y15"/>
  <c r="X15"/>
  <c r="W15"/>
  <c r="U15"/>
  <c r="S15"/>
  <c r="R15"/>
  <c r="Q15"/>
  <c r="O15"/>
  <c r="N15"/>
  <c r="M15"/>
  <c r="L15"/>
  <c r="K15"/>
  <c r="J15"/>
  <c r="AO14"/>
  <c r="AN14"/>
  <c r="AK14"/>
  <c r="AJ14"/>
  <c r="AI14"/>
  <c r="AH14"/>
  <c r="AG14"/>
  <c r="AE14"/>
  <c r="AD14"/>
  <c r="AC14"/>
  <c r="AA14"/>
  <c r="Y14"/>
  <c r="X14"/>
  <c r="W14"/>
  <c r="U14"/>
  <c r="S14"/>
  <c r="R14"/>
  <c r="Q14"/>
  <c r="O14"/>
  <c r="N14"/>
  <c r="M14"/>
  <c r="L14"/>
  <c r="K14"/>
  <c r="J14"/>
  <c r="AO13"/>
  <c r="AN13"/>
  <c r="AK13"/>
  <c r="AJ13"/>
  <c r="AI13"/>
  <c r="AH13"/>
  <c r="AG13"/>
  <c r="AE13"/>
  <c r="AD13"/>
  <c r="AC13"/>
  <c r="AA13"/>
  <c r="Y13"/>
  <c r="X13"/>
  <c r="W13"/>
  <c r="U13"/>
  <c r="S13"/>
  <c r="R13"/>
  <c r="Q13"/>
  <c r="O13"/>
  <c r="N13"/>
  <c r="M13"/>
  <c r="L13"/>
  <c r="K13"/>
  <c r="J13"/>
  <c r="AO12"/>
  <c r="AO24" s="1"/>
  <c r="AN12"/>
  <c r="AK12"/>
  <c r="AK24" s="1"/>
  <c r="AJ12"/>
  <c r="AI12"/>
  <c r="AI24" s="1"/>
  <c r="AH12"/>
  <c r="AG12"/>
  <c r="AG24" s="1"/>
  <c r="AE12"/>
  <c r="AE24" s="1"/>
  <c r="AD12"/>
  <c r="AC12"/>
  <c r="AC24" s="1"/>
  <c r="AA12"/>
  <c r="AA24" s="1"/>
  <c r="Y12"/>
  <c r="X12"/>
  <c r="X34" s="1"/>
  <c r="W12"/>
  <c r="U12"/>
  <c r="U34" s="1"/>
  <c r="S12"/>
  <c r="R12"/>
  <c r="R34" s="1"/>
  <c r="Q12"/>
  <c r="O12"/>
  <c r="O34" s="1"/>
  <c r="N12"/>
  <c r="M12"/>
  <c r="M34" s="1"/>
  <c r="L12"/>
  <c r="K12"/>
  <c r="K34" s="1"/>
  <c r="J12"/>
  <c r="AO11"/>
  <c r="AN11"/>
  <c r="AK11"/>
  <c r="AJ11"/>
  <c r="AI11"/>
  <c r="AH11"/>
  <c r="AG11"/>
  <c r="AE11"/>
  <c r="AD11"/>
  <c r="AC11"/>
  <c r="AA11"/>
  <c r="Y11"/>
  <c r="X11"/>
  <c r="W11"/>
  <c r="U11"/>
  <c r="S11"/>
  <c r="R11"/>
  <c r="Q11"/>
  <c r="O11"/>
  <c r="N11"/>
  <c r="M11"/>
  <c r="L11"/>
  <c r="K11"/>
  <c r="J11"/>
  <c r="D11"/>
  <c r="D13" s="1"/>
  <c r="D21" s="1"/>
  <c r="AO10"/>
  <c r="AN10"/>
  <c r="AK10"/>
  <c r="AJ10"/>
  <c r="AI10"/>
  <c r="AH10"/>
  <c r="AG10"/>
  <c r="AE10"/>
  <c r="AD10"/>
  <c r="AC10"/>
  <c r="AA10"/>
  <c r="Y10"/>
  <c r="X10"/>
  <c r="W10"/>
  <c r="U10"/>
  <c r="S10"/>
  <c r="R10"/>
  <c r="Q10"/>
  <c r="O10"/>
  <c r="N10"/>
  <c r="M10"/>
  <c r="L10"/>
  <c r="K10"/>
  <c r="J10"/>
  <c r="H10" s="1"/>
  <c r="AO9"/>
  <c r="AN9"/>
  <c r="AK9"/>
  <c r="AJ9"/>
  <c r="AI9"/>
  <c r="AH9"/>
  <c r="AG9"/>
  <c r="AE9"/>
  <c r="AD9"/>
  <c r="AC9"/>
  <c r="AA9"/>
  <c r="Y9"/>
  <c r="X9"/>
  <c r="W9"/>
  <c r="U9"/>
  <c r="S9"/>
  <c r="R9"/>
  <c r="Q9"/>
  <c r="O9"/>
  <c r="N9"/>
  <c r="M9"/>
  <c r="L9"/>
  <c r="K9"/>
  <c r="J9"/>
  <c r="AO8"/>
  <c r="AN8"/>
  <c r="AK8"/>
  <c r="AJ8"/>
  <c r="AI8"/>
  <c r="AH8"/>
  <c r="AG8"/>
  <c r="AE8"/>
  <c r="AD8"/>
  <c r="AC8"/>
  <c r="AA8"/>
  <c r="Y8"/>
  <c r="X8"/>
  <c r="W8"/>
  <c r="U8"/>
  <c r="S8"/>
  <c r="R8"/>
  <c r="Q8"/>
  <c r="O8"/>
  <c r="N8"/>
  <c r="M8"/>
  <c r="L8"/>
  <c r="K8"/>
  <c r="J8"/>
  <c r="F8" s="1"/>
  <c r="AO7"/>
  <c r="AN7"/>
  <c r="AK7"/>
  <c r="AJ7"/>
  <c r="AI7"/>
  <c r="AH7"/>
  <c r="AG7"/>
  <c r="AE7"/>
  <c r="AD7"/>
  <c r="AC7"/>
  <c r="AA7"/>
  <c r="Y7"/>
  <c r="X7"/>
  <c r="W7"/>
  <c r="U7"/>
  <c r="S7"/>
  <c r="R7"/>
  <c r="Q7"/>
  <c r="O7"/>
  <c r="N7"/>
  <c r="M7"/>
  <c r="L7"/>
  <c r="K7"/>
  <c r="J7"/>
  <c r="AO6"/>
  <c r="AN6"/>
  <c r="AK6"/>
  <c r="AJ6"/>
  <c r="AI6"/>
  <c r="AH6"/>
  <c r="AG6"/>
  <c r="AE6"/>
  <c r="AD6"/>
  <c r="AC6"/>
  <c r="AA6"/>
  <c r="Y6"/>
  <c r="X6"/>
  <c r="W6"/>
  <c r="U6"/>
  <c r="S6"/>
  <c r="R6"/>
  <c r="Q6"/>
  <c r="O6"/>
  <c r="N6"/>
  <c r="M6"/>
  <c r="L6"/>
  <c r="K6"/>
  <c r="J6"/>
  <c r="H6" s="1"/>
  <c r="AO5"/>
  <c r="AN5"/>
  <c r="AK5"/>
  <c r="AJ5"/>
  <c r="AI5"/>
  <c r="AH5"/>
  <c r="AG5"/>
  <c r="AE5"/>
  <c r="AD5"/>
  <c r="AC5"/>
  <c r="AA5"/>
  <c r="Y5"/>
  <c r="X5"/>
  <c r="W5"/>
  <c r="U5"/>
  <c r="S5"/>
  <c r="R5"/>
  <c r="Q5"/>
  <c r="O5"/>
  <c r="N5"/>
  <c r="M5"/>
  <c r="L5"/>
  <c r="K5"/>
  <c r="J5"/>
  <c r="AO4"/>
  <c r="AN4"/>
  <c r="AK4"/>
  <c r="AJ4"/>
  <c r="AI4"/>
  <c r="AH4"/>
  <c r="AG4"/>
  <c r="AE4"/>
  <c r="AD4"/>
  <c r="AC4"/>
  <c r="AA4"/>
  <c r="Y4"/>
  <c r="X4"/>
  <c r="W4"/>
  <c r="U4"/>
  <c r="S4"/>
  <c r="R4"/>
  <c r="Q4"/>
  <c r="O4"/>
  <c r="N4"/>
  <c r="M4"/>
  <c r="L4"/>
  <c r="K4"/>
  <c r="J4"/>
  <c r="F4" s="1"/>
  <c r="AO3"/>
  <c r="AN3"/>
  <c r="AK3"/>
  <c r="AJ3"/>
  <c r="AI3"/>
  <c r="AH3"/>
  <c r="AG3"/>
  <c r="AE3"/>
  <c r="AD3"/>
  <c r="AC3"/>
  <c r="AA3"/>
  <c r="Y3"/>
  <c r="X3"/>
  <c r="W3"/>
  <c r="U3"/>
  <c r="S3"/>
  <c r="R3"/>
  <c r="Q3"/>
  <c r="O3"/>
  <c r="N3"/>
  <c r="M3"/>
  <c r="L3"/>
  <c r="K3"/>
  <c r="J3"/>
  <c r="AO2"/>
  <c r="AN2"/>
  <c r="AN30" s="1"/>
  <c r="AK2"/>
  <c r="AJ2"/>
  <c r="AJ30" s="1"/>
  <c r="AI2"/>
  <c r="AH2"/>
  <c r="AH30" s="1"/>
  <c r="AG2"/>
  <c r="AE2"/>
  <c r="AE30" s="1"/>
  <c r="AD2"/>
  <c r="AC2"/>
  <c r="AC30" s="1"/>
  <c r="AA2"/>
  <c r="Y2"/>
  <c r="Y30" s="1"/>
  <c r="X2"/>
  <c r="W2"/>
  <c r="W30" s="1"/>
  <c r="U2"/>
  <c r="S2"/>
  <c r="S30" s="1"/>
  <c r="R2"/>
  <c r="Q2"/>
  <c r="Q30" s="1"/>
  <c r="O2"/>
  <c r="N2"/>
  <c r="N30" s="1"/>
  <c r="M2"/>
  <c r="L2"/>
  <c r="L30" s="1"/>
  <c r="K2"/>
  <c r="J2"/>
  <c r="H2" s="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AO21" i="4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O21"/>
  <c r="N21"/>
  <c r="M21"/>
  <c r="L21"/>
  <c r="K21"/>
  <c r="AO20"/>
  <c r="AO29" s="1"/>
  <c r="AN20"/>
  <c r="AN29" s="1"/>
  <c r="AM20"/>
  <c r="AM29" s="1"/>
  <c r="AL20"/>
  <c r="AL29" s="1"/>
  <c r="AK20"/>
  <c r="AK29" s="1"/>
  <c r="AJ20"/>
  <c r="AJ29" s="1"/>
  <c r="AI20"/>
  <c r="AI29" s="1"/>
  <c r="AH20"/>
  <c r="AH29" s="1"/>
  <c r="AG20"/>
  <c r="AG29" s="1"/>
  <c r="AF20"/>
  <c r="AF29" s="1"/>
  <c r="AE20"/>
  <c r="AE29" s="1"/>
  <c r="AD20"/>
  <c r="AD29" s="1"/>
  <c r="AC20"/>
  <c r="AC29" s="1"/>
  <c r="AB20"/>
  <c r="AB29" s="1"/>
  <c r="AA20"/>
  <c r="AA29" s="1"/>
  <c r="Z20"/>
  <c r="Z29" s="1"/>
  <c r="Y20"/>
  <c r="Y29" s="1"/>
  <c r="X20"/>
  <c r="X29" s="1"/>
  <c r="W20"/>
  <c r="W29" s="1"/>
  <c r="V20"/>
  <c r="V29" s="1"/>
  <c r="U20"/>
  <c r="U29" s="1"/>
  <c r="T20"/>
  <c r="T29" s="1"/>
  <c r="S20"/>
  <c r="S29" s="1"/>
  <c r="R20"/>
  <c r="R29" s="1"/>
  <c r="Q20"/>
  <c r="Q29" s="1"/>
  <c r="O20"/>
  <c r="O29" s="1"/>
  <c r="N20"/>
  <c r="N29" s="1"/>
  <c r="M20"/>
  <c r="M29" s="1"/>
  <c r="L20"/>
  <c r="L29" s="1"/>
  <c r="K20"/>
  <c r="K29" s="1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O19"/>
  <c r="N19"/>
  <c r="M19"/>
  <c r="L19"/>
  <c r="K19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O18"/>
  <c r="N18"/>
  <c r="M18"/>
  <c r="L18"/>
  <c r="K18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O17"/>
  <c r="N17"/>
  <c r="M17"/>
  <c r="L17"/>
  <c r="K17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O16"/>
  <c r="N16"/>
  <c r="M16"/>
  <c r="L16"/>
  <c r="K16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O15"/>
  <c r="N15"/>
  <c r="M15"/>
  <c r="L15"/>
  <c r="K15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O14"/>
  <c r="N14"/>
  <c r="M14"/>
  <c r="L14"/>
  <c r="K14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O13"/>
  <c r="N13"/>
  <c r="M13"/>
  <c r="L13"/>
  <c r="K13"/>
  <c r="AO12"/>
  <c r="AO28" s="1"/>
  <c r="AN12"/>
  <c r="AN28" s="1"/>
  <c r="AM12"/>
  <c r="AM28" s="1"/>
  <c r="AL12"/>
  <c r="AL28" s="1"/>
  <c r="AK12"/>
  <c r="AK28" s="1"/>
  <c r="AJ12"/>
  <c r="AJ28" s="1"/>
  <c r="AI12"/>
  <c r="AI28" s="1"/>
  <c r="AH12"/>
  <c r="AH28" s="1"/>
  <c r="AG12"/>
  <c r="AG28" s="1"/>
  <c r="AF12"/>
  <c r="AF28" s="1"/>
  <c r="AE12"/>
  <c r="AE28" s="1"/>
  <c r="AD12"/>
  <c r="AD28" s="1"/>
  <c r="AC12"/>
  <c r="AC28" s="1"/>
  <c r="AB12"/>
  <c r="AB28" s="1"/>
  <c r="AA12"/>
  <c r="AA28" s="1"/>
  <c r="Z12"/>
  <c r="Z28" s="1"/>
  <c r="Y12"/>
  <c r="Y28" s="1"/>
  <c r="X12"/>
  <c r="X28" s="1"/>
  <c r="W12"/>
  <c r="W28" s="1"/>
  <c r="V12"/>
  <c r="V28" s="1"/>
  <c r="U12"/>
  <c r="U28" s="1"/>
  <c r="T12"/>
  <c r="T28" s="1"/>
  <c r="S12"/>
  <c r="S28" s="1"/>
  <c r="R12"/>
  <c r="R28" s="1"/>
  <c r="Q12"/>
  <c r="Q28" s="1"/>
  <c r="O12"/>
  <c r="O28" s="1"/>
  <c r="N12"/>
  <c r="N28" s="1"/>
  <c r="M12"/>
  <c r="M28" s="1"/>
  <c r="L12"/>
  <c r="L28" s="1"/>
  <c r="K12"/>
  <c r="K28" s="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O11"/>
  <c r="N11"/>
  <c r="M11"/>
  <c r="L11"/>
  <c r="K11"/>
  <c r="AO10"/>
  <c r="AO27" s="1"/>
  <c r="AN10"/>
  <c r="AN27" s="1"/>
  <c r="AM10"/>
  <c r="AM27" s="1"/>
  <c r="AL10"/>
  <c r="AL27" s="1"/>
  <c r="AK10"/>
  <c r="AK27" s="1"/>
  <c r="AJ10"/>
  <c r="AJ27" s="1"/>
  <c r="AI10"/>
  <c r="AI27" s="1"/>
  <c r="AH10"/>
  <c r="AH27" s="1"/>
  <c r="AG10"/>
  <c r="AG27" s="1"/>
  <c r="AF10"/>
  <c r="AF27" s="1"/>
  <c r="AE10"/>
  <c r="AE27" s="1"/>
  <c r="AD10"/>
  <c r="AD27" s="1"/>
  <c r="AC10"/>
  <c r="AC27" s="1"/>
  <c r="AB10"/>
  <c r="AB27" s="1"/>
  <c r="AA10"/>
  <c r="AA27" s="1"/>
  <c r="Z10"/>
  <c r="Z27" s="1"/>
  <c r="Y10"/>
  <c r="Y27" s="1"/>
  <c r="X10"/>
  <c r="X27" s="1"/>
  <c r="W10"/>
  <c r="W27" s="1"/>
  <c r="V10"/>
  <c r="V27" s="1"/>
  <c r="U10"/>
  <c r="U27" s="1"/>
  <c r="T10"/>
  <c r="T27" s="1"/>
  <c r="S10"/>
  <c r="S27" s="1"/>
  <c r="R10"/>
  <c r="R27" s="1"/>
  <c r="Q10"/>
  <c r="Q27" s="1"/>
  <c r="O10"/>
  <c r="O27" s="1"/>
  <c r="N10"/>
  <c r="N27" s="1"/>
  <c r="M10"/>
  <c r="M27" s="1"/>
  <c r="L10"/>
  <c r="L27" s="1"/>
  <c r="K10"/>
  <c r="K27" s="1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O9"/>
  <c r="N9"/>
  <c r="M9"/>
  <c r="L9"/>
  <c r="K9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O8"/>
  <c r="N8"/>
  <c r="M8"/>
  <c r="L8"/>
  <c r="K8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O7"/>
  <c r="N7"/>
  <c r="M7"/>
  <c r="L7"/>
  <c r="K7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O6"/>
  <c r="N6"/>
  <c r="M6"/>
  <c r="L6"/>
  <c r="K6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O5"/>
  <c r="N5"/>
  <c r="M5"/>
  <c r="L5"/>
  <c r="K5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O4"/>
  <c r="N4"/>
  <c r="M4"/>
  <c r="L4"/>
  <c r="K4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O3"/>
  <c r="N3"/>
  <c r="M3"/>
  <c r="L3"/>
  <c r="K3"/>
  <c r="AO2"/>
  <c r="AO26" s="1"/>
  <c r="AN2"/>
  <c r="AN26" s="1"/>
  <c r="AM2"/>
  <c r="AM26" s="1"/>
  <c r="AL2"/>
  <c r="AL26" s="1"/>
  <c r="AK2"/>
  <c r="AK26" s="1"/>
  <c r="AJ2"/>
  <c r="AJ26" s="1"/>
  <c r="AI2"/>
  <c r="AI26" s="1"/>
  <c r="AH2"/>
  <c r="AH26" s="1"/>
  <c r="AG2"/>
  <c r="AG26" s="1"/>
  <c r="AF2"/>
  <c r="AF26" s="1"/>
  <c r="AE2"/>
  <c r="AD2"/>
  <c r="AD26" s="1"/>
  <c r="AC2"/>
  <c r="AC26" s="1"/>
  <c r="AB2"/>
  <c r="AB26" s="1"/>
  <c r="AA2"/>
  <c r="AA26" s="1"/>
  <c r="Z2"/>
  <c r="Z26" s="1"/>
  <c r="Y2"/>
  <c r="Y26" s="1"/>
  <c r="X2"/>
  <c r="X26" s="1"/>
  <c r="W2"/>
  <c r="W26" s="1"/>
  <c r="V2"/>
  <c r="V26" s="1"/>
  <c r="U2"/>
  <c r="U26" s="1"/>
  <c r="T2"/>
  <c r="T26" s="1"/>
  <c r="S2"/>
  <c r="S26" s="1"/>
  <c r="R2"/>
  <c r="R26" s="1"/>
  <c r="Q2"/>
  <c r="Q26" s="1"/>
  <c r="O2"/>
  <c r="O26" s="1"/>
  <c r="N2"/>
  <c r="N26" s="1"/>
  <c r="M2"/>
  <c r="M26" s="1"/>
  <c r="L2"/>
  <c r="L26" s="1"/>
  <c r="K2"/>
  <c r="K26" s="1"/>
  <c r="C29"/>
  <c r="C28"/>
  <c r="C27"/>
  <c r="C26"/>
  <c r="AG19" i="7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B2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I4" i="2"/>
  <c r="I5" s="1"/>
  <c r="I6" s="1"/>
  <c r="AG21" i="7" s="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J13" i="4"/>
  <c r="J21"/>
  <c r="J11"/>
  <c r="J3"/>
  <c r="A3" i="3"/>
  <c r="A3" i="7" s="1"/>
  <c r="D21" i="4"/>
  <c r="D11"/>
  <c r="D13" s="1"/>
  <c r="A13" i="3" s="1"/>
  <c r="A13" i="7" s="1"/>
  <c r="J33" i="9" l="1"/>
  <c r="L33"/>
  <c r="N33"/>
  <c r="Q33"/>
  <c r="S33"/>
  <c r="W33"/>
  <c r="Y33"/>
  <c r="AC33"/>
  <c r="AE33"/>
  <c r="H3"/>
  <c r="H14"/>
  <c r="AE26" i="4"/>
  <c r="F16" i="9"/>
  <c r="H21"/>
  <c r="E21" s="1"/>
  <c r="H20"/>
  <c r="F2"/>
  <c r="K30"/>
  <c r="M30"/>
  <c r="O30"/>
  <c r="R30"/>
  <c r="U30"/>
  <c r="X30"/>
  <c r="AA30"/>
  <c r="AD30"/>
  <c r="AG30"/>
  <c r="AI30"/>
  <c r="AK30"/>
  <c r="AO30"/>
  <c r="H4"/>
  <c r="H5"/>
  <c r="F6"/>
  <c r="U33"/>
  <c r="AA33"/>
  <c r="AG33"/>
  <c r="AI33"/>
  <c r="AK33"/>
  <c r="AO33"/>
  <c r="H8"/>
  <c r="G8" s="1"/>
  <c r="H9"/>
  <c r="F10"/>
  <c r="E10" s="1"/>
  <c r="J34"/>
  <c r="L34"/>
  <c r="N34"/>
  <c r="Q34"/>
  <c r="S34"/>
  <c r="W34"/>
  <c r="Y34"/>
  <c r="J37"/>
  <c r="L37"/>
  <c r="N37"/>
  <c r="Q37"/>
  <c r="S37"/>
  <c r="W37"/>
  <c r="Y37"/>
  <c r="AC37"/>
  <c r="AE37"/>
  <c r="AH37"/>
  <c r="AJ37"/>
  <c r="F18"/>
  <c r="F20"/>
  <c r="H11"/>
  <c r="F14"/>
  <c r="F11"/>
  <c r="G11" s="1"/>
  <c r="K31"/>
  <c r="K38" s="1"/>
  <c r="M31"/>
  <c r="O31"/>
  <c r="O38" s="1"/>
  <c r="R31"/>
  <c r="X31"/>
  <c r="X38" s="1"/>
  <c r="AD31"/>
  <c r="K32"/>
  <c r="M32"/>
  <c r="O32"/>
  <c r="R32"/>
  <c r="X32"/>
  <c r="AD32"/>
  <c r="H13"/>
  <c r="H15"/>
  <c r="H19"/>
  <c r="AH31"/>
  <c r="AH38" s="1"/>
  <c r="AJ31"/>
  <c r="AJ38" s="1"/>
  <c r="AN31"/>
  <c r="AN38" s="1"/>
  <c r="G10"/>
  <c r="AH32"/>
  <c r="AJ32"/>
  <c r="K35"/>
  <c r="K40" s="1"/>
  <c r="M35"/>
  <c r="M40" s="1"/>
  <c r="O35"/>
  <c r="O40" s="1"/>
  <c r="G21"/>
  <c r="G18"/>
  <c r="G2"/>
  <c r="G4"/>
  <c r="G6"/>
  <c r="G16"/>
  <c r="G20"/>
  <c r="Q45"/>
  <c r="J30"/>
  <c r="AD28"/>
  <c r="AD34"/>
  <c r="AH28"/>
  <c r="AH34"/>
  <c r="AJ28"/>
  <c r="AJ34"/>
  <c r="AN28"/>
  <c r="AN34"/>
  <c r="J42"/>
  <c r="J36"/>
  <c r="J29"/>
  <c r="L42"/>
  <c r="L36"/>
  <c r="L41" s="1"/>
  <c r="L29"/>
  <c r="N42"/>
  <c r="N36"/>
  <c r="N41" s="1"/>
  <c r="N29"/>
  <c r="Q42"/>
  <c r="Q36"/>
  <c r="Q41" s="1"/>
  <c r="Q29"/>
  <c r="S42"/>
  <c r="S36"/>
  <c r="S41" s="1"/>
  <c r="S29"/>
  <c r="U42"/>
  <c r="U36"/>
  <c r="U41" s="1"/>
  <c r="U29"/>
  <c r="W42"/>
  <c r="W36"/>
  <c r="W41" s="1"/>
  <c r="W29"/>
  <c r="Y42"/>
  <c r="Y36"/>
  <c r="Y41" s="1"/>
  <c r="Y29"/>
  <c r="AA42"/>
  <c r="AA36"/>
  <c r="AA41" s="1"/>
  <c r="AA29"/>
  <c r="AC42"/>
  <c r="AC36"/>
  <c r="AC41" s="1"/>
  <c r="AC29"/>
  <c r="AE42"/>
  <c r="AE36"/>
  <c r="AE41" s="1"/>
  <c r="AE29"/>
  <c r="AG42"/>
  <c r="AG36"/>
  <c r="AG41" s="1"/>
  <c r="AG29"/>
  <c r="AI42"/>
  <c r="AI36"/>
  <c r="AI41" s="1"/>
  <c r="AI29"/>
  <c r="AK42"/>
  <c r="AK36"/>
  <c r="AK41" s="1"/>
  <c r="AK29"/>
  <c r="AO42"/>
  <c r="AO36"/>
  <c r="AO41" s="1"/>
  <c r="AO29"/>
  <c r="B7" i="7"/>
  <c r="D7"/>
  <c r="F7"/>
  <c r="H7"/>
  <c r="J7"/>
  <c r="L7"/>
  <c r="N7"/>
  <c r="P7"/>
  <c r="R7"/>
  <c r="T7"/>
  <c r="V7"/>
  <c r="X7"/>
  <c r="Z7"/>
  <c r="AB7"/>
  <c r="AD7"/>
  <c r="AF7"/>
  <c r="B10"/>
  <c r="D10"/>
  <c r="F10"/>
  <c r="H10"/>
  <c r="J10"/>
  <c r="L10"/>
  <c r="N10"/>
  <c r="P10"/>
  <c r="R10"/>
  <c r="T10"/>
  <c r="V10"/>
  <c r="X10"/>
  <c r="Z10"/>
  <c r="AB10"/>
  <c r="AD10"/>
  <c r="AF10"/>
  <c r="B11"/>
  <c r="D11"/>
  <c r="F11"/>
  <c r="H11"/>
  <c r="J11"/>
  <c r="L11"/>
  <c r="N11"/>
  <c r="P11"/>
  <c r="R11"/>
  <c r="T11"/>
  <c r="V11"/>
  <c r="X11"/>
  <c r="Z11"/>
  <c r="AB11"/>
  <c r="AD11"/>
  <c r="AF11"/>
  <c r="B12"/>
  <c r="D12"/>
  <c r="F12"/>
  <c r="H12"/>
  <c r="J12"/>
  <c r="L12"/>
  <c r="N12"/>
  <c r="P12"/>
  <c r="R12"/>
  <c r="T12"/>
  <c r="V12"/>
  <c r="X12"/>
  <c r="Z12"/>
  <c r="AB12"/>
  <c r="AD12"/>
  <c r="AF12"/>
  <c r="B13"/>
  <c r="D13"/>
  <c r="F13"/>
  <c r="H13"/>
  <c r="J13"/>
  <c r="L13"/>
  <c r="N13"/>
  <c r="P13"/>
  <c r="R13"/>
  <c r="T13"/>
  <c r="V13"/>
  <c r="X13"/>
  <c r="Z13"/>
  <c r="AB13"/>
  <c r="AD13"/>
  <c r="AF13"/>
  <c r="B16"/>
  <c r="D16"/>
  <c r="F16"/>
  <c r="H16"/>
  <c r="J16"/>
  <c r="L16"/>
  <c r="N16"/>
  <c r="P16"/>
  <c r="R16"/>
  <c r="T16"/>
  <c r="V16"/>
  <c r="X16"/>
  <c r="Z16"/>
  <c r="AB16"/>
  <c r="AD16"/>
  <c r="AF16"/>
  <c r="B17"/>
  <c r="D17"/>
  <c r="F17"/>
  <c r="H17"/>
  <c r="J17"/>
  <c r="L17"/>
  <c r="N17"/>
  <c r="P17"/>
  <c r="R17"/>
  <c r="T17"/>
  <c r="V17"/>
  <c r="X17"/>
  <c r="Z17"/>
  <c r="AB17"/>
  <c r="AD17"/>
  <c r="AF17"/>
  <c r="B20"/>
  <c r="D20"/>
  <c r="F20"/>
  <c r="H20"/>
  <c r="J20"/>
  <c r="L20"/>
  <c r="N20"/>
  <c r="P20"/>
  <c r="R20"/>
  <c r="T20"/>
  <c r="V20"/>
  <c r="X20"/>
  <c r="Z20"/>
  <c r="AB20"/>
  <c r="AD20"/>
  <c r="AF20"/>
  <c r="B21"/>
  <c r="D21"/>
  <c r="F21"/>
  <c r="H21"/>
  <c r="J21"/>
  <c r="L21"/>
  <c r="N21"/>
  <c r="P21"/>
  <c r="R21"/>
  <c r="T21"/>
  <c r="V21"/>
  <c r="X21"/>
  <c r="Z21"/>
  <c r="AB21"/>
  <c r="AD21"/>
  <c r="AF21"/>
  <c r="E2" i="9"/>
  <c r="F3"/>
  <c r="E4"/>
  <c r="F5"/>
  <c r="E6"/>
  <c r="J31"/>
  <c r="L31"/>
  <c r="L38" s="1"/>
  <c r="N31"/>
  <c r="N38" s="1"/>
  <c r="Q31"/>
  <c r="Q38" s="1"/>
  <c r="S31"/>
  <c r="S38" s="1"/>
  <c r="U31"/>
  <c r="U38" s="1"/>
  <c r="W31"/>
  <c r="W38" s="1"/>
  <c r="Y31"/>
  <c r="Y38" s="1"/>
  <c r="AA31"/>
  <c r="AA38" s="1"/>
  <c r="AC31"/>
  <c r="AC38" s="1"/>
  <c r="AE31"/>
  <c r="AE38" s="1"/>
  <c r="AG31"/>
  <c r="AI31"/>
  <c r="AI38" s="1"/>
  <c r="AK31"/>
  <c r="AK38" s="1"/>
  <c r="AO31"/>
  <c r="AO38" s="1"/>
  <c r="F7"/>
  <c r="H7"/>
  <c r="K33"/>
  <c r="M33"/>
  <c r="O33"/>
  <c r="R33"/>
  <c r="X33"/>
  <c r="AD33"/>
  <c r="AH33"/>
  <c r="AJ33"/>
  <c r="AN33"/>
  <c r="E8"/>
  <c r="F9"/>
  <c r="J32"/>
  <c r="L32"/>
  <c r="N32"/>
  <c r="Q32"/>
  <c r="S32"/>
  <c r="U32"/>
  <c r="W32"/>
  <c r="Y32"/>
  <c r="AA32"/>
  <c r="AC32"/>
  <c r="AE32"/>
  <c r="AG32"/>
  <c r="AI32"/>
  <c r="AK32"/>
  <c r="AO32"/>
  <c r="F12"/>
  <c r="H12"/>
  <c r="F13"/>
  <c r="E14"/>
  <c r="F15"/>
  <c r="E16"/>
  <c r="J35"/>
  <c r="J40" s="1"/>
  <c r="L35"/>
  <c r="N35"/>
  <c r="Q35"/>
  <c r="S35"/>
  <c r="U35"/>
  <c r="W35"/>
  <c r="Y35"/>
  <c r="AA35"/>
  <c r="AC35"/>
  <c r="AE35"/>
  <c r="AG35"/>
  <c r="AI35"/>
  <c r="AK35"/>
  <c r="AO35"/>
  <c r="F17"/>
  <c r="H17"/>
  <c r="AN37"/>
  <c r="E18"/>
  <c r="F19"/>
  <c r="E20"/>
  <c r="J22"/>
  <c r="L22"/>
  <c r="N22"/>
  <c r="Q22"/>
  <c r="S22"/>
  <c r="U22"/>
  <c r="W22"/>
  <c r="Y22"/>
  <c r="AA22"/>
  <c r="AC22"/>
  <c r="AE22"/>
  <c r="AG22"/>
  <c r="AI22"/>
  <c r="AK22"/>
  <c r="AO22"/>
  <c r="J23"/>
  <c r="L23"/>
  <c r="N23"/>
  <c r="Q23"/>
  <c r="S23"/>
  <c r="U23"/>
  <c r="W23"/>
  <c r="Y23"/>
  <c r="AA23"/>
  <c r="AC23"/>
  <c r="AE23"/>
  <c r="AG23"/>
  <c r="AI23"/>
  <c r="AK23"/>
  <c r="AO23"/>
  <c r="J24"/>
  <c r="L24"/>
  <c r="N24"/>
  <c r="Q24"/>
  <c r="S24"/>
  <c r="U24"/>
  <c r="W24"/>
  <c r="Y24"/>
  <c r="J25"/>
  <c r="L25"/>
  <c r="N25"/>
  <c r="Q25"/>
  <c r="S25"/>
  <c r="U25"/>
  <c r="W25"/>
  <c r="Y25"/>
  <c r="AA25"/>
  <c r="AC25"/>
  <c r="AE25"/>
  <c r="AG25"/>
  <c r="AI25"/>
  <c r="AK25"/>
  <c r="AO25"/>
  <c r="J26"/>
  <c r="L26"/>
  <c r="N26"/>
  <c r="Q26"/>
  <c r="S26"/>
  <c r="U26"/>
  <c r="W26"/>
  <c r="Y26"/>
  <c r="AA26"/>
  <c r="AC26"/>
  <c r="AE26"/>
  <c r="AG26"/>
  <c r="AI26"/>
  <c r="AK26"/>
  <c r="AO26"/>
  <c r="J27"/>
  <c r="L27"/>
  <c r="N27"/>
  <c r="Q27"/>
  <c r="S27"/>
  <c r="U27"/>
  <c r="W27"/>
  <c r="Y27"/>
  <c r="AA27"/>
  <c r="AC27"/>
  <c r="AE27"/>
  <c r="AG27"/>
  <c r="AI27"/>
  <c r="AK27"/>
  <c r="AO27"/>
  <c r="J28"/>
  <c r="L28"/>
  <c r="N28"/>
  <c r="Q28"/>
  <c r="S28"/>
  <c r="U28"/>
  <c r="W28"/>
  <c r="Y28"/>
  <c r="AA34"/>
  <c r="AA28"/>
  <c r="AC34"/>
  <c r="AC28"/>
  <c r="AE34"/>
  <c r="AE28"/>
  <c r="AG34"/>
  <c r="AG28"/>
  <c r="AI34"/>
  <c r="AI28"/>
  <c r="AK34"/>
  <c r="AK28"/>
  <c r="AO34"/>
  <c r="AO28"/>
  <c r="K42"/>
  <c r="K36"/>
  <c r="K41" s="1"/>
  <c r="K29"/>
  <c r="M42"/>
  <c r="M36"/>
  <c r="M41" s="1"/>
  <c r="M29"/>
  <c r="O42"/>
  <c r="O36"/>
  <c r="O41" s="1"/>
  <c r="O29"/>
  <c r="R42"/>
  <c r="R36"/>
  <c r="R41" s="1"/>
  <c r="R29"/>
  <c r="X42"/>
  <c r="X36"/>
  <c r="X41" s="1"/>
  <c r="X29"/>
  <c r="AD42"/>
  <c r="AD36"/>
  <c r="AD41" s="1"/>
  <c r="AD29"/>
  <c r="AH42"/>
  <c r="AH36"/>
  <c r="AH41" s="1"/>
  <c r="AH29"/>
  <c r="AJ42"/>
  <c r="AJ36"/>
  <c r="AJ41" s="1"/>
  <c r="AJ29"/>
  <c r="AN42"/>
  <c r="AN36"/>
  <c r="AN41" s="1"/>
  <c r="AN29"/>
  <c r="C7" i="7"/>
  <c r="E7"/>
  <c r="G7"/>
  <c r="I7"/>
  <c r="K7"/>
  <c r="M7"/>
  <c r="O7"/>
  <c r="Q7"/>
  <c r="S7"/>
  <c r="U7"/>
  <c r="W7"/>
  <c r="Y7"/>
  <c r="AA7"/>
  <c r="AC7"/>
  <c r="AE7"/>
  <c r="AG7"/>
  <c r="C10"/>
  <c r="E10"/>
  <c r="G10"/>
  <c r="I10"/>
  <c r="K10"/>
  <c r="M10"/>
  <c r="O10"/>
  <c r="Q10"/>
  <c r="S10"/>
  <c r="U10"/>
  <c r="W10"/>
  <c r="Y10"/>
  <c r="AA10"/>
  <c r="AC10"/>
  <c r="AE10"/>
  <c r="AG10"/>
  <c r="C11"/>
  <c r="E11"/>
  <c r="G11"/>
  <c r="I11"/>
  <c r="K11"/>
  <c r="M11"/>
  <c r="O11"/>
  <c r="Q11"/>
  <c r="S11"/>
  <c r="U11"/>
  <c r="W11"/>
  <c r="Y11"/>
  <c r="AA11"/>
  <c r="AC11"/>
  <c r="AE11"/>
  <c r="AG11"/>
  <c r="C12"/>
  <c r="E12"/>
  <c r="G12"/>
  <c r="I12"/>
  <c r="K12"/>
  <c r="M12"/>
  <c r="O12"/>
  <c r="Q12"/>
  <c r="S12"/>
  <c r="U12"/>
  <c r="W12"/>
  <c r="Y12"/>
  <c r="AA12"/>
  <c r="AC12"/>
  <c r="AE12"/>
  <c r="AG12"/>
  <c r="C13"/>
  <c r="E13"/>
  <c r="G13"/>
  <c r="I13"/>
  <c r="K13"/>
  <c r="M13"/>
  <c r="O13"/>
  <c r="Q13"/>
  <c r="S13"/>
  <c r="U13"/>
  <c r="W13"/>
  <c r="Y13"/>
  <c r="AA13"/>
  <c r="AC13"/>
  <c r="AE13"/>
  <c r="AG13"/>
  <c r="C16"/>
  <c r="E16"/>
  <c r="G16"/>
  <c r="I16"/>
  <c r="K16"/>
  <c r="M16"/>
  <c r="O16"/>
  <c r="Q16"/>
  <c r="S16"/>
  <c r="U16"/>
  <c r="W16"/>
  <c r="Y16"/>
  <c r="AA16"/>
  <c r="AC16"/>
  <c r="AE16"/>
  <c r="AG16"/>
  <c r="C17"/>
  <c r="E17"/>
  <c r="G17"/>
  <c r="I17"/>
  <c r="K17"/>
  <c r="M17"/>
  <c r="O17"/>
  <c r="Q17"/>
  <c r="S17"/>
  <c r="U17"/>
  <c r="W17"/>
  <c r="Y17"/>
  <c r="AA17"/>
  <c r="AC17"/>
  <c r="AE17"/>
  <c r="AG17"/>
  <c r="C20"/>
  <c r="E20"/>
  <c r="G20"/>
  <c r="I20"/>
  <c r="K20"/>
  <c r="M20"/>
  <c r="O20"/>
  <c r="Q20"/>
  <c r="S20"/>
  <c r="U20"/>
  <c r="W20"/>
  <c r="Y20"/>
  <c r="AA20"/>
  <c r="AC20"/>
  <c r="AE20"/>
  <c r="AG20"/>
  <c r="C21"/>
  <c r="E21"/>
  <c r="G21"/>
  <c r="I21"/>
  <c r="K21"/>
  <c r="M21"/>
  <c r="O21"/>
  <c r="Q21"/>
  <c r="S21"/>
  <c r="U21"/>
  <c r="W21"/>
  <c r="Y21"/>
  <c r="AA21"/>
  <c r="AC21"/>
  <c r="AE21"/>
  <c r="K39" i="9"/>
  <c r="M39"/>
  <c r="O39"/>
  <c r="R39"/>
  <c r="X39"/>
  <c r="AD39"/>
  <c r="AH39"/>
  <c r="AJ39"/>
  <c r="AN32"/>
  <c r="AN39" s="1"/>
  <c r="L40"/>
  <c r="N40"/>
  <c r="Q40"/>
  <c r="S40"/>
  <c r="U40"/>
  <c r="W40"/>
  <c r="Y40"/>
  <c r="R35"/>
  <c r="R40" s="1"/>
  <c r="X35"/>
  <c r="X40" s="1"/>
  <c r="AD35"/>
  <c r="AH35"/>
  <c r="AJ35"/>
  <c r="AN35"/>
  <c r="K22"/>
  <c r="M22"/>
  <c r="O22"/>
  <c r="R22"/>
  <c r="X22"/>
  <c r="AD22"/>
  <c r="AH22"/>
  <c r="AJ22"/>
  <c r="AN22"/>
  <c r="K23"/>
  <c r="M23"/>
  <c r="O23"/>
  <c r="R23"/>
  <c r="X23"/>
  <c r="AD23"/>
  <c r="AH23"/>
  <c r="AJ23"/>
  <c r="AN23"/>
  <c r="K24"/>
  <c r="M24"/>
  <c r="O24"/>
  <c r="R24"/>
  <c r="X24"/>
  <c r="AD24"/>
  <c r="AH24"/>
  <c r="AJ24"/>
  <c r="AN24"/>
  <c r="K25"/>
  <c r="M25"/>
  <c r="O25"/>
  <c r="R25"/>
  <c r="X25"/>
  <c r="AD25"/>
  <c r="AH25"/>
  <c r="AJ25"/>
  <c r="AN25"/>
  <c r="K26"/>
  <c r="M26"/>
  <c r="O26"/>
  <c r="R26"/>
  <c r="X26"/>
  <c r="AD26"/>
  <c r="AH26"/>
  <c r="AJ26"/>
  <c r="AN26"/>
  <c r="K27"/>
  <c r="M27"/>
  <c r="O27"/>
  <c r="R27"/>
  <c r="X27"/>
  <c r="AD27"/>
  <c r="AH27"/>
  <c r="AJ27"/>
  <c r="AN27"/>
  <c r="K28"/>
  <c r="M28"/>
  <c r="O28"/>
  <c r="R28"/>
  <c r="X28"/>
  <c r="L22" i="4"/>
  <c r="N22"/>
  <c r="R22"/>
  <c r="T22"/>
  <c r="V22"/>
  <c r="X22"/>
  <c r="Z22"/>
  <c r="AB22"/>
  <c r="AD22"/>
  <c r="AF22"/>
  <c r="AH22"/>
  <c r="AJ22"/>
  <c r="AL22"/>
  <c r="AN22"/>
  <c r="K23"/>
  <c r="M23"/>
  <c r="O23"/>
  <c r="Q23"/>
  <c r="S23"/>
  <c r="U23"/>
  <c r="W23"/>
  <c r="Y23"/>
  <c r="AA23"/>
  <c r="AC23"/>
  <c r="AE23"/>
  <c r="AG23"/>
  <c r="AI23"/>
  <c r="AK23"/>
  <c r="AM23"/>
  <c r="AO23"/>
  <c r="L24"/>
  <c r="N24"/>
  <c r="R24"/>
  <c r="T24"/>
  <c r="V24"/>
  <c r="X24"/>
  <c r="Z24"/>
  <c r="AB24"/>
  <c r="AD24"/>
  <c r="AF24"/>
  <c r="AH24"/>
  <c r="AJ24"/>
  <c r="AL24"/>
  <c r="AN24"/>
  <c r="K25"/>
  <c r="M25"/>
  <c r="O25"/>
  <c r="Q25"/>
  <c r="S25"/>
  <c r="U25"/>
  <c r="W25"/>
  <c r="Y25"/>
  <c r="AA25"/>
  <c r="AC25"/>
  <c r="AE25"/>
  <c r="AG25"/>
  <c r="AI25"/>
  <c r="AK25"/>
  <c r="AM25"/>
  <c r="AO25"/>
  <c r="K22"/>
  <c r="M22"/>
  <c r="O22"/>
  <c r="Q22"/>
  <c r="S22"/>
  <c r="U22"/>
  <c r="W22"/>
  <c r="Y22"/>
  <c r="AA22"/>
  <c r="AC22"/>
  <c r="AE22"/>
  <c r="AG22"/>
  <c r="AI22"/>
  <c r="AK22"/>
  <c r="AM22"/>
  <c r="AO22"/>
  <c r="L23"/>
  <c r="N23"/>
  <c r="R23"/>
  <c r="T23"/>
  <c r="V23"/>
  <c r="X23"/>
  <c r="Z23"/>
  <c r="AB23"/>
  <c r="AD23"/>
  <c r="AF23"/>
  <c r="AH23"/>
  <c r="AJ23"/>
  <c r="AL23"/>
  <c r="AN23"/>
  <c r="K24"/>
  <c r="M24"/>
  <c r="O24"/>
  <c r="Q24"/>
  <c r="S24"/>
  <c r="U24"/>
  <c r="W24"/>
  <c r="Y24"/>
  <c r="AA24"/>
  <c r="AC24"/>
  <c r="AE24"/>
  <c r="AG24"/>
  <c r="AI24"/>
  <c r="AK24"/>
  <c r="AM24"/>
  <c r="AO24"/>
  <c r="L25"/>
  <c r="N25"/>
  <c r="R25"/>
  <c r="T25"/>
  <c r="V25"/>
  <c r="X25"/>
  <c r="Z25"/>
  <c r="AB25"/>
  <c r="AD25"/>
  <c r="AF25"/>
  <c r="AH25"/>
  <c r="AJ25"/>
  <c r="AL25"/>
  <c r="AN25"/>
  <c r="F13"/>
  <c r="F11"/>
  <c r="F3"/>
  <c r="H13"/>
  <c r="H11"/>
  <c r="H3"/>
  <c r="A11" i="3"/>
  <c r="A11" i="7" s="1"/>
  <c r="F37" i="9" l="1"/>
  <c r="H37"/>
  <c r="G14"/>
  <c r="AG38"/>
  <c r="E11"/>
  <c r="AD38"/>
  <c r="R38"/>
  <c r="M38"/>
  <c r="F28"/>
  <c r="H28"/>
  <c r="F26"/>
  <c r="H26"/>
  <c r="F29"/>
  <c r="H29"/>
  <c r="F27"/>
  <c r="H27"/>
  <c r="G13" i="4"/>
  <c r="AO39" i="9"/>
  <c r="AI39"/>
  <c r="AE39"/>
  <c r="AA39"/>
  <c r="W39"/>
  <c r="S39"/>
  <c r="N39"/>
  <c r="H33"/>
  <c r="AO40"/>
  <c r="AI40"/>
  <c r="AE40"/>
  <c r="AA40"/>
  <c r="AK39"/>
  <c r="AG39"/>
  <c r="AC39"/>
  <c r="Y39"/>
  <c r="U39"/>
  <c r="Q39"/>
  <c r="L39"/>
  <c r="F33"/>
  <c r="E33" s="1"/>
  <c r="AK40"/>
  <c r="AG40"/>
  <c r="AC40"/>
  <c r="H25"/>
  <c r="E56" s="1"/>
  <c r="F25"/>
  <c r="H24"/>
  <c r="F24"/>
  <c r="H23"/>
  <c r="F23"/>
  <c r="H22"/>
  <c r="E45" s="1"/>
  <c r="F22"/>
  <c r="J39"/>
  <c r="H32"/>
  <c r="F32"/>
  <c r="G9"/>
  <c r="E9"/>
  <c r="G7"/>
  <c r="E7"/>
  <c r="H31"/>
  <c r="F31"/>
  <c r="G5"/>
  <c r="E5"/>
  <c r="G3"/>
  <c r="E3"/>
  <c r="H42"/>
  <c r="F42"/>
  <c r="F34"/>
  <c r="G19"/>
  <c r="E19"/>
  <c r="G17"/>
  <c r="E17"/>
  <c r="H35"/>
  <c r="F35"/>
  <c r="G15"/>
  <c r="E15"/>
  <c r="G13"/>
  <c r="E13"/>
  <c r="G12"/>
  <c r="E12"/>
  <c r="J41"/>
  <c r="H36"/>
  <c r="F36"/>
  <c r="J38"/>
  <c r="H30"/>
  <c r="F30"/>
  <c r="H34"/>
  <c r="AN40"/>
  <c r="AJ40"/>
  <c r="AH40"/>
  <c r="AD40"/>
  <c r="G11" i="4"/>
  <c r="G3"/>
  <c r="E13"/>
  <c r="E11"/>
  <c r="E3"/>
  <c r="G37" i="9" l="1"/>
  <c r="E37"/>
  <c r="G33"/>
  <c r="G27"/>
  <c r="E27"/>
  <c r="G29"/>
  <c r="E29"/>
  <c r="G26"/>
  <c r="E26"/>
  <c r="G28"/>
  <c r="E28"/>
  <c r="F40"/>
  <c r="G36"/>
  <c r="E36"/>
  <c r="H41"/>
  <c r="F41"/>
  <c r="G42"/>
  <c r="E42"/>
  <c r="G31"/>
  <c r="E31"/>
  <c r="G32"/>
  <c r="E32"/>
  <c r="H39"/>
  <c r="F39"/>
  <c r="H40"/>
  <c r="G30"/>
  <c r="E30"/>
  <c r="H38"/>
  <c r="F38"/>
  <c r="G35"/>
  <c r="E35"/>
  <c r="G34"/>
  <c r="E34"/>
  <c r="E46"/>
  <c r="E47" s="1"/>
  <c r="E48" s="1"/>
  <c r="E49" s="1"/>
  <c r="E50" s="1"/>
  <c r="E51" s="1"/>
  <c r="I22"/>
  <c r="G22"/>
  <c r="E22"/>
  <c r="I23"/>
  <c r="G23"/>
  <c r="E23"/>
  <c r="I24"/>
  <c r="G24"/>
  <c r="E24"/>
  <c r="E57"/>
  <c r="E58" s="1"/>
  <c r="E59" s="1"/>
  <c r="E60" s="1"/>
  <c r="E61" s="1"/>
  <c r="E62" s="1"/>
  <c r="I25"/>
  <c r="G25"/>
  <c r="E25"/>
  <c r="AN37" i="4"/>
  <c r="AL37"/>
  <c r="AJ37"/>
  <c r="AH37"/>
  <c r="AF37"/>
  <c r="AD37"/>
  <c r="AB37"/>
  <c r="Z37"/>
  <c r="X37"/>
  <c r="V37"/>
  <c r="T37"/>
  <c r="R37"/>
  <c r="L37"/>
  <c r="AN33"/>
  <c r="AL33"/>
  <c r="AJ33"/>
  <c r="AH33"/>
  <c r="AF33"/>
  <c r="AD33"/>
  <c r="AB33"/>
  <c r="Z33"/>
  <c r="X33"/>
  <c r="V33"/>
  <c r="T33"/>
  <c r="R33"/>
  <c r="L33"/>
  <c r="B38"/>
  <c r="C41"/>
  <c r="C40"/>
  <c r="C39"/>
  <c r="C38"/>
  <c r="C31"/>
  <c r="C33" s="1"/>
  <c r="C35" s="1"/>
  <c r="C37" s="1"/>
  <c r="C30"/>
  <c r="C32" s="1"/>
  <c r="C34" s="1"/>
  <c r="C36" s="1"/>
  <c r="B36"/>
  <c r="B34"/>
  <c r="B32"/>
  <c r="B30"/>
  <c r="F46" i="9"/>
  <c r="F48"/>
  <c r="F50"/>
  <c r="F57"/>
  <c r="F59"/>
  <c r="F61"/>
  <c r="F47"/>
  <c r="F49"/>
  <c r="F51"/>
  <c r="F58"/>
  <c r="F60"/>
  <c r="F62"/>
  <c r="G40" l="1"/>
  <c r="I39"/>
  <c r="G39"/>
  <c r="E39"/>
  <c r="I41"/>
  <c r="G41"/>
  <c r="E41"/>
  <c r="E40"/>
  <c r="I40"/>
  <c r="C54"/>
  <c r="I38"/>
  <c r="G38"/>
  <c r="E38"/>
  <c r="N37" i="4"/>
  <c r="N33"/>
  <c r="N30"/>
  <c r="L30"/>
  <c r="K30"/>
  <c r="M30"/>
  <c r="O30"/>
  <c r="Q30"/>
  <c r="S30"/>
  <c r="U30"/>
  <c r="W30"/>
  <c r="Y30"/>
  <c r="AA30"/>
  <c r="K33"/>
  <c r="M33"/>
  <c r="O33"/>
  <c r="Q33"/>
  <c r="S33"/>
  <c r="U33"/>
  <c r="W33"/>
  <c r="Y33"/>
  <c r="AA33"/>
  <c r="AC33"/>
  <c r="AE33"/>
  <c r="AG33"/>
  <c r="AI33"/>
  <c r="AK33"/>
  <c r="AM33"/>
  <c r="AO33"/>
  <c r="K37"/>
  <c r="M37"/>
  <c r="O37"/>
  <c r="Q37"/>
  <c r="S37"/>
  <c r="U37"/>
  <c r="W37"/>
  <c r="Y37"/>
  <c r="AA37"/>
  <c r="AC37"/>
  <c r="AE37"/>
  <c r="AG37"/>
  <c r="AI37"/>
  <c r="AK37"/>
  <c r="AM37"/>
  <c r="AO37"/>
  <c r="R30"/>
  <c r="T30"/>
  <c r="V30"/>
  <c r="X30"/>
  <c r="Z30"/>
  <c r="AB30"/>
  <c r="AD30"/>
  <c r="AF30"/>
  <c r="AH30"/>
  <c r="AJ30"/>
  <c r="AL30"/>
  <c r="AN30"/>
  <c r="L32"/>
  <c r="N32"/>
  <c r="R32"/>
  <c r="T32"/>
  <c r="V32"/>
  <c r="X32"/>
  <c r="Z32"/>
  <c r="AB32"/>
  <c r="AD32"/>
  <c r="AF32"/>
  <c r="AH32"/>
  <c r="AJ32"/>
  <c r="AL32"/>
  <c r="AN32"/>
  <c r="K34"/>
  <c r="M34"/>
  <c r="O34"/>
  <c r="Q34"/>
  <c r="S34"/>
  <c r="U34"/>
  <c r="W34"/>
  <c r="Y34"/>
  <c r="AA34"/>
  <c r="AC34"/>
  <c r="AE34"/>
  <c r="AG34"/>
  <c r="AI34"/>
  <c r="AK34"/>
  <c r="AM34"/>
  <c r="AO34"/>
  <c r="L42"/>
  <c r="L36"/>
  <c r="L41" s="1"/>
  <c r="N42"/>
  <c r="N36"/>
  <c r="R42"/>
  <c r="R36"/>
  <c r="R41" s="1"/>
  <c r="T42"/>
  <c r="T36"/>
  <c r="T41" s="1"/>
  <c r="V42"/>
  <c r="V36"/>
  <c r="V41" s="1"/>
  <c r="X42"/>
  <c r="X36"/>
  <c r="X41" s="1"/>
  <c r="Z42"/>
  <c r="Z36"/>
  <c r="Z41" s="1"/>
  <c r="AB42"/>
  <c r="AB36"/>
  <c r="AB41" s="1"/>
  <c r="AD42"/>
  <c r="AD36"/>
  <c r="AD41" s="1"/>
  <c r="AF42"/>
  <c r="AF36"/>
  <c r="AF41" s="1"/>
  <c r="AH42"/>
  <c r="AH36"/>
  <c r="AH41" s="1"/>
  <c r="AJ42"/>
  <c r="AJ36"/>
  <c r="AJ41" s="1"/>
  <c r="AL42"/>
  <c r="AL36"/>
  <c r="AL41" s="1"/>
  <c r="AN42"/>
  <c r="AN36"/>
  <c r="AN41" s="1"/>
  <c r="K31"/>
  <c r="M31"/>
  <c r="O31"/>
  <c r="Q31"/>
  <c r="S31"/>
  <c r="U31"/>
  <c r="W31"/>
  <c r="Y31"/>
  <c r="AA31"/>
  <c r="AC31"/>
  <c r="AE31"/>
  <c r="AG31"/>
  <c r="AI31"/>
  <c r="AK31"/>
  <c r="AM31"/>
  <c r="AO31"/>
  <c r="L35"/>
  <c r="N35"/>
  <c r="R35"/>
  <c r="T35"/>
  <c r="V35"/>
  <c r="X35"/>
  <c r="Z35"/>
  <c r="AB35"/>
  <c r="AD35"/>
  <c r="AF35"/>
  <c r="AH35"/>
  <c r="AJ35"/>
  <c r="AL35"/>
  <c r="AN35"/>
  <c r="AC30"/>
  <c r="AE30"/>
  <c r="AG30"/>
  <c r="AI30"/>
  <c r="AK30"/>
  <c r="AM30"/>
  <c r="AO30"/>
  <c r="K32"/>
  <c r="M32"/>
  <c r="O32"/>
  <c r="Q32"/>
  <c r="S32"/>
  <c r="U32"/>
  <c r="W32"/>
  <c r="Y32"/>
  <c r="AA32"/>
  <c r="AC32"/>
  <c r="AE32"/>
  <c r="AG32"/>
  <c r="AI32"/>
  <c r="AK32"/>
  <c r="AM32"/>
  <c r="AO32"/>
  <c r="L34"/>
  <c r="N34"/>
  <c r="R34"/>
  <c r="T34"/>
  <c r="V34"/>
  <c r="X34"/>
  <c r="Z34"/>
  <c r="AB34"/>
  <c r="AD34"/>
  <c r="AF34"/>
  <c r="AH34"/>
  <c r="AJ34"/>
  <c r="AL34"/>
  <c r="AN34"/>
  <c r="K42"/>
  <c r="K36"/>
  <c r="K41" s="1"/>
  <c r="M42"/>
  <c r="M36"/>
  <c r="O42"/>
  <c r="O36"/>
  <c r="Q42"/>
  <c r="Q36"/>
  <c r="S42"/>
  <c r="S36"/>
  <c r="S41" s="1"/>
  <c r="U42"/>
  <c r="U36"/>
  <c r="W42"/>
  <c r="W36"/>
  <c r="W41" s="1"/>
  <c r="Y42"/>
  <c r="Y36"/>
  <c r="AA42"/>
  <c r="AA36"/>
  <c r="AA41" s="1"/>
  <c r="AC42"/>
  <c r="AC36"/>
  <c r="AE42"/>
  <c r="AE36"/>
  <c r="AE41" s="1"/>
  <c r="AG42"/>
  <c r="AG36"/>
  <c r="AI42"/>
  <c r="AI36"/>
  <c r="AI41" s="1"/>
  <c r="AK42"/>
  <c r="AK36"/>
  <c r="AM42"/>
  <c r="AM36"/>
  <c r="AM41" s="1"/>
  <c r="AO42"/>
  <c r="AO36"/>
  <c r="L31"/>
  <c r="L38" s="1"/>
  <c r="N31"/>
  <c r="R31"/>
  <c r="T31"/>
  <c r="V31"/>
  <c r="X31"/>
  <c r="Z31"/>
  <c r="AB31"/>
  <c r="AD31"/>
  <c r="AF31"/>
  <c r="AH31"/>
  <c r="AJ31"/>
  <c r="AL31"/>
  <c r="AN31"/>
  <c r="K35"/>
  <c r="M35"/>
  <c r="O35"/>
  <c r="Q35"/>
  <c r="S35"/>
  <c r="U35"/>
  <c r="W35"/>
  <c r="Y35"/>
  <c r="AA35"/>
  <c r="AC35"/>
  <c r="AE35"/>
  <c r="AG35"/>
  <c r="AI35"/>
  <c r="AK35"/>
  <c r="AM35"/>
  <c r="AO35"/>
  <c r="J20"/>
  <c r="J29" s="1"/>
  <c r="J19"/>
  <c r="J18"/>
  <c r="J17"/>
  <c r="J16"/>
  <c r="J15"/>
  <c r="J14"/>
  <c r="J12"/>
  <c r="J28" s="1"/>
  <c r="J10"/>
  <c r="J27" s="1"/>
  <c r="J9"/>
  <c r="J8"/>
  <c r="J7"/>
  <c r="J6"/>
  <c r="J5"/>
  <c r="J4"/>
  <c r="A21" i="3"/>
  <c r="A21" i="7" s="1"/>
  <c r="A20" i="3"/>
  <c r="A20" i="7" s="1"/>
  <c r="A18" i="3"/>
  <c r="A18" i="7" s="1"/>
  <c r="A16" i="3"/>
  <c r="A16" i="7" s="1"/>
  <c r="A14" i="3"/>
  <c r="A14" i="7" s="1"/>
  <c r="A10" i="3"/>
  <c r="A10" i="7" s="1"/>
  <c r="A8" i="3"/>
  <c r="A8" i="7" s="1"/>
  <c r="A6" i="3"/>
  <c r="A6" i="7" s="1"/>
  <c r="A19" i="3"/>
  <c r="A19" i="7" s="1"/>
  <c r="A15" i="3"/>
  <c r="A15" i="7" s="1"/>
  <c r="A9" i="3"/>
  <c r="A9" i="7" s="1"/>
  <c r="A5" i="3"/>
  <c r="A5" i="7" s="1"/>
  <c r="A4" i="3"/>
  <c r="A4" i="7" s="1"/>
  <c r="A17" i="3"/>
  <c r="A17" i="7" s="1"/>
  <c r="A12" i="3"/>
  <c r="A12" i="7" s="1"/>
  <c r="A7" i="3"/>
  <c r="A7" i="7" s="1"/>
  <c r="A2" i="3"/>
  <c r="A2" i="7" s="1"/>
  <c r="B6" i="2"/>
  <c r="B5"/>
  <c r="B4"/>
  <c r="B3"/>
  <c r="B45" i="4"/>
  <c r="F28" l="1"/>
  <c r="H28"/>
  <c r="F27"/>
  <c r="H27"/>
  <c r="F29"/>
  <c r="H29"/>
  <c r="N38"/>
  <c r="N41"/>
  <c r="AN40"/>
  <c r="AJ40"/>
  <c r="AF40"/>
  <c r="AB40"/>
  <c r="X40"/>
  <c r="T40"/>
  <c r="N40"/>
  <c r="AO38"/>
  <c r="AK38"/>
  <c r="AG38"/>
  <c r="AC38"/>
  <c r="X38"/>
  <c r="T38"/>
  <c r="AM39"/>
  <c r="AI39"/>
  <c r="AE39"/>
  <c r="AA39"/>
  <c r="W39"/>
  <c r="S39"/>
  <c r="O39"/>
  <c r="K39"/>
  <c r="AA38"/>
  <c r="W38"/>
  <c r="S38"/>
  <c r="O38"/>
  <c r="K38"/>
  <c r="V38"/>
  <c r="R38"/>
  <c r="Y38"/>
  <c r="U38"/>
  <c r="Q38"/>
  <c r="AL40"/>
  <c r="AH40"/>
  <c r="AD40"/>
  <c r="Z40"/>
  <c r="V40"/>
  <c r="R40"/>
  <c r="O41"/>
  <c r="M38"/>
  <c r="L40"/>
  <c r="AO41"/>
  <c r="AK41"/>
  <c r="AG41"/>
  <c r="AC41"/>
  <c r="Y41"/>
  <c r="U41"/>
  <c r="Q41"/>
  <c r="M41"/>
  <c r="AO39"/>
  <c r="AK39"/>
  <c r="AG39"/>
  <c r="AC39"/>
  <c r="Y39"/>
  <c r="U39"/>
  <c r="Q39"/>
  <c r="M39"/>
  <c r="J33"/>
  <c r="F33" s="1"/>
  <c r="J34"/>
  <c r="J37"/>
  <c r="F37" s="1"/>
  <c r="AO40"/>
  <c r="AM40"/>
  <c r="AK40"/>
  <c r="AI40"/>
  <c r="AG40"/>
  <c r="AE40"/>
  <c r="AC40"/>
  <c r="AA40"/>
  <c r="Y40"/>
  <c r="W40"/>
  <c r="U40"/>
  <c r="S40"/>
  <c r="Q40"/>
  <c r="O40"/>
  <c r="M40"/>
  <c r="K40"/>
  <c r="AN39"/>
  <c r="AL39"/>
  <c r="AJ39"/>
  <c r="AH39"/>
  <c r="AF39"/>
  <c r="AD39"/>
  <c r="AB39"/>
  <c r="Z39"/>
  <c r="X39"/>
  <c r="V39"/>
  <c r="T39"/>
  <c r="R39"/>
  <c r="N39"/>
  <c r="L39"/>
  <c r="AN38"/>
  <c r="AL38"/>
  <c r="AJ38"/>
  <c r="AH38"/>
  <c r="AF38"/>
  <c r="AD38"/>
  <c r="AB38"/>
  <c r="Z38"/>
  <c r="AM38"/>
  <c r="AI38"/>
  <c r="AE38"/>
  <c r="J31"/>
  <c r="J32"/>
  <c r="J35"/>
  <c r="J36"/>
  <c r="J42"/>
  <c r="F21"/>
  <c r="F20"/>
  <c r="J25"/>
  <c r="F19"/>
  <c r="F18"/>
  <c r="J24"/>
  <c r="F16"/>
  <c r="F15"/>
  <c r="F14"/>
  <c r="J23"/>
  <c r="F9"/>
  <c r="F8"/>
  <c r="H7"/>
  <c r="H4"/>
  <c r="F17"/>
  <c r="F6"/>
  <c r="F5"/>
  <c r="F7"/>
  <c r="F4"/>
  <c r="H21"/>
  <c r="H20"/>
  <c r="H19"/>
  <c r="H18"/>
  <c r="H17"/>
  <c r="H16"/>
  <c r="G16" s="1"/>
  <c r="H15"/>
  <c r="G15" s="1"/>
  <c r="H14"/>
  <c r="G14" s="1"/>
  <c r="H12"/>
  <c r="F12"/>
  <c r="H10"/>
  <c r="F10"/>
  <c r="H9"/>
  <c r="H8"/>
  <c r="H6"/>
  <c r="G6" s="1"/>
  <c r="H5"/>
  <c r="G5" s="1"/>
  <c r="J2"/>
  <c r="J26" s="1"/>
  <c r="O46"/>
  <c r="G29" l="1"/>
  <c r="E29"/>
  <c r="G27"/>
  <c r="E27"/>
  <c r="G28"/>
  <c r="E28"/>
  <c r="F26"/>
  <c r="H26"/>
  <c r="J30"/>
  <c r="F30" s="1"/>
  <c r="H37"/>
  <c r="G37" s="1"/>
  <c r="H33"/>
  <c r="G33" s="1"/>
  <c r="G20"/>
  <c r="G21"/>
  <c r="G17"/>
  <c r="F34"/>
  <c r="F36"/>
  <c r="J41"/>
  <c r="H36"/>
  <c r="F32"/>
  <c r="H32"/>
  <c r="J39"/>
  <c r="F35"/>
  <c r="H35"/>
  <c r="F31"/>
  <c r="H31"/>
  <c r="H34"/>
  <c r="J40"/>
  <c r="G4"/>
  <c r="J22"/>
  <c r="F22" s="1"/>
  <c r="G9"/>
  <c r="G18"/>
  <c r="G19"/>
  <c r="F42"/>
  <c r="G7"/>
  <c r="G8"/>
  <c r="E12"/>
  <c r="E21"/>
  <c r="E14"/>
  <c r="E20"/>
  <c r="E4"/>
  <c r="E10"/>
  <c r="E7"/>
  <c r="G10"/>
  <c r="E9"/>
  <c r="E6"/>
  <c r="E5"/>
  <c r="E19"/>
  <c r="E17"/>
  <c r="E18"/>
  <c r="E16"/>
  <c r="E15"/>
  <c r="G12"/>
  <c r="E8"/>
  <c r="H42"/>
  <c r="H23"/>
  <c r="D4" i="2" s="1"/>
  <c r="Q45" i="4"/>
  <c r="G3" i="2" s="1"/>
  <c r="H22" i="4"/>
  <c r="F2"/>
  <c r="F25"/>
  <c r="H25"/>
  <c r="F24"/>
  <c r="H24"/>
  <c r="D5" i="2" s="1"/>
  <c r="F23" i="4"/>
  <c r="H2"/>
  <c r="J1"/>
  <c r="C1" i="3"/>
  <c r="E33" i="4" l="1"/>
  <c r="G26"/>
  <c r="E26"/>
  <c r="J38"/>
  <c r="F38" s="1"/>
  <c r="E37"/>
  <c r="H30"/>
  <c r="E30" s="1"/>
  <c r="E31"/>
  <c r="E35"/>
  <c r="H39"/>
  <c r="F39"/>
  <c r="G32"/>
  <c r="E32"/>
  <c r="F41"/>
  <c r="H41"/>
  <c r="E34"/>
  <c r="G34"/>
  <c r="H40"/>
  <c r="F40"/>
  <c r="E36"/>
  <c r="G36"/>
  <c r="G31"/>
  <c r="G35"/>
  <c r="G42"/>
  <c r="I22"/>
  <c r="E42"/>
  <c r="C4" i="2"/>
  <c r="E4" s="1"/>
  <c r="I23" i="4"/>
  <c r="C5" i="2"/>
  <c r="E5" s="1"/>
  <c r="I24" i="4"/>
  <c r="I25"/>
  <c r="E45"/>
  <c r="D3" i="2"/>
  <c r="C6"/>
  <c r="E57" i="4"/>
  <c r="E46"/>
  <c r="C3" i="2"/>
  <c r="E56" i="4"/>
  <c r="D6" i="2"/>
  <c r="G25" i="4"/>
  <c r="E25"/>
  <c r="G24"/>
  <c r="E24"/>
  <c r="G23"/>
  <c r="E23"/>
  <c r="G22"/>
  <c r="E22"/>
  <c r="D1" i="3"/>
  <c r="K1" i="4"/>
  <c r="G2"/>
  <c r="E2"/>
  <c r="F46"/>
  <c r="H38" l="1"/>
  <c r="G38" s="1"/>
  <c r="G30"/>
  <c r="C54"/>
  <c r="I41"/>
  <c r="E41"/>
  <c r="G41"/>
  <c r="G40"/>
  <c r="E40"/>
  <c r="I40"/>
  <c r="E39"/>
  <c r="G39"/>
  <c r="I39"/>
  <c r="E38"/>
  <c r="F4" i="2"/>
  <c r="F5"/>
  <c r="E6"/>
  <c r="F6"/>
  <c r="E3"/>
  <c r="F3"/>
  <c r="E58" i="4"/>
  <c r="E47"/>
  <c r="E1" i="3"/>
  <c r="L1" i="4"/>
  <c r="F47"/>
  <c r="I38" l="1"/>
  <c r="E7" i="2"/>
  <c r="F7"/>
  <c r="E59" i="4"/>
  <c r="E48"/>
  <c r="F1" i="3"/>
  <c r="M1" i="4"/>
  <c r="F48"/>
  <c r="E60" l="1"/>
  <c r="E49"/>
  <c r="G1" i="3"/>
  <c r="N1" i="4"/>
  <c r="F49"/>
  <c r="E61" l="1"/>
  <c r="E50"/>
  <c r="H1" i="3"/>
  <c r="O1" i="4"/>
  <c r="F50"/>
  <c r="E62" l="1"/>
  <c r="E51"/>
  <c r="I1" i="3"/>
  <c r="P1" i="4"/>
  <c r="F51"/>
  <c r="F62"/>
  <c r="F57"/>
  <c r="F58"/>
  <c r="F61"/>
  <c r="F60"/>
  <c r="F59"/>
  <c r="J1" i="3" l="1"/>
  <c r="Q1" i="4"/>
  <c r="K1" i="3" l="1"/>
  <c r="R1" i="4"/>
  <c r="L1" i="3" l="1"/>
  <c r="S1" i="4"/>
  <c r="M1" i="3" l="1"/>
  <c r="T1" i="4"/>
  <c r="N1" i="3" l="1"/>
  <c r="U1" i="4"/>
  <c r="O1" i="3" l="1"/>
  <c r="V1" i="4"/>
  <c r="P1" i="3" l="1"/>
  <c r="W1" i="4"/>
  <c r="Q1" i="3" l="1"/>
  <c r="X1" i="4"/>
  <c r="R1" i="3" l="1"/>
  <c r="Y1" i="4"/>
  <c r="S1" i="3" l="1"/>
  <c r="Z1" i="4"/>
  <c r="T1" i="3" l="1"/>
  <c r="AA1" i="4"/>
  <c r="U1" i="3" l="1"/>
  <c r="AB1" i="4"/>
  <c r="V1" i="3" l="1"/>
  <c r="AC1" i="4"/>
  <c r="W1" i="3" l="1"/>
  <c r="AD1" i="4"/>
  <c r="X1" i="3" l="1"/>
  <c r="AE1" i="4"/>
  <c r="Y1" i="3" l="1"/>
  <c r="AF1" i="4"/>
  <c r="Z1" i="3" l="1"/>
  <c r="AG1" i="4"/>
  <c r="AA1" i="3" l="1"/>
  <c r="AH1" i="4"/>
  <c r="AB1" i="3" l="1"/>
  <c r="AI1" i="4"/>
  <c r="AC1" i="3" l="1"/>
  <c r="AJ1" i="4"/>
  <c r="AD1" i="3" l="1"/>
  <c r="AK1" i="4"/>
  <c r="AE1" i="3" l="1"/>
  <c r="AL1" i="4"/>
  <c r="AF1" i="3" l="1"/>
  <c r="AM1" i="4"/>
  <c r="AG1" i="3" l="1"/>
  <c r="AN1" i="4"/>
  <c r="AO1" l="1"/>
  <c r="AH1" i="3"/>
  <c r="AI1" l="1"/>
  <c r="AP1" i="4"/>
  <c r="AJ1" i="3" l="1"/>
  <c r="AQ1" i="4"/>
  <c r="AK1" i="3" l="1"/>
  <c r="AS1" i="4" s="1"/>
  <c r="AR1"/>
</calcChain>
</file>

<file path=xl/sharedStrings.xml><?xml version="1.0" encoding="utf-8"?>
<sst xmlns="http://schemas.openxmlformats.org/spreadsheetml/2006/main" count="105" uniqueCount="35">
  <si>
    <t>#</t>
  </si>
  <si>
    <t>average</t>
  </si>
  <si>
    <t>stdev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</si>
  <si>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</si>
  <si>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</si>
  <si>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Mean</t>
  </si>
  <si>
    <t>LED</t>
  </si>
  <si>
    <t>QTH</t>
  </si>
  <si>
    <t>#/devices</t>
  </si>
  <si>
    <t>Test</t>
  </si>
  <si>
    <t>Export</t>
  </si>
  <si>
    <t>Stdev</t>
  </si>
  <si>
    <t>Hi</t>
  </si>
  <si>
    <t>HI</t>
  </si>
  <si>
    <t>LO</t>
  </si>
  <si>
    <t>Match</t>
  </si>
  <si>
    <t>Lo</t>
  </si>
  <si>
    <t>Hi Range LS 2 LS</t>
  </si>
  <si>
    <t>Lo Range LS 2 LS</t>
  </si>
  <si>
    <t>IR</t>
  </si>
  <si>
    <t>MEDHI</t>
  </si>
  <si>
    <t>MEDLO</t>
  </si>
  <si>
    <t>Mhi</t>
  </si>
  <si>
    <t>Mlo</t>
  </si>
  <si>
    <r>
      <t>1</t>
    </r>
    <r>
      <rPr>
        <sz val="11"/>
        <color theme="1"/>
        <rFont val="Symbol"/>
        <family val="1"/>
        <charset val="2"/>
      </rPr>
      <t>s</t>
    </r>
  </si>
  <si>
    <t>3s</t>
  </si>
  <si>
    <t>max</t>
  </si>
  <si>
    <t>Vis</t>
  </si>
  <si>
    <t>K0</t>
  </si>
  <si>
    <t>K1</t>
  </si>
  <si>
    <r>
      <t>Lux = Lux</t>
    </r>
    <r>
      <rPr>
        <b/>
        <vertAlign val="subscript"/>
        <sz val="14"/>
        <color theme="1"/>
        <rFont val="Calibri"/>
        <family val="2"/>
        <scheme val="minor"/>
      </rPr>
      <t>Meas</t>
    </r>
    <r>
      <rPr>
        <b/>
        <sz val="14"/>
        <color theme="1"/>
        <rFont val="Calibri"/>
        <family val="2"/>
        <scheme val="minor"/>
      </rPr>
      <t>*K</t>
    </r>
    <r>
      <rPr>
        <b/>
        <vertAlign val="subscript"/>
        <sz val="14"/>
        <color theme="1"/>
        <rFont val="Calibri"/>
        <family val="2"/>
        <scheme val="minor"/>
      </rPr>
      <t>0</t>
    </r>
    <r>
      <rPr>
        <b/>
        <sz val="14"/>
        <color theme="1"/>
        <rFont val="Calibri"/>
        <family val="2"/>
        <scheme val="minor"/>
      </rPr>
      <t xml:space="preserve"> + K</t>
    </r>
    <r>
      <rPr>
        <b/>
        <vertAlign val="subscript"/>
        <sz val="14"/>
        <color theme="1"/>
        <rFont val="Calibri"/>
        <family val="2"/>
        <scheme val="minor"/>
      </rPr>
      <t>1</t>
    </r>
    <r>
      <rPr>
        <b/>
        <sz val="14"/>
        <color theme="1"/>
        <rFont val="Calibri"/>
        <family val="2"/>
        <scheme val="minor"/>
      </rPr>
      <t xml:space="preserve"> * IR</t>
    </r>
  </si>
  <si>
    <t>Solve</t>
  </si>
  <si>
    <t>Range</t>
  </si>
  <si>
    <t>Resolution</t>
  </si>
  <si>
    <t>IR Delta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</si>
</sst>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6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10" fontId="0" fillId="0" borderId="0" xfId="0" applyNumberFormat="1"/>
    <xf numFmtId="165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64" fontId="0" fillId="0" borderId="5" xfId="0" applyNumberFormat="1" applyBorder="1"/>
    <xf numFmtId="165" fontId="0" fillId="0" borderId="1" xfId="0" applyNumberFormat="1" applyBorder="1"/>
    <xf numFmtId="165" fontId="0" fillId="0" borderId="5" xfId="0" applyNumberFormat="1" applyBorder="1"/>
    <xf numFmtId="164" fontId="0" fillId="0" borderId="7" xfId="0" applyNumberFormat="1" applyBorder="1"/>
    <xf numFmtId="164" fontId="0" fillId="0" borderId="0" xfId="0" applyNumberFormat="1" applyFill="1" applyBorder="1"/>
    <xf numFmtId="164" fontId="0" fillId="0" borderId="8" xfId="0" applyNumberFormat="1" applyBorder="1"/>
    <xf numFmtId="164" fontId="0" fillId="0" borderId="0" xfId="0" applyNumberFormat="1" applyBorder="1"/>
    <xf numFmtId="0" fontId="0" fillId="0" borderId="1" xfId="0" applyBorder="1" applyAlignment="1">
      <alignment vertical="top"/>
    </xf>
    <xf numFmtId="0" fontId="0" fillId="0" borderId="7" xfId="0" applyBorder="1" applyAlignment="1">
      <alignment vertical="top"/>
    </xf>
    <xf numFmtId="2" fontId="0" fillId="0" borderId="0" xfId="0" applyNumberFormat="1" applyFill="1" applyBorder="1" applyAlignment="1"/>
    <xf numFmtId="0" fontId="0" fillId="0" borderId="11" xfId="0" applyBorder="1"/>
    <xf numFmtId="0" fontId="0" fillId="0" borderId="14" xfId="0" applyBorder="1" applyAlignment="1">
      <alignment horizontal="left"/>
    </xf>
    <xf numFmtId="165" fontId="0" fillId="0" borderId="0" xfId="0" applyNumberFormat="1"/>
    <xf numFmtId="0" fontId="0" fillId="0" borderId="2" xfId="0" applyBorder="1" applyAlignment="1">
      <alignment horizontal="center"/>
    </xf>
    <xf numFmtId="0" fontId="0" fillId="0" borderId="18" xfId="0" applyBorder="1" applyAlignment="1">
      <alignment vertical="top"/>
    </xf>
    <xf numFmtId="164" fontId="0" fillId="0" borderId="1" xfId="0" applyNumberFormat="1" applyBorder="1" applyAlignment="1">
      <alignment horizontal="center"/>
    </xf>
    <xf numFmtId="0" fontId="2" fillId="0" borderId="15" xfId="0" applyFont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0" fillId="0" borderId="4" xfId="0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8" xfId="0" applyBorder="1"/>
    <xf numFmtId="0" fontId="0" fillId="0" borderId="0" xfId="0" applyFill="1" applyBorder="1" applyAlignment="1"/>
    <xf numFmtId="0" fontId="0" fillId="0" borderId="18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7" xfId="0" applyBorder="1" applyAlignment="1">
      <alignment vertical="center"/>
    </xf>
    <xf numFmtId="165" fontId="0" fillId="0" borderId="22" xfId="0" applyNumberFormat="1" applyBorder="1" applyAlignment="1">
      <alignment horizontal="right"/>
    </xf>
    <xf numFmtId="165" fontId="0" fillId="0" borderId="23" xfId="0" applyNumberForma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5" fontId="0" fillId="0" borderId="27" xfId="0" applyNumberFormat="1" applyBorder="1" applyAlignment="1">
      <alignment horizontal="right"/>
    </xf>
    <xf numFmtId="165" fontId="0" fillId="0" borderId="28" xfId="0" applyNumberFormat="1" applyBorder="1" applyAlignment="1">
      <alignment horizontal="right"/>
    </xf>
    <xf numFmtId="0" fontId="0" fillId="0" borderId="22" xfId="0" applyBorder="1"/>
    <xf numFmtId="164" fontId="0" fillId="0" borderId="25" xfId="0" applyNumberFormat="1" applyBorder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65" fontId="0" fillId="0" borderId="22" xfId="0" applyNumberFormat="1" applyBorder="1"/>
    <xf numFmtId="165" fontId="0" fillId="0" borderId="23" xfId="0" applyNumberFormat="1" applyBorder="1"/>
    <xf numFmtId="165" fontId="0" fillId="0" borderId="27" xfId="0" applyNumberFormat="1" applyBorder="1"/>
    <xf numFmtId="165" fontId="0" fillId="0" borderId="28" xfId="0" applyNumberFormat="1" applyBorder="1"/>
    <xf numFmtId="165" fontId="0" fillId="0" borderId="0" xfId="0" applyNumberFormat="1" applyBorder="1"/>
    <xf numFmtId="0" fontId="0" fillId="0" borderId="27" xfId="0" applyBorder="1"/>
    <xf numFmtId="164" fontId="0" fillId="4" borderId="1" xfId="0" applyNumberFormat="1" applyFill="1" applyBorder="1"/>
    <xf numFmtId="164" fontId="0" fillId="4" borderId="7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64" fontId="0" fillId="2" borderId="1" xfId="0" applyNumberFormat="1" applyFill="1" applyBorder="1"/>
    <xf numFmtId="164" fontId="0" fillId="0" borderId="18" xfId="0" applyNumberFormat="1" applyBorder="1"/>
    <xf numFmtId="164" fontId="0" fillId="0" borderId="32" xfId="0" applyNumberFormat="1" applyBorder="1"/>
    <xf numFmtId="165" fontId="0" fillId="0" borderId="18" xfId="0" applyNumberFormat="1" applyBorder="1"/>
    <xf numFmtId="165" fontId="0" fillId="0" borderId="32" xfId="0" applyNumberFormat="1" applyBorder="1"/>
    <xf numFmtId="0" fontId="0" fillId="0" borderId="2" xfId="0" applyBorder="1" applyAlignment="1">
      <alignment vertical="center"/>
    </xf>
    <xf numFmtId="0" fontId="0" fillId="0" borderId="2" xfId="0" applyBorder="1" applyAlignment="1">
      <alignment vertical="top"/>
    </xf>
    <xf numFmtId="164" fontId="0" fillId="0" borderId="2" xfId="0" applyNumberFormat="1" applyBorder="1"/>
    <xf numFmtId="164" fontId="0" fillId="0" borderId="3" xfId="0" applyNumberFormat="1" applyBorder="1"/>
    <xf numFmtId="165" fontId="3" fillId="0" borderId="0" xfId="0" applyNumberFormat="1" applyFont="1" applyBorder="1"/>
    <xf numFmtId="165" fontId="3" fillId="0" borderId="21" xfId="0" applyNumberFormat="1" applyFont="1" applyBorder="1" applyAlignment="1">
      <alignment vertical="top"/>
    </xf>
    <xf numFmtId="165" fontId="3" fillId="0" borderId="26" xfId="0" applyNumberFormat="1" applyFont="1" applyBorder="1" applyAlignment="1">
      <alignment vertical="top"/>
    </xf>
    <xf numFmtId="165" fontId="3" fillId="0" borderId="0" xfId="0" applyNumberFormat="1" applyFont="1"/>
    <xf numFmtId="164" fontId="3" fillId="0" borderId="24" xfId="0" applyNumberFormat="1" applyFont="1" applyBorder="1" applyAlignment="1">
      <alignment vertical="top"/>
    </xf>
    <xf numFmtId="164" fontId="0" fillId="0" borderId="0" xfId="0" applyNumberFormat="1" applyAlignment="1">
      <alignment horizontal="center"/>
    </xf>
    <xf numFmtId="165" fontId="0" fillId="0" borderId="0" xfId="0" applyNumberFormat="1" applyFont="1"/>
    <xf numFmtId="165" fontId="0" fillId="0" borderId="9" xfId="0" applyNumberFormat="1" applyBorder="1" applyAlignment="1">
      <alignment horizontal="right"/>
    </xf>
    <xf numFmtId="165" fontId="0" fillId="0" borderId="12" xfId="0" applyNumberFormat="1" applyBorder="1" applyAlignment="1">
      <alignment horizontal="right"/>
    </xf>
    <xf numFmtId="0" fontId="0" fillId="0" borderId="11" xfId="0" applyBorder="1" applyAlignment="1">
      <alignment horizontal="left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5" xfId="0" applyBorder="1" applyAlignment="1">
      <alignment vertical="top"/>
    </xf>
    <xf numFmtId="164" fontId="0" fillId="0" borderId="35" xfId="0" applyNumberFormat="1" applyBorder="1"/>
    <xf numFmtId="164" fontId="0" fillId="0" borderId="36" xfId="0" applyNumberFormat="1" applyBorder="1"/>
    <xf numFmtId="0" fontId="0" fillId="0" borderId="12" xfId="0" applyBorder="1"/>
    <xf numFmtId="164" fontId="0" fillId="0" borderId="14" xfId="0" applyNumberFormat="1" applyBorder="1"/>
    <xf numFmtId="0" fontId="0" fillId="0" borderId="19" xfId="0" applyBorder="1" applyAlignment="1">
      <alignment horizontal="center" vertical="center"/>
    </xf>
    <xf numFmtId="164" fontId="0" fillId="5" borderId="0" xfId="0" applyNumberFormat="1" applyFill="1"/>
    <xf numFmtId="165" fontId="0" fillId="5" borderId="0" xfId="0" applyNumberFormat="1" applyFill="1"/>
    <xf numFmtId="0" fontId="0" fillId="0" borderId="19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Border="1"/>
    <xf numFmtId="165" fontId="3" fillId="0" borderId="24" xfId="0" applyNumberFormat="1" applyFont="1" applyBorder="1" applyAlignment="1">
      <alignment vertical="top"/>
    </xf>
    <xf numFmtId="165" fontId="0" fillId="0" borderId="0" xfId="0" applyNumberFormat="1" applyBorder="1" applyAlignment="1">
      <alignment horizontal="right"/>
    </xf>
    <xf numFmtId="165" fontId="0" fillId="0" borderId="25" xfId="0" applyNumberFormat="1" applyBorder="1" applyAlignment="1">
      <alignment horizontal="right"/>
    </xf>
    <xf numFmtId="165" fontId="3" fillId="0" borderId="27" xfId="0" applyNumberFormat="1" applyFont="1" applyBorder="1" applyAlignment="1">
      <alignment vertical="top"/>
    </xf>
    <xf numFmtId="165" fontId="0" fillId="0" borderId="27" xfId="0" applyNumberFormat="1" applyBorder="1" applyAlignment="1">
      <alignment horizontal="center"/>
    </xf>
    <xf numFmtId="165" fontId="0" fillId="0" borderId="25" xfId="0" applyNumberFormat="1" applyBorder="1"/>
    <xf numFmtId="1" fontId="0" fillId="6" borderId="1" xfId="0" applyNumberFormat="1" applyFill="1" applyBorder="1" applyAlignment="1">
      <alignment horizontal="center"/>
    </xf>
    <xf numFmtId="1" fontId="0" fillId="6" borderId="37" xfId="0" applyNumberFormat="1" applyFill="1" applyBorder="1" applyAlignment="1">
      <alignment horizontal="center" vertical="center"/>
    </xf>
    <xf numFmtId="165" fontId="0" fillId="0" borderId="33" xfId="0" applyNumberFormat="1" applyBorder="1"/>
    <xf numFmtId="165" fontId="0" fillId="0" borderId="39" xfId="0" applyNumberFormat="1" applyBorder="1"/>
    <xf numFmtId="165" fontId="0" fillId="5" borderId="22" xfId="0" applyNumberFormat="1" applyFill="1" applyBorder="1"/>
    <xf numFmtId="165" fontId="0" fillId="5" borderId="0" xfId="0" applyNumberFormat="1" applyFill="1" applyBorder="1"/>
    <xf numFmtId="164" fontId="0" fillId="5" borderId="0" xfId="0" applyNumberFormat="1" applyFill="1" applyBorder="1"/>
    <xf numFmtId="165" fontId="0" fillId="5" borderId="27" xfId="0" applyNumberFormat="1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20" xfId="0" applyBorder="1" applyAlignment="1">
      <alignment vertical="center"/>
    </xf>
    <xf numFmtId="0" fontId="0" fillId="0" borderId="20" xfId="0" applyBorder="1" applyAlignment="1">
      <alignment vertical="top"/>
    </xf>
    <xf numFmtId="165" fontId="0" fillId="0" borderId="38" xfId="0" applyNumberFormat="1" applyBorder="1"/>
    <xf numFmtId="165" fontId="0" fillId="0" borderId="40" xfId="0" applyNumberFormat="1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9" fontId="0" fillId="0" borderId="30" xfId="0" applyNumberFormat="1" applyBorder="1" applyAlignment="1">
      <alignment horizontal="center" vertical="center"/>
    </xf>
    <xf numFmtId="9" fontId="0" fillId="0" borderId="38" xfId="0" applyNumberFormat="1" applyBorder="1" applyAlignment="1">
      <alignment horizontal="center" vertical="center"/>
    </xf>
    <xf numFmtId="9" fontId="0" fillId="0" borderId="35" xfId="0" applyNumberFormat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41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Calculations!$E$44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Calculations!$E$46:$E$53</c:f>
              <c:numCache>
                <c:formatCode>0.00%</c:formatCode>
                <c:ptCount val="8"/>
                <c:pt idx="0">
                  <c:v>-0.27949774502455443</c:v>
                </c:pt>
                <c:pt idx="1">
                  <c:v>-0.15873102786570464</c:v>
                </c:pt>
                <c:pt idx="2">
                  <c:v>-3.7964310706854867E-2</c:v>
                </c:pt>
                <c:pt idx="3">
                  <c:v>8.2802406451994909E-2</c:v>
                </c:pt>
                <c:pt idx="4">
                  <c:v>0.20356912361084467</c:v>
                </c:pt>
                <c:pt idx="5">
                  <c:v>0.32433584076969446</c:v>
                </c:pt>
              </c:numCache>
            </c:numRef>
          </c:cat>
          <c:val>
            <c:numRef>
              <c:f>Calculations!$F$46:$F$51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42454528"/>
        <c:axId val="242457984"/>
      </c:barChart>
      <c:catAx>
        <c:axId val="242454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42457984"/>
        <c:crosses val="autoZero"/>
        <c:auto val="1"/>
        <c:lblAlgn val="ctr"/>
        <c:lblOffset val="100"/>
      </c:catAx>
      <c:valAx>
        <c:axId val="242457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.0%" sourceLinked="1"/>
        <c:tickLblPos val="nextTo"/>
        <c:crossAx val="242454528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Calculations!$E$55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Calculations!$E$57:$E$64</c:f>
              <c:numCache>
                <c:formatCode>0.0%</c:formatCode>
                <c:ptCount val="8"/>
                <c:pt idx="0">
                  <c:v>-7.6376793876345495E-2</c:v>
                </c:pt>
                <c:pt idx="1">
                  <c:v>-3.0784771704300024E-2</c:v>
                </c:pt>
                <c:pt idx="2">
                  <c:v>1.4807250467745448E-2</c:v>
                </c:pt>
                <c:pt idx="3">
                  <c:v>6.0399272639790919E-2</c:v>
                </c:pt>
                <c:pt idx="4">
                  <c:v>0.10599129481183639</c:v>
                </c:pt>
                <c:pt idx="5">
                  <c:v>0.15158331698388186</c:v>
                </c:pt>
              </c:numCache>
            </c:numRef>
          </c:cat>
          <c:val>
            <c:numRef>
              <c:f>Calculations!$F$57:$F$62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54442880"/>
        <c:axId val="46547328"/>
      </c:barChart>
      <c:catAx>
        <c:axId val="254442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46547328"/>
        <c:crosses val="autoZero"/>
        <c:auto val="1"/>
        <c:lblAlgn val="ctr"/>
        <c:lblOffset val="100"/>
      </c:catAx>
      <c:valAx>
        <c:axId val="465473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%/Population</a:t>
                </a:r>
                <a:endParaRPr lang="en-US" sz="1000"/>
              </a:p>
            </c:rich>
          </c:tx>
          <c:layout/>
        </c:title>
        <c:numFmt formatCode="0.0%" sourceLinked="1"/>
        <c:tickLblPos val="nextTo"/>
        <c:crossAx val="254442880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Calculations!$E$44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Calculations!$E$46:$E$53</c:f>
              <c:numCache>
                <c:formatCode>0.00%</c:formatCode>
                <c:ptCount val="8"/>
                <c:pt idx="0">
                  <c:v>-0.27949774502455443</c:v>
                </c:pt>
                <c:pt idx="1">
                  <c:v>-0.15873102786570464</c:v>
                </c:pt>
                <c:pt idx="2">
                  <c:v>-3.7964310706854867E-2</c:v>
                </c:pt>
                <c:pt idx="3">
                  <c:v>8.2802406451994909E-2</c:v>
                </c:pt>
                <c:pt idx="4">
                  <c:v>0.20356912361084467</c:v>
                </c:pt>
                <c:pt idx="5">
                  <c:v>0.32433584076969446</c:v>
                </c:pt>
              </c:numCache>
            </c:numRef>
          </c:cat>
          <c:val>
            <c:numRef>
              <c:f>Calculations!$F$46:$F$51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46596864"/>
        <c:axId val="46598784"/>
      </c:barChart>
      <c:catAx>
        <c:axId val="46596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46598784"/>
        <c:crosses val="autoZero"/>
        <c:auto val="1"/>
        <c:lblAlgn val="ctr"/>
        <c:lblOffset val="100"/>
      </c:catAx>
      <c:valAx>
        <c:axId val="46598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.0%" sourceLinked="1"/>
        <c:tickLblPos val="nextTo"/>
        <c:crossAx val="46596864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Calculations!$E$55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Calculations!$E$57:$E$64</c:f>
              <c:numCache>
                <c:formatCode>0.0%</c:formatCode>
                <c:ptCount val="8"/>
                <c:pt idx="0">
                  <c:v>-7.6376793876345495E-2</c:v>
                </c:pt>
                <c:pt idx="1">
                  <c:v>-3.0784771704300024E-2</c:v>
                </c:pt>
                <c:pt idx="2">
                  <c:v>1.4807250467745448E-2</c:v>
                </c:pt>
                <c:pt idx="3">
                  <c:v>6.0399272639790919E-2</c:v>
                </c:pt>
                <c:pt idx="4">
                  <c:v>0.10599129481183639</c:v>
                </c:pt>
                <c:pt idx="5">
                  <c:v>0.15158331698388186</c:v>
                </c:pt>
              </c:numCache>
            </c:numRef>
          </c:cat>
          <c:val>
            <c:numRef>
              <c:f>Calculations!$F$57:$F$62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46635264"/>
        <c:axId val="46641536"/>
      </c:barChart>
      <c:catAx>
        <c:axId val="46635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46641536"/>
        <c:crosses val="autoZero"/>
        <c:auto val="1"/>
        <c:lblAlgn val="ctr"/>
        <c:lblOffset val="100"/>
      </c:catAx>
      <c:valAx>
        <c:axId val="46641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%/Population</a:t>
                </a:r>
                <a:endParaRPr lang="en-US" sz="1000"/>
              </a:p>
            </c:rich>
          </c:tx>
          <c:layout/>
        </c:title>
        <c:numFmt formatCode="0.0%" sourceLinked="1"/>
        <c:tickLblPos val="nextTo"/>
        <c:crossAx val="46635264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Calculations!$C$26</c:f>
              <c:strCache>
                <c:ptCount val="1"/>
                <c:pt idx="0">
                  <c:v>Hi</c:v>
                </c:pt>
              </c:strCache>
            </c:strRef>
          </c:tx>
          <c:spPr>
            <a:ln w="28575">
              <a:noFill/>
            </a:ln>
          </c:spPr>
          <c:xVal>
            <c:numRef>
              <c:f>Calculations!$J$26:$AO$26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-2.3320895522387978E-4</c:v>
                </c:pt>
                <c:pt idx="3">
                  <c:v>0</c:v>
                </c:pt>
                <c:pt idx="4">
                  <c:v>-4.6027271158161049E-4</c:v>
                </c:pt>
                <c:pt idx="5">
                  <c:v>5.6650804441422866E-4</c:v>
                </c:pt>
                <c:pt idx="6">
                  <c:v>1.1939650493867321E-3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2.8094622689206722E-4</c:v>
                </c:pt>
                <c:pt idx="13">
                  <c:v>6.6965435532899691E-4</c:v>
                </c:pt>
                <c:pt idx="14">
                  <c:v>9.4765594514733707E-4</c:v>
                </c:pt>
                <c:pt idx="15">
                  <c:v>7.4605451936882736E-4</c:v>
                </c:pt>
                <c:pt idx="16">
                  <c:v>-2.2112886284482203E-4</c:v>
                </c:pt>
                <c:pt idx="17">
                  <c:v>-5.6731151075160787E-5</c:v>
                </c:pt>
                <c:pt idx="18">
                  <c:v>8.0697224015503592E-4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5.2866541353372332E-4</c:v>
                </c:pt>
                <c:pt idx="24">
                  <c:v>0</c:v>
                </c:pt>
                <c:pt idx="25">
                  <c:v>0</c:v>
                </c:pt>
                <c:pt idx="26">
                  <c:v>1.177856301531209E-3</c:v>
                </c:pt>
                <c:pt idx="27">
                  <c:v>0</c:v>
                </c:pt>
                <c:pt idx="28">
                  <c:v>0</c:v>
                </c:pt>
                <c:pt idx="29">
                  <c:v>3.341129301703964E-4</c:v>
                </c:pt>
                <c:pt idx="30">
                  <c:v>6.6518847006651646E-4</c:v>
                </c:pt>
                <c:pt idx="31">
                  <c:v>9.9734042553191135E-4</c:v>
                </c:pt>
              </c:numCache>
            </c:numRef>
          </c:xVal>
          <c:yVal>
            <c:numRef>
              <c:f>Calculations!$J$22:$AO$22</c:f>
              <c:numCache>
                <c:formatCode>0.0%</c:formatCode>
                <c:ptCount val="32"/>
                <c:pt idx="0">
                  <c:v>-1.8032412691166552E-2</c:v>
                </c:pt>
                <c:pt idx="1">
                  <c:v>0.24739273927392741</c:v>
                </c:pt>
                <c:pt idx="2">
                  <c:v>3.2227488151658767E-2</c:v>
                </c:pt>
                <c:pt idx="3">
                  <c:v>8.6780233704068704E-2</c:v>
                </c:pt>
                <c:pt idx="4">
                  <c:v>7.5962974022096216E-2</c:v>
                </c:pt>
                <c:pt idx="5">
                  <c:v>9.6772357260772705E-3</c:v>
                </c:pt>
                <c:pt idx="6">
                  <c:v>5.0580085134796685E-2</c:v>
                </c:pt>
                <c:pt idx="7">
                  <c:v>1.3074697245739959E-2</c:v>
                </c:pt>
                <c:pt idx="8">
                  <c:v>8.1594624354160025E-2</c:v>
                </c:pt>
                <c:pt idx="9">
                  <c:v>1.4625228519195775E-2</c:v>
                </c:pt>
                <c:pt idx="10">
                  <c:v>-7.1387748740063331E-2</c:v>
                </c:pt>
                <c:pt idx="11">
                  <c:v>7.5596665524723022E-2</c:v>
                </c:pt>
                <c:pt idx="12">
                  <c:v>5.9420834900338372E-2</c:v>
                </c:pt>
                <c:pt idx="13">
                  <c:v>8.2325494087045134E-2</c:v>
                </c:pt>
                <c:pt idx="14">
                  <c:v>9.6779849219799999E-2</c:v>
                </c:pt>
                <c:pt idx="15">
                  <c:v>0.10542214167044249</c:v>
                </c:pt>
                <c:pt idx="16">
                  <c:v>0.10331095026307381</c:v>
                </c:pt>
                <c:pt idx="17">
                  <c:v>0.11786615403099836</c:v>
                </c:pt>
                <c:pt idx="18">
                  <c:v>0.12022356564389196</c:v>
                </c:pt>
                <c:pt idx="19">
                  <c:v>8.1212532518945738E-2</c:v>
                </c:pt>
                <c:pt idx="20">
                  <c:v>1.1957671957671956</c:v>
                </c:pt>
                <c:pt idx="21">
                  <c:v>0.14002089864158815</c:v>
                </c:pt>
                <c:pt idx="22">
                  <c:v>-0.21538461538461534</c:v>
                </c:pt>
                <c:pt idx="23">
                  <c:v>0.33814036533443204</c:v>
                </c:pt>
                <c:pt idx="24">
                  <c:v>8.8017838281891816E-2</c:v>
                </c:pt>
                <c:pt idx="25">
                  <c:v>-0.26330169020606614</c:v>
                </c:pt>
                <c:pt idx="26">
                  <c:v>-0.36121956569423108</c:v>
                </c:pt>
                <c:pt idx="27">
                  <c:v>4.4571829667758495E-2</c:v>
                </c:pt>
                <c:pt idx="28">
                  <c:v>5.0103234686853576E-3</c:v>
                </c:pt>
                <c:pt idx="29">
                  <c:v>7.2116771476374505E-2</c:v>
                </c:pt>
                <c:pt idx="30">
                  <c:v>0.14347244913114504</c:v>
                </c:pt>
                <c:pt idx="31">
                  <c:v>9.7811873419928502E-2</c:v>
                </c:pt>
              </c:numCache>
            </c:numRef>
          </c:yVal>
        </c:ser>
        <c:axId val="46660224"/>
        <c:axId val="46662016"/>
      </c:scatterChart>
      <c:valAx>
        <c:axId val="46660224"/>
        <c:scaling>
          <c:orientation val="minMax"/>
        </c:scaling>
        <c:axPos val="b"/>
        <c:numFmt formatCode="0.0%" sourceLinked="1"/>
        <c:tickLblPos val="nextTo"/>
        <c:crossAx val="46662016"/>
        <c:crosses val="autoZero"/>
        <c:crossBetween val="midCat"/>
      </c:valAx>
      <c:valAx>
        <c:axId val="46662016"/>
        <c:scaling>
          <c:orientation val="minMax"/>
        </c:scaling>
        <c:axPos val="l"/>
        <c:majorGridlines/>
        <c:numFmt formatCode="0.0%" sourceLinked="1"/>
        <c:tickLblPos val="nextTo"/>
        <c:crossAx val="46660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'Calculations (2)'!$E$44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'Calculations (2)'!$E$46:$E$53</c:f>
              <c:numCache>
                <c:formatCode>0.00%</c:formatCode>
                <c:ptCount val="8"/>
                <c:pt idx="0">
                  <c:v>-0.29945015089080418</c:v>
                </c:pt>
                <c:pt idx="1">
                  <c:v>-0.16455306115357285</c:v>
                </c:pt>
                <c:pt idx="2">
                  <c:v>-2.965597141634152E-2</c:v>
                </c:pt>
                <c:pt idx="3">
                  <c:v>0.10524111832088981</c:v>
                </c:pt>
                <c:pt idx="4">
                  <c:v>0.24013820805812114</c:v>
                </c:pt>
                <c:pt idx="5">
                  <c:v>0.3750352977953525</c:v>
                </c:pt>
              </c:numCache>
            </c:numRef>
          </c:cat>
          <c:val>
            <c:numRef>
              <c:f>'Calculations (2)'!$F$46:$F$51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01382144"/>
        <c:axId val="201388416"/>
      </c:barChart>
      <c:catAx>
        <c:axId val="201382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01388416"/>
        <c:crosses val="autoZero"/>
        <c:auto val="1"/>
        <c:lblAlgn val="ctr"/>
        <c:lblOffset val="100"/>
      </c:catAx>
      <c:valAx>
        <c:axId val="2013884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.0%" sourceLinked="1"/>
        <c:tickLblPos val="nextTo"/>
        <c:crossAx val="201382144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'Calculations (2)'!$E$55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'Calculations (2)'!$E$57:$E$64</c:f>
              <c:numCache>
                <c:formatCode>0.0%</c:formatCode>
                <c:ptCount val="8"/>
                <c:pt idx="0">
                  <c:v>-9.3050839013284745E-2</c:v>
                </c:pt>
                <c:pt idx="1">
                  <c:v>-4.0644777181093432E-2</c:v>
                </c:pt>
                <c:pt idx="2">
                  <c:v>1.1761284651097881E-2</c:v>
                </c:pt>
                <c:pt idx="3">
                  <c:v>6.41673464832892E-2</c:v>
                </c:pt>
                <c:pt idx="4">
                  <c:v>0.11657340831548052</c:v>
                </c:pt>
                <c:pt idx="5">
                  <c:v>0.16897947014767184</c:v>
                </c:pt>
              </c:numCache>
            </c:numRef>
          </c:cat>
          <c:val>
            <c:numRef>
              <c:f>'Calculations (2)'!$F$57:$F$62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30104448"/>
        <c:axId val="230127104"/>
      </c:barChart>
      <c:catAx>
        <c:axId val="230104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30127104"/>
        <c:crosses val="autoZero"/>
        <c:auto val="1"/>
        <c:lblAlgn val="ctr"/>
        <c:lblOffset val="100"/>
      </c:catAx>
      <c:valAx>
        <c:axId val="2301271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/>
                  <a:t>%/Population</a:t>
                </a:r>
                <a:endParaRPr lang="en-US" sz="1000"/>
              </a:p>
            </c:rich>
          </c:tx>
          <c:layout/>
        </c:title>
        <c:numFmt formatCode="0.0%" sourceLinked="1"/>
        <c:tickLblPos val="nextTo"/>
        <c:crossAx val="230104448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'Calculations (2)'!$C$26</c:f>
              <c:strCache>
                <c:ptCount val="1"/>
                <c:pt idx="0">
                  <c:v>Hi</c:v>
                </c:pt>
              </c:strCache>
            </c:strRef>
          </c:tx>
          <c:spPr>
            <a:ln w="28575">
              <a:noFill/>
            </a:ln>
          </c:spPr>
          <c:xVal>
            <c:numRef>
              <c:f>'Calculations (2)'!$J$26:$AO$26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-2.3320895522387978E-4</c:v>
                </c:pt>
                <c:pt idx="3">
                  <c:v>0</c:v>
                </c:pt>
                <c:pt idx="4">
                  <c:v>-4.6027271158161049E-4</c:v>
                </c:pt>
                <c:pt idx="5">
                  <c:v>5.6650804441422866E-4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6.6965435532899691E-4</c:v>
                </c:pt>
                <c:pt idx="14">
                  <c:v>9.4765594514733707E-4</c:v>
                </c:pt>
                <c:pt idx="15">
                  <c:v>7.4605451936882736E-4</c:v>
                </c:pt>
                <c:pt idx="17">
                  <c:v>-5.6731151075160787E-5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5.2866541353372332E-4</c:v>
                </c:pt>
                <c:pt idx="24">
                  <c:v>0</c:v>
                </c:pt>
                <c:pt idx="25">
                  <c:v>0</c:v>
                </c:pt>
                <c:pt idx="26">
                  <c:v>1.177856301531209E-3</c:v>
                </c:pt>
                <c:pt idx="27">
                  <c:v>0</c:v>
                </c:pt>
                <c:pt idx="30">
                  <c:v>6.6518847006651646E-4</c:v>
                </c:pt>
                <c:pt idx="31">
                  <c:v>9.9734042553191135E-4</c:v>
                </c:pt>
              </c:numCache>
            </c:numRef>
          </c:xVal>
          <c:yVal>
            <c:numRef>
              <c:f>'Calculations (2)'!$J$22:$AO$22</c:f>
              <c:numCache>
                <c:formatCode>0.0%</c:formatCode>
                <c:ptCount val="32"/>
                <c:pt idx="0">
                  <c:v>-1.8032412691166552E-2</c:v>
                </c:pt>
                <c:pt idx="1">
                  <c:v>0.24739273927392741</c:v>
                </c:pt>
                <c:pt idx="2">
                  <c:v>3.2227488151658767E-2</c:v>
                </c:pt>
                <c:pt idx="3">
                  <c:v>8.6780233704068704E-2</c:v>
                </c:pt>
                <c:pt idx="4">
                  <c:v>7.5962974022096216E-2</c:v>
                </c:pt>
                <c:pt idx="5">
                  <c:v>9.6772357260772705E-3</c:v>
                </c:pt>
                <c:pt idx="7">
                  <c:v>1.3074697245739959E-2</c:v>
                </c:pt>
                <c:pt idx="8">
                  <c:v>8.1594624354160025E-2</c:v>
                </c:pt>
                <c:pt idx="9">
                  <c:v>1.4625228519195775E-2</c:v>
                </c:pt>
                <c:pt idx="11">
                  <c:v>7.5596665524723022E-2</c:v>
                </c:pt>
                <c:pt idx="13">
                  <c:v>8.2325494087045134E-2</c:v>
                </c:pt>
                <c:pt idx="14">
                  <c:v>9.6779849219799999E-2</c:v>
                </c:pt>
                <c:pt idx="15">
                  <c:v>0.10542214167044249</c:v>
                </c:pt>
                <c:pt idx="17">
                  <c:v>0.11786615403099836</c:v>
                </c:pt>
                <c:pt idx="19">
                  <c:v>8.1212532518945738E-2</c:v>
                </c:pt>
                <c:pt idx="20">
                  <c:v>1.1957671957671956</c:v>
                </c:pt>
                <c:pt idx="21">
                  <c:v>0.14002089864158815</c:v>
                </c:pt>
                <c:pt idx="23">
                  <c:v>0.33814036533443204</c:v>
                </c:pt>
                <c:pt idx="24">
                  <c:v>8.8017838281891816E-2</c:v>
                </c:pt>
                <c:pt idx="25">
                  <c:v>-0.26330169020606614</c:v>
                </c:pt>
                <c:pt idx="26">
                  <c:v>-0.36121956569423108</c:v>
                </c:pt>
                <c:pt idx="27">
                  <c:v>4.4571829667758495E-2</c:v>
                </c:pt>
                <c:pt idx="30">
                  <c:v>0.14347244913114504</c:v>
                </c:pt>
                <c:pt idx="31">
                  <c:v>9.7811873419928502E-2</c:v>
                </c:pt>
              </c:numCache>
            </c:numRef>
          </c:yVal>
        </c:ser>
        <c:axId val="230141952"/>
        <c:axId val="230143488"/>
      </c:scatterChart>
      <c:valAx>
        <c:axId val="230141952"/>
        <c:scaling>
          <c:orientation val="minMax"/>
        </c:scaling>
        <c:axPos val="b"/>
        <c:numFmt formatCode="0.0%" sourceLinked="1"/>
        <c:tickLblPos val="nextTo"/>
        <c:crossAx val="230143488"/>
        <c:crosses val="autoZero"/>
        <c:crossBetween val="midCat"/>
      </c:valAx>
      <c:valAx>
        <c:axId val="230143488"/>
        <c:scaling>
          <c:orientation val="minMax"/>
        </c:scaling>
        <c:axPos val="l"/>
        <c:majorGridlines/>
        <c:numFmt formatCode="0.0%" sourceLinked="1"/>
        <c:tickLblPos val="nextTo"/>
        <c:crossAx val="230141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71438</xdr:colOff>
      <xdr:row>18</xdr:row>
      <xdr:rowOff>122464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41275</xdr:colOff>
      <xdr:row>20</xdr:row>
      <xdr:rowOff>26155</xdr:rowOff>
    </xdr:from>
    <xdr:to>
      <xdr:col>7</xdr:col>
      <xdr:colOff>74008</xdr:colOff>
      <xdr:row>30</xdr:row>
      <xdr:rowOff>121405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42</xdr:row>
      <xdr:rowOff>180975</xdr:rowOff>
    </xdr:from>
    <xdr:to>
      <xdr:col>12</xdr:col>
      <xdr:colOff>447675</xdr:colOff>
      <xdr:row>53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54</xdr:row>
      <xdr:rowOff>179916</xdr:rowOff>
    </xdr:from>
    <xdr:to>
      <xdr:col>13</xdr:col>
      <xdr:colOff>33867</xdr:colOff>
      <xdr:row>65</xdr:row>
      <xdr:rowOff>84666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43</xdr:row>
      <xdr:rowOff>13608</xdr:rowOff>
    </xdr:from>
    <xdr:to>
      <xdr:col>30</xdr:col>
      <xdr:colOff>394607</xdr:colOff>
      <xdr:row>65</xdr:row>
      <xdr:rowOff>136073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42</xdr:row>
      <xdr:rowOff>180975</xdr:rowOff>
    </xdr:from>
    <xdr:to>
      <xdr:col>12</xdr:col>
      <xdr:colOff>447675</xdr:colOff>
      <xdr:row>53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54</xdr:row>
      <xdr:rowOff>179916</xdr:rowOff>
    </xdr:from>
    <xdr:to>
      <xdr:col>13</xdr:col>
      <xdr:colOff>33867</xdr:colOff>
      <xdr:row>65</xdr:row>
      <xdr:rowOff>84666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43</xdr:row>
      <xdr:rowOff>13608</xdr:rowOff>
    </xdr:from>
    <xdr:to>
      <xdr:col>30</xdr:col>
      <xdr:colOff>394607</xdr:colOff>
      <xdr:row>65</xdr:row>
      <xdr:rowOff>136073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3"/>
  <sheetViews>
    <sheetView showGridLines="0" zoomScale="80" zoomScaleNormal="80" workbookViewId="0">
      <selection activeCell="I7" sqref="I7"/>
    </sheetView>
  </sheetViews>
  <sheetFormatPr defaultRowHeight="15"/>
  <cols>
    <col min="1" max="8" width="9.140625" customWidth="1"/>
    <col min="9" max="9" width="12" customWidth="1"/>
    <col min="10" max="10" width="9.140625" style="2" customWidth="1"/>
    <col min="11" max="11" width="9.140625" style="2"/>
  </cols>
  <sheetData>
    <row r="1" spans="1:10" ht="15.75" thickBot="1">
      <c r="A1" s="28"/>
      <c r="B1" s="28"/>
      <c r="C1" s="28"/>
      <c r="D1" s="28"/>
      <c r="E1" s="28"/>
      <c r="F1" s="28"/>
      <c r="G1" s="28"/>
      <c r="H1" s="28"/>
    </row>
    <row r="2" spans="1:10">
      <c r="A2" s="28"/>
      <c r="B2" s="23" t="s">
        <v>10</v>
      </c>
      <c r="C2" s="20" t="s">
        <v>5</v>
      </c>
      <c r="D2" s="20" t="s">
        <v>11</v>
      </c>
      <c r="E2" s="20" t="s">
        <v>24</v>
      </c>
      <c r="F2" s="26" t="s">
        <v>25</v>
      </c>
      <c r="G2" s="24" t="s">
        <v>0</v>
      </c>
      <c r="H2" s="28"/>
      <c r="I2" s="98" t="s">
        <v>32</v>
      </c>
    </row>
    <row r="3" spans="1:10">
      <c r="A3" s="28"/>
      <c r="B3" s="25" t="str">
        <f>Calculations!C22</f>
        <v>Hi</v>
      </c>
      <c r="C3" s="22">
        <f>Calculations!F22</f>
        <v>8.2802406451994895E-2</v>
      </c>
      <c r="D3" s="6">
        <f>Calculations!H22</f>
        <v>0.24153343431769955</v>
      </c>
      <c r="E3" s="6">
        <f>ABS(C3)+0.5*D3</f>
        <v>0.20356912361084467</v>
      </c>
      <c r="F3" s="48">
        <f>ABS(C3)+1.5*D3</f>
        <v>0.4451025579285442</v>
      </c>
      <c r="G3" s="112">
        <f>count</f>
        <v>32</v>
      </c>
      <c r="H3" s="28"/>
      <c r="I3" s="1">
        <v>64000</v>
      </c>
    </row>
    <row r="4" spans="1:10">
      <c r="A4" s="28"/>
      <c r="B4" s="25" t="str">
        <f>Calculations!C23</f>
        <v>Mhi</v>
      </c>
      <c r="C4" s="22">
        <f>Calculations!F23</f>
        <v>4.1581065955178673E-2</v>
      </c>
      <c r="D4" s="6">
        <f>Calculations!H23</f>
        <v>0.12591688658325281</v>
      </c>
      <c r="E4" s="6">
        <f t="shared" ref="E4:E6" si="0">ABS(C4)+0.5*D4</f>
        <v>0.10453950924680508</v>
      </c>
      <c r="F4" s="48">
        <f t="shared" ref="F4:F6" si="1">ABS(C4)+1.5*D4</f>
        <v>0.23045639583005789</v>
      </c>
      <c r="G4" s="112"/>
      <c r="H4" s="28"/>
      <c r="I4" s="99">
        <f>r0/4</f>
        <v>16000</v>
      </c>
    </row>
    <row r="5" spans="1:10">
      <c r="A5" s="16"/>
      <c r="B5" s="25" t="str">
        <f>Calculations!C24</f>
        <v>Mlo</v>
      </c>
      <c r="C5" s="22">
        <f>Calculations!F24</f>
        <v>5.5036433724955904E-2</v>
      </c>
      <c r="D5" s="6">
        <f>Calculations!H24</f>
        <v>6.8881454364293618E-2</v>
      </c>
      <c r="E5" s="6">
        <f t="shared" si="0"/>
        <v>8.9477160907102712E-2</v>
      </c>
      <c r="F5" s="48">
        <f t="shared" si="1"/>
        <v>0.15835861527139633</v>
      </c>
      <c r="G5" s="112"/>
      <c r="H5" s="16"/>
      <c r="I5" s="1">
        <f t="shared" ref="I5:I6" si="2">I4/4</f>
        <v>4000</v>
      </c>
    </row>
    <row r="6" spans="1:10">
      <c r="A6" s="16"/>
      <c r="B6" s="25" t="str">
        <f>Calculations!C25</f>
        <v>Lo</v>
      </c>
      <c r="C6" s="22">
        <f>Calculations!F25</f>
        <v>6.0399272639790919E-2</v>
      </c>
      <c r="D6" s="6">
        <f>Calculations!H25</f>
        <v>9.1184044344090942E-2</v>
      </c>
      <c r="E6" s="6">
        <f t="shared" si="0"/>
        <v>0.10599129481183639</v>
      </c>
      <c r="F6" s="48">
        <f t="shared" si="1"/>
        <v>0.19717533915592733</v>
      </c>
      <c r="G6" s="112"/>
      <c r="H6" s="16"/>
      <c r="I6" s="1">
        <f t="shared" si="2"/>
        <v>1000</v>
      </c>
    </row>
    <row r="7" spans="1:10" ht="15.75" thickBot="1">
      <c r="A7" s="16"/>
      <c r="B7" s="110" t="s">
        <v>26</v>
      </c>
      <c r="C7" s="111"/>
      <c r="D7" s="111"/>
      <c r="E7" s="10">
        <f>MAX(E3:E6)</f>
        <v>0.20356912361084467</v>
      </c>
      <c r="F7" s="49">
        <f>MAX(F3:F6)</f>
        <v>0.4451025579285442</v>
      </c>
      <c r="G7" s="27"/>
      <c r="H7" s="16"/>
      <c r="I7" t="s">
        <v>33</v>
      </c>
      <c r="J7" s="2">
        <v>16</v>
      </c>
    </row>
    <row r="8" spans="1:10">
      <c r="A8" s="16"/>
      <c r="B8" s="16"/>
      <c r="C8" s="16"/>
      <c r="D8" s="16"/>
      <c r="E8" s="16"/>
      <c r="F8" s="16"/>
      <c r="G8" s="16"/>
      <c r="H8" s="16"/>
    </row>
    <row r="9" spans="1:10">
      <c r="A9" s="16"/>
      <c r="B9" s="16"/>
      <c r="C9" s="16"/>
      <c r="D9" s="16"/>
      <c r="E9" s="16"/>
      <c r="F9" s="16"/>
      <c r="G9" s="16"/>
      <c r="H9" s="16"/>
    </row>
    <row r="10" spans="1:10">
      <c r="A10" s="16"/>
      <c r="B10" s="16"/>
      <c r="C10" s="16"/>
      <c r="D10" s="16"/>
      <c r="E10" s="16"/>
      <c r="F10" s="16"/>
      <c r="G10" s="16"/>
      <c r="H10" s="16"/>
    </row>
    <row r="11" spans="1:10">
      <c r="A11" s="16"/>
      <c r="B11" s="16"/>
      <c r="C11" s="16"/>
      <c r="D11" s="16"/>
      <c r="E11" s="16"/>
      <c r="F11" s="16"/>
      <c r="G11" s="16"/>
      <c r="H11" s="16"/>
    </row>
    <row r="12" spans="1:10">
      <c r="A12" s="16"/>
      <c r="B12" s="16"/>
      <c r="C12" s="16"/>
      <c r="D12" s="16"/>
      <c r="E12" s="16"/>
      <c r="F12" s="16"/>
      <c r="G12" s="16"/>
      <c r="H12" s="16"/>
    </row>
    <row r="13" spans="1:10">
      <c r="A13" s="16"/>
      <c r="B13" s="16"/>
      <c r="C13" s="16"/>
      <c r="D13" s="16"/>
      <c r="E13" s="16"/>
      <c r="F13" s="16"/>
      <c r="G13" s="16"/>
      <c r="H13" s="16"/>
    </row>
  </sheetData>
  <mergeCells count="2">
    <mergeCell ref="B7:D7"/>
    <mergeCell ref="G3:G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S64"/>
  <sheetViews>
    <sheetView tabSelected="1" zoomScale="70" zoomScaleNormal="70" workbookViewId="0">
      <pane xSplit="6660" ySplit="6090" activePane="bottomLeft"/>
      <selection activeCell="A3" sqref="A3"/>
      <selection pane="topRight" activeCell="P2" sqref="P2:P42"/>
      <selection pane="bottomLeft" activeCell="F52" sqref="F52"/>
      <selection pane="bottomRight" activeCell="B60" sqref="B60"/>
    </sheetView>
  </sheetViews>
  <sheetFormatPr defaultRowHeight="15"/>
  <cols>
    <col min="1" max="1" width="15.42578125" style="19" customWidth="1"/>
    <col min="2" max="2" width="7.7109375" bestFit="1" customWidth="1"/>
    <col min="3" max="3" width="6.140625" bestFit="1" customWidth="1"/>
    <col min="4" max="4" width="5.42578125" customWidth="1"/>
    <col min="9" max="9" width="6.140625" customWidth="1"/>
    <col min="10" max="45" width="7.85546875" customWidth="1"/>
  </cols>
  <sheetData>
    <row r="1" spans="1:45">
      <c r="B1" s="134" t="s">
        <v>9</v>
      </c>
      <c r="C1" s="135"/>
      <c r="D1" s="40"/>
      <c r="E1" s="40" t="s">
        <v>3</v>
      </c>
      <c r="F1" s="40" t="s">
        <v>1</v>
      </c>
      <c r="G1" s="40" t="s">
        <v>4</v>
      </c>
      <c r="H1" s="41" t="s">
        <v>2</v>
      </c>
      <c r="J1">
        <f>data0!B1</f>
        <v>0</v>
      </c>
      <c r="K1">
        <f>data0!C1</f>
        <v>1</v>
      </c>
      <c r="L1">
        <f>data0!D1</f>
        <v>2</v>
      </c>
      <c r="M1">
        <f>data0!E1</f>
        <v>3</v>
      </c>
      <c r="N1">
        <f>data0!F1</f>
        <v>4</v>
      </c>
      <c r="O1">
        <f>data0!G1</f>
        <v>5</v>
      </c>
      <c r="P1">
        <f>data0!H1</f>
        <v>6</v>
      </c>
      <c r="Q1">
        <f>data0!I1</f>
        <v>7</v>
      </c>
      <c r="R1">
        <f>data0!J1</f>
        <v>8</v>
      </c>
      <c r="S1">
        <f>data0!K1</f>
        <v>9</v>
      </c>
      <c r="T1">
        <f>data0!L1</f>
        <v>10</v>
      </c>
      <c r="U1">
        <f>data0!M1</f>
        <v>11</v>
      </c>
      <c r="V1">
        <f>data0!N1</f>
        <v>12</v>
      </c>
      <c r="W1">
        <f>data0!O1</f>
        <v>13</v>
      </c>
      <c r="X1">
        <f>data0!P1</f>
        <v>14</v>
      </c>
      <c r="Y1">
        <f>data0!Q1</f>
        <v>15</v>
      </c>
      <c r="Z1">
        <f>data0!R1</f>
        <v>16</v>
      </c>
      <c r="AA1">
        <f>data0!S1</f>
        <v>17</v>
      </c>
      <c r="AB1">
        <f>data0!T1</f>
        <v>18</v>
      </c>
      <c r="AC1">
        <f>data0!U1</f>
        <v>19</v>
      </c>
      <c r="AD1">
        <f>data0!V1</f>
        <v>20</v>
      </c>
      <c r="AE1">
        <f>data0!W1</f>
        <v>21</v>
      </c>
      <c r="AF1">
        <f>data0!X1</f>
        <v>22</v>
      </c>
      <c r="AG1">
        <f>data0!Y1</f>
        <v>23</v>
      </c>
      <c r="AH1">
        <f>data0!Z1</f>
        <v>24</v>
      </c>
      <c r="AI1">
        <f>data0!AA1</f>
        <v>25</v>
      </c>
      <c r="AJ1">
        <f>data0!AB1</f>
        <v>26</v>
      </c>
      <c r="AK1">
        <f>data0!AC1</f>
        <v>27</v>
      </c>
      <c r="AL1">
        <f>data0!AD1</f>
        <v>28</v>
      </c>
      <c r="AM1">
        <f>data0!AE1</f>
        <v>29</v>
      </c>
      <c r="AN1">
        <f>data0!AF1</f>
        <v>30</v>
      </c>
      <c r="AO1">
        <f>data0!AG1</f>
        <v>31</v>
      </c>
      <c r="AP1">
        <f>data0!AH1</f>
        <v>32</v>
      </c>
      <c r="AQ1">
        <f>data0!AI1</f>
        <v>33</v>
      </c>
      <c r="AR1">
        <f>data0!AJ1</f>
        <v>34</v>
      </c>
      <c r="AS1">
        <f>data0!AK1</f>
        <v>35</v>
      </c>
    </row>
    <row r="2" spans="1:45">
      <c r="B2" s="126" t="s">
        <v>13</v>
      </c>
      <c r="C2" s="121" t="s">
        <v>6</v>
      </c>
      <c r="D2" s="50" t="s">
        <v>27</v>
      </c>
      <c r="E2" s="8">
        <f>F2-3*H2</f>
        <v>468.62369164966981</v>
      </c>
      <c r="F2" s="8">
        <f>AVERAGE(J2:AS2)</f>
        <v>546.30350194552523</v>
      </c>
      <c r="G2" s="8">
        <f>F2+3*H2</f>
        <v>623.98331224138064</v>
      </c>
      <c r="H2" s="9">
        <f>STDEV(J2:AS2)</f>
        <v>25.893270098618476</v>
      </c>
      <c r="I2" s="38"/>
      <c r="J2" s="42">
        <f>data0!B2</f>
        <v>529.97634851606006</v>
      </c>
      <c r="K2" s="42">
        <f>data0!C2</f>
        <v>519.53917753871974</v>
      </c>
      <c r="L2" s="42">
        <f>data0!D2</f>
        <v>523.44548714427401</v>
      </c>
      <c r="M2" s="42">
        <f>data0!E2</f>
        <v>565.43831540398264</v>
      </c>
      <c r="N2" s="42">
        <f>data0!F2</f>
        <v>530.434119172961</v>
      </c>
      <c r="O2" s="42">
        <f>data0!G2</f>
        <v>538.70450904097049</v>
      </c>
      <c r="P2" s="42">
        <f>data0!H2</f>
        <v>562.32547493705647</v>
      </c>
      <c r="Q2" s="42">
        <f>data0!I2</f>
        <v>573.25093461509118</v>
      </c>
      <c r="R2" s="42">
        <f>data0!J2</f>
        <v>562.50858319981683</v>
      </c>
      <c r="S2" s="42">
        <f>data0!K2</f>
        <v>538.09414816510264</v>
      </c>
      <c r="T2" s="42">
        <f>data0!L2</f>
        <v>566.41489280537121</v>
      </c>
      <c r="U2" s="42">
        <f>data0!M2</f>
        <v>554.69596398870829</v>
      </c>
      <c r="V2" s="42">
        <f>data0!N2</f>
        <v>543.12962539101238</v>
      </c>
      <c r="W2" s="42">
        <f>data0!O2</f>
        <v>592.44678416113527</v>
      </c>
      <c r="X2" s="42">
        <f>data0!P2</f>
        <v>547.46318760967415</v>
      </c>
      <c r="Y2" s="42">
        <f>data0!Q2</f>
        <v>531.77691309987028</v>
      </c>
      <c r="Z2" s="42">
        <f>data0!R2</f>
        <v>552.04089417868317</v>
      </c>
      <c r="AA2" s="42">
        <f>data0!S2</f>
        <v>537.94155794613562</v>
      </c>
      <c r="AB2" s="42">
        <f>data0!T2</f>
        <v>567.26939803158621</v>
      </c>
      <c r="AC2" s="42">
        <f>data0!U2</f>
        <v>561.53200579842826</v>
      </c>
      <c r="AD2" s="42">
        <f>data0!V2</f>
        <v>442.38956282902262</v>
      </c>
      <c r="AE2" s="42">
        <f>data0!W2</f>
        <v>531.25810635538255</v>
      </c>
      <c r="AF2" s="42">
        <f>data0!X2</f>
        <v>566.41489280537121</v>
      </c>
      <c r="AG2" s="42">
        <f>data0!Y2</f>
        <v>519.53917753871974</v>
      </c>
      <c r="AH2" s="42">
        <f>data0!Z2</f>
        <v>542.97703517204548</v>
      </c>
      <c r="AI2" s="42">
        <f>data0!AA2</f>
        <v>572.27435721370261</v>
      </c>
      <c r="AJ2" s="42">
        <f>data0!AB2</f>
        <v>570.01602197299155</v>
      </c>
      <c r="AK2" s="42">
        <f>data0!AC2</f>
        <v>533.36385137712671</v>
      </c>
      <c r="AL2" s="42">
        <f>data0!AD2</f>
        <v>555.67254139009685</v>
      </c>
      <c r="AM2" s="42">
        <f>data0!AE2</f>
        <v>548.04303044174867</v>
      </c>
      <c r="AN2" s="42">
        <f>data0!AF2</f>
        <v>550.54551003280687</v>
      </c>
      <c r="AO2" s="42">
        <f>data0!AG2</f>
        <v>550.78965438315402</v>
      </c>
      <c r="AP2" s="19"/>
      <c r="AQ2" s="19"/>
      <c r="AR2" s="19"/>
      <c r="AS2" s="19"/>
    </row>
    <row r="3" spans="1:45">
      <c r="B3" s="120"/>
      <c r="C3" s="122"/>
      <c r="D3" s="90">
        <v>850</v>
      </c>
      <c r="E3" s="8">
        <f t="shared" ref="E3" si="0">F3-3*H3</f>
        <v>468.66839861861325</v>
      </c>
      <c r="F3" s="8">
        <f t="shared" ref="F3" si="1">AVERAGE(J3:AS3)</f>
        <v>546.16521705958644</v>
      </c>
      <c r="G3" s="8">
        <f t="shared" ref="G3" si="2">F3+3*H3</f>
        <v>623.66203550055968</v>
      </c>
      <c r="H3" s="9">
        <f t="shared" ref="H3" si="3">STDEV(J3:AS3)</f>
        <v>25.832272813657735</v>
      </c>
      <c r="I3" s="83"/>
      <c r="J3" s="46">
        <f>data0!B3</f>
        <v>529.97634851606006</v>
      </c>
      <c r="K3" s="46">
        <f>data0!C3</f>
        <v>519.53917753871974</v>
      </c>
      <c r="L3" s="46">
        <f>data0!D3</f>
        <v>523.56755931944758</v>
      </c>
      <c r="M3" s="46">
        <f>data0!E3</f>
        <v>565.43831540398264</v>
      </c>
      <c r="N3" s="46">
        <f>data0!F3</f>
        <v>530.67826352330815</v>
      </c>
      <c r="O3" s="46">
        <f>data0!G3</f>
        <v>538.39932860303657</v>
      </c>
      <c r="P3" s="46">
        <f>data0!H3</f>
        <v>561.65407797360183</v>
      </c>
      <c r="Q3" s="46">
        <f>data0!I3</f>
        <v>573.25093461509118</v>
      </c>
      <c r="R3" s="46">
        <f>data0!J3</f>
        <v>562.50858319981683</v>
      </c>
      <c r="S3" s="46">
        <f>data0!K3</f>
        <v>538.09414816510264</v>
      </c>
      <c r="T3" s="46">
        <f>data0!L3</f>
        <v>566.41489280537121</v>
      </c>
      <c r="U3" s="46">
        <f>data0!M3</f>
        <v>554.69596398870829</v>
      </c>
      <c r="V3" s="46">
        <f>data0!N3</f>
        <v>542.97703517204548</v>
      </c>
      <c r="W3" s="46">
        <f>data0!O3</f>
        <v>592.05004959182111</v>
      </c>
      <c r="X3" s="46">
        <f>data0!P3</f>
        <v>546.94438086518653</v>
      </c>
      <c r="Y3" s="46">
        <f>data0!Q3</f>
        <v>531.38017853055612</v>
      </c>
      <c r="Z3" s="46">
        <f>data0!R3</f>
        <v>552.16296635385675</v>
      </c>
      <c r="AA3" s="46">
        <f>data0!S3</f>
        <v>537.97207598992907</v>
      </c>
      <c r="AB3" s="46">
        <f>data0!T3</f>
        <v>566.81162737468526</v>
      </c>
      <c r="AC3" s="46">
        <f>data0!U3</f>
        <v>561.53200579842826</v>
      </c>
      <c r="AD3" s="46">
        <f>data0!V3</f>
        <v>442.38956282902262</v>
      </c>
      <c r="AE3" s="46">
        <f>data0!W3</f>
        <v>531.25810635538255</v>
      </c>
      <c r="AF3" s="46">
        <f>data0!X3</f>
        <v>566.41489280537121</v>
      </c>
      <c r="AG3" s="46">
        <f>data0!Y3</f>
        <v>519.26451514457926</v>
      </c>
      <c r="AH3" s="46">
        <f>data0!Z3</f>
        <v>542.97703517204548</v>
      </c>
      <c r="AI3" s="46">
        <f>data0!AA3</f>
        <v>572.27435721370261</v>
      </c>
      <c r="AJ3" s="46">
        <f>data0!AB3</f>
        <v>569.34462500953691</v>
      </c>
      <c r="AK3" s="46">
        <f>data0!AC3</f>
        <v>533.36385137712671</v>
      </c>
      <c r="AL3" s="46">
        <f>data0!AD3</f>
        <v>555.67254139009685</v>
      </c>
      <c r="AM3" s="46">
        <f>data0!AE3</f>
        <v>547.85992217898831</v>
      </c>
      <c r="AN3" s="46">
        <f>data0!AF3</f>
        <v>550.17929350728616</v>
      </c>
      <c r="AO3" s="46">
        <f>data0!AG3</f>
        <v>550.24032959487295</v>
      </c>
      <c r="AP3" s="19"/>
      <c r="AQ3" s="19"/>
      <c r="AR3" s="19"/>
      <c r="AS3" s="19"/>
    </row>
    <row r="4" spans="1:45" s="5" customFormat="1">
      <c r="A4" s="19"/>
      <c r="B4" s="120"/>
      <c r="C4" s="123"/>
      <c r="D4" s="52" t="s">
        <v>19</v>
      </c>
      <c r="E4" s="6">
        <f t="shared" ref="E4:E21" si="4">F4-3*H4</f>
        <v>3.6191260623209529E-3</v>
      </c>
      <c r="F4" s="6">
        <f t="shared" ref="F4:F21" si="5">AVERAGE(J4:AS4)</f>
        <v>4.0602111467154959E-3</v>
      </c>
      <c r="G4" s="6">
        <f t="shared" ref="G4:G21" si="6">F4+3*H4</f>
        <v>4.5012962311100383E-3</v>
      </c>
      <c r="H4" s="7">
        <f t="shared" ref="H4:H21" si="7">STDEV(J4:AS4)</f>
        <v>1.4702836146484761E-4</v>
      </c>
      <c r="I4" s="13"/>
      <c r="J4" s="13">
        <f>data0!B4</f>
        <v>3.9520866712443731E-3</v>
      </c>
      <c r="K4" s="13">
        <f>data0!C4</f>
        <v>4.0283817807278549E-3</v>
      </c>
      <c r="L4" s="13">
        <f>data0!D4</f>
        <v>4.0283817807278549E-3</v>
      </c>
      <c r="M4" s="13">
        <f>data0!E4</f>
        <v>4.2420080872816049E-3</v>
      </c>
      <c r="N4" s="13">
        <f>data0!F4</f>
        <v>3.9978637369344622E-3</v>
      </c>
      <c r="O4" s="13">
        <f>data0!G4</f>
        <v>3.7842374303807126E-3</v>
      </c>
      <c r="P4" s="13">
        <f>data0!H4</f>
        <v>4.1504539559014267E-3</v>
      </c>
      <c r="Q4" s="13">
        <f>data0!I4</f>
        <v>4.1504539559014267E-3</v>
      </c>
      <c r="R4" s="13">
        <f>data0!J4</f>
        <v>4.1657129777981231E-3</v>
      </c>
      <c r="S4" s="13">
        <f>data0!K4</f>
        <v>3.9826047150377658E-3</v>
      </c>
      <c r="T4" s="13">
        <f>data0!L4</f>
        <v>4.0283817807278549E-3</v>
      </c>
      <c r="U4" s="13">
        <f>data0!M4</f>
        <v>4.0741588464179449E-3</v>
      </c>
      <c r="V4" s="13">
        <f>data0!N4</f>
        <v>4.0741588464179449E-3</v>
      </c>
      <c r="W4" s="13">
        <f>data0!O4</f>
        <v>4.4251163500419622E-3</v>
      </c>
      <c r="X4" s="13">
        <f>data0!P4</f>
        <v>4.119935912108034E-3</v>
      </c>
      <c r="Y4" s="13">
        <f>data0!Q4</f>
        <v>4.0894178683146412E-3</v>
      </c>
      <c r="Z4" s="13">
        <f>data0!R4</f>
        <v>4.0894178683146412E-3</v>
      </c>
      <c r="AA4" s="13">
        <f>data0!S4</f>
        <v>4.0741588464179449E-3</v>
      </c>
      <c r="AB4" s="13">
        <f>data0!T4</f>
        <v>4.3183031967650876E-3</v>
      </c>
      <c r="AC4" s="13">
        <f>data0!U4</f>
        <v>4.1504539559014267E-3</v>
      </c>
      <c r="AD4" s="13">
        <f>data0!V4</f>
        <v>3.6469062333104449E-3</v>
      </c>
      <c r="AE4" s="13">
        <f>data0!W4</f>
        <v>4.1351949340047304E-3</v>
      </c>
      <c r="AF4" s="13">
        <f>data0!X4</f>
        <v>4.0894178683146412E-3</v>
      </c>
      <c r="AG4" s="13">
        <f>data0!Y4</f>
        <v>3.9368276493476767E-3</v>
      </c>
      <c r="AH4" s="13">
        <f>data0!Z4</f>
        <v>4.1657129777981231E-3</v>
      </c>
      <c r="AI4" s="13">
        <f>data0!AA4</f>
        <v>3.9892805371175705E-3</v>
      </c>
      <c r="AJ4" s="13">
        <f>data0!AB4</f>
        <v>3.8300144960708017E-3</v>
      </c>
      <c r="AK4" s="13">
        <f>data0!AC4</f>
        <v>3.9215686274509803E-3</v>
      </c>
      <c r="AL4" s="13">
        <f>data0!AD4</f>
        <v>4.1371023117418174E-3</v>
      </c>
      <c r="AM4" s="13">
        <f>data0!AE4</f>
        <v>4.0312428473334863E-3</v>
      </c>
      <c r="AN4" s="13">
        <f>data0!AF4</f>
        <v>3.9978637369344622E-3</v>
      </c>
      <c r="AO4" s="13">
        <f>data0!AG4</f>
        <v>4.119935912108034E-3</v>
      </c>
    </row>
    <row r="5" spans="1:45" s="5" customFormat="1">
      <c r="A5" s="19"/>
      <c r="B5" s="120"/>
      <c r="C5" s="124" t="s">
        <v>7</v>
      </c>
      <c r="D5" s="52" t="s">
        <v>19</v>
      </c>
      <c r="E5" s="6">
        <f t="shared" si="4"/>
        <v>5.0767135147286632E-2</v>
      </c>
      <c r="F5" s="6">
        <f t="shared" si="5"/>
        <v>5.5909905608644242E-2</v>
      </c>
      <c r="G5" s="6">
        <f t="shared" si="6"/>
        <v>6.1052676070001852E-2</v>
      </c>
      <c r="H5" s="7">
        <f t="shared" si="7"/>
        <v>1.7142568204525353E-3</v>
      </c>
      <c r="I5" s="13"/>
      <c r="J5" s="13">
        <f>data0!B5</f>
        <v>5.4077973601892121E-2</v>
      </c>
      <c r="K5" s="13">
        <f>data0!C5</f>
        <v>5.5037861448081177E-2</v>
      </c>
      <c r="L5" s="13">
        <f>data0!D5</f>
        <v>5.4864290074006256E-2</v>
      </c>
      <c r="M5" s="13">
        <f>data0!E5</f>
        <v>5.7562752727550161E-2</v>
      </c>
      <c r="N5" s="13">
        <f>data0!F5</f>
        <v>5.5588616769665061E-2</v>
      </c>
      <c r="O5" s="13">
        <f>data0!G5</f>
        <v>5.3914892805371178E-2</v>
      </c>
      <c r="P5" s="13">
        <f>data0!H5</f>
        <v>5.7602807660028989E-2</v>
      </c>
      <c r="Q5" s="13">
        <f>data0!I5</f>
        <v>5.7025825894560157E-2</v>
      </c>
      <c r="R5" s="13">
        <f>data0!J5</f>
        <v>5.7103551537346454E-2</v>
      </c>
      <c r="S5" s="13">
        <f>data0!K5</f>
        <v>5.5184252689402608E-2</v>
      </c>
      <c r="T5" s="13">
        <f>data0!L5</f>
        <v>5.5819886320286873E-2</v>
      </c>
      <c r="U5" s="13">
        <f>data0!M5</f>
        <v>5.6519417105363547E-2</v>
      </c>
      <c r="V5" s="13">
        <f>data0!N5</f>
        <v>5.6289101243610286E-2</v>
      </c>
      <c r="W5" s="13">
        <f>data0!O5</f>
        <v>6.0270275425345236E-2</v>
      </c>
      <c r="X5" s="13">
        <f>data0!P5</f>
        <v>5.6281471732661938E-2</v>
      </c>
      <c r="Y5" s="13">
        <f>data0!Q5</f>
        <v>5.550707637140459E-2</v>
      </c>
      <c r="Z5" s="13">
        <f>data0!R5</f>
        <v>5.6578068970778973E-2</v>
      </c>
      <c r="AA5" s="13">
        <f>data0!S5</f>
        <v>5.6455996795605402E-2</v>
      </c>
      <c r="AB5" s="13">
        <f>data0!T5</f>
        <v>5.8957045853360798E-2</v>
      </c>
      <c r="AC5" s="13">
        <f>data0!U5</f>
        <v>5.712930113679713E-2</v>
      </c>
      <c r="AD5" s="13">
        <f>data0!V5</f>
        <v>5.2966449225604638E-2</v>
      </c>
      <c r="AE5" s="13">
        <f>data0!W5</f>
        <v>5.6266689555199513E-2</v>
      </c>
      <c r="AF5" s="13">
        <f>data0!X5</f>
        <v>5.4650663767452506E-2</v>
      </c>
      <c r="AG5" s="13">
        <f>data0!Y5</f>
        <v>5.6146524757763029E-2</v>
      </c>
      <c r="AH5" s="13">
        <f>data0!Z5</f>
        <v>5.619277866788739E-2</v>
      </c>
      <c r="AI5" s="13">
        <f>data0!AA5</f>
        <v>5.4159990844586864E-2</v>
      </c>
      <c r="AJ5" s="13">
        <f>data0!AB5</f>
        <v>5.0766765850308995E-2</v>
      </c>
      <c r="AK5" s="13">
        <f>data0!AC5</f>
        <v>5.4929617761501487E-2</v>
      </c>
      <c r="AL5" s="13">
        <f>data0!AD5</f>
        <v>5.6275272755016405E-2</v>
      </c>
      <c r="AM5" s="13">
        <f>data0!AE5</f>
        <v>5.62685969329366E-2</v>
      </c>
      <c r="AN5" s="13">
        <f>data0!AF5</f>
        <v>5.6354428931105517E-2</v>
      </c>
      <c r="AO5" s="13">
        <f>data0!AG5</f>
        <v>5.636873426413367E-2</v>
      </c>
    </row>
    <row r="6" spans="1:45" s="19" customFormat="1">
      <c r="B6" s="120"/>
      <c r="C6" s="125"/>
      <c r="D6" s="51" t="s">
        <v>27</v>
      </c>
      <c r="E6" s="8">
        <f t="shared" si="4"/>
        <v>175.37627846468797</v>
      </c>
      <c r="F6" s="8">
        <f t="shared" si="5"/>
        <v>517.34950789654386</v>
      </c>
      <c r="G6" s="8">
        <f t="shared" si="6"/>
        <v>859.32273732839974</v>
      </c>
      <c r="H6" s="9">
        <f t="shared" si="7"/>
        <v>113.99107647728529</v>
      </c>
      <c r="I6" s="44"/>
      <c r="J6" s="44">
        <f>data0!B6</f>
        <v>539.62005035477227</v>
      </c>
      <c r="K6" s="44">
        <f>data0!C6</f>
        <v>405.15754940108337</v>
      </c>
      <c r="L6" s="44">
        <f>data0!D6</f>
        <v>506.84367132066831</v>
      </c>
      <c r="M6" s="44">
        <f>data0!E6</f>
        <v>518.41000991836427</v>
      </c>
      <c r="N6" s="44">
        <f>data0!F6</f>
        <v>491.61516746776527</v>
      </c>
      <c r="O6" s="44">
        <f>data0!G6</f>
        <v>533.51644159609373</v>
      </c>
      <c r="P6" s="44">
        <f>data0!H6</f>
        <v>534.58457312886242</v>
      </c>
      <c r="Q6" s="44">
        <f>data0!I6</f>
        <v>565.80453192950336</v>
      </c>
      <c r="R6" s="44">
        <f>data0!J6</f>
        <v>518.41000991836427</v>
      </c>
      <c r="S6" s="44">
        <f>data0!K6</f>
        <v>530.28152895399398</v>
      </c>
      <c r="T6" s="44">
        <f>data0!L6</f>
        <v>608.34668497749294</v>
      </c>
      <c r="U6" s="44">
        <f>data0!M6</f>
        <v>514.29007400625619</v>
      </c>
      <c r="V6" s="44">
        <f>data0!N6</f>
        <v>511.78759441519799</v>
      </c>
      <c r="W6" s="44">
        <f>data0!O6</f>
        <v>545.60158693827725</v>
      </c>
      <c r="X6" s="44">
        <f>data0!P6</f>
        <v>496.92530708781567</v>
      </c>
      <c r="Y6" s="44">
        <f>data0!Q6</f>
        <v>478.52292668039979</v>
      </c>
      <c r="Z6" s="44">
        <f>data0!R6</f>
        <v>497.81033035782406</v>
      </c>
      <c r="AA6" s="44">
        <f>data0!S6</f>
        <v>478.0651560234989</v>
      </c>
      <c r="AB6" s="44">
        <f>data0!T6</f>
        <v>502.93736171511404</v>
      </c>
      <c r="AC6" s="44">
        <f>data0!U6</f>
        <v>517.70809491111618</v>
      </c>
      <c r="AD6" s="44">
        <f>data0!V6</f>
        <v>111.3298237582971</v>
      </c>
      <c r="AE6" s="44">
        <f>data0!W6</f>
        <v>461.73800259403373</v>
      </c>
      <c r="AF6" s="44">
        <f>data0!X6</f>
        <v>703.13572899977112</v>
      </c>
      <c r="AG6" s="44">
        <f>data0!Y6</f>
        <v>369.2683299000534</v>
      </c>
      <c r="AH6" s="44">
        <f>data0!Z6</f>
        <v>497.1999694819562</v>
      </c>
      <c r="AI6" s="44">
        <f>data0!AA6</f>
        <v>745.79995422293428</v>
      </c>
      <c r="AJ6" s="44">
        <f>data0!AB6</f>
        <v>821.30159456778813</v>
      </c>
      <c r="AK6" s="44">
        <f>data0!AC6</f>
        <v>510.10910200656139</v>
      </c>
      <c r="AL6" s="44">
        <f>data0!AD6</f>
        <v>552.89539940489817</v>
      </c>
      <c r="AM6" s="44">
        <f>data0!AE6</f>
        <v>509.89547570000764</v>
      </c>
      <c r="AN6" s="44">
        <f>data0!AF6</f>
        <v>476.84443427176319</v>
      </c>
      <c r="AO6" s="44">
        <f>data0!AG6</f>
        <v>499.42778667887387</v>
      </c>
    </row>
    <row r="7" spans="1:45">
      <c r="B7" s="126" t="s">
        <v>20</v>
      </c>
      <c r="C7" s="124" t="s">
        <v>7</v>
      </c>
      <c r="D7" s="50" t="s">
        <v>27</v>
      </c>
      <c r="E7" s="8">
        <f t="shared" si="4"/>
        <v>275.6168980716335</v>
      </c>
      <c r="F7" s="8">
        <f t="shared" si="5"/>
        <v>543.01351377126718</v>
      </c>
      <c r="G7" s="8">
        <f t="shared" si="6"/>
        <v>810.41012947090087</v>
      </c>
      <c r="H7" s="9">
        <f t="shared" si="7"/>
        <v>89.132205233211238</v>
      </c>
      <c r="I7" s="38"/>
      <c r="J7" s="46">
        <f>data0!B7</f>
        <v>556.77119096665899</v>
      </c>
      <c r="K7" s="46">
        <f>data0!C7</f>
        <v>356.38208590829328</v>
      </c>
      <c r="L7" s="46">
        <f>data0!D7</f>
        <v>534.41672388799873</v>
      </c>
      <c r="M7" s="46">
        <f>data0!E7</f>
        <v>578.60685130083164</v>
      </c>
      <c r="N7" s="46">
        <f>data0!F7</f>
        <v>507.87365529869533</v>
      </c>
      <c r="O7" s="46">
        <f>data0!G7</f>
        <v>474.08255130846112</v>
      </c>
      <c r="P7" s="46">
        <f>data0!H7</f>
        <v>553.96353093766686</v>
      </c>
      <c r="Q7" s="46">
        <f>data0!I7</f>
        <v>587.9530022125582</v>
      </c>
      <c r="R7" s="46">
        <f>data0!J7</f>
        <v>543.12962539101238</v>
      </c>
      <c r="S7" s="46">
        <f>data0!K7</f>
        <v>549.87411306935223</v>
      </c>
      <c r="T7" s="46">
        <f>data0!L7</f>
        <v>587.29686427100023</v>
      </c>
      <c r="U7" s="46">
        <f>data0!M7</f>
        <v>528.19104295414661</v>
      </c>
      <c r="V7" s="46">
        <f>data0!N7</f>
        <v>526.61173418783858</v>
      </c>
      <c r="W7" s="46">
        <f>data0!O7</f>
        <v>606.08072022583349</v>
      </c>
      <c r="X7" s="46">
        <f>data0!P7</f>
        <v>526.33707179369799</v>
      </c>
      <c r="Y7" s="46">
        <f>data0!Q7</f>
        <v>510.29983978027008</v>
      </c>
      <c r="Z7" s="46">
        <f>data0!R7</f>
        <v>502.08285648889904</v>
      </c>
      <c r="AA7" s="46">
        <f>data0!S7</f>
        <v>501.5411612115663</v>
      </c>
      <c r="AB7" s="46">
        <f>data0!T7</f>
        <v>540.93232623788811</v>
      </c>
      <c r="AC7" s="46">
        <f>data0!U7</f>
        <v>539.56664377813377</v>
      </c>
      <c r="AD7" s="46">
        <f>data0!V7</f>
        <v>354.24582284275579</v>
      </c>
      <c r="AE7" s="46">
        <f>data0!W7</f>
        <v>519.76806286717022</v>
      </c>
      <c r="AF7" s="46">
        <f>data0!X7</f>
        <v>609.49874113069347</v>
      </c>
      <c r="AG7" s="46">
        <f>data0!Y7</f>
        <v>484.06958113984894</v>
      </c>
      <c r="AH7" s="46">
        <f>data0!Z7</f>
        <v>539.20042725261305</v>
      </c>
      <c r="AI7" s="46">
        <f>data0!AA7</f>
        <v>659.47203784237433</v>
      </c>
      <c r="AJ7" s="46">
        <f>data0!AB7</f>
        <v>900.01525902189667</v>
      </c>
      <c r="AK7" s="46">
        <f>data0!AC7</f>
        <v>546.62394140535594</v>
      </c>
      <c r="AL7" s="46">
        <f>data0!AD7</f>
        <v>584.83253223468375</v>
      </c>
      <c r="AM7" s="46">
        <f>data0!AE7</f>
        <v>557.86984054322113</v>
      </c>
      <c r="AN7" s="46">
        <f>data0!AF7</f>
        <v>488.563363088426</v>
      </c>
      <c r="AO7" s="46">
        <f>data0!AG7</f>
        <v>520.27924010070956</v>
      </c>
      <c r="AP7" s="19"/>
      <c r="AQ7" s="19"/>
      <c r="AR7" s="19"/>
      <c r="AS7" s="19"/>
    </row>
    <row r="8" spans="1:45" s="5" customFormat="1">
      <c r="A8" s="19"/>
      <c r="B8" s="120"/>
      <c r="C8" s="125"/>
      <c r="D8" s="52" t="s">
        <v>19</v>
      </c>
      <c r="E8" s="6">
        <f t="shared" si="4"/>
        <v>5.0782633900750565E-2</v>
      </c>
      <c r="F8" s="6">
        <f t="shared" si="5"/>
        <v>5.5920858129243918E-2</v>
      </c>
      <c r="G8" s="6">
        <f t="shared" si="6"/>
        <v>6.1059082357737271E-2</v>
      </c>
      <c r="H8" s="7">
        <f t="shared" si="7"/>
        <v>1.7127414094977853E-3</v>
      </c>
      <c r="I8" s="13"/>
      <c r="J8" s="13">
        <f>data0!B8</f>
        <v>5.4106584267948427E-2</v>
      </c>
      <c r="K8" s="13">
        <f>data0!C8</f>
        <v>5.5027370870527198E-2</v>
      </c>
      <c r="L8" s="13">
        <f>data0!D8</f>
        <v>5.4871442740520332E-2</v>
      </c>
      <c r="M8" s="13">
        <f>data0!E8</f>
        <v>5.7580872816052488E-2</v>
      </c>
      <c r="N8" s="13">
        <f>data0!F8</f>
        <v>5.5594338902876322E-2</v>
      </c>
      <c r="O8" s="13">
        <f>data0!G8</f>
        <v>5.3926813916227972E-2</v>
      </c>
      <c r="P8" s="13">
        <f>data0!H8</f>
        <v>5.7608052948805978E-2</v>
      </c>
      <c r="Q8" s="13">
        <f>data0!I8</f>
        <v>5.7048714427405202E-2</v>
      </c>
      <c r="R8" s="13">
        <f>data0!J8</f>
        <v>5.71078431372549E-2</v>
      </c>
      <c r="S8" s="13">
        <f>data0!K8</f>
        <v>5.5199511711299304E-2</v>
      </c>
      <c r="T8" s="13">
        <f>data0!L8</f>
        <v>5.5835145342183569E-2</v>
      </c>
      <c r="U8" s="13">
        <f>data0!M8</f>
        <v>5.6539444571602961E-2</v>
      </c>
      <c r="V8" s="13">
        <f>data0!N8</f>
        <v>5.6308175020981156E-2</v>
      </c>
      <c r="W8" s="13">
        <f>data0!O8</f>
        <v>6.0273136491950867E-2</v>
      </c>
      <c r="X8" s="13">
        <f>data0!P8</f>
        <v>5.6277180132753492E-2</v>
      </c>
      <c r="Y8" s="13">
        <f>data0!Q8</f>
        <v>5.5525673304341189E-2</v>
      </c>
      <c r="Z8" s="13">
        <f>data0!R8</f>
        <v>5.6583791103990234E-2</v>
      </c>
      <c r="AA8" s="13">
        <f>data0!S8</f>
        <v>5.6435492484931717E-2</v>
      </c>
      <c r="AB8" s="13">
        <f>data0!T8</f>
        <v>5.8960860608834972E-2</v>
      </c>
      <c r="AC8" s="13">
        <f>data0!U8</f>
        <v>5.7121671625848781E-2</v>
      </c>
      <c r="AD8" s="13">
        <f>data0!V8</f>
        <v>5.3007457846952009E-2</v>
      </c>
      <c r="AE8" s="13">
        <f>data0!W8</f>
        <v>5.6287670710307471E-2</v>
      </c>
      <c r="AF8" s="13">
        <f>data0!X8</f>
        <v>5.4641603723201343E-2</v>
      </c>
      <c r="AG8" s="13">
        <f>data0!Y8</f>
        <v>5.6155107957579921E-2</v>
      </c>
      <c r="AH8" s="13">
        <f>data0!Z8</f>
        <v>5.6198977645532923E-2</v>
      </c>
      <c r="AI8" s="13">
        <f>data0!AA8</f>
        <v>5.4198138399328605E-2</v>
      </c>
      <c r="AJ8" s="13">
        <f>data0!AB8</f>
        <v>5.0751506828412299E-2</v>
      </c>
      <c r="AK8" s="13">
        <f>data0!AC8</f>
        <v>5.4954413672083618E-2</v>
      </c>
      <c r="AL8" s="13">
        <f>data0!AD8</f>
        <v>5.6305790798809797E-2</v>
      </c>
      <c r="AM8" s="13">
        <f>data0!AE8</f>
        <v>5.6291962310215916E-2</v>
      </c>
      <c r="AN8" s="13">
        <f>data0!AF8</f>
        <v>5.637684061951629E-2</v>
      </c>
      <c r="AO8" s="13">
        <f>data0!AG8</f>
        <v>5.6365873197528039E-2</v>
      </c>
    </row>
    <row r="9" spans="1:45" s="5" customFormat="1">
      <c r="A9" s="19"/>
      <c r="B9" s="120"/>
      <c r="C9" s="121" t="s">
        <v>6</v>
      </c>
      <c r="D9" s="52" t="s">
        <v>19</v>
      </c>
      <c r="E9" s="6">
        <f t="shared" si="4"/>
        <v>3.6212665689781915E-3</v>
      </c>
      <c r="F9" s="6">
        <f t="shared" si="5"/>
        <v>4.0707613298237586E-3</v>
      </c>
      <c r="G9" s="6">
        <f t="shared" si="6"/>
        <v>4.5202560906693256E-3</v>
      </c>
      <c r="H9" s="7">
        <f t="shared" si="7"/>
        <v>1.4983158694852237E-4</v>
      </c>
      <c r="I9" s="13"/>
      <c r="J9" s="13">
        <f>data0!B9</f>
        <v>3.9673456931410694E-3</v>
      </c>
      <c r="K9" s="13">
        <f>data0!C9</f>
        <v>4.0436408026245521E-3</v>
      </c>
      <c r="L9" s="13">
        <f>data0!D9</f>
        <v>4.0412565804531933E-3</v>
      </c>
      <c r="M9" s="13">
        <f>data0!E9</f>
        <v>4.2572671091783013E-3</v>
      </c>
      <c r="N9" s="13">
        <f>data0!F9</f>
        <v>4.0131227588311585E-3</v>
      </c>
      <c r="O9" s="13">
        <f>data0!G9</f>
        <v>3.7842374303807126E-3</v>
      </c>
      <c r="P9" s="13">
        <f>data0!H9</f>
        <v>4.1657129777981231E-3</v>
      </c>
      <c r="Q9" s="13">
        <f>data0!I9</f>
        <v>4.1657129777981231E-3</v>
      </c>
      <c r="R9" s="13">
        <f>data0!J9</f>
        <v>4.1790646219577324E-3</v>
      </c>
      <c r="S9" s="13">
        <f>data0!K9</f>
        <v>3.9978637369344622E-3</v>
      </c>
      <c r="T9" s="13">
        <f>data0!L9</f>
        <v>4.0312428473334863E-3</v>
      </c>
      <c r="U9" s="13">
        <f>data0!M9</f>
        <v>4.0741588464179449E-3</v>
      </c>
      <c r="V9" s="13">
        <f>data0!N9</f>
        <v>4.0813115129320213E-3</v>
      </c>
      <c r="W9" s="13">
        <f>data0!O9</f>
        <v>4.4403753719386586E-3</v>
      </c>
      <c r="X9" s="13">
        <f>data0!P9</f>
        <v>4.1351949340047304E-3</v>
      </c>
      <c r="Y9" s="13">
        <f>data0!Q9</f>
        <v>4.1046768902113376E-3</v>
      </c>
      <c r="Z9" s="13">
        <f>data0!R9</f>
        <v>4.1046768902113376E-3</v>
      </c>
      <c r="AA9" s="13">
        <f>data0!S9</f>
        <v>4.0741588464179449E-3</v>
      </c>
      <c r="AB9" s="13">
        <f>data0!T9</f>
        <v>4.333562218661784E-3</v>
      </c>
      <c r="AC9" s="13">
        <f>data0!U9</f>
        <v>4.1633287556267643E-3</v>
      </c>
      <c r="AD9" s="13">
        <f>data0!V9</f>
        <v>3.6469062333104449E-3</v>
      </c>
      <c r="AE9" s="13">
        <f>data0!W9</f>
        <v>4.1504539559014267E-3</v>
      </c>
      <c r="AF9" s="13">
        <f>data0!X9</f>
        <v>4.0965705348287177E-3</v>
      </c>
      <c r="AG9" s="13">
        <f>data0!Y9</f>
        <v>3.9368276493476767E-3</v>
      </c>
      <c r="AH9" s="13">
        <f>data0!Z9</f>
        <v>4.1809719996948195E-3</v>
      </c>
      <c r="AI9" s="13">
        <f>data0!AA9</f>
        <v>3.9978637369344622E-3</v>
      </c>
      <c r="AJ9" s="13">
        <f>data0!AB9</f>
        <v>3.8452735179674985E-3</v>
      </c>
      <c r="AK9" s="13">
        <f>data0!AC9</f>
        <v>3.9368276493476767E-3</v>
      </c>
      <c r="AL9" s="13">
        <f>data0!AD9</f>
        <v>4.1504539559014267E-3</v>
      </c>
      <c r="AM9" s="13">
        <f>data0!AE9</f>
        <v>4.0436408026245521E-3</v>
      </c>
      <c r="AN9" s="13">
        <f>data0!AF9</f>
        <v>3.9978637369344622E-3</v>
      </c>
      <c r="AO9" s="13">
        <f>data0!AG9</f>
        <v>4.1227969787136646E-3</v>
      </c>
    </row>
    <row r="10" spans="1:45" s="19" customFormat="1">
      <c r="B10" s="120"/>
      <c r="C10" s="122"/>
      <c r="D10" s="51" t="s">
        <v>27</v>
      </c>
      <c r="E10" s="8">
        <f t="shared" si="4"/>
        <v>491.61236700703427</v>
      </c>
      <c r="F10" s="8">
        <f t="shared" si="5"/>
        <v>559.72500381475538</v>
      </c>
      <c r="G10" s="8">
        <f t="shared" si="6"/>
        <v>627.83764062247656</v>
      </c>
      <c r="H10" s="92">
        <f t="shared" si="7"/>
        <v>22.704212269240376</v>
      </c>
      <c r="I10" s="93"/>
      <c r="J10" s="46">
        <f>data0!B10</f>
        <v>546.41794460975052</v>
      </c>
      <c r="K10" s="46">
        <f>data0!C10</f>
        <v>517.33424887464707</v>
      </c>
      <c r="L10" s="46">
        <f>data0!D10</f>
        <v>544.31982909895476</v>
      </c>
      <c r="M10" s="46">
        <f>data0!E10</f>
        <v>587.06034943160137</v>
      </c>
      <c r="N10" s="46">
        <f>data0!F10</f>
        <v>542.28274967574578</v>
      </c>
      <c r="O10" s="46">
        <f>data0!G10</f>
        <v>517.66994735637445</v>
      </c>
      <c r="P10" s="46">
        <f>data0!H10</f>
        <v>572.19043259327077</v>
      </c>
      <c r="Q10" s="46">
        <f>data0!I10</f>
        <v>574.9980926222629</v>
      </c>
      <c r="R10" s="46">
        <f>data0!J10</f>
        <v>569.53536278324555</v>
      </c>
      <c r="S10" s="46">
        <f>data0!K10</f>
        <v>552.84962233920805</v>
      </c>
      <c r="T10" s="46">
        <f>data0!L10</f>
        <v>576.91309987029831</v>
      </c>
      <c r="U10" s="46">
        <f>data0!M10</f>
        <v>564.42359044785223</v>
      </c>
      <c r="V10" s="46">
        <f>data0!N10</f>
        <v>555.82513160906387</v>
      </c>
      <c r="W10" s="46">
        <f>data0!O10</f>
        <v>611.09330891889829</v>
      </c>
      <c r="X10" s="46">
        <f>data0!P10</f>
        <v>570.20675974670019</v>
      </c>
      <c r="Y10" s="46">
        <f>data0!Q10</f>
        <v>547.82177462424659</v>
      </c>
      <c r="Z10" s="46">
        <f>data0!R10</f>
        <v>559.99847409781034</v>
      </c>
      <c r="AA10" s="46">
        <f>data0!S10</f>
        <v>542.00045777065691</v>
      </c>
      <c r="AB10" s="46">
        <f>data0!T10</f>
        <v>570.07705806057834</v>
      </c>
      <c r="AC10" s="46">
        <f>data0!U10</f>
        <v>569.10048065918977</v>
      </c>
      <c r="AD10" s="46">
        <f>data0!V10</f>
        <v>494.72800793469139</v>
      </c>
      <c r="AE10" s="46">
        <f>data0!W10</f>
        <v>566.28519111924925</v>
      </c>
      <c r="AF10" s="46">
        <f>data0!X10</f>
        <v>565.33150225070574</v>
      </c>
      <c r="AG10" s="46">
        <f>data0!Y10</f>
        <v>560.45624475471118</v>
      </c>
      <c r="AH10" s="46">
        <f>data0!Z10</f>
        <v>571.58007171740292</v>
      </c>
      <c r="AI10" s="46">
        <f>data0!AA10</f>
        <v>583.21507591363388</v>
      </c>
      <c r="AJ10" s="46">
        <f>data0!AB10</f>
        <v>594.00320439459824</v>
      </c>
      <c r="AK10" s="46">
        <f>data0!AC10</f>
        <v>540.68055237659269</v>
      </c>
      <c r="AL10" s="46">
        <f>data0!AD10</f>
        <v>569.10048065918977</v>
      </c>
      <c r="AM10" s="46">
        <f>data0!AE10</f>
        <v>560.16632333867392</v>
      </c>
      <c r="AN10" s="46">
        <f>data0!AF10</f>
        <v>551.82726787212937</v>
      </c>
      <c r="AO10" s="46">
        <f>data0!AG10</f>
        <v>561.70748455024034</v>
      </c>
    </row>
    <row r="11" spans="1:45" s="19" customFormat="1">
      <c r="B11" s="78"/>
      <c r="C11" s="123"/>
      <c r="D11" s="90">
        <f>D3</f>
        <v>850</v>
      </c>
      <c r="E11" s="8">
        <f t="shared" ref="E11" si="8">F11-3*H11</f>
        <v>501.49964681079888</v>
      </c>
      <c r="F11" s="8">
        <f t="shared" ref="F11" si="9">AVERAGE(J11:AS11)</f>
        <v>554.54021467536438</v>
      </c>
      <c r="G11" s="8">
        <f t="shared" ref="G11" si="10">F11+3*H11</f>
        <v>607.58078253992983</v>
      </c>
      <c r="H11" s="9">
        <f t="shared" ref="H11" si="11">STDEV(J11:AS11)</f>
        <v>17.680189288188494</v>
      </c>
      <c r="I11" s="46"/>
      <c r="J11" s="44">
        <f>data0!B12</f>
        <v>517.98466468299375</v>
      </c>
      <c r="K11" s="44">
        <f>data0!C12</f>
        <v>525.9594110017548</v>
      </c>
      <c r="L11" s="44">
        <f>data0!D12</f>
        <v>540.87129015030132</v>
      </c>
      <c r="M11" s="44">
        <f>data0!E12</f>
        <v>579.15236133363851</v>
      </c>
      <c r="N11" s="44">
        <f>data0!F12</f>
        <v>538.46227206836045</v>
      </c>
      <c r="O11" s="44">
        <f>data0!G12</f>
        <v>517.4830243381399</v>
      </c>
      <c r="P11" s="44">
        <f>data0!H12</f>
        <v>566.16121156633858</v>
      </c>
      <c r="Q11" s="44">
        <f>data0!I12</f>
        <v>564.21187151903564</v>
      </c>
      <c r="R11" s="44">
        <f>data0!J12</f>
        <v>565.06637674525064</v>
      </c>
      <c r="S11" s="44">
        <f>data0!K12</f>
        <v>550.34332799267565</v>
      </c>
      <c r="T11" s="44">
        <f>data0!L12</f>
        <v>570.71030746929125</v>
      </c>
      <c r="U11" s="44">
        <f>data0!M12</f>
        <v>559.35568780041194</v>
      </c>
      <c r="V11" s="44">
        <f>data0!N12</f>
        <v>552.5082017242695</v>
      </c>
      <c r="W11" s="44">
        <f>data0!O12</f>
        <v>589.77836270695047</v>
      </c>
      <c r="X11" s="44">
        <f>data0!P12</f>
        <v>558.47829404135189</v>
      </c>
      <c r="Y11" s="44">
        <f>data0!Q12</f>
        <v>551.08529793240257</v>
      </c>
      <c r="Z11" s="44">
        <f>data0!R12</f>
        <v>554.61394674601354</v>
      </c>
      <c r="AA11" s="44">
        <f>data0!S12</f>
        <v>547.95910582131683</v>
      </c>
      <c r="AB11" s="44">
        <f>data0!T12</f>
        <v>567.09582665751122</v>
      </c>
      <c r="AC11" s="44">
        <f>data0!U12</f>
        <v>563.09224078736554</v>
      </c>
      <c r="AD11" s="44">
        <f>data0!V12</f>
        <v>520.16861219195846</v>
      </c>
      <c r="AE11" s="44">
        <f>data0!W12</f>
        <v>568.18493934538799</v>
      </c>
      <c r="AF11" s="44">
        <f>data0!X12</f>
        <v>560.9235523002975</v>
      </c>
      <c r="AG11" s="44">
        <f>data0!Y12</f>
        <v>568.95170519569695</v>
      </c>
      <c r="AH11" s="44">
        <f>data0!Z12</f>
        <v>573.25665674830236</v>
      </c>
      <c r="AI11" s="44">
        <f>data0!AA12</f>
        <v>553.16815442130155</v>
      </c>
      <c r="AJ11" s="44">
        <f>data0!AB12</f>
        <v>570.29640650034332</v>
      </c>
      <c r="AK11" s="44">
        <f>data0!AC12</f>
        <v>531.16083009079114</v>
      </c>
      <c r="AL11" s="44">
        <f>data0!AD12</f>
        <v>564.50942244602118</v>
      </c>
      <c r="AM11" s="44">
        <f>data0!AE12</f>
        <v>554.58915083543138</v>
      </c>
      <c r="AN11" s="44">
        <f>data0!AF12</f>
        <v>546.9119554436561</v>
      </c>
      <c r="AO11" s="44">
        <f>data0!AG12</f>
        <v>552.79240100709546</v>
      </c>
    </row>
    <row r="12" spans="1:45">
      <c r="B12" s="126" t="s">
        <v>21</v>
      </c>
      <c r="C12" s="121" t="s">
        <v>6</v>
      </c>
      <c r="D12" s="50" t="s">
        <v>27</v>
      </c>
      <c r="E12" s="8">
        <f t="shared" si="4"/>
        <v>501.49964681079888</v>
      </c>
      <c r="F12" s="8">
        <f t="shared" si="5"/>
        <v>554.54021467536438</v>
      </c>
      <c r="G12" s="8">
        <f t="shared" si="6"/>
        <v>607.58078253992983</v>
      </c>
      <c r="H12" s="9">
        <f t="shared" si="7"/>
        <v>17.680189288188494</v>
      </c>
      <c r="I12" s="38"/>
      <c r="J12" s="46">
        <f>data0!B12</f>
        <v>517.98466468299375</v>
      </c>
      <c r="K12" s="46">
        <f>data0!C12</f>
        <v>525.9594110017548</v>
      </c>
      <c r="L12" s="46">
        <f>data0!D12</f>
        <v>540.87129015030132</v>
      </c>
      <c r="M12" s="46">
        <f>data0!E12</f>
        <v>579.15236133363851</v>
      </c>
      <c r="N12" s="46">
        <f>data0!F12</f>
        <v>538.46227206836045</v>
      </c>
      <c r="O12" s="46">
        <f>data0!G12</f>
        <v>517.4830243381399</v>
      </c>
      <c r="P12" s="46">
        <f>data0!H12</f>
        <v>566.16121156633858</v>
      </c>
      <c r="Q12" s="46">
        <f>data0!I12</f>
        <v>564.21187151903564</v>
      </c>
      <c r="R12" s="46">
        <f>data0!J12</f>
        <v>565.06637674525064</v>
      </c>
      <c r="S12" s="46">
        <f>data0!K12</f>
        <v>550.34332799267565</v>
      </c>
      <c r="T12" s="46">
        <f>data0!L12</f>
        <v>570.71030746929125</v>
      </c>
      <c r="U12" s="46">
        <f>data0!M12</f>
        <v>559.35568780041194</v>
      </c>
      <c r="V12" s="46">
        <f>data0!N12</f>
        <v>552.5082017242695</v>
      </c>
      <c r="W12" s="46">
        <f>data0!O12</f>
        <v>589.77836270695047</v>
      </c>
      <c r="X12" s="46">
        <f>data0!P12</f>
        <v>558.47829404135189</v>
      </c>
      <c r="Y12" s="46">
        <f>data0!Q12</f>
        <v>551.08529793240257</v>
      </c>
      <c r="Z12" s="46">
        <f>data0!R12</f>
        <v>554.61394674601354</v>
      </c>
      <c r="AA12" s="46">
        <f>data0!S12</f>
        <v>547.95910582131683</v>
      </c>
      <c r="AB12" s="46">
        <f>data0!T12</f>
        <v>567.09582665751122</v>
      </c>
      <c r="AC12" s="46">
        <f>data0!U12</f>
        <v>563.09224078736554</v>
      </c>
      <c r="AD12" s="46">
        <f>data0!V12</f>
        <v>520.16861219195846</v>
      </c>
      <c r="AE12" s="46">
        <f>data0!W12</f>
        <v>568.18493934538799</v>
      </c>
      <c r="AF12" s="46">
        <f>data0!X12</f>
        <v>560.9235523002975</v>
      </c>
      <c r="AG12" s="46">
        <f>data0!Y12</f>
        <v>568.95170519569695</v>
      </c>
      <c r="AH12" s="46">
        <f>data0!Z12</f>
        <v>573.25665674830236</v>
      </c>
      <c r="AI12" s="46">
        <f>data0!AA12</f>
        <v>553.16815442130155</v>
      </c>
      <c r="AJ12" s="46">
        <f>data0!AB12</f>
        <v>570.29640650034332</v>
      </c>
      <c r="AK12" s="46">
        <f>data0!AC12</f>
        <v>531.16083009079114</v>
      </c>
      <c r="AL12" s="46">
        <f>data0!AD12</f>
        <v>564.50942244602118</v>
      </c>
      <c r="AM12" s="46">
        <f>data0!AE12</f>
        <v>554.58915083543138</v>
      </c>
      <c r="AN12" s="46">
        <f>data0!AF12</f>
        <v>546.9119554436561</v>
      </c>
      <c r="AO12" s="46">
        <f>data0!AG12</f>
        <v>552.79240100709546</v>
      </c>
      <c r="AP12" s="19"/>
      <c r="AQ12" s="19"/>
      <c r="AR12" s="19"/>
      <c r="AS12" s="19"/>
    </row>
    <row r="13" spans="1:45">
      <c r="B13" s="120"/>
      <c r="C13" s="122"/>
      <c r="D13" s="90">
        <f>D11</f>
        <v>850</v>
      </c>
      <c r="E13" s="8">
        <f t="shared" ref="E13" si="12">F13-3*H13</f>
        <v>501.42654710259296</v>
      </c>
      <c r="F13" s="8">
        <f t="shared" ref="F13" si="13">AVERAGE(J13:AS13)</f>
        <v>554.40836718928824</v>
      </c>
      <c r="G13" s="8">
        <f t="shared" ref="G13" si="14">F13+3*H13</f>
        <v>607.39018727598352</v>
      </c>
      <c r="H13" s="9">
        <f t="shared" ref="H13" si="15">STDEV(J13:AS13)</f>
        <v>17.660606695565097</v>
      </c>
      <c r="I13" s="83"/>
      <c r="J13" s="46">
        <f>data0!B13</f>
        <v>517.93888761730375</v>
      </c>
      <c r="K13" s="46">
        <f>data0!C13</f>
        <v>525.84496833752951</v>
      </c>
      <c r="L13" s="46">
        <f>data0!D13</f>
        <v>540.74731059739065</v>
      </c>
      <c r="M13" s="46">
        <f>data0!E13</f>
        <v>579.02075226977945</v>
      </c>
      <c r="N13" s="46">
        <f>data0!F13</f>
        <v>538.37262531471731</v>
      </c>
      <c r="O13" s="46">
        <f>data0!G13</f>
        <v>517.42389562829021</v>
      </c>
      <c r="P13" s="46">
        <f>data0!H13</f>
        <v>566.04104676890211</v>
      </c>
      <c r="Q13" s="46">
        <f>data0!I13</f>
        <v>564.05165178912034</v>
      </c>
      <c r="R13" s="46">
        <f>data0!J13</f>
        <v>564.94621194781416</v>
      </c>
      <c r="S13" s="46">
        <f>data0!K13</f>
        <v>550.20218204013122</v>
      </c>
      <c r="T13" s="46">
        <f>data0!L13</f>
        <v>570.56725413900972</v>
      </c>
      <c r="U13" s="46">
        <f>data0!M13</f>
        <v>559.20309758144504</v>
      </c>
      <c r="V13" s="46">
        <f>data0!N13</f>
        <v>552.34416723888</v>
      </c>
      <c r="W13" s="46">
        <f>data0!O13</f>
        <v>589.57999542229345</v>
      </c>
      <c r="X13" s="46">
        <f>data0!P13</f>
        <v>558.29709315632863</v>
      </c>
      <c r="Y13" s="46">
        <f>data0!Q13</f>
        <v>550.89265278095672</v>
      </c>
      <c r="Z13" s="46">
        <f>data0!R13</f>
        <v>554.43846799420157</v>
      </c>
      <c r="AA13" s="46">
        <f>data0!S13</f>
        <v>547.84084840161745</v>
      </c>
      <c r="AB13" s="46">
        <f>data0!T13</f>
        <v>566.9489585717555</v>
      </c>
      <c r="AC13" s="46">
        <f>data0!U13</f>
        <v>562.9549095902953</v>
      </c>
      <c r="AD13" s="46">
        <f>data0!V13</f>
        <v>520.05607690547038</v>
      </c>
      <c r="AE13" s="46">
        <f>data0!W13</f>
        <v>568.08003356984818</v>
      </c>
      <c r="AF13" s="46">
        <f>data0!X13</f>
        <v>560.80910963607232</v>
      </c>
      <c r="AG13" s="46">
        <f>data0!Y13</f>
        <v>568.84679942015714</v>
      </c>
      <c r="AH13" s="46">
        <f>data0!Z13</f>
        <v>573.09643701838706</v>
      </c>
      <c r="AI13" s="46">
        <f>data0!AA13</f>
        <v>553.03654535744261</v>
      </c>
      <c r="AJ13" s="46">
        <f>data0!AB13</f>
        <v>570.12283512626834</v>
      </c>
      <c r="AK13" s="46">
        <f>data0!AC13</f>
        <v>531.03685053788047</v>
      </c>
      <c r="AL13" s="46">
        <f>data0!AD13</f>
        <v>564.40260929274427</v>
      </c>
      <c r="AM13" s="46">
        <f>data0!AE13</f>
        <v>554.46135652704663</v>
      </c>
      <c r="AN13" s="46">
        <f>data0!AF13</f>
        <v>546.7498283360037</v>
      </c>
      <c r="AO13" s="46">
        <f>data0!AG13</f>
        <v>552.71229114213781</v>
      </c>
      <c r="AP13" s="19"/>
      <c r="AQ13" s="19"/>
      <c r="AR13" s="19"/>
      <c r="AS13" s="19"/>
    </row>
    <row r="14" spans="1:45" s="5" customFormat="1">
      <c r="A14" s="19"/>
      <c r="B14" s="120"/>
      <c r="C14" s="123"/>
      <c r="D14" s="52" t="s">
        <v>19</v>
      </c>
      <c r="E14" s="6">
        <f t="shared" si="4"/>
        <v>3.6207761349292618E-3</v>
      </c>
      <c r="F14" s="6">
        <f t="shared" si="5"/>
        <v>4.0616118772411692E-3</v>
      </c>
      <c r="G14" s="6">
        <f t="shared" si="6"/>
        <v>4.5024476195530769E-3</v>
      </c>
      <c r="H14" s="7">
        <f t="shared" si="7"/>
        <v>1.469452474373025E-4</v>
      </c>
      <c r="I14" s="13"/>
      <c r="J14" s="13">
        <f>data0!B14</f>
        <v>3.9621004043640801E-3</v>
      </c>
      <c r="K14" s="13">
        <f>data0!C14</f>
        <v>4.0283817807278549E-3</v>
      </c>
      <c r="L14" s="13">
        <f>data0!D14</f>
        <v>4.0283817807278549E-3</v>
      </c>
      <c r="M14" s="13">
        <f>data0!E14</f>
        <v>4.2420080872816049E-3</v>
      </c>
      <c r="N14" s="13">
        <f>data0!F14</f>
        <v>3.9978637369344622E-3</v>
      </c>
      <c r="O14" s="13">
        <f>data0!G14</f>
        <v>3.7842374303807126E-3</v>
      </c>
      <c r="P14" s="13">
        <f>data0!H14</f>
        <v>4.1609445334554055E-3</v>
      </c>
      <c r="Q14" s="13">
        <f>data0!I14</f>
        <v>4.1504539559014267E-3</v>
      </c>
      <c r="R14" s="13">
        <f>data0!J14</f>
        <v>4.1657129777981231E-3</v>
      </c>
      <c r="S14" s="13">
        <f>data0!K14</f>
        <v>3.9826047150377658E-3</v>
      </c>
      <c r="T14" s="13">
        <f>data0!L14</f>
        <v>4.0283817807278549E-3</v>
      </c>
      <c r="U14" s="13">
        <f>data0!M14</f>
        <v>4.0741588464179449E-3</v>
      </c>
      <c r="V14" s="13">
        <f>data0!N14</f>
        <v>4.0741588464179449E-3</v>
      </c>
      <c r="W14" s="13">
        <f>data0!O14</f>
        <v>4.4251163500419622E-3</v>
      </c>
      <c r="X14" s="13">
        <f>data0!P14</f>
        <v>4.119935912108034E-3</v>
      </c>
      <c r="Y14" s="13">
        <f>data0!Q14</f>
        <v>4.0894178683146412E-3</v>
      </c>
      <c r="Z14" s="13">
        <f>data0!R14</f>
        <v>4.0894178683146412E-3</v>
      </c>
      <c r="AA14" s="13">
        <f>data0!S14</f>
        <v>4.0741588464179449E-3</v>
      </c>
      <c r="AB14" s="13">
        <f>data0!T14</f>
        <v>4.3183031967650876E-3</v>
      </c>
      <c r="AC14" s="13">
        <f>data0!U14</f>
        <v>4.1504539559014267E-3</v>
      </c>
      <c r="AD14" s="13">
        <f>data0!V14</f>
        <v>3.6469062333104449E-3</v>
      </c>
      <c r="AE14" s="13">
        <f>data0!W14</f>
        <v>4.1351949340047304E-3</v>
      </c>
      <c r="AF14" s="13">
        <f>data0!X14</f>
        <v>4.0894178683146412E-3</v>
      </c>
      <c r="AG14" s="13">
        <f>data0!Y14</f>
        <v>3.9368276493476767E-3</v>
      </c>
      <c r="AH14" s="13">
        <f>data0!Z14</f>
        <v>4.1657129777981231E-3</v>
      </c>
      <c r="AI14" s="13">
        <f>data0!AA14</f>
        <v>3.9959563591973751E-3</v>
      </c>
      <c r="AJ14" s="13">
        <f>data0!AB14</f>
        <v>3.8300144960708017E-3</v>
      </c>
      <c r="AK14" s="13">
        <f>data0!AC14</f>
        <v>3.9215686274509803E-3</v>
      </c>
      <c r="AL14" s="13">
        <f>data0!AD14</f>
        <v>4.1423476005188068E-3</v>
      </c>
      <c r="AM14" s="13">
        <f>data0!AE14</f>
        <v>4.0436408026245521E-3</v>
      </c>
      <c r="AN14" s="13">
        <f>data0!AF14</f>
        <v>3.9978637369344622E-3</v>
      </c>
      <c r="AO14" s="13">
        <f>data0!AG14</f>
        <v>4.119935912108034E-3</v>
      </c>
    </row>
    <row r="15" spans="1:45" s="5" customFormat="1">
      <c r="A15" s="19"/>
      <c r="B15" s="120"/>
      <c r="C15" s="124" t="s">
        <v>7</v>
      </c>
      <c r="D15" s="52" t="s">
        <v>19</v>
      </c>
      <c r="E15" s="6">
        <f t="shared" si="4"/>
        <v>5.0792330484847659E-2</v>
      </c>
      <c r="F15" s="6">
        <f t="shared" si="5"/>
        <v>5.5916700641832608E-2</v>
      </c>
      <c r="G15" s="6">
        <f t="shared" si="6"/>
        <v>6.1041070798817557E-2</v>
      </c>
      <c r="H15" s="7">
        <f t="shared" si="7"/>
        <v>1.7081233856616486E-3</v>
      </c>
      <c r="I15" s="13"/>
      <c r="J15" s="13">
        <f>data0!B15</f>
        <v>5.4084172579537654E-2</v>
      </c>
      <c r="K15" s="13">
        <f>data0!C15</f>
        <v>5.5017357137407491E-2</v>
      </c>
      <c r="L15" s="13">
        <f>data0!D15</f>
        <v>5.4875257495994506E-2</v>
      </c>
      <c r="M15" s="13">
        <f>data0!E15</f>
        <v>5.7569905394064237E-2</v>
      </c>
      <c r="N15" s="13">
        <f>data0!F15</f>
        <v>5.5600061036087584E-2</v>
      </c>
      <c r="O15" s="13">
        <f>data0!G15</f>
        <v>5.392061493858244E-2</v>
      </c>
      <c r="P15" s="13">
        <f>data0!H15</f>
        <v>5.7589932860303651E-2</v>
      </c>
      <c r="Q15" s="13">
        <f>data0!I15</f>
        <v>5.7045853360799571E-2</v>
      </c>
      <c r="R15" s="13">
        <f>data0!J15</f>
        <v>5.711308842603189E-2</v>
      </c>
      <c r="S15" s="13">
        <f>data0!K15</f>
        <v>5.5183775844968336E-2</v>
      </c>
      <c r="T15" s="13">
        <f>data0!L15</f>
        <v>5.5839436942092015E-2</v>
      </c>
      <c r="U15" s="13">
        <f>data0!M15</f>
        <v>5.6532291905088884E-2</v>
      </c>
      <c r="V15" s="13">
        <f>data0!N15</f>
        <v>5.6302929732204167E-2</v>
      </c>
      <c r="W15" s="13">
        <f>data0!O15</f>
        <v>6.0257877470054171E-2</v>
      </c>
      <c r="X15" s="13">
        <f>data0!P15</f>
        <v>5.6303406576638439E-2</v>
      </c>
      <c r="Y15" s="13">
        <f>data0!Q15</f>
        <v>5.5500877393759057E-2</v>
      </c>
      <c r="Z15" s="13">
        <f>data0!R15</f>
        <v>5.6554703593499657E-2</v>
      </c>
      <c r="AA15" s="13">
        <f>data0!S15</f>
        <v>5.6445506218051424E-2</v>
      </c>
      <c r="AB15" s="13">
        <f>data0!T15</f>
        <v>5.893034256504158E-2</v>
      </c>
      <c r="AC15" s="13">
        <f>data0!U15</f>
        <v>5.712930113679713E-2</v>
      </c>
      <c r="AD15" s="13">
        <f>data0!V15</f>
        <v>5.3009842069123368E-2</v>
      </c>
      <c r="AE15" s="13">
        <f>data0!W15</f>
        <v>5.6285286488136112E-2</v>
      </c>
      <c r="AF15" s="13">
        <f>data0!X15</f>
        <v>5.4646849011978332E-2</v>
      </c>
      <c r="AG15" s="13">
        <f>data0!Y15</f>
        <v>5.6146047913328757E-2</v>
      </c>
      <c r="AH15" s="13">
        <f>data0!Z15</f>
        <v>5.6186102845807585E-2</v>
      </c>
      <c r="AI15" s="13">
        <f>data0!AA15</f>
        <v>5.4194323643854431E-2</v>
      </c>
      <c r="AJ15" s="13">
        <f>data0!AB15</f>
        <v>5.0766765850308995E-2</v>
      </c>
      <c r="AK15" s="13">
        <f>data0!AC15</f>
        <v>5.4975394827191576E-2</v>
      </c>
      <c r="AL15" s="13">
        <f>data0!AD15</f>
        <v>5.6290531776913101E-2</v>
      </c>
      <c r="AM15" s="13">
        <f>data0!AE15</f>
        <v>5.6288624399176014E-2</v>
      </c>
      <c r="AN15" s="13">
        <f>data0!AF15</f>
        <v>5.6365873197528039E-2</v>
      </c>
      <c r="AO15" s="13">
        <f>data0!AG15</f>
        <v>5.6382085908293279E-2</v>
      </c>
    </row>
    <row r="16" spans="1:45" s="19" customFormat="1">
      <c r="B16" s="120"/>
      <c r="C16" s="125"/>
      <c r="D16" s="51" t="s">
        <v>27</v>
      </c>
      <c r="E16" s="8">
        <f t="shared" si="4"/>
        <v>389.35737354543107</v>
      </c>
      <c r="F16" s="8">
        <f t="shared" si="5"/>
        <v>526.56202315556561</v>
      </c>
      <c r="G16" s="8">
        <f t="shared" si="6"/>
        <v>663.76667276570015</v>
      </c>
      <c r="H16" s="9">
        <f t="shared" si="7"/>
        <v>45.734883203378189</v>
      </c>
      <c r="I16" s="44"/>
      <c r="J16" s="44">
        <f>data0!B16</f>
        <v>399.38200961318381</v>
      </c>
      <c r="K16" s="44">
        <f>data0!C16</f>
        <v>459.01045242999925</v>
      </c>
      <c r="L16" s="44">
        <f>data0!D16</f>
        <v>499.8664835584039</v>
      </c>
      <c r="M16" s="44">
        <f>data0!E16</f>
        <v>564.74784466315703</v>
      </c>
      <c r="N16" s="44">
        <f>data0!F16</f>
        <v>508.10635538261994</v>
      </c>
      <c r="O16" s="44">
        <f>data0!G16</f>
        <v>417.63179980163272</v>
      </c>
      <c r="P16" s="44">
        <f>data0!H16</f>
        <v>548.56755931944758</v>
      </c>
      <c r="Q16" s="44">
        <f>data0!I16</f>
        <v>542.23506523231856</v>
      </c>
      <c r="R16" s="44">
        <f>data0!J16</f>
        <v>549.02914473182273</v>
      </c>
      <c r="S16" s="44">
        <f>data0!K16</f>
        <v>536.64644846265355</v>
      </c>
      <c r="T16" s="44">
        <f>data0!L16</f>
        <v>558.85404745555809</v>
      </c>
      <c r="U16" s="44">
        <f>data0!M16</f>
        <v>530.37499046311132</v>
      </c>
      <c r="V16" s="44">
        <f>data0!N16</f>
        <v>519.67650873578998</v>
      </c>
      <c r="W16" s="44">
        <f>data0!O16</f>
        <v>568.19256885633627</v>
      </c>
      <c r="X16" s="44">
        <f>data0!P16</f>
        <v>498.60379949645227</v>
      </c>
      <c r="Y16" s="44">
        <f>data0!Q16</f>
        <v>525.22697795071338</v>
      </c>
      <c r="Z16" s="44">
        <f>data0!R16</f>
        <v>512.09658960860611</v>
      </c>
      <c r="AA16" s="44">
        <f>data0!S16</f>
        <v>555.42648966201261</v>
      </c>
      <c r="AB16" s="44">
        <f>data0!T16</f>
        <v>542.23887998779276</v>
      </c>
      <c r="AC16" s="44">
        <f>data0!U16</f>
        <v>522.3830777447165</v>
      </c>
      <c r="AD16" s="44">
        <f>data0!V16</f>
        <v>477.8000305180438</v>
      </c>
      <c r="AE16" s="44">
        <f>data0!W16</f>
        <v>535.41046768902117</v>
      </c>
      <c r="AF16" s="44">
        <f>data0!X16</f>
        <v>545.90485999847408</v>
      </c>
      <c r="AG16" s="44">
        <f>data0!Y16</f>
        <v>530.10414282444492</v>
      </c>
      <c r="AH16" s="44">
        <f>data0!Z16</f>
        <v>554.28969253070875</v>
      </c>
      <c r="AI16" s="44">
        <f>data0!AA16</f>
        <v>631.46601052872506</v>
      </c>
      <c r="AJ16" s="44">
        <f>data0!AB16</f>
        <v>612.4704356450751</v>
      </c>
      <c r="AK16" s="44">
        <f>data0!AC16</f>
        <v>529.05699244678419</v>
      </c>
      <c r="AL16" s="44">
        <f>data0!AD16</f>
        <v>533.9017318989853</v>
      </c>
      <c r="AM16" s="44">
        <f>data0!AE16</f>
        <v>538.2753490501259</v>
      </c>
      <c r="AN16" s="44">
        <f>data0!AF16</f>
        <v>498.87083237964447</v>
      </c>
      <c r="AO16" s="44">
        <f>data0!AG16</f>
        <v>504.13710231174178</v>
      </c>
    </row>
    <row r="17" spans="1:45">
      <c r="B17" s="126" t="s">
        <v>14</v>
      </c>
      <c r="C17" s="124" t="s">
        <v>7</v>
      </c>
      <c r="D17" s="50" t="s">
        <v>27</v>
      </c>
      <c r="E17" s="8">
        <f t="shared" si="4"/>
        <v>370.8135872194203</v>
      </c>
      <c r="F17" s="8">
        <f t="shared" si="5"/>
        <v>516.79532525558852</v>
      </c>
      <c r="G17" s="8">
        <f t="shared" si="6"/>
        <v>662.7770632917568</v>
      </c>
      <c r="H17" s="9">
        <f t="shared" si="7"/>
        <v>48.660579345389408</v>
      </c>
      <c r="I17" s="38"/>
      <c r="J17" s="42">
        <f>data0!B17</f>
        <v>482.57944228274965</v>
      </c>
      <c r="K17" s="42">
        <f>data0!C17</f>
        <v>537.0412756542305</v>
      </c>
      <c r="L17" s="42">
        <f>data0!D17</f>
        <v>525.86642633707174</v>
      </c>
      <c r="M17" s="42">
        <f>data0!E17</f>
        <v>537.51335164415957</v>
      </c>
      <c r="N17" s="42">
        <f>data0!F17</f>
        <v>521.11037994964522</v>
      </c>
      <c r="O17" s="42">
        <f>data0!G17</f>
        <v>495.87529564354924</v>
      </c>
      <c r="P17" s="42">
        <f>data0!H17</f>
        <v>527.48483634699016</v>
      </c>
      <c r="Q17" s="42">
        <f>data0!I17</f>
        <v>554.16380560006098</v>
      </c>
      <c r="R17" s="42">
        <f>data0!J17</f>
        <v>523.60666056305786</v>
      </c>
      <c r="S17" s="42">
        <f>data0!K17</f>
        <v>527.21065079728385</v>
      </c>
      <c r="T17" s="42">
        <f>data0!L17</f>
        <v>543.99509803921569</v>
      </c>
      <c r="U17" s="42">
        <f>data0!M17</f>
        <v>498.60713740749219</v>
      </c>
      <c r="V17" s="42">
        <f>data0!N17</f>
        <v>526.21595330739297</v>
      </c>
      <c r="W17" s="42">
        <f>data0!O17</f>
        <v>622.05882352941171</v>
      </c>
      <c r="X17" s="42">
        <f>data0!P17</f>
        <v>303.39608606088348</v>
      </c>
      <c r="Y17" s="42">
        <f>data0!Q17</f>
        <v>513.65491721980618</v>
      </c>
      <c r="Z17" s="42">
        <f>data0!R17</f>
        <v>526.82631418326082</v>
      </c>
      <c r="AA17" s="42">
        <f>data0!S17</f>
        <v>525.24462119478142</v>
      </c>
      <c r="AB17" s="42">
        <f>data0!T17</f>
        <v>546.47516594186311</v>
      </c>
      <c r="AC17" s="42">
        <f>data0!U17</f>
        <v>564.58762493324173</v>
      </c>
      <c r="AD17" s="42">
        <f>data0!V17</f>
        <v>509.21501869230178</v>
      </c>
      <c r="AE17" s="42">
        <f>data0!W17</f>
        <v>536.01892118715193</v>
      </c>
      <c r="AF17" s="42">
        <f>data0!X17</f>
        <v>530.77458609903101</v>
      </c>
      <c r="AG17" s="42">
        <f>data0!Y17</f>
        <v>524.00291828793775</v>
      </c>
      <c r="AH17" s="42">
        <f>data0!Z17</f>
        <v>541.80971999694816</v>
      </c>
      <c r="AI17" s="42">
        <f>data0!AA17</f>
        <v>492.51640344853894</v>
      </c>
      <c r="AJ17" s="42">
        <f>data0!AB17</f>
        <v>523.90659571221488</v>
      </c>
      <c r="AK17" s="42">
        <f>data0!AC17</f>
        <v>500.44394216830699</v>
      </c>
      <c r="AL17" s="42">
        <f>data0!AD17</f>
        <v>493.68562600137329</v>
      </c>
      <c r="AM17" s="42">
        <f>data0!AE17</f>
        <v>522.27244983596552</v>
      </c>
      <c r="AN17" s="42">
        <f>data0!AF17</f>
        <v>444.06614785992218</v>
      </c>
      <c r="AO17" s="42">
        <f>data0!AG17</f>
        <v>515.22421225299456</v>
      </c>
      <c r="AP17" s="19"/>
      <c r="AQ17" s="19"/>
      <c r="AR17" s="19"/>
      <c r="AS17" s="19"/>
    </row>
    <row r="18" spans="1:45" s="5" customFormat="1">
      <c r="A18" s="19"/>
      <c r="B18" s="120"/>
      <c r="C18" s="125"/>
      <c r="D18" s="52" t="s">
        <v>19</v>
      </c>
      <c r="E18" s="6">
        <f t="shared" si="4"/>
        <v>5.0794022121068594E-2</v>
      </c>
      <c r="F18" s="6">
        <f t="shared" si="5"/>
        <v>5.5925909699969488E-2</v>
      </c>
      <c r="G18" s="6">
        <f t="shared" si="6"/>
        <v>6.1057797278870382E-2</v>
      </c>
      <c r="H18" s="7">
        <f t="shared" si="7"/>
        <v>1.7106291929669646E-3</v>
      </c>
      <c r="I18" s="13"/>
      <c r="J18" s="13">
        <f>data0!B18</f>
        <v>5.4123273823147938E-2</v>
      </c>
      <c r="K18" s="13">
        <f>data0!C18</f>
        <v>5.5033569848172731E-2</v>
      </c>
      <c r="L18" s="13">
        <f>data0!D18</f>
        <v>5.4889085984588387E-2</v>
      </c>
      <c r="M18" s="13">
        <f>data0!E18</f>
        <v>5.7583733882658118E-2</v>
      </c>
      <c r="N18" s="13">
        <f>data0!F18</f>
        <v>5.5591477836270692E-2</v>
      </c>
      <c r="O18" s="13">
        <f>data0!G18</f>
        <v>5.3943026626993212E-2</v>
      </c>
      <c r="P18" s="13">
        <f>data0!H18</f>
        <v>5.7602807660028989E-2</v>
      </c>
      <c r="Q18" s="13">
        <f>data0!I18</f>
        <v>5.7038223849851223E-2</v>
      </c>
      <c r="R18" s="13">
        <f>data0!J18</f>
        <v>5.7127870603494314E-2</v>
      </c>
      <c r="S18" s="13">
        <f>data0!K18</f>
        <v>5.519855802243076E-2</v>
      </c>
      <c r="T18" s="13">
        <f>data0!L18</f>
        <v>5.5836099031052112E-2</v>
      </c>
      <c r="U18" s="13">
        <f>data0!M18</f>
        <v>5.6541351949340048E-2</v>
      </c>
      <c r="V18" s="13">
        <f>data0!N18</f>
        <v>5.6305790798809797E-2</v>
      </c>
      <c r="W18" s="13">
        <f>data0!O18</f>
        <v>6.0286964980544748E-2</v>
      </c>
      <c r="X18" s="13">
        <f>data0!P18</f>
        <v>5.632534142061494E-2</v>
      </c>
      <c r="Y18" s="13">
        <f>data0!Q18</f>
        <v>5.5513752193484395E-2</v>
      </c>
      <c r="Z18" s="13">
        <f>data0!R18</f>
        <v>5.656900892652781E-2</v>
      </c>
      <c r="AA18" s="13">
        <f>data0!S18</f>
        <v>5.6449320973525598E-2</v>
      </c>
      <c r="AB18" s="13">
        <f>data0!T18</f>
        <v>5.8932249942778667E-2</v>
      </c>
      <c r="AC18" s="13">
        <f>data0!U18</f>
        <v>5.7141699092088195E-2</v>
      </c>
      <c r="AD18" s="13">
        <f>data0!V18</f>
        <v>5.2994583047226672E-2</v>
      </c>
      <c r="AE18" s="13">
        <f>data0!W18</f>
        <v>5.6305790798809797E-2</v>
      </c>
      <c r="AF18" s="13">
        <f>data0!X18</f>
        <v>5.4652094300755322E-2</v>
      </c>
      <c r="AG18" s="13">
        <f>data0!Y18</f>
        <v>5.614414053559167E-2</v>
      </c>
      <c r="AH18" s="13">
        <f>data0!Z18</f>
        <v>5.6220912489509424E-2</v>
      </c>
      <c r="AI18" s="13">
        <f>data0!AA18</f>
        <v>5.418860151064317E-2</v>
      </c>
      <c r="AJ18" s="13">
        <f>data0!AB18</f>
        <v>5.0766765850308995E-2</v>
      </c>
      <c r="AK18" s="13">
        <f>data0!AC18</f>
        <v>5.4983024338139924E-2</v>
      </c>
      <c r="AL18" s="13">
        <f>data0!AD18</f>
        <v>5.6301499198901352E-2</v>
      </c>
      <c r="AM18" s="13">
        <f>data0!AE18</f>
        <v>5.628480964370184E-2</v>
      </c>
      <c r="AN18" s="13">
        <f>data0!AF18</f>
        <v>5.6371595330739301E-2</v>
      </c>
      <c r="AO18" s="13">
        <f>data0!AG18</f>
        <v>5.6382085908293279E-2</v>
      </c>
    </row>
    <row r="19" spans="1:45" s="5" customFormat="1">
      <c r="A19" s="19"/>
      <c r="B19" s="120"/>
      <c r="C19" s="121" t="s">
        <v>6</v>
      </c>
      <c r="D19" s="52" t="s">
        <v>19</v>
      </c>
      <c r="E19" s="6">
        <f t="shared" si="4"/>
        <v>3.6238707530043481E-3</v>
      </c>
      <c r="F19" s="6">
        <f t="shared" si="5"/>
        <v>4.0717895256351571E-3</v>
      </c>
      <c r="G19" s="6">
        <f t="shared" si="6"/>
        <v>4.5197082982659665E-3</v>
      </c>
      <c r="H19" s="7">
        <f t="shared" si="7"/>
        <v>1.4930625754360302E-4</v>
      </c>
      <c r="I19" s="13"/>
      <c r="J19" s="13">
        <f>data0!B19</f>
        <v>3.9673456931410694E-3</v>
      </c>
      <c r="K19" s="13">
        <f>data0!C19</f>
        <v>4.0436408026245521E-3</v>
      </c>
      <c r="L19" s="13">
        <f>data0!D19</f>
        <v>4.0436408026245521E-3</v>
      </c>
      <c r="M19" s="13">
        <f>data0!E19</f>
        <v>4.2572671091783013E-3</v>
      </c>
      <c r="N19" s="13">
        <f>data0!F19</f>
        <v>4.0131227588311585E-3</v>
      </c>
      <c r="O19" s="13">
        <f>data0!G19</f>
        <v>3.7947280079346913E-3</v>
      </c>
      <c r="P19" s="13">
        <f>data0!H19</f>
        <v>4.1657129777981231E-3</v>
      </c>
      <c r="Q19" s="13">
        <f>data0!I19</f>
        <v>4.1657129777981231E-3</v>
      </c>
      <c r="R19" s="13">
        <f>data0!J19</f>
        <v>4.1804951552605477E-3</v>
      </c>
      <c r="S19" s="13">
        <f>data0!K19</f>
        <v>3.9978637369344622E-3</v>
      </c>
      <c r="T19" s="13">
        <f>data0!L19</f>
        <v>4.0307660028992146E-3</v>
      </c>
      <c r="U19" s="13">
        <f>data0!M19</f>
        <v>4.0808346684977495E-3</v>
      </c>
      <c r="V19" s="13">
        <f>data0!N19</f>
        <v>4.0865568017090107E-3</v>
      </c>
      <c r="W19" s="13">
        <f>data0!O19</f>
        <v>4.4403753719386586E-3</v>
      </c>
      <c r="X19" s="13">
        <f>data0!P19</f>
        <v>4.1351949340047304E-3</v>
      </c>
      <c r="Y19" s="13">
        <f>data0!Q19</f>
        <v>4.1046768902113376E-3</v>
      </c>
      <c r="Z19" s="13">
        <f>data0!R19</f>
        <v>4.1046768902113376E-3</v>
      </c>
      <c r="AA19" s="13">
        <f>data0!S19</f>
        <v>4.0765430685893037E-3</v>
      </c>
      <c r="AB19" s="13">
        <f>data0!T19</f>
        <v>4.333562218661784E-3</v>
      </c>
      <c r="AC19" s="13">
        <f>data0!U19</f>
        <v>4.1657129777981231E-3</v>
      </c>
      <c r="AD19" s="13">
        <f>data0!V19</f>
        <v>3.6469062333104449E-3</v>
      </c>
      <c r="AE19" s="13">
        <f>data0!W19</f>
        <v>4.1504539559014267E-3</v>
      </c>
      <c r="AF19" s="13">
        <f>data0!X19</f>
        <v>4.0984779125658047E-3</v>
      </c>
      <c r="AG19" s="13">
        <f>data0!Y19</f>
        <v>3.9368276493476767E-3</v>
      </c>
      <c r="AH19" s="13">
        <f>data0!Z19</f>
        <v>4.1809719996948195E-3</v>
      </c>
      <c r="AI19" s="13">
        <f>data0!AA19</f>
        <v>3.9978637369344622E-3</v>
      </c>
      <c r="AJ19" s="13">
        <f>data0!AB19</f>
        <v>3.8452735179674985E-3</v>
      </c>
      <c r="AK19" s="13">
        <f>data0!AC19</f>
        <v>3.9368276493476767E-3</v>
      </c>
      <c r="AL19" s="13">
        <f>data0!AD19</f>
        <v>4.1504539559014267E-3</v>
      </c>
      <c r="AM19" s="13">
        <f>data0!AE19</f>
        <v>4.0436408026245521E-3</v>
      </c>
      <c r="AN19" s="13">
        <f>data0!AF19</f>
        <v>3.9978637369344622E-3</v>
      </c>
      <c r="AO19" s="13">
        <f>data0!AG19</f>
        <v>4.1232738231479363E-3</v>
      </c>
    </row>
    <row r="20" spans="1:45" s="19" customFormat="1">
      <c r="B20" s="120"/>
      <c r="C20" s="122"/>
      <c r="D20" s="51" t="s">
        <v>27</v>
      </c>
      <c r="E20" s="8">
        <f t="shared" si="4"/>
        <v>501.89555987033157</v>
      </c>
      <c r="F20" s="8">
        <f t="shared" si="5"/>
        <v>546.46483927958343</v>
      </c>
      <c r="G20" s="8">
        <f t="shared" si="6"/>
        <v>591.03411868883529</v>
      </c>
      <c r="H20" s="9">
        <f t="shared" si="7"/>
        <v>14.856426469750613</v>
      </c>
      <c r="I20" s="46"/>
      <c r="J20" s="46">
        <f>data0!B20</f>
        <v>530.61913481345846</v>
      </c>
      <c r="K20" s="46">
        <f>data0!C20</f>
        <v>533.62182421606769</v>
      </c>
      <c r="L20" s="46">
        <f>data0!D20</f>
        <v>541.7057679102769</v>
      </c>
      <c r="M20" s="46">
        <f>data0!E20</f>
        <v>567.35761425192641</v>
      </c>
      <c r="N20" s="46">
        <f>data0!F20</f>
        <v>537.43991760128176</v>
      </c>
      <c r="O20" s="46">
        <f>data0!G20</f>
        <v>526.81534676127262</v>
      </c>
      <c r="P20" s="46">
        <f>data0!H20</f>
        <v>557.57610437170979</v>
      </c>
      <c r="Q20" s="46">
        <f>data0!I20</f>
        <v>558.40009155413134</v>
      </c>
      <c r="R20" s="46">
        <f>data0!J20</f>
        <v>551.4271953917754</v>
      </c>
      <c r="S20" s="46">
        <f>data0!K20</f>
        <v>545.25968947890442</v>
      </c>
      <c r="T20" s="46">
        <f>data0!L20</f>
        <v>560.69275959411004</v>
      </c>
      <c r="U20" s="46">
        <f>data0!M20</f>
        <v>547.40978103303576</v>
      </c>
      <c r="V20" s="46">
        <f>data0!N20</f>
        <v>549.56654840924693</v>
      </c>
      <c r="W20" s="46">
        <f>data0!O20</f>
        <v>571.80609597924774</v>
      </c>
      <c r="X20" s="46">
        <f>data0!P20</f>
        <v>508.68715190356295</v>
      </c>
      <c r="Y20" s="46">
        <f>data0!Q20</f>
        <v>545.94586861982145</v>
      </c>
      <c r="Z20" s="46">
        <f>data0!R20</f>
        <v>550.91458762493323</v>
      </c>
      <c r="AA20" s="46">
        <f>data0!S20</f>
        <v>538.6215381094072</v>
      </c>
      <c r="AB20" s="46">
        <f>data0!T20</f>
        <v>561.28976882581821</v>
      </c>
      <c r="AC20" s="46">
        <f>data0!U20</f>
        <v>556.52943083848322</v>
      </c>
      <c r="AD20" s="46">
        <f>data0!V20</f>
        <v>522.9228656443122</v>
      </c>
      <c r="AE20" s="46">
        <f>data0!W20</f>
        <v>558.31044480048831</v>
      </c>
      <c r="AF20" s="46">
        <f>data0!X20</f>
        <v>553.21536202029449</v>
      </c>
      <c r="AG20" s="46">
        <f>data0!Y20</f>
        <v>557.84027618829634</v>
      </c>
      <c r="AH20" s="46">
        <f>data0!Z20</f>
        <v>567.66041046768896</v>
      </c>
      <c r="AI20" s="46">
        <f>data0!AA20</f>
        <v>538.27916380560009</v>
      </c>
      <c r="AJ20" s="46">
        <f>data0!AB20</f>
        <v>557.297627222095</v>
      </c>
      <c r="AK20" s="46">
        <f>data0!AC20</f>
        <v>521.60677500572217</v>
      </c>
      <c r="AL20" s="46">
        <f>data0!AD20</f>
        <v>546.29444190127413</v>
      </c>
      <c r="AM20" s="46">
        <f>data0!AE20</f>
        <v>548.85175860227355</v>
      </c>
      <c r="AN20" s="46">
        <f>data0!AF20</f>
        <v>526.57358663309685</v>
      </c>
      <c r="AO20" s="46">
        <f>data0!AG20</f>
        <v>546.33592736705577</v>
      </c>
    </row>
    <row r="21" spans="1:45" ht="15.75" thickBot="1">
      <c r="A21" s="67"/>
      <c r="B21" s="120"/>
      <c r="C21" s="133"/>
      <c r="D21" s="91">
        <f>D13</f>
        <v>850</v>
      </c>
      <c r="E21" s="55">
        <f t="shared" si="4"/>
        <v>501.70799878676917</v>
      </c>
      <c r="F21" s="55">
        <f t="shared" si="5"/>
        <v>546.21817659456781</v>
      </c>
      <c r="G21" s="55">
        <f t="shared" si="6"/>
        <v>590.72835440236645</v>
      </c>
      <c r="H21" s="56">
        <f t="shared" si="7"/>
        <v>14.836725935932881</v>
      </c>
      <c r="I21" s="47"/>
      <c r="J21" s="44">
        <f>data0!B21</f>
        <v>530.42029068436716</v>
      </c>
      <c r="K21" s="44">
        <f>data0!C21</f>
        <v>533.41296635385675</v>
      </c>
      <c r="L21" s="44">
        <f>data0!D21</f>
        <v>541.46877622644388</v>
      </c>
      <c r="M21" s="44">
        <f>data0!E21</f>
        <v>567.10584039063099</v>
      </c>
      <c r="N21" s="44">
        <f>data0!F21</f>
        <v>537.16430151827262</v>
      </c>
      <c r="O21" s="44">
        <f>data0!G21</f>
        <v>526.56643396658274</v>
      </c>
      <c r="P21" s="44">
        <f>data0!H21</f>
        <v>557.34674219882504</v>
      </c>
      <c r="Q21" s="44">
        <f>data0!I21</f>
        <v>558.15022507057301</v>
      </c>
      <c r="R21" s="44">
        <f>data0!J21</f>
        <v>551.15920881971465</v>
      </c>
      <c r="S21" s="44">
        <f>data0!K21</f>
        <v>545.05798428320747</v>
      </c>
      <c r="T21" s="44">
        <f>data0!L21</f>
        <v>560.43574044403749</v>
      </c>
      <c r="U21" s="44">
        <f>data0!M21</f>
        <v>547.16659037155716</v>
      </c>
      <c r="V21" s="44">
        <f>data0!N21</f>
        <v>549.28473334859234</v>
      </c>
      <c r="W21" s="44">
        <f>data0!O21</f>
        <v>571.51092927443347</v>
      </c>
      <c r="X21" s="44">
        <f>data0!P21</f>
        <v>508.58415350576024</v>
      </c>
      <c r="Y21" s="44">
        <f>data0!Q21</f>
        <v>545.66453040360113</v>
      </c>
      <c r="Z21" s="44">
        <f>data0!R21</f>
        <v>550.65136949721523</v>
      </c>
      <c r="AA21" s="44">
        <f>data0!S21</f>
        <v>538.34687571526661</v>
      </c>
      <c r="AB21" s="44">
        <f>data0!T21</f>
        <v>561.09140154116119</v>
      </c>
      <c r="AC21" s="44">
        <f>data0!U21</f>
        <v>556.25572213321129</v>
      </c>
      <c r="AD21" s="44">
        <f>data0!V21</f>
        <v>522.69779507133592</v>
      </c>
      <c r="AE21" s="44">
        <f>data0!W21</f>
        <v>558.04770351720458</v>
      </c>
      <c r="AF21" s="44">
        <f>data0!X21</f>
        <v>552.95214389257649</v>
      </c>
      <c r="AG21" s="44">
        <f>data0!Y21</f>
        <v>557.59327077134355</v>
      </c>
      <c r="AH21" s="44">
        <f>data0!Z21</f>
        <v>567.37287327382319</v>
      </c>
      <c r="AI21" s="44">
        <f>data0!AA21</f>
        <v>538.00497825589377</v>
      </c>
      <c r="AJ21" s="44">
        <f>data0!AB21</f>
        <v>557.03583962767982</v>
      </c>
      <c r="AK21" s="44">
        <f>data0!AC21</f>
        <v>521.3316357671473</v>
      </c>
      <c r="AL21" s="44">
        <f>data0!AD21</f>
        <v>546.08081559472032</v>
      </c>
      <c r="AM21" s="44">
        <f>data0!AE21</f>
        <v>548.55659189745938</v>
      </c>
      <c r="AN21" s="44">
        <f>data0!AF21</f>
        <v>526.35996032654305</v>
      </c>
      <c r="AO21" s="44">
        <f>data0!AG21</f>
        <v>546.1032272831311</v>
      </c>
      <c r="AP21" s="19"/>
      <c r="AQ21" s="19"/>
      <c r="AR21" s="19"/>
      <c r="AS21" s="19"/>
    </row>
    <row r="22" spans="1:45">
      <c r="A22" s="5"/>
      <c r="B22" s="119" t="s">
        <v>15</v>
      </c>
      <c r="C22" s="57" t="s">
        <v>12</v>
      </c>
      <c r="D22" s="58"/>
      <c r="E22" s="59">
        <f t="shared" ref="E22:E25" si="16">F22-3*H22</f>
        <v>-0.64179789650110375</v>
      </c>
      <c r="F22" s="59">
        <f t="shared" ref="F22:F25" si="17">AVERAGE(J22:AS22)</f>
        <v>8.2802406451994895E-2</v>
      </c>
      <c r="G22" s="59">
        <f t="shared" ref="G22:G25" si="18">F22+3*H22</f>
        <v>0.80740270940509351</v>
      </c>
      <c r="H22" s="60">
        <f t="shared" ref="H22:H25" si="19">STDEV(J22:AS22)</f>
        <v>0.24153343431769955</v>
      </c>
      <c r="I22" s="5">
        <f>ABS(F22)+1.5*H22</f>
        <v>0.4451025579285442</v>
      </c>
      <c r="J22" s="5">
        <f>(J2-J6)/((J2+J6)/2)</f>
        <v>-1.8032412691166552E-2</v>
      </c>
      <c r="K22" s="5">
        <f t="shared" ref="K22:AO22" si="20">(K2-K6)/((K2+K6)/2)</f>
        <v>0.24739273927392741</v>
      </c>
      <c r="L22" s="5">
        <f t="shared" si="20"/>
        <v>3.2227488151658767E-2</v>
      </c>
      <c r="M22" s="5">
        <f t="shared" si="20"/>
        <v>8.6780233704068704E-2</v>
      </c>
      <c r="N22" s="5">
        <f t="shared" si="20"/>
        <v>7.5962974022096216E-2</v>
      </c>
      <c r="O22" s="5">
        <f t="shared" si="20"/>
        <v>9.6772357260772705E-3</v>
      </c>
      <c r="P22" s="5">
        <f t="shared" ref="P22" si="21">(P2-P6)/((P2+P6)/2)</f>
        <v>5.0580085134796685E-2</v>
      </c>
      <c r="Q22" s="5">
        <f t="shared" si="20"/>
        <v>1.3074697245739959E-2</v>
      </c>
      <c r="R22" s="5">
        <f t="shared" si="20"/>
        <v>8.1594624354160025E-2</v>
      </c>
      <c r="S22" s="5">
        <f t="shared" si="20"/>
        <v>1.4625228519195775E-2</v>
      </c>
      <c r="T22" s="5">
        <f t="shared" si="20"/>
        <v>-7.1387748740063331E-2</v>
      </c>
      <c r="U22" s="5">
        <f t="shared" si="20"/>
        <v>7.5596665524723022E-2</v>
      </c>
      <c r="V22" s="5">
        <f t="shared" si="20"/>
        <v>5.9420834900338372E-2</v>
      </c>
      <c r="W22" s="5">
        <f t="shared" si="20"/>
        <v>8.2325494087045134E-2</v>
      </c>
      <c r="X22" s="5">
        <f t="shared" si="20"/>
        <v>9.6779849219799999E-2</v>
      </c>
      <c r="Y22" s="5">
        <f t="shared" si="20"/>
        <v>0.10542214167044249</v>
      </c>
      <c r="Z22" s="5">
        <f t="shared" si="20"/>
        <v>0.10331095026307381</v>
      </c>
      <c r="AA22" s="5">
        <f t="shared" si="20"/>
        <v>0.11786615403099836</v>
      </c>
      <c r="AB22" s="5">
        <f t="shared" si="20"/>
        <v>0.12022356564389196</v>
      </c>
      <c r="AC22" s="5">
        <f t="shared" si="20"/>
        <v>8.1212532518945738E-2</v>
      </c>
      <c r="AD22" s="5">
        <f t="shared" si="20"/>
        <v>1.1957671957671956</v>
      </c>
      <c r="AE22" s="5">
        <f t="shared" si="20"/>
        <v>0.14002089864158815</v>
      </c>
      <c r="AF22" s="5">
        <f t="shared" si="20"/>
        <v>-0.21538461538461534</v>
      </c>
      <c r="AG22" s="5">
        <f t="shared" si="20"/>
        <v>0.33814036533443204</v>
      </c>
      <c r="AH22" s="5">
        <f t="shared" si="20"/>
        <v>8.8017838281891816E-2</v>
      </c>
      <c r="AI22" s="5">
        <f t="shared" si="20"/>
        <v>-0.26330169020606614</v>
      </c>
      <c r="AJ22" s="5">
        <f t="shared" si="20"/>
        <v>-0.36121956569423108</v>
      </c>
      <c r="AK22" s="5">
        <f t="shared" si="20"/>
        <v>4.4571829667758495E-2</v>
      </c>
      <c r="AL22" s="5">
        <f t="shared" si="20"/>
        <v>5.0103234686853576E-3</v>
      </c>
      <c r="AM22" s="5">
        <f t="shared" si="20"/>
        <v>7.2116771476374505E-2</v>
      </c>
      <c r="AN22" s="5">
        <f t="shared" si="20"/>
        <v>0.14347244913114504</v>
      </c>
      <c r="AO22" s="5">
        <f t="shared" si="20"/>
        <v>9.7811873419928502E-2</v>
      </c>
      <c r="AP22" s="5"/>
      <c r="AQ22" s="5"/>
      <c r="AR22" s="5"/>
      <c r="AS22" s="5"/>
    </row>
    <row r="23" spans="1:45">
      <c r="A23" s="5"/>
      <c r="B23" s="120"/>
      <c r="C23" s="30" t="s">
        <v>22</v>
      </c>
      <c r="D23" s="14"/>
      <c r="E23" s="6">
        <f t="shared" si="16"/>
        <v>-0.33616959379457972</v>
      </c>
      <c r="F23" s="6">
        <f t="shared" si="17"/>
        <v>4.1581065955178673E-2</v>
      </c>
      <c r="G23" s="6">
        <f t="shared" si="18"/>
        <v>0.4193317257049371</v>
      </c>
      <c r="H23" s="7">
        <f t="shared" si="19"/>
        <v>0.12591688658325281</v>
      </c>
      <c r="I23" s="5">
        <f>ABS(F23)+1.5*H23</f>
        <v>0.23045639583005789</v>
      </c>
      <c r="J23" s="5">
        <f t="shared" ref="J23" si="22">(J10-J7)/((J7+J10)/2)</f>
        <v>-1.8769667000933549E-2</v>
      </c>
      <c r="K23" s="5">
        <f t="shared" ref="K23:AO23" si="23">(K10-K7)/((K7+K10)/2)</f>
        <v>0.36843116365986123</v>
      </c>
      <c r="L23" s="5">
        <f t="shared" si="23"/>
        <v>1.8360562981823418E-2</v>
      </c>
      <c r="M23" s="5">
        <f t="shared" si="23"/>
        <v>1.450413655880182E-2</v>
      </c>
      <c r="N23" s="5">
        <f t="shared" si="23"/>
        <v>6.553137078259863E-2</v>
      </c>
      <c r="O23" s="5">
        <f t="shared" si="23"/>
        <v>8.7899745363069187E-2</v>
      </c>
      <c r="P23" s="5">
        <f t="shared" ref="P23" si="24">(P10-P7)/((P7+P10)/2)</f>
        <v>3.2370177162020314E-2</v>
      </c>
      <c r="Q23" s="5">
        <f t="shared" si="23"/>
        <v>-2.2279371244128442E-2</v>
      </c>
      <c r="R23" s="5">
        <f t="shared" si="23"/>
        <v>4.7463949477841716E-2</v>
      </c>
      <c r="S23" s="5">
        <f t="shared" si="23"/>
        <v>5.3966540744738584E-3</v>
      </c>
      <c r="T23" s="5">
        <f t="shared" si="23"/>
        <v>-1.783830188802895E-2</v>
      </c>
      <c r="U23" s="5">
        <f t="shared" si="23"/>
        <v>6.6322647319651651E-2</v>
      </c>
      <c r="V23" s="5">
        <f t="shared" si="23"/>
        <v>5.3977092511013201E-2</v>
      </c>
      <c r="W23" s="5">
        <f t="shared" si="23"/>
        <v>8.2364371454540161E-3</v>
      </c>
      <c r="X23" s="5">
        <f t="shared" si="23"/>
        <v>8.0014472182794796E-2</v>
      </c>
      <c r="Y23" s="5">
        <f t="shared" si="23"/>
        <v>7.0921781264420877E-2</v>
      </c>
      <c r="Z23" s="5">
        <f t="shared" si="23"/>
        <v>0.10906060758438879</v>
      </c>
      <c r="AA23" s="5">
        <f t="shared" si="23"/>
        <v>7.7542276844791244E-2</v>
      </c>
      <c r="AB23" s="5">
        <f t="shared" si="23"/>
        <v>5.2465320697706479E-2</v>
      </c>
      <c r="AC23" s="5">
        <f t="shared" si="23"/>
        <v>5.3278096247410908E-2</v>
      </c>
      <c r="AD23" s="5">
        <f t="shared" si="23"/>
        <v>0.33094585486407552</v>
      </c>
      <c r="AE23" s="5">
        <f t="shared" si="23"/>
        <v>8.5662702231838639E-2</v>
      </c>
      <c r="AF23" s="5">
        <f t="shared" si="23"/>
        <v>-7.5189141799525835E-2</v>
      </c>
      <c r="AG23" s="5">
        <f t="shared" si="23"/>
        <v>0.14626093816195046</v>
      </c>
      <c r="AH23" s="5">
        <f t="shared" si="23"/>
        <v>5.8300707466172233E-2</v>
      </c>
      <c r="AI23" s="5">
        <f t="shared" si="23"/>
        <v>-0.12272914249227967</v>
      </c>
      <c r="AJ23" s="5">
        <f t="shared" si="23"/>
        <v>-0.40964962899791146</v>
      </c>
      <c r="AK23" s="5">
        <f t="shared" si="23"/>
        <v>-1.0932335997417766E-2</v>
      </c>
      <c r="AL23" s="5">
        <f t="shared" si="23"/>
        <v>-2.7266836808907291E-2</v>
      </c>
      <c r="AM23" s="5">
        <f t="shared" si="23"/>
        <v>4.1080653196033483E-3</v>
      </c>
      <c r="AN23" s="5">
        <f t="shared" si="23"/>
        <v>0.12161567569153149</v>
      </c>
      <c r="AO23" s="5">
        <f t="shared" si="23"/>
        <v>7.6578101201556947E-2</v>
      </c>
      <c r="AP23" s="5"/>
      <c r="AQ23" s="5"/>
      <c r="AR23" s="5"/>
      <c r="AS23" s="5"/>
    </row>
    <row r="24" spans="1:45">
      <c r="A24" s="5"/>
      <c r="B24" s="120"/>
      <c r="C24" s="29" t="s">
        <v>23</v>
      </c>
      <c r="D24" s="21"/>
      <c r="E24" s="6">
        <f t="shared" si="16"/>
        <v>-0.15160792936792497</v>
      </c>
      <c r="F24" s="6">
        <f t="shared" si="17"/>
        <v>5.5036433724955904E-2</v>
      </c>
      <c r="G24" s="6">
        <f t="shared" si="18"/>
        <v>0.26168079681783679</v>
      </c>
      <c r="H24" s="7">
        <f t="shared" si="19"/>
        <v>6.8881454364293618E-2</v>
      </c>
      <c r="I24" s="5">
        <f t="shared" ref="I24:I25" si="25">ABS(F24)+1.5*H24</f>
        <v>0.15835861527139633</v>
      </c>
      <c r="J24" s="5">
        <f>(J12-J16)/((J12+J16)/2)</f>
        <v>0.25857197213056454</v>
      </c>
      <c r="K24" s="5">
        <f t="shared" ref="K24:AO24" si="26">(K12-K16)/((K12+K16)/2)</f>
        <v>0.13594113090627422</v>
      </c>
      <c r="L24" s="5">
        <f t="shared" si="26"/>
        <v>7.8799497102474469E-2</v>
      </c>
      <c r="M24" s="5">
        <f t="shared" si="26"/>
        <v>2.5184918395795508E-2</v>
      </c>
      <c r="N24" s="5">
        <f t="shared" si="26"/>
        <v>5.8010370059869455E-2</v>
      </c>
      <c r="O24" s="5">
        <f t="shared" si="26"/>
        <v>0.21355928054795184</v>
      </c>
      <c r="P24" s="5">
        <f t="shared" ref="P24" si="27">(P12-P16)/((P12+P16)/2)</f>
        <v>3.1565799154732004E-2</v>
      </c>
      <c r="Q24" s="5">
        <f t="shared" si="26"/>
        <v>3.9725007240280885E-2</v>
      </c>
      <c r="R24" s="5">
        <f t="shared" si="26"/>
        <v>2.878968940143601E-2</v>
      </c>
      <c r="S24" s="5">
        <f t="shared" si="26"/>
        <v>2.5201487312396974E-2</v>
      </c>
      <c r="T24" s="5">
        <f t="shared" si="26"/>
        <v>2.0992624213114389E-2</v>
      </c>
      <c r="U24" s="5">
        <f t="shared" si="26"/>
        <v>5.3188733538237401E-2</v>
      </c>
      <c r="V24" s="5">
        <f t="shared" si="26"/>
        <v>6.1242606181899195E-2</v>
      </c>
      <c r="W24" s="5">
        <f t="shared" si="26"/>
        <v>3.7282099683578242E-2</v>
      </c>
      <c r="X24" s="5">
        <f t="shared" si="26"/>
        <v>0.11328258213988626</v>
      </c>
      <c r="Y24" s="5">
        <f t="shared" si="26"/>
        <v>4.8049846798360447E-2</v>
      </c>
      <c r="Z24" s="5">
        <f t="shared" si="26"/>
        <v>7.9716766054840696E-2</v>
      </c>
      <c r="AA24" s="5">
        <f t="shared" si="26"/>
        <v>-1.3535402077502671E-2</v>
      </c>
      <c r="AB24" s="5">
        <f t="shared" si="26"/>
        <v>4.4814151258076827E-2</v>
      </c>
      <c r="AC24" s="5">
        <f t="shared" si="26"/>
        <v>7.5007072657720414E-2</v>
      </c>
      <c r="AD24" s="5">
        <f t="shared" si="26"/>
        <v>8.4909645174545759E-2</v>
      </c>
      <c r="AE24" s="5">
        <f t="shared" si="26"/>
        <v>5.939581018090434E-2</v>
      </c>
      <c r="AF24" s="5">
        <f t="shared" si="26"/>
        <v>2.7138248593801644E-2</v>
      </c>
      <c r="AG24" s="5">
        <f t="shared" si="26"/>
        <v>7.0692608462495685E-2</v>
      </c>
      <c r="AH24" s="5">
        <f t="shared" si="26"/>
        <v>3.3642899433307893E-2</v>
      </c>
      <c r="AI24" s="5">
        <f t="shared" si="26"/>
        <v>-0.1321890899723063</v>
      </c>
      <c r="AJ24" s="5">
        <f t="shared" si="26"/>
        <v>-7.1314189140156123E-2</v>
      </c>
      <c r="AK24" s="5">
        <f t="shared" si="26"/>
        <v>3.9686894509498435E-3</v>
      </c>
      <c r="AL24" s="5">
        <f t="shared" si="26"/>
        <v>5.5730844367267086E-2</v>
      </c>
      <c r="AM24" s="5">
        <f t="shared" si="26"/>
        <v>2.9855122546324522E-2</v>
      </c>
      <c r="AN24" s="5">
        <f t="shared" si="26"/>
        <v>9.1875910797890925E-2</v>
      </c>
      <c r="AO24" s="5">
        <f t="shared" si="26"/>
        <v>9.2069146603576527E-2</v>
      </c>
      <c r="AP24" s="5"/>
      <c r="AQ24" s="5"/>
      <c r="AR24" s="5"/>
      <c r="AS24" s="5"/>
    </row>
    <row r="25" spans="1:45" ht="15.75" thickBot="1">
      <c r="A25" s="5"/>
      <c r="B25" s="120"/>
      <c r="C25" s="29" t="s">
        <v>16</v>
      </c>
      <c r="D25" s="21"/>
      <c r="E25" s="53">
        <f t="shared" si="16"/>
        <v>-0.21315286039248191</v>
      </c>
      <c r="F25" s="53">
        <f t="shared" si="17"/>
        <v>6.0399272639790919E-2</v>
      </c>
      <c r="G25" s="53">
        <f t="shared" si="18"/>
        <v>0.33395140567206372</v>
      </c>
      <c r="H25" s="54">
        <f t="shared" si="19"/>
        <v>9.1184044344090942E-2</v>
      </c>
      <c r="I25" s="5">
        <f t="shared" si="25"/>
        <v>0.19717533915592733</v>
      </c>
      <c r="J25" s="5">
        <f t="shared" ref="J25" si="28">(J20-J17)/((J17+J20)/2)</f>
        <v>9.4827793123020157E-2</v>
      </c>
      <c r="K25" s="5">
        <f t="shared" ref="K25:AO25" si="29">(K20-K17)/((K17+K20)/2)</f>
        <v>-6.387539532420698E-3</v>
      </c>
      <c r="L25" s="5">
        <f t="shared" si="29"/>
        <v>2.9673574599555934E-2</v>
      </c>
      <c r="M25" s="5">
        <f t="shared" si="29"/>
        <v>5.402307333429144E-2</v>
      </c>
      <c r="N25" s="5">
        <f t="shared" si="29"/>
        <v>3.085264382697115E-2</v>
      </c>
      <c r="O25" s="5">
        <f t="shared" si="29"/>
        <v>6.0507155995813008E-2</v>
      </c>
      <c r="P25" s="5">
        <f t="shared" ref="P25" si="30">(P20-P17)/((P17+P20)/2)</f>
        <v>5.5464659901569041E-2</v>
      </c>
      <c r="Q25" s="5">
        <f t="shared" si="29"/>
        <v>7.6153575806410315E-3</v>
      </c>
      <c r="R25" s="5">
        <f t="shared" si="29"/>
        <v>5.1757504518790527E-2</v>
      </c>
      <c r="S25" s="5">
        <f t="shared" si="29"/>
        <v>3.3658811817532386E-2</v>
      </c>
      <c r="T25" s="5">
        <f t="shared" si="29"/>
        <v>3.0230551444038297E-2</v>
      </c>
      <c r="U25" s="5">
        <f t="shared" si="29"/>
        <v>9.3311384864217722E-2</v>
      </c>
      <c r="V25" s="5">
        <f t="shared" si="29"/>
        <v>4.341136812430603E-2</v>
      </c>
      <c r="W25" s="5">
        <f t="shared" si="29"/>
        <v>-8.4184947105817809E-2</v>
      </c>
      <c r="X25" s="5">
        <f t="shared" si="29"/>
        <v>0.50559119126078367</v>
      </c>
      <c r="Y25" s="5">
        <f t="shared" si="29"/>
        <v>6.0949277938535926E-2</v>
      </c>
      <c r="Z25" s="5">
        <f t="shared" si="29"/>
        <v>4.470141831168882E-2</v>
      </c>
      <c r="AA25" s="5">
        <f t="shared" si="29"/>
        <v>2.5147744004518059E-2</v>
      </c>
      <c r="AB25" s="5">
        <f t="shared" si="29"/>
        <v>2.674683485456596E-2</v>
      </c>
      <c r="AC25" s="5">
        <f t="shared" si="29"/>
        <v>-1.4375294806681213E-2</v>
      </c>
      <c r="AD25" s="5">
        <f t="shared" si="29"/>
        <v>2.6562045943737175E-2</v>
      </c>
      <c r="AE25" s="5">
        <f t="shared" si="29"/>
        <v>4.0740062921034957E-2</v>
      </c>
      <c r="AF25" s="5">
        <f t="shared" si="29"/>
        <v>4.1404029548792826E-2</v>
      </c>
      <c r="AG25" s="5">
        <f t="shared" si="29"/>
        <v>6.2555013652862479E-2</v>
      </c>
      <c r="AH25" s="5">
        <f t="shared" si="29"/>
        <v>4.6600065672637338E-2</v>
      </c>
      <c r="AI25" s="5">
        <f t="shared" si="29"/>
        <v>8.8791146975855217E-2</v>
      </c>
      <c r="AJ25" s="5">
        <f t="shared" si="29"/>
        <v>6.1766372719594606E-2</v>
      </c>
      <c r="AK25" s="5">
        <f t="shared" si="29"/>
        <v>4.1412490558062377E-2</v>
      </c>
      <c r="AL25" s="5">
        <f t="shared" si="29"/>
        <v>0.10117273883142448</v>
      </c>
      <c r="AM25" s="5">
        <f t="shared" si="29"/>
        <v>4.9628807857983528E-2</v>
      </c>
      <c r="AN25" s="5">
        <f t="shared" si="29"/>
        <v>0.17000630788367563</v>
      </c>
      <c r="AO25" s="5">
        <f t="shared" si="29"/>
        <v>5.8615077851729813E-2</v>
      </c>
      <c r="AP25" s="5"/>
      <c r="AQ25" s="5"/>
      <c r="AR25" s="5"/>
      <c r="AS25" s="5"/>
    </row>
    <row r="26" spans="1:45">
      <c r="A26" s="5"/>
      <c r="B26" s="127" t="s">
        <v>34</v>
      </c>
      <c r="C26" s="57" t="str">
        <f>C22</f>
        <v>Hi</v>
      </c>
      <c r="D26" s="130">
        <v>0.05</v>
      </c>
      <c r="E26" s="59">
        <f t="shared" ref="E26:E29" si="31">F26-3*H26</f>
        <v>-1.0651702288127637E-3</v>
      </c>
      <c r="F26" s="59">
        <f t="shared" ref="F26:F29" si="32">AVERAGE(J26:AS26)</f>
        <v>2.4823682002504715E-4</v>
      </c>
      <c r="G26" s="59">
        <f t="shared" ref="G26:G29" si="33">F26+3*H26</f>
        <v>1.5616438688628581E-3</v>
      </c>
      <c r="H26" s="60">
        <f t="shared" ref="H26:H29" si="34">STDEV(J26:AS26)</f>
        <v>4.3780234961260362E-4</v>
      </c>
      <c r="I26" s="5"/>
      <c r="J26" s="5">
        <f>(J2-J3)/J2</f>
        <v>0</v>
      </c>
      <c r="K26" s="5">
        <f t="shared" ref="K26:AO26" si="35">(K2-K3)/K2</f>
        <v>0</v>
      </c>
      <c r="L26" s="5">
        <f t="shared" si="35"/>
        <v>-2.3320895522387978E-4</v>
      </c>
      <c r="M26" s="5">
        <f t="shared" si="35"/>
        <v>0</v>
      </c>
      <c r="N26" s="5">
        <f t="shared" si="35"/>
        <v>-4.6027271158161049E-4</v>
      </c>
      <c r="O26" s="5">
        <f t="shared" si="35"/>
        <v>5.6650804441422866E-4</v>
      </c>
      <c r="P26" s="5">
        <f t="shared" ref="P26" si="36">(P2-P3)/P2</f>
        <v>1.1939650493867321E-3</v>
      </c>
      <c r="Q26" s="5">
        <f t="shared" si="35"/>
        <v>0</v>
      </c>
      <c r="R26" s="5">
        <f t="shared" si="35"/>
        <v>0</v>
      </c>
      <c r="S26" s="5">
        <f t="shared" si="35"/>
        <v>0</v>
      </c>
      <c r="T26" s="5">
        <f t="shared" si="35"/>
        <v>0</v>
      </c>
      <c r="U26" s="5">
        <f t="shared" si="35"/>
        <v>0</v>
      </c>
      <c r="V26" s="5">
        <f t="shared" si="35"/>
        <v>2.8094622689206722E-4</v>
      </c>
      <c r="W26" s="5">
        <f t="shared" si="35"/>
        <v>6.6965435532899691E-4</v>
      </c>
      <c r="X26" s="5">
        <f t="shared" si="35"/>
        <v>9.4765594514733707E-4</v>
      </c>
      <c r="Y26" s="5">
        <f t="shared" si="35"/>
        <v>7.4605451936882736E-4</v>
      </c>
      <c r="Z26" s="5">
        <f t="shared" si="35"/>
        <v>-2.2112886284482203E-4</v>
      </c>
      <c r="AA26" s="5">
        <f t="shared" si="35"/>
        <v>-5.6731151075160787E-5</v>
      </c>
      <c r="AB26" s="5">
        <f t="shared" si="35"/>
        <v>8.0697224015503592E-4</v>
      </c>
      <c r="AC26" s="5">
        <f t="shared" si="35"/>
        <v>0</v>
      </c>
      <c r="AD26" s="5">
        <f t="shared" si="35"/>
        <v>0</v>
      </c>
      <c r="AE26" s="5">
        <f t="shared" si="35"/>
        <v>0</v>
      </c>
      <c r="AF26" s="5">
        <f t="shared" si="35"/>
        <v>0</v>
      </c>
      <c r="AG26" s="5">
        <f t="shared" si="35"/>
        <v>5.2866541353372332E-4</v>
      </c>
      <c r="AH26" s="5">
        <f t="shared" si="35"/>
        <v>0</v>
      </c>
      <c r="AI26" s="5">
        <f t="shared" si="35"/>
        <v>0</v>
      </c>
      <c r="AJ26" s="5">
        <f t="shared" si="35"/>
        <v>1.177856301531209E-3</v>
      </c>
      <c r="AK26" s="5">
        <f t="shared" si="35"/>
        <v>0</v>
      </c>
      <c r="AL26" s="5">
        <f t="shared" si="35"/>
        <v>0</v>
      </c>
      <c r="AM26" s="5">
        <f t="shared" si="35"/>
        <v>3.341129301703964E-4</v>
      </c>
      <c r="AN26" s="5">
        <f t="shared" si="35"/>
        <v>6.6518847006651646E-4</v>
      </c>
      <c r="AO26" s="5">
        <f t="shared" si="35"/>
        <v>9.9734042553191135E-4</v>
      </c>
      <c r="AP26" s="5"/>
      <c r="AQ26" s="5"/>
      <c r="AR26" s="5"/>
      <c r="AS26" s="5"/>
    </row>
    <row r="27" spans="1:45">
      <c r="A27" s="5"/>
      <c r="B27" s="128"/>
      <c r="C27" s="30" t="str">
        <f t="shared" ref="C27:C29" si="37">C23</f>
        <v>Mhi</v>
      </c>
      <c r="D27" s="131"/>
      <c r="E27" s="6">
        <f t="shared" si="31"/>
        <v>-4.928237970159343E-2</v>
      </c>
      <c r="F27" s="6">
        <f t="shared" si="32"/>
        <v>8.7692547653529032E-3</v>
      </c>
      <c r="G27" s="6">
        <f t="shared" si="33"/>
        <v>6.682088923229923E-2</v>
      </c>
      <c r="H27" s="7">
        <f t="shared" si="34"/>
        <v>1.9350544822315446E-2</v>
      </c>
      <c r="I27" s="5"/>
      <c r="J27" s="5">
        <f>(J10-J11)/J10</f>
        <v>5.2035772630168106E-2</v>
      </c>
      <c r="K27" s="5">
        <f t="shared" ref="K27:AO27" si="38">(K10-K11)/K10</f>
        <v>-1.6672319966965211E-2</v>
      </c>
      <c r="L27" s="5">
        <f t="shared" si="38"/>
        <v>6.3355012334604987E-3</v>
      </c>
      <c r="M27" s="5">
        <f t="shared" si="38"/>
        <v>1.3470485795232913E-2</v>
      </c>
      <c r="N27" s="5">
        <f t="shared" si="38"/>
        <v>7.0451763580341737E-3</v>
      </c>
      <c r="O27" s="5">
        <f t="shared" si="38"/>
        <v>3.610853193026294E-4</v>
      </c>
      <c r="P27" s="5">
        <f t="shared" ref="P27" si="39">(P10-P11)/P10</f>
        <v>1.0537088150192706E-2</v>
      </c>
      <c r="Q27" s="5">
        <f t="shared" si="38"/>
        <v>1.8758707622901841E-2</v>
      </c>
      <c r="R27" s="5">
        <f t="shared" si="38"/>
        <v>7.8467226620583374E-3</v>
      </c>
      <c r="S27" s="5">
        <f t="shared" si="38"/>
        <v>4.5334106152190336E-3</v>
      </c>
      <c r="T27" s="5">
        <f t="shared" si="38"/>
        <v>1.0751692763436247E-2</v>
      </c>
      <c r="U27" s="5">
        <f t="shared" si="38"/>
        <v>8.9788994174022242E-3</v>
      </c>
      <c r="V27" s="5">
        <f t="shared" si="38"/>
        <v>5.9675781035523926E-3</v>
      </c>
      <c r="W27" s="5">
        <f t="shared" si="38"/>
        <v>3.4880018977227326E-2</v>
      </c>
      <c r="X27" s="5">
        <f t="shared" si="38"/>
        <v>2.0568794572969236E-2</v>
      </c>
      <c r="Y27" s="5">
        <f t="shared" si="38"/>
        <v>-5.9572719802794384E-3</v>
      </c>
      <c r="Z27" s="5">
        <f t="shared" si="38"/>
        <v>9.6152536138095508E-3</v>
      </c>
      <c r="AA27" s="5">
        <f t="shared" si="38"/>
        <v>-1.0993806306306241E-2</v>
      </c>
      <c r="AB27" s="5">
        <f t="shared" si="38"/>
        <v>5.2295235546039416E-3</v>
      </c>
      <c r="AC27" s="5">
        <f t="shared" si="38"/>
        <v>1.0557432432432456E-2</v>
      </c>
      <c r="AD27" s="5">
        <f t="shared" si="38"/>
        <v>-5.142341619887722E-2</v>
      </c>
      <c r="AE27" s="5">
        <f t="shared" si="38"/>
        <v>-3.3547552645407045E-3</v>
      </c>
      <c r="AF27" s="5">
        <f t="shared" si="38"/>
        <v>7.7971065345894316E-3</v>
      </c>
      <c r="AG27" s="5">
        <f t="shared" si="38"/>
        <v>-1.515811541131794E-2</v>
      </c>
      <c r="AH27" s="5">
        <f t="shared" si="38"/>
        <v>-2.9332461257123264E-3</v>
      </c>
      <c r="AI27" s="5">
        <f t="shared" si="38"/>
        <v>5.1519452656916341E-2</v>
      </c>
      <c r="AJ27" s="5">
        <f t="shared" si="38"/>
        <v>3.9910218865597931E-2</v>
      </c>
      <c r="AK27" s="5">
        <f t="shared" si="38"/>
        <v>1.7606925649456151E-2</v>
      </c>
      <c r="AL27" s="5">
        <f t="shared" si="38"/>
        <v>8.0672190047191075E-3</v>
      </c>
      <c r="AM27" s="5">
        <f t="shared" si="38"/>
        <v>9.9562795385516323E-3</v>
      </c>
      <c r="AN27" s="5">
        <f t="shared" si="38"/>
        <v>8.9073387899567483E-3</v>
      </c>
      <c r="AO27" s="5">
        <f t="shared" si="38"/>
        <v>1.5871398883501062E-2</v>
      </c>
      <c r="AP27" s="5"/>
      <c r="AQ27" s="5"/>
      <c r="AR27" s="5"/>
      <c r="AS27" s="5"/>
    </row>
    <row r="28" spans="1:45">
      <c r="A28" s="5"/>
      <c r="B28" s="128"/>
      <c r="C28" s="30" t="str">
        <f t="shared" si="37"/>
        <v>Mlo</v>
      </c>
      <c r="D28" s="131"/>
      <c r="E28" s="6">
        <f t="shared" si="31"/>
        <v>5.2807310038431625E-5</v>
      </c>
      <c r="F28" s="6">
        <f t="shared" si="32"/>
        <v>2.3687136808345406E-4</v>
      </c>
      <c r="G28" s="6">
        <f t="shared" si="33"/>
        <v>4.2093542612847647E-4</v>
      </c>
      <c r="H28" s="7">
        <f t="shared" si="34"/>
        <v>6.1354686015007478E-5</v>
      </c>
      <c r="I28" s="5"/>
      <c r="J28" s="5">
        <f>(J12-J13)/J12</f>
        <v>8.8375330026458154E-5</v>
      </c>
      <c r="K28" s="5">
        <f t="shared" ref="K28:AO28" si="40">(K12-K13)/K12</f>
        <v>2.1758839528571909E-4</v>
      </c>
      <c r="L28" s="5">
        <f t="shared" si="40"/>
        <v>2.2922191502569177E-4</v>
      </c>
      <c r="M28" s="5">
        <f t="shared" si="40"/>
        <v>2.2724428431233144E-4</v>
      </c>
      <c r="N28" s="5">
        <f t="shared" si="40"/>
        <v>1.6648660137094293E-4</v>
      </c>
      <c r="O28" s="5">
        <f t="shared" si="40"/>
        <v>1.1426212468575816E-4</v>
      </c>
      <c r="P28" s="5">
        <f t="shared" ref="P28" si="41">(P12-P13)/P12</f>
        <v>2.1224484295564146E-4</v>
      </c>
      <c r="Q28" s="5">
        <f t="shared" si="40"/>
        <v>2.8397085918085307E-4</v>
      </c>
      <c r="R28" s="5">
        <f t="shared" si="40"/>
        <v>2.1265607436884754E-4</v>
      </c>
      <c r="S28" s="5">
        <f t="shared" si="40"/>
        <v>2.564689083435436E-4</v>
      </c>
      <c r="T28" s="5">
        <f t="shared" si="40"/>
        <v>2.5065839605363955E-4</v>
      </c>
      <c r="U28" s="5">
        <f t="shared" si="40"/>
        <v>2.7279640181535747E-4</v>
      </c>
      <c r="V28" s="5">
        <f t="shared" si="40"/>
        <v>2.9689058891356484E-4</v>
      </c>
      <c r="W28" s="5">
        <f t="shared" si="40"/>
        <v>3.3634208577365061E-4</v>
      </c>
      <c r="X28" s="5">
        <f t="shared" si="40"/>
        <v>3.2445466002272577E-4</v>
      </c>
      <c r="Y28" s="5">
        <f t="shared" si="40"/>
        <v>3.4957410798042236E-4</v>
      </c>
      <c r="Z28" s="5">
        <f t="shared" si="40"/>
        <v>3.1639801494628912E-4</v>
      </c>
      <c r="AA28" s="5">
        <f t="shared" si="40"/>
        <v>2.1581431614704826E-4</v>
      </c>
      <c r="AB28" s="5">
        <f t="shared" si="40"/>
        <v>2.5898283650115116E-4</v>
      </c>
      <c r="AC28" s="5">
        <f t="shared" si="40"/>
        <v>2.4388756783117846E-4</v>
      </c>
      <c r="AD28" s="5">
        <f t="shared" si="40"/>
        <v>2.1634386206785078E-4</v>
      </c>
      <c r="AE28" s="5">
        <f t="shared" si="40"/>
        <v>1.8463315071439305E-4</v>
      </c>
      <c r="AF28" s="5">
        <f t="shared" si="40"/>
        <v>2.0402542156745061E-4</v>
      </c>
      <c r="AG28" s="5">
        <f t="shared" si="40"/>
        <v>1.8438432398005001E-4</v>
      </c>
      <c r="AH28" s="5">
        <f t="shared" si="40"/>
        <v>2.794903958448837E-4</v>
      </c>
      <c r="AI28" s="5">
        <f t="shared" si="40"/>
        <v>2.3791872834152749E-4</v>
      </c>
      <c r="AJ28" s="5">
        <f t="shared" si="40"/>
        <v>3.0435291560070016E-4</v>
      </c>
      <c r="AK28" s="5">
        <f t="shared" si="40"/>
        <v>2.3341245417038162E-4</v>
      </c>
      <c r="AL28" s="5">
        <f t="shared" si="40"/>
        <v>1.8921411942794729E-4</v>
      </c>
      <c r="AM28" s="5">
        <f t="shared" si="40"/>
        <v>2.3043059568013803E-4</v>
      </c>
      <c r="AN28" s="5">
        <f t="shared" si="40"/>
        <v>2.9644096465376683E-4</v>
      </c>
      <c r="AO28" s="5">
        <f t="shared" si="40"/>
        <v>1.4491853508062343E-4</v>
      </c>
      <c r="AP28" s="5"/>
      <c r="AQ28" s="5"/>
      <c r="AR28" s="5"/>
      <c r="AS28" s="5"/>
    </row>
    <row r="29" spans="1:45" ht="15.75" thickBot="1">
      <c r="A29" s="5"/>
      <c r="B29" s="129"/>
      <c r="C29" s="31" t="str">
        <f t="shared" si="37"/>
        <v>Lo</v>
      </c>
      <c r="D29" s="132"/>
      <c r="E29" s="10">
        <f t="shared" si="31"/>
        <v>2.4860434750403069E-4</v>
      </c>
      <c r="F29" s="10">
        <f t="shared" si="32"/>
        <v>4.5071962721588424E-4</v>
      </c>
      <c r="G29" s="10">
        <f t="shared" si="33"/>
        <v>6.528349069277378E-4</v>
      </c>
      <c r="H29" s="12">
        <f t="shared" si="34"/>
        <v>6.7371759903951182E-5</v>
      </c>
      <c r="I29" s="5"/>
      <c r="J29" s="5">
        <f>(J20-J21)/J20</f>
        <v>3.747398388887791E-4</v>
      </c>
      <c r="K29" s="5">
        <f t="shared" ref="K29:AO29" si="42">(K20-K21)/K20</f>
        <v>3.9139677714227042E-4</v>
      </c>
      <c r="L29" s="5">
        <f t="shared" si="42"/>
        <v>4.3749152745273809E-4</v>
      </c>
      <c r="M29" s="5">
        <f t="shared" si="42"/>
        <v>4.4376572195543444E-4</v>
      </c>
      <c r="N29" s="5">
        <f t="shared" si="42"/>
        <v>5.1283143284049017E-4</v>
      </c>
      <c r="O29" s="5">
        <f t="shared" si="42"/>
        <v>4.7248584579044438E-4</v>
      </c>
      <c r="P29" s="5">
        <f t="shared" ref="P29" si="43">(P20-P21)/P20</f>
        <v>4.1135581508321487E-4</v>
      </c>
      <c r="Q29" s="5">
        <f t="shared" si="42"/>
        <v>4.4746855764814865E-4</v>
      </c>
      <c r="R29" s="5">
        <f t="shared" si="42"/>
        <v>4.8598722424335935E-4</v>
      </c>
      <c r="S29" s="5">
        <f t="shared" si="42"/>
        <v>3.6992500929183234E-4</v>
      </c>
      <c r="T29" s="5">
        <f t="shared" si="42"/>
        <v>4.5839570009537773E-4</v>
      </c>
      <c r="U29" s="5">
        <f t="shared" si="42"/>
        <v>4.4425706281619521E-4</v>
      </c>
      <c r="V29" s="5">
        <f t="shared" si="42"/>
        <v>5.1279515005111685E-4</v>
      </c>
      <c r="W29" s="5">
        <f t="shared" si="42"/>
        <v>5.162006961622011E-4</v>
      </c>
      <c r="X29" s="5">
        <f t="shared" si="42"/>
        <v>2.0247886626834649E-4</v>
      </c>
      <c r="Y29" s="5">
        <f t="shared" si="42"/>
        <v>5.1532254824376064E-4</v>
      </c>
      <c r="Z29" s="5">
        <f t="shared" si="42"/>
        <v>4.7778391356956788E-4</v>
      </c>
      <c r="AA29" s="5">
        <f t="shared" si="42"/>
        <v>5.099357799628147E-4</v>
      </c>
      <c r="AB29" s="5">
        <f t="shared" si="42"/>
        <v>3.5341332708058415E-4</v>
      </c>
      <c r="AC29" s="5">
        <f t="shared" si="42"/>
        <v>4.9181353241202627E-4</v>
      </c>
      <c r="AD29" s="5">
        <f t="shared" si="42"/>
        <v>4.3040874240402727E-4</v>
      </c>
      <c r="AE29" s="5">
        <f t="shared" si="42"/>
        <v>4.7060069488332991E-4</v>
      </c>
      <c r="AF29" s="5">
        <f t="shared" si="42"/>
        <v>4.7579685198320502E-4</v>
      </c>
      <c r="AG29" s="5">
        <f t="shared" si="42"/>
        <v>4.4278878291214121E-4</v>
      </c>
      <c r="AH29" s="5">
        <f t="shared" si="42"/>
        <v>5.0653029269537211E-4</v>
      </c>
      <c r="AI29" s="5">
        <f t="shared" si="42"/>
        <v>5.0937425808541853E-4</v>
      </c>
      <c r="AJ29" s="5">
        <f t="shared" si="42"/>
        <v>4.6974467793822853E-4</v>
      </c>
      <c r="AK29" s="5">
        <f t="shared" si="42"/>
        <v>5.274840200682737E-4</v>
      </c>
      <c r="AL29" s="5">
        <f t="shared" si="42"/>
        <v>3.9104609193957779E-4</v>
      </c>
      <c r="AM29" s="5">
        <f t="shared" si="42"/>
        <v>5.3778948539009335E-4</v>
      </c>
      <c r="AN29" s="5">
        <f t="shared" si="42"/>
        <v>4.0569126894443987E-4</v>
      </c>
      <c r="AO29" s="5">
        <f t="shared" si="42"/>
        <v>4.2592857666548772E-4</v>
      </c>
      <c r="AP29" s="5"/>
      <c r="AQ29" s="5"/>
      <c r="AR29" s="5"/>
      <c r="AS29" s="5"/>
    </row>
    <row r="30" spans="1:45">
      <c r="B30" s="137" t="str">
        <f>B2</f>
        <v>HI</v>
      </c>
      <c r="C30" s="106" t="str">
        <f>C2</f>
        <v>LED</v>
      </c>
      <c r="D30" s="107"/>
      <c r="E30" s="108">
        <f t="shared" ref="E30:E41" si="44">F30-3*H30</f>
        <v>472.38955450212768</v>
      </c>
      <c r="F30" s="108">
        <f t="shared" ref="F30:F41" si="45">AVERAGE(J30:AS30)</f>
        <v>550.36709140281027</v>
      </c>
      <c r="G30" s="108">
        <f t="shared" ref="G30:G41" si="46">F30+3*H30</f>
        <v>628.34462830349287</v>
      </c>
      <c r="H30" s="109">
        <f t="shared" ref="H30:H41" si="47">STDEV(J30:AS30)</f>
        <v>25.992512300227521</v>
      </c>
      <c r="I30" s="5"/>
      <c r="J30" s="19">
        <f t="shared" ref="J30:AO30" si="48">K_0*J2+K_1*J4</f>
        <v>533.93172353258785</v>
      </c>
      <c r="K30" s="19">
        <f t="shared" si="48"/>
        <v>523.57091114630009</v>
      </c>
      <c r="L30" s="19">
        <f t="shared" si="48"/>
        <v>527.47722075185436</v>
      </c>
      <c r="M30" s="19">
        <f t="shared" si="48"/>
        <v>569.68385306651044</v>
      </c>
      <c r="N30" s="19">
        <f t="shared" si="48"/>
        <v>534.43530934412036</v>
      </c>
      <c r="O30" s="19">
        <f t="shared" si="48"/>
        <v>542.4918951571824</v>
      </c>
      <c r="P30" s="19">
        <f t="shared" ref="P30" si="49">K_0*P2+K_1*P4</f>
        <v>566.47938229032115</v>
      </c>
      <c r="Q30" s="19">
        <f t="shared" si="48"/>
        <v>577.40484196835587</v>
      </c>
      <c r="R30" s="19">
        <f t="shared" si="48"/>
        <v>566.67776227129207</v>
      </c>
      <c r="S30" s="19">
        <f t="shared" si="48"/>
        <v>542.08006661805143</v>
      </c>
      <c r="T30" s="19">
        <f t="shared" si="48"/>
        <v>570.44662641295156</v>
      </c>
      <c r="U30" s="19">
        <f t="shared" si="48"/>
        <v>558.7735127509203</v>
      </c>
      <c r="V30" s="19">
        <f t="shared" si="48"/>
        <v>547.2071741532244</v>
      </c>
      <c r="W30" s="19">
        <f t="shared" si="48"/>
        <v>596.87558244218951</v>
      </c>
      <c r="X30" s="19">
        <f t="shared" si="48"/>
        <v>551.58655152651772</v>
      </c>
      <c r="Y30" s="19">
        <f t="shared" si="48"/>
        <v>535.86973358029286</v>
      </c>
      <c r="Z30" s="19">
        <f t="shared" si="48"/>
        <v>556.13371465910575</v>
      </c>
      <c r="AA30" s="19">
        <f t="shared" si="48"/>
        <v>542.01910670834764</v>
      </c>
      <c r="AB30" s="19">
        <f t="shared" si="48"/>
        <v>571.59129428516667</v>
      </c>
      <c r="AC30" s="19">
        <f t="shared" si="48"/>
        <v>565.68591315169294</v>
      </c>
      <c r="AD30" s="19">
        <f t="shared" si="48"/>
        <v>446.03950348133975</v>
      </c>
      <c r="AE30" s="19">
        <f t="shared" si="48"/>
        <v>535.39674199043668</v>
      </c>
      <c r="AF30" s="19">
        <f t="shared" si="48"/>
        <v>570.50771328579378</v>
      </c>
      <c r="AG30" s="19">
        <f t="shared" si="48"/>
        <v>523.47928083703698</v>
      </c>
      <c r="AH30" s="19">
        <f t="shared" si="48"/>
        <v>547.14621424352072</v>
      </c>
      <c r="AI30" s="19">
        <f t="shared" si="48"/>
        <v>576.26695704336851</v>
      </c>
      <c r="AJ30" s="19">
        <f t="shared" si="48"/>
        <v>573.84922324383501</v>
      </c>
      <c r="AK30" s="19">
        <f t="shared" si="48"/>
        <v>537.28868295723339</v>
      </c>
      <c r="AL30" s="19">
        <f t="shared" si="48"/>
        <v>559.81308598992734</v>
      </c>
      <c r="AM30" s="19">
        <f t="shared" si="48"/>
        <v>552.07762749649351</v>
      </c>
      <c r="AN30" s="19">
        <f t="shared" si="48"/>
        <v>554.54670020396622</v>
      </c>
      <c r="AO30" s="19">
        <f t="shared" si="48"/>
        <v>554.91301829999759</v>
      </c>
      <c r="AP30" s="5"/>
      <c r="AQ30" s="5"/>
      <c r="AR30" s="5"/>
      <c r="AS30" s="5"/>
    </row>
    <row r="31" spans="1:45">
      <c r="B31" s="138"/>
      <c r="C31" s="30" t="str">
        <f>C5</f>
        <v>QTH</v>
      </c>
      <c r="D31" s="14"/>
      <c r="E31" s="55">
        <f t="shared" si="44"/>
        <v>232.06733903641782</v>
      </c>
      <c r="F31" s="55">
        <f t="shared" si="45"/>
        <v>573.30593350580932</v>
      </c>
      <c r="G31" s="55">
        <f t="shared" si="46"/>
        <v>914.54452797520082</v>
      </c>
      <c r="H31" s="56">
        <f t="shared" si="47"/>
        <v>113.74619815646383</v>
      </c>
      <c r="I31" s="5"/>
      <c r="J31" s="19">
        <f t="shared" ref="J31:AO31" si="50">K_0*J6+K_1*J5</f>
        <v>593.74301969289706</v>
      </c>
      <c r="K31" s="19">
        <f t="shared" si="50"/>
        <v>460.24120526288948</v>
      </c>
      <c r="L31" s="19">
        <f t="shared" si="50"/>
        <v>561.75361138782955</v>
      </c>
      <c r="M31" s="19">
        <f t="shared" si="50"/>
        <v>576.02065790281927</v>
      </c>
      <c r="N31" s="19">
        <f t="shared" si="50"/>
        <v>547.25003690873268</v>
      </c>
      <c r="O31" s="19">
        <f t="shared" si="50"/>
        <v>587.47619444584348</v>
      </c>
      <c r="P31" s="19">
        <f t="shared" ref="P31" si="51">K_0*P6+K_1*P5</f>
        <v>592.23530937362011</v>
      </c>
      <c r="Q31" s="19">
        <f t="shared" si="50"/>
        <v>622.87780632942531</v>
      </c>
      <c r="R31" s="19">
        <f t="shared" si="50"/>
        <v>575.56107463292108</v>
      </c>
      <c r="S31" s="19">
        <f t="shared" si="50"/>
        <v>585.51169786238233</v>
      </c>
      <c r="T31" s="19">
        <f t="shared" si="50"/>
        <v>664.21301639758883</v>
      </c>
      <c r="U31" s="19">
        <f t="shared" si="50"/>
        <v>570.8565182580661</v>
      </c>
      <c r="V31" s="19">
        <f t="shared" si="50"/>
        <v>568.12353117026771</v>
      </c>
      <c r="W31" s="19">
        <f t="shared" si="50"/>
        <v>605.92201042271347</v>
      </c>
      <c r="X31" s="19">
        <f t="shared" si="50"/>
        <v>553.25360798378006</v>
      </c>
      <c r="Y31" s="19">
        <f t="shared" si="50"/>
        <v>534.07618787717968</v>
      </c>
      <c r="Z31" s="19">
        <f t="shared" si="50"/>
        <v>554.43547527650571</v>
      </c>
      <c r="AA31" s="19">
        <f t="shared" si="50"/>
        <v>534.56812719649633</v>
      </c>
      <c r="AB31" s="19">
        <f t="shared" si="50"/>
        <v>561.9434629510564</v>
      </c>
      <c r="AC31" s="19">
        <f t="shared" si="50"/>
        <v>574.88493065015325</v>
      </c>
      <c r="AD31" s="19">
        <f t="shared" si="50"/>
        <v>164.34034387302347</v>
      </c>
      <c r="AE31" s="19">
        <f t="shared" si="50"/>
        <v>518.05150901298168</v>
      </c>
      <c r="AF31" s="19">
        <f t="shared" si="50"/>
        <v>757.83186501198497</v>
      </c>
      <c r="AG31" s="19">
        <f t="shared" si="50"/>
        <v>425.46157153809344</v>
      </c>
      <c r="AH31" s="19">
        <f t="shared" si="50"/>
        <v>553.43950351582191</v>
      </c>
      <c r="AI31" s="19">
        <f t="shared" si="50"/>
        <v>800.0050090464407</v>
      </c>
      <c r="AJ31" s="19">
        <f t="shared" si="50"/>
        <v>872.11060105422757</v>
      </c>
      <c r="AK31" s="19">
        <f t="shared" si="50"/>
        <v>565.08442411731153</v>
      </c>
      <c r="AL31" s="19">
        <f t="shared" si="50"/>
        <v>609.21749616533953</v>
      </c>
      <c r="AM31" s="19">
        <f t="shared" si="50"/>
        <v>566.21089108373189</v>
      </c>
      <c r="AN31" s="19">
        <f t="shared" si="50"/>
        <v>533.24575307042176</v>
      </c>
      <c r="AO31" s="19">
        <f t="shared" si="50"/>
        <v>555.84342271335481</v>
      </c>
      <c r="AP31" s="5"/>
      <c r="AQ31" s="5"/>
      <c r="AR31" s="5"/>
      <c r="AS31" s="5"/>
    </row>
    <row r="32" spans="1:45">
      <c r="B32" s="138" t="str">
        <f>B7</f>
        <v>MEDHI</v>
      </c>
      <c r="C32" s="30" t="str">
        <f>C30</f>
        <v>LED</v>
      </c>
      <c r="D32" s="14"/>
      <c r="E32" s="55">
        <f t="shared" si="44"/>
        <v>495.38125049138011</v>
      </c>
      <c r="F32" s="55">
        <f t="shared" si="45"/>
        <v>563.79915223345972</v>
      </c>
      <c r="G32" s="55">
        <f t="shared" si="46"/>
        <v>632.21705397553933</v>
      </c>
      <c r="H32" s="56">
        <f t="shared" si="47"/>
        <v>22.805967247359874</v>
      </c>
      <c r="I32" s="5"/>
      <c r="J32" s="19">
        <f t="shared" ref="J32:AO32" si="52">K_0*J10+K_1*J9</f>
        <v>550.38859134448876</v>
      </c>
      <c r="K32" s="19">
        <f t="shared" si="52"/>
        <v>521.38125420043798</v>
      </c>
      <c r="L32" s="19">
        <f t="shared" si="52"/>
        <v>548.36444821877535</v>
      </c>
      <c r="M32" s="19">
        <f t="shared" si="52"/>
        <v>591.32115881233972</v>
      </c>
      <c r="N32" s="19">
        <f t="shared" si="52"/>
        <v>546.29921156511568</v>
      </c>
      <c r="O32" s="19">
        <f t="shared" si="52"/>
        <v>521.45733347258636</v>
      </c>
      <c r="P32" s="19">
        <f t="shared" ref="P32" si="53">K_0*P10+K_1*P9</f>
        <v>576.35961166474601</v>
      </c>
      <c r="Q32" s="19">
        <f t="shared" si="52"/>
        <v>579.16727169373814</v>
      </c>
      <c r="R32" s="19">
        <f t="shared" si="52"/>
        <v>573.71790460815498</v>
      </c>
      <c r="S32" s="19">
        <f t="shared" si="52"/>
        <v>556.8508125103674</v>
      </c>
      <c r="T32" s="19">
        <f t="shared" si="52"/>
        <v>580.94769692504315</v>
      </c>
      <c r="U32" s="19">
        <f t="shared" si="52"/>
        <v>568.50113921006425</v>
      </c>
      <c r="V32" s="19">
        <f t="shared" si="52"/>
        <v>559.90983898918705</v>
      </c>
      <c r="W32" s="19">
        <f t="shared" si="52"/>
        <v>615.53737891816309</v>
      </c>
      <c r="X32" s="19">
        <f t="shared" si="52"/>
        <v>574.34539538175432</v>
      </c>
      <c r="Y32" s="19">
        <f t="shared" si="52"/>
        <v>551.9298668228796</v>
      </c>
      <c r="Z32" s="19">
        <f t="shared" si="52"/>
        <v>564.10656629644336</v>
      </c>
      <c r="AA32" s="19">
        <f t="shared" si="52"/>
        <v>546.07800653286893</v>
      </c>
      <c r="AB32" s="19">
        <f t="shared" si="52"/>
        <v>574.41422603236936</v>
      </c>
      <c r="AC32" s="19">
        <f t="shared" si="52"/>
        <v>573.26727352469459</v>
      </c>
      <c r="AD32" s="19">
        <f t="shared" si="52"/>
        <v>498.37794858700852</v>
      </c>
      <c r="AE32" s="19">
        <f t="shared" si="52"/>
        <v>570.43909847251393</v>
      </c>
      <c r="AF32" s="19">
        <f t="shared" si="52"/>
        <v>569.43148134903947</v>
      </c>
      <c r="AG32" s="19">
        <f t="shared" si="52"/>
        <v>564.39634805302842</v>
      </c>
      <c r="AH32" s="19">
        <f t="shared" si="52"/>
        <v>575.7645225070886</v>
      </c>
      <c r="AI32" s="19">
        <f t="shared" si="52"/>
        <v>587.21626608479323</v>
      </c>
      <c r="AJ32" s="19">
        <f t="shared" si="52"/>
        <v>597.85167738365226</v>
      </c>
      <c r="AK32" s="19">
        <f t="shared" si="52"/>
        <v>544.62065567490993</v>
      </c>
      <c r="AL32" s="19">
        <f t="shared" si="52"/>
        <v>573.25438801245446</v>
      </c>
      <c r="AM32" s="19">
        <f t="shared" si="52"/>
        <v>564.21332866446483</v>
      </c>
      <c r="AN32" s="19">
        <f t="shared" si="52"/>
        <v>555.82845804328872</v>
      </c>
      <c r="AO32" s="19">
        <f t="shared" si="52"/>
        <v>565.8337119142484</v>
      </c>
      <c r="AP32" s="5"/>
      <c r="AQ32" s="5"/>
      <c r="AR32" s="5"/>
      <c r="AS32" s="5"/>
    </row>
    <row r="33" spans="1:45">
      <c r="B33" s="138"/>
      <c r="C33" s="30" t="str">
        <f t="shared" ref="C33:C37" si="54">C31</f>
        <v>QTH</v>
      </c>
      <c r="D33" s="14"/>
      <c r="E33" s="55">
        <f t="shared" si="44"/>
        <v>332.6180659288853</v>
      </c>
      <c r="F33" s="55">
        <f t="shared" si="45"/>
        <v>598.98090101420939</v>
      </c>
      <c r="G33" s="55">
        <f t="shared" si="46"/>
        <v>865.34373609953354</v>
      </c>
      <c r="H33" s="56">
        <f t="shared" si="47"/>
        <v>88.787611695108026</v>
      </c>
      <c r="I33" s="5"/>
      <c r="J33" s="19">
        <f t="shared" ref="J33:O33" si="55">K_0*J7+K_1*J8</f>
        <v>610.92279477642853</v>
      </c>
      <c r="K33" s="19">
        <f t="shared" si="55"/>
        <v>411.45524246382962</v>
      </c>
      <c r="L33" s="19">
        <f t="shared" si="55"/>
        <v>589.33382257307119</v>
      </c>
      <c r="M33" s="19">
        <f t="shared" si="55"/>
        <v>636.23563445066168</v>
      </c>
      <c r="N33" s="19">
        <f t="shared" si="55"/>
        <v>563.51425163399176</v>
      </c>
      <c r="O33" s="19">
        <f t="shared" si="55"/>
        <v>528.05423518806288</v>
      </c>
      <c r="P33" s="19">
        <f t="shared" ref="P33" si="56">K_0*P7+K_1*P8</f>
        <v>611.61951683555935</v>
      </c>
      <c r="Q33" s="19">
        <f t="shared" ref="Q33:AO33" si="57">K_0*Q7+K_1*Q8</f>
        <v>645.04918418979594</v>
      </c>
      <c r="R33" s="19">
        <f t="shared" si="57"/>
        <v>600.28498527631587</v>
      </c>
      <c r="S33" s="19">
        <f t="shared" si="57"/>
        <v>605.11955369595114</v>
      </c>
      <c r="T33" s="19">
        <f t="shared" si="57"/>
        <v>643.17846740930656</v>
      </c>
      <c r="U33" s="19">
        <f t="shared" si="57"/>
        <v>584.77753133610781</v>
      </c>
      <c r="V33" s="19">
        <f t="shared" si="57"/>
        <v>582.96676059067147</v>
      </c>
      <c r="W33" s="19">
        <f t="shared" si="57"/>
        <v>666.40400715743419</v>
      </c>
      <c r="X33" s="19">
        <f t="shared" si="57"/>
        <v>582.6610775189157</v>
      </c>
      <c r="Y33" s="19">
        <f t="shared" si="57"/>
        <v>565.87171338361907</v>
      </c>
      <c r="Z33" s="19">
        <f t="shared" si="57"/>
        <v>558.71372830190967</v>
      </c>
      <c r="AA33" s="19">
        <f t="shared" si="57"/>
        <v>558.02361101321833</v>
      </c>
      <c r="AB33" s="19">
        <f t="shared" si="57"/>
        <v>599.94224540338314</v>
      </c>
      <c r="AC33" s="19">
        <f t="shared" si="57"/>
        <v>596.73584365806562</v>
      </c>
      <c r="AD33" s="19">
        <f t="shared" si="57"/>
        <v>407.29738570017298</v>
      </c>
      <c r="AE33" s="19">
        <f t="shared" si="57"/>
        <v>576.10256789865764</v>
      </c>
      <c r="AF33" s="19">
        <f t="shared" si="57"/>
        <v>664.18580956021981</v>
      </c>
      <c r="AG33" s="19">
        <f t="shared" si="57"/>
        <v>540.27141311938237</v>
      </c>
      <c r="AH33" s="19">
        <f t="shared" si="57"/>
        <v>595.44616542200174</v>
      </c>
      <c r="AI33" s="19">
        <f t="shared" si="57"/>
        <v>713.7152719614071</v>
      </c>
      <c r="AJ33" s="19">
        <f t="shared" si="57"/>
        <v>950.80899379012556</v>
      </c>
      <c r="AK33" s="19">
        <f t="shared" si="57"/>
        <v>601.62408005819816</v>
      </c>
      <c r="AL33" s="19">
        <f t="shared" si="57"/>
        <v>641.18517243154622</v>
      </c>
      <c r="AM33" s="19">
        <f t="shared" si="57"/>
        <v>614.20864074545534</v>
      </c>
      <c r="AN33" s="19">
        <f t="shared" si="57"/>
        <v>544.98711222320628</v>
      </c>
      <c r="AO33" s="19">
        <f t="shared" si="57"/>
        <v>576.69201268802601</v>
      </c>
      <c r="AP33" s="5"/>
      <c r="AQ33" s="5"/>
      <c r="AR33" s="5"/>
      <c r="AS33" s="5"/>
    </row>
    <row r="34" spans="1:45">
      <c r="B34" s="138" t="str">
        <f>B12</f>
        <v>MEDLO</v>
      </c>
      <c r="C34" s="30" t="str">
        <f t="shared" si="54"/>
        <v>LED</v>
      </c>
      <c r="D34" s="14"/>
      <c r="E34" s="55">
        <f t="shared" si="44"/>
        <v>505.25115746909916</v>
      </c>
      <c r="F34" s="55">
        <f t="shared" si="45"/>
        <v>558.60520602865711</v>
      </c>
      <c r="G34" s="55">
        <f t="shared" si="46"/>
        <v>611.959254588215</v>
      </c>
      <c r="H34" s="56">
        <f t="shared" si="47"/>
        <v>17.784682853185977</v>
      </c>
      <c r="I34" s="5"/>
      <c r="J34" s="19">
        <f t="shared" ref="J34:AO34" si="58">K_0*J12+K_1*J14</f>
        <v>521.95006176459719</v>
      </c>
      <c r="K34" s="19">
        <f t="shared" si="58"/>
        <v>529.99114460933515</v>
      </c>
      <c r="L34" s="19">
        <f t="shared" si="58"/>
        <v>544.90302375788167</v>
      </c>
      <c r="M34" s="19">
        <f t="shared" si="58"/>
        <v>583.3978989961663</v>
      </c>
      <c r="N34" s="19">
        <f t="shared" si="58"/>
        <v>542.4634622395198</v>
      </c>
      <c r="O34" s="19">
        <f t="shared" si="58"/>
        <v>521.2704104543518</v>
      </c>
      <c r="P34" s="19">
        <f t="shared" ref="P34" si="59">K_0*P12+K_1*P14</f>
        <v>570.32561822587297</v>
      </c>
      <c r="Q34" s="19">
        <f t="shared" si="58"/>
        <v>568.36577887230033</v>
      </c>
      <c r="R34" s="19">
        <f t="shared" si="58"/>
        <v>569.23555581672588</v>
      </c>
      <c r="S34" s="19">
        <f t="shared" si="58"/>
        <v>554.32924644562445</v>
      </c>
      <c r="T34" s="19">
        <f t="shared" si="58"/>
        <v>574.7420410768716</v>
      </c>
      <c r="U34" s="19">
        <f t="shared" si="58"/>
        <v>563.43323656262396</v>
      </c>
      <c r="V34" s="19">
        <f t="shared" si="58"/>
        <v>556.58575048648152</v>
      </c>
      <c r="W34" s="19">
        <f t="shared" si="58"/>
        <v>594.20716098800472</v>
      </c>
      <c r="X34" s="19">
        <f t="shared" si="58"/>
        <v>562.60165795819546</v>
      </c>
      <c r="Y34" s="19">
        <f t="shared" si="58"/>
        <v>555.17811841282514</v>
      </c>
      <c r="Z34" s="19">
        <f t="shared" si="58"/>
        <v>558.70676722643611</v>
      </c>
      <c r="AA34" s="19">
        <f t="shared" si="58"/>
        <v>552.03665458352884</v>
      </c>
      <c r="AB34" s="19">
        <f t="shared" si="58"/>
        <v>571.41772291109169</v>
      </c>
      <c r="AC34" s="19">
        <f t="shared" si="58"/>
        <v>567.24614814063023</v>
      </c>
      <c r="AD34" s="19">
        <f t="shared" si="58"/>
        <v>523.81855284427559</v>
      </c>
      <c r="AE34" s="19">
        <f t="shared" si="58"/>
        <v>572.32357498044212</v>
      </c>
      <c r="AF34" s="19">
        <f t="shared" si="58"/>
        <v>565.01637278072008</v>
      </c>
      <c r="AG34" s="19">
        <f t="shared" si="58"/>
        <v>572.89180849401419</v>
      </c>
      <c r="AH34" s="19">
        <f t="shared" si="58"/>
        <v>577.4258358197776</v>
      </c>
      <c r="AI34" s="19">
        <f t="shared" si="58"/>
        <v>557.16743562768454</v>
      </c>
      <c r="AJ34" s="19">
        <f t="shared" si="58"/>
        <v>574.12960777118678</v>
      </c>
      <c r="AK34" s="19">
        <f t="shared" si="58"/>
        <v>535.08566167089782</v>
      </c>
      <c r="AL34" s="19">
        <f t="shared" si="58"/>
        <v>568.65521669898646</v>
      </c>
      <c r="AM34" s="19">
        <f t="shared" si="58"/>
        <v>558.63615616122229</v>
      </c>
      <c r="AN34" s="19">
        <f t="shared" si="58"/>
        <v>550.91314561481545</v>
      </c>
      <c r="AO34" s="19">
        <f t="shared" si="58"/>
        <v>556.91576492393904</v>
      </c>
      <c r="AP34" s="5"/>
      <c r="AQ34" s="5"/>
      <c r="AR34" s="5"/>
      <c r="AS34" s="5"/>
    </row>
    <row r="35" spans="1:45">
      <c r="B35" s="138"/>
      <c r="C35" s="30" t="str">
        <f t="shared" si="54"/>
        <v>QTH</v>
      </c>
      <c r="D35" s="14"/>
      <c r="E35" s="55">
        <f t="shared" si="44"/>
        <v>444.41158634756482</v>
      </c>
      <c r="F35" s="55">
        <f t="shared" si="45"/>
        <v>582.52524945184689</v>
      </c>
      <c r="G35" s="55">
        <f t="shared" si="46"/>
        <v>720.63891255612896</v>
      </c>
      <c r="H35" s="56">
        <f t="shared" si="47"/>
        <v>46.037887701427358</v>
      </c>
      <c r="I35" s="5"/>
      <c r="J35" s="19">
        <f t="shared" ref="J35:AO35" si="60">K_0*J16+K_1*J15</f>
        <v>453.51118308683164</v>
      </c>
      <c r="K35" s="19">
        <f t="shared" si="60"/>
        <v>514.07358692045989</v>
      </c>
      <c r="L35" s="19">
        <f t="shared" si="60"/>
        <v>554.78740017302903</v>
      </c>
      <c r="M35" s="19">
        <f t="shared" si="60"/>
        <v>622.36565126552318</v>
      </c>
      <c r="N35" s="19">
        <f t="shared" si="60"/>
        <v>563.75267861224529</v>
      </c>
      <c r="O35" s="19">
        <f t="shared" si="60"/>
        <v>471.59727954571144</v>
      </c>
      <c r="P35" s="19">
        <f t="shared" ref="P35" si="61">K_0*P16+K_1*P15</f>
        <v>606.20541005196515</v>
      </c>
      <c r="Q35" s="19">
        <f t="shared" si="60"/>
        <v>599.32838376239181</v>
      </c>
      <c r="R35" s="19">
        <f t="shared" si="60"/>
        <v>606.18975427026112</v>
      </c>
      <c r="S35" s="19">
        <f t="shared" si="60"/>
        <v>591.87614012984784</v>
      </c>
      <c r="T35" s="19">
        <f t="shared" si="60"/>
        <v>614.73994576461121</v>
      </c>
      <c r="U35" s="19">
        <f t="shared" si="60"/>
        <v>586.95432022716136</v>
      </c>
      <c r="V35" s="19">
        <f t="shared" si="60"/>
        <v>576.02628548548796</v>
      </c>
      <c r="W35" s="19">
        <f t="shared" si="60"/>
        <v>628.50058406972653</v>
      </c>
      <c r="X35" s="19">
        <f t="shared" si="60"/>
        <v>554.95405348734437</v>
      </c>
      <c r="Y35" s="19">
        <f t="shared" si="60"/>
        <v>580.77403501197023</v>
      </c>
      <c r="Z35" s="19">
        <f t="shared" si="60"/>
        <v>568.69834970877787</v>
      </c>
      <c r="AA35" s="19">
        <f t="shared" si="60"/>
        <v>611.91896152874028</v>
      </c>
      <c r="AB35" s="19">
        <f t="shared" si="60"/>
        <v>601.21825571686668</v>
      </c>
      <c r="AC35" s="19">
        <f t="shared" si="60"/>
        <v>579.55991348375358</v>
      </c>
      <c r="AD35" s="19">
        <f t="shared" si="60"/>
        <v>530.85397958143142</v>
      </c>
      <c r="AE35" s="19">
        <f t="shared" si="60"/>
        <v>591.74258651453829</v>
      </c>
      <c r="AF35" s="19">
        <f t="shared" si="60"/>
        <v>600.59717808113533</v>
      </c>
      <c r="AG35" s="19">
        <f t="shared" si="60"/>
        <v>586.29690722129089</v>
      </c>
      <c r="AH35" s="19">
        <f t="shared" si="60"/>
        <v>610.5225451878573</v>
      </c>
      <c r="AI35" s="19">
        <f t="shared" si="60"/>
        <v>685.70542671820522</v>
      </c>
      <c r="AJ35" s="19">
        <f t="shared" si="60"/>
        <v>663.27944213151454</v>
      </c>
      <c r="AK35" s="19">
        <f t="shared" si="60"/>
        <v>584.07812971216595</v>
      </c>
      <c r="AL35" s="19">
        <f t="shared" si="60"/>
        <v>590.23910037763721</v>
      </c>
      <c r="AM35" s="19">
        <f t="shared" si="60"/>
        <v>594.61080856400156</v>
      </c>
      <c r="AN35" s="19">
        <f t="shared" si="60"/>
        <v>555.28360496696087</v>
      </c>
      <c r="AO35" s="19">
        <f t="shared" si="60"/>
        <v>560.56610109965686</v>
      </c>
      <c r="AP35" s="5"/>
      <c r="AQ35" s="5"/>
      <c r="AR35" s="5"/>
      <c r="AS35" s="5"/>
    </row>
    <row r="36" spans="1:45">
      <c r="B36" s="138" t="str">
        <f>B17</f>
        <v>LO</v>
      </c>
      <c r="C36" s="30" t="str">
        <f t="shared" si="54"/>
        <v>LED</v>
      </c>
      <c r="D36" s="14"/>
      <c r="E36" s="55">
        <f t="shared" si="44"/>
        <v>505.70258712103964</v>
      </c>
      <c r="F36" s="55">
        <f t="shared" si="45"/>
        <v>550.54001674961239</v>
      </c>
      <c r="G36" s="55">
        <f t="shared" si="46"/>
        <v>595.37744637818514</v>
      </c>
      <c r="H36" s="56">
        <f t="shared" si="47"/>
        <v>14.945809876190918</v>
      </c>
      <c r="I36" s="5"/>
      <c r="J36" s="19">
        <f t="shared" ref="J36:AO36" si="62">K_0*J20+K_1*J19</f>
        <v>534.5897815481967</v>
      </c>
      <c r="K36" s="19">
        <f t="shared" si="62"/>
        <v>537.6688295418586</v>
      </c>
      <c r="L36" s="19">
        <f t="shared" si="62"/>
        <v>545.75277323606781</v>
      </c>
      <c r="M36" s="19">
        <f t="shared" si="62"/>
        <v>571.61842363266476</v>
      </c>
      <c r="N36" s="19">
        <f t="shared" si="62"/>
        <v>541.45637949065167</v>
      </c>
      <c r="O36" s="19">
        <f t="shared" si="62"/>
        <v>530.61323218375423</v>
      </c>
      <c r="P36" s="19">
        <f t="shared" ref="P36" si="63">K_0*P20+K_1*P19</f>
        <v>561.74528344318503</v>
      </c>
      <c r="Q36" s="19">
        <f t="shared" si="62"/>
        <v>562.56927062560658</v>
      </c>
      <c r="R36" s="19">
        <f t="shared" si="62"/>
        <v>555.61116894026702</v>
      </c>
      <c r="S36" s="19">
        <f t="shared" si="62"/>
        <v>549.26087965006377</v>
      </c>
      <c r="T36" s="19">
        <f t="shared" si="62"/>
        <v>564.72687940766082</v>
      </c>
      <c r="U36" s="19">
        <f t="shared" si="62"/>
        <v>551.49401117196487</v>
      </c>
      <c r="V36" s="19">
        <f t="shared" si="62"/>
        <v>553.65650544250502</v>
      </c>
      <c r="W36" s="19">
        <f t="shared" si="62"/>
        <v>576.25016597851254</v>
      </c>
      <c r="X36" s="19">
        <f t="shared" si="62"/>
        <v>512.82578753861708</v>
      </c>
      <c r="Y36" s="19">
        <f t="shared" si="62"/>
        <v>550.05396081845447</v>
      </c>
      <c r="Z36" s="19">
        <f t="shared" si="62"/>
        <v>555.02267982356625</v>
      </c>
      <c r="AA36" s="19">
        <f t="shared" si="62"/>
        <v>542.70147307758964</v>
      </c>
      <c r="AB36" s="19">
        <f t="shared" si="62"/>
        <v>565.62693679760923</v>
      </c>
      <c r="AC36" s="19">
        <f t="shared" si="62"/>
        <v>560.69860990995846</v>
      </c>
      <c r="AD36" s="19">
        <f t="shared" si="62"/>
        <v>526.57280629662932</v>
      </c>
      <c r="AE36" s="19">
        <f t="shared" si="62"/>
        <v>562.464352153753</v>
      </c>
      <c r="AF36" s="19">
        <f t="shared" si="62"/>
        <v>557.31725008340447</v>
      </c>
      <c r="AG36" s="19">
        <f t="shared" si="62"/>
        <v>561.78037948661358</v>
      </c>
      <c r="AH36" s="19">
        <f t="shared" si="62"/>
        <v>571.84486125737465</v>
      </c>
      <c r="AI36" s="19">
        <f t="shared" si="62"/>
        <v>542.28035397675944</v>
      </c>
      <c r="AJ36" s="19">
        <f t="shared" si="62"/>
        <v>561.14610021114902</v>
      </c>
      <c r="AK36" s="19">
        <f t="shared" si="62"/>
        <v>525.54687830403941</v>
      </c>
      <c r="AL36" s="19">
        <f t="shared" si="62"/>
        <v>550.44834925453881</v>
      </c>
      <c r="AM36" s="19">
        <f t="shared" si="62"/>
        <v>552.89876392806445</v>
      </c>
      <c r="AN36" s="19">
        <f t="shared" si="62"/>
        <v>530.5747768042562</v>
      </c>
      <c r="AO36" s="19">
        <f t="shared" si="62"/>
        <v>550.4626319722579</v>
      </c>
      <c r="AP36" s="5"/>
      <c r="AQ36" s="5"/>
      <c r="AR36" s="5"/>
      <c r="AS36" s="5"/>
    </row>
    <row r="37" spans="1:45">
      <c r="B37" s="138"/>
      <c r="C37" s="30" t="str">
        <f t="shared" si="54"/>
        <v>QTH</v>
      </c>
      <c r="D37" s="14"/>
      <c r="E37" s="55">
        <f t="shared" si="44"/>
        <v>425.32227973150316</v>
      </c>
      <c r="F37" s="55">
        <f t="shared" si="45"/>
        <v>572.76776827243043</v>
      </c>
      <c r="G37" s="55">
        <f t="shared" si="46"/>
        <v>720.2132568133577</v>
      </c>
      <c r="H37" s="56">
        <f t="shared" si="47"/>
        <v>49.148496180309102</v>
      </c>
      <c r="I37" s="5"/>
      <c r="J37" s="19">
        <f t="shared" ref="J37:O37" si="64">K_0*J17+K_1*J18</f>
        <v>536.74774953431199</v>
      </c>
      <c r="K37" s="19">
        <f t="shared" si="64"/>
        <v>592.12063634528988</v>
      </c>
      <c r="L37" s="19">
        <f t="shared" si="64"/>
        <v>580.80118294632518</v>
      </c>
      <c r="M37" s="19">
        <f t="shared" si="64"/>
        <v>595.1449982411541</v>
      </c>
      <c r="N37" s="19">
        <f t="shared" si="64"/>
        <v>576.74811283777717</v>
      </c>
      <c r="O37" s="19">
        <f t="shared" si="64"/>
        <v>549.86320572374962</v>
      </c>
      <c r="P37" s="19">
        <f t="shared" ref="P37" si="65">K_0*P17+K_1*P18</f>
        <v>585.13557259174786</v>
      </c>
      <c r="Q37" s="19">
        <f t="shared" ref="Q37:AO37" si="66">K_0*Q17+K_1*Q18</f>
        <v>611.24948827102901</v>
      </c>
      <c r="R37" s="19">
        <f t="shared" si="66"/>
        <v>580.78206457851275</v>
      </c>
      <c r="S37" s="19">
        <f t="shared" si="66"/>
        <v>582.45513694149463</v>
      </c>
      <c r="T37" s="19">
        <f t="shared" si="66"/>
        <v>599.87765565991026</v>
      </c>
      <c r="U37" s="19">
        <f t="shared" si="66"/>
        <v>555.1955347542297</v>
      </c>
      <c r="V37" s="19">
        <f t="shared" si="66"/>
        <v>582.56859350425543</v>
      </c>
      <c r="W37" s="19">
        <f t="shared" si="66"/>
        <v>682.39595045564079</v>
      </c>
      <c r="X37" s="19">
        <f t="shared" si="66"/>
        <v>359.76829314670317</v>
      </c>
      <c r="Y37" s="19">
        <f t="shared" si="66"/>
        <v>569.21485979330328</v>
      </c>
      <c r="Z37" s="19">
        <f t="shared" si="66"/>
        <v>583.44239151925501</v>
      </c>
      <c r="AA37" s="19">
        <f t="shared" si="66"/>
        <v>581.7409109910617</v>
      </c>
      <c r="AB37" s="19">
        <f t="shared" si="66"/>
        <v>605.4564506357134</v>
      </c>
      <c r="AC37" s="19">
        <f t="shared" si="66"/>
        <v>621.77686894332487</v>
      </c>
      <c r="AD37" s="19">
        <f t="shared" si="66"/>
        <v>562.25369603747879</v>
      </c>
      <c r="AE37" s="19">
        <f t="shared" si="66"/>
        <v>592.3715613840144</v>
      </c>
      <c r="AF37" s="19">
        <f t="shared" si="66"/>
        <v>585.47215383482705</v>
      </c>
      <c r="AG37" s="19">
        <f t="shared" si="66"/>
        <v>580.19377372000736</v>
      </c>
      <c r="AH37" s="19">
        <f t="shared" si="66"/>
        <v>598.0774112612645</v>
      </c>
      <c r="AI37" s="19">
        <f t="shared" si="66"/>
        <v>546.75009274369006</v>
      </c>
      <c r="AJ37" s="19">
        <f t="shared" si="66"/>
        <v>574.71560219865432</v>
      </c>
      <c r="AK37" s="19">
        <f t="shared" si="66"/>
        <v>555.47271529279396</v>
      </c>
      <c r="AL37" s="19">
        <f t="shared" si="66"/>
        <v>550.03397102748909</v>
      </c>
      <c r="AM37" s="19">
        <f t="shared" si="66"/>
        <v>578.60409142028846</v>
      </c>
      <c r="AN37" s="19">
        <f t="shared" si="66"/>
        <v>500.48464734156755</v>
      </c>
      <c r="AO37" s="19">
        <f t="shared" si="66"/>
        <v>571.6532110409097</v>
      </c>
      <c r="AP37" s="5"/>
      <c r="AQ37" s="5"/>
      <c r="AR37" s="5"/>
      <c r="AS37" s="5"/>
    </row>
    <row r="38" spans="1:45">
      <c r="B38" s="138" t="str">
        <f>B22</f>
        <v>Match</v>
      </c>
      <c r="C38" s="30" t="str">
        <f>C22</f>
        <v>Hi</v>
      </c>
      <c r="D38" s="14"/>
      <c r="E38" s="53">
        <f t="shared" si="44"/>
        <v>-0.63951711622998253</v>
      </c>
      <c r="F38" s="53">
        <f t="shared" si="45"/>
        <v>-1.7703910138691631E-2</v>
      </c>
      <c r="G38" s="53">
        <f t="shared" si="46"/>
        <v>0.60410929595259921</v>
      </c>
      <c r="H38" s="54">
        <f t="shared" si="47"/>
        <v>0.20727106869709694</v>
      </c>
      <c r="I38" s="5">
        <f t="shared" ref="I38:I41" si="67">ABS(F38)+1.5*H38</f>
        <v>0.32861051318433709</v>
      </c>
      <c r="J38" s="5">
        <f>2*(J30-J31)/(J30+J31)</f>
        <v>-0.10607898513223969</v>
      </c>
      <c r="K38" s="5">
        <f t="shared" ref="K38:AO38" si="68">2*(K30-K31)/(K30+K31)</f>
        <v>0.12874349650125749</v>
      </c>
      <c r="L38" s="5">
        <f t="shared" si="68"/>
        <v>-6.2936871826594701E-2</v>
      </c>
      <c r="M38" s="5">
        <f t="shared" si="68"/>
        <v>-1.1061848453311126E-2</v>
      </c>
      <c r="N38" s="5">
        <f t="shared" si="68"/>
        <v>-2.3694002343666358E-2</v>
      </c>
      <c r="O38" s="5">
        <f t="shared" si="68"/>
        <v>-7.9620477255184632E-2</v>
      </c>
      <c r="P38" s="5">
        <f t="shared" ref="P38" si="69">2*(P30-P31)/(P30+P31)</f>
        <v>-4.4456029199582935E-2</v>
      </c>
      <c r="Q38" s="5">
        <f t="shared" si="68"/>
        <v>-7.577042694994944E-2</v>
      </c>
      <c r="R38" s="5">
        <f t="shared" si="68"/>
        <v>-1.5554211736847035E-2</v>
      </c>
      <c r="S38" s="5">
        <f t="shared" si="68"/>
        <v>-7.703431793747291E-2</v>
      </c>
      <c r="T38" s="5">
        <f t="shared" si="68"/>
        <v>-0.15189026470678252</v>
      </c>
      <c r="U38" s="5">
        <f t="shared" si="68"/>
        <v>-2.1392854608075971E-2</v>
      </c>
      <c r="V38" s="5">
        <f t="shared" si="68"/>
        <v>-3.7507004724624163E-2</v>
      </c>
      <c r="W38" s="5">
        <f t="shared" si="68"/>
        <v>-1.5042311414968128E-2</v>
      </c>
      <c r="X38" s="5">
        <f t="shared" si="68"/>
        <v>-3.0177332764609655E-3</v>
      </c>
      <c r="Y38" s="5">
        <f t="shared" si="68"/>
        <v>3.3525913172696184E-3</v>
      </c>
      <c r="Z38" s="5">
        <f t="shared" si="68"/>
        <v>3.0583225214423542E-3</v>
      </c>
      <c r="AA38" s="5">
        <f t="shared" si="68"/>
        <v>1.3841850018648594E-2</v>
      </c>
      <c r="AB38" s="5">
        <f t="shared" si="68"/>
        <v>1.7022559339306974E-2</v>
      </c>
      <c r="AC38" s="5">
        <f t="shared" si="68"/>
        <v>-1.6130549975830299E-2</v>
      </c>
      <c r="AD38" s="5">
        <f t="shared" si="68"/>
        <v>0.9230290312804923</v>
      </c>
      <c r="AE38" s="5">
        <f t="shared" si="68"/>
        <v>3.2930393991225514E-2</v>
      </c>
      <c r="AF38" s="5">
        <f t="shared" si="68"/>
        <v>-0.28204256620320028</v>
      </c>
      <c r="AG38" s="5">
        <f t="shared" si="68"/>
        <v>0.20658339042652091</v>
      </c>
      <c r="AH38" s="5">
        <f t="shared" si="68"/>
        <v>-1.1436254661042776E-2</v>
      </c>
      <c r="AI38" s="5">
        <f t="shared" si="68"/>
        <v>-0.32513639384626114</v>
      </c>
      <c r="AJ38" s="5">
        <f t="shared" si="68"/>
        <v>-0.41254448816402317</v>
      </c>
      <c r="AK38" s="5">
        <f t="shared" si="68"/>
        <v>-5.0428917363272596E-2</v>
      </c>
      <c r="AL38" s="5">
        <f t="shared" si="68"/>
        <v>-8.4522014957604322E-2</v>
      </c>
      <c r="AM38" s="5">
        <f t="shared" si="68"/>
        <v>-2.5276596070541658E-2</v>
      </c>
      <c r="AN38" s="5">
        <f t="shared" si="68"/>
        <v>3.9163623666308808E-2</v>
      </c>
      <c r="AO38" s="5">
        <f t="shared" si="68"/>
        <v>-1.675262693067812E-3</v>
      </c>
      <c r="AP38" s="5"/>
      <c r="AQ38" s="5"/>
      <c r="AR38" s="5"/>
      <c r="AS38" s="5"/>
    </row>
    <row r="39" spans="1:45">
      <c r="A39" s="5"/>
      <c r="B39" s="138"/>
      <c r="C39" s="30" t="str">
        <f t="shared" ref="C39:C41" si="70">C23</f>
        <v>Mhi</v>
      </c>
      <c r="D39" s="14"/>
      <c r="E39" s="53">
        <f t="shared" si="44"/>
        <v>-0.40709133634791961</v>
      </c>
      <c r="F39" s="53">
        <f t="shared" si="45"/>
        <v>-5.0020831832421002E-2</v>
      </c>
      <c r="G39" s="53">
        <f t="shared" si="46"/>
        <v>0.30704967268307759</v>
      </c>
      <c r="H39" s="54">
        <f t="shared" si="47"/>
        <v>0.11902350150516619</v>
      </c>
      <c r="I39" s="5">
        <f t="shared" si="67"/>
        <v>0.22855608409017031</v>
      </c>
      <c r="J39" s="5">
        <f>2*(J32-J33)/(J31+J32)</f>
        <v>-0.10581685331996607</v>
      </c>
      <c r="K39" s="5">
        <f t="shared" ref="K39:AO39" si="71">2*(K32-K33)/(K31+K32)</f>
        <v>0.22396800455585969</v>
      </c>
      <c r="L39" s="5">
        <f t="shared" si="71"/>
        <v>-7.3810842008667527E-2</v>
      </c>
      <c r="M39" s="5">
        <f t="shared" si="71"/>
        <v>-7.6951711992480534E-2</v>
      </c>
      <c r="N39" s="5">
        <f t="shared" si="71"/>
        <v>-3.1484709249082837E-2</v>
      </c>
      <c r="O39" s="5">
        <f t="shared" si="71"/>
        <v>-1.1897740575775558E-2</v>
      </c>
      <c r="P39" s="5">
        <f t="shared" ref="P39" si="72">2*(P32-P33)/(P31+P32)</f>
        <v>-6.0345812797958802E-2</v>
      </c>
      <c r="Q39" s="5">
        <f t="shared" si="71"/>
        <v>-0.10961637579250291</v>
      </c>
      <c r="R39" s="5">
        <f t="shared" si="71"/>
        <v>-4.6232605221239495E-2</v>
      </c>
      <c r="S39" s="5">
        <f t="shared" si="71"/>
        <v>-8.4506871938284767E-2</v>
      </c>
      <c r="T39" s="5">
        <f t="shared" si="71"/>
        <v>-9.9956206164270256E-2</v>
      </c>
      <c r="U39" s="5">
        <f t="shared" si="71"/>
        <v>-2.8571172571416781E-2</v>
      </c>
      <c r="V39" s="5">
        <f t="shared" si="71"/>
        <v>-4.0879857301074657E-2</v>
      </c>
      <c r="W39" s="5">
        <f t="shared" si="71"/>
        <v>-8.3288283971061444E-2</v>
      </c>
      <c r="X39" s="5">
        <f t="shared" si="71"/>
        <v>-1.4749360565842376E-2</v>
      </c>
      <c r="Y39" s="5">
        <f t="shared" si="71"/>
        <v>-2.5675449046349965E-2</v>
      </c>
      <c r="Z39" s="5">
        <f t="shared" si="71"/>
        <v>9.6426201145734629E-3</v>
      </c>
      <c r="AA39" s="5">
        <f t="shared" si="71"/>
        <v>-2.2108263024315844E-2</v>
      </c>
      <c r="AB39" s="5">
        <f t="shared" si="71"/>
        <v>-4.4929549240522844E-2</v>
      </c>
      <c r="AC39" s="5">
        <f t="shared" si="71"/>
        <v>-4.0880590653461987E-2</v>
      </c>
      <c r="AD39" s="5">
        <f t="shared" si="71"/>
        <v>0.27486962084218775</v>
      </c>
      <c r="AE39" s="5">
        <f t="shared" si="71"/>
        <v>-1.0406097006618723E-2</v>
      </c>
      <c r="AF39" s="5">
        <f t="shared" si="71"/>
        <v>-0.14278150371735876</v>
      </c>
      <c r="AG39" s="5">
        <f t="shared" si="71"/>
        <v>4.8744237847005906E-2</v>
      </c>
      <c r="AH39" s="5">
        <f t="shared" si="71"/>
        <v>-3.4859321187921122E-2</v>
      </c>
      <c r="AI39" s="5">
        <f t="shared" si="71"/>
        <v>-0.18237754588163563</v>
      </c>
      <c r="AJ39" s="5">
        <f t="shared" si="71"/>
        <v>-0.48022635898052968</v>
      </c>
      <c r="AK39" s="5">
        <f t="shared" si="71"/>
        <v>-0.10273616913416565</v>
      </c>
      <c r="AL39" s="5">
        <f t="shared" si="71"/>
        <v>-0.11489623614404321</v>
      </c>
      <c r="AM39" s="5">
        <f t="shared" si="71"/>
        <v>-8.8454070971917126E-2</v>
      </c>
      <c r="AN39" s="5">
        <f t="shared" si="71"/>
        <v>1.9909287557173621E-2</v>
      </c>
      <c r="AO39" s="5">
        <f t="shared" si="71"/>
        <v>-1.9360831095808276E-2</v>
      </c>
      <c r="AP39" s="5"/>
      <c r="AQ39" s="5"/>
      <c r="AR39" s="5"/>
      <c r="AS39" s="5"/>
    </row>
    <row r="40" spans="1:45">
      <c r="B40" s="138"/>
      <c r="C40" s="30" t="str">
        <f t="shared" si="70"/>
        <v>Mlo</v>
      </c>
      <c r="D40" s="14"/>
      <c r="E40" s="53">
        <f t="shared" si="44"/>
        <v>-0.22124237293810822</v>
      </c>
      <c r="F40" s="53">
        <f t="shared" si="45"/>
        <v>-3.9208646113716217E-2</v>
      </c>
      <c r="G40" s="53">
        <f t="shared" si="46"/>
        <v>0.14282508071067579</v>
      </c>
      <c r="H40" s="54">
        <f t="shared" si="47"/>
        <v>6.0677908941464E-2</v>
      </c>
      <c r="I40" s="5">
        <f t="shared" si="67"/>
        <v>0.13022550952591222</v>
      </c>
      <c r="J40" s="5">
        <f>2*(J34-J35)/(J34+J35)</f>
        <v>0.14032106152651794</v>
      </c>
      <c r="K40" s="5">
        <f t="shared" ref="K40:AO40" si="73">2*(K34-K35)/(K34+K35)</f>
        <v>3.0491514957223728E-2</v>
      </c>
      <c r="L40" s="5">
        <f t="shared" si="73"/>
        <v>-1.7976652701612243E-2</v>
      </c>
      <c r="M40" s="5">
        <f t="shared" si="73"/>
        <v>-6.4635810662711804E-2</v>
      </c>
      <c r="N40" s="5">
        <f t="shared" si="73"/>
        <v>-3.8490156826555086E-2</v>
      </c>
      <c r="O40" s="5">
        <f t="shared" si="73"/>
        <v>0.10005992018662063</v>
      </c>
      <c r="P40" s="5">
        <f t="shared" ref="P40" si="74">2*(P34-P35)/(P34+P35)</f>
        <v>-6.0992512672804998E-2</v>
      </c>
      <c r="Q40" s="5">
        <f t="shared" si="73"/>
        <v>-5.3032045343499756E-2</v>
      </c>
      <c r="R40" s="5">
        <f t="shared" si="73"/>
        <v>-6.2878003623727419E-2</v>
      </c>
      <c r="S40" s="5">
        <f t="shared" si="73"/>
        <v>-6.5515123421994323E-2</v>
      </c>
      <c r="T40" s="5">
        <f t="shared" si="73"/>
        <v>-6.7252644647354295E-2</v>
      </c>
      <c r="U40" s="5">
        <f t="shared" si="73"/>
        <v>-4.0892451462486559E-2</v>
      </c>
      <c r="V40" s="5">
        <f t="shared" si="73"/>
        <v>-3.4328674570941208E-2</v>
      </c>
      <c r="W40" s="5">
        <f t="shared" si="73"/>
        <v>-5.6094227292397852E-2</v>
      </c>
      <c r="X40" s="5">
        <f t="shared" si="73"/>
        <v>1.3686305555110165E-2</v>
      </c>
      <c r="Y40" s="5">
        <f t="shared" si="73"/>
        <v>-4.5065131523322803E-2</v>
      </c>
      <c r="Z40" s="5">
        <f t="shared" si="73"/>
        <v>-1.7724919520506165E-2</v>
      </c>
      <c r="AA40" s="5">
        <f t="shared" si="73"/>
        <v>-0.10289448517843743</v>
      </c>
      <c r="AB40" s="5">
        <f t="shared" si="73"/>
        <v>-5.082657081806935E-2</v>
      </c>
      <c r="AC40" s="5">
        <f t="shared" si="73"/>
        <v>-2.1474887088897353E-2</v>
      </c>
      <c r="AD40" s="5">
        <f t="shared" si="73"/>
        <v>-1.3341442999325326E-2</v>
      </c>
      <c r="AE40" s="5">
        <f t="shared" si="73"/>
        <v>-3.3364102791471631E-2</v>
      </c>
      <c r="AF40" s="5">
        <f t="shared" si="73"/>
        <v>-6.1050774974444624E-2</v>
      </c>
      <c r="AG40" s="5">
        <f t="shared" si="73"/>
        <v>-2.3128414805185148E-2</v>
      </c>
      <c r="AH40" s="5">
        <f t="shared" si="73"/>
        <v>-5.5720787026127511E-2</v>
      </c>
      <c r="AI40" s="5">
        <f t="shared" si="73"/>
        <v>-0.20684012819768005</v>
      </c>
      <c r="AJ40" s="5">
        <f t="shared" si="73"/>
        <v>-0.14409113036200552</v>
      </c>
      <c r="AK40" s="5">
        <f t="shared" si="73"/>
        <v>-8.7551917634367329E-2</v>
      </c>
      <c r="AL40" s="5">
        <f t="shared" si="73"/>
        <v>-3.724909745540441E-2</v>
      </c>
      <c r="AM40" s="5">
        <f t="shared" si="73"/>
        <v>-6.238846232099246E-2</v>
      </c>
      <c r="AN40" s="5">
        <f t="shared" si="73"/>
        <v>-7.9017757914166421E-3</v>
      </c>
      <c r="AO40" s="5">
        <f t="shared" si="73"/>
        <v>-6.5331461506521618E-3</v>
      </c>
      <c r="AP40" s="5"/>
      <c r="AQ40" s="5"/>
      <c r="AR40" s="5"/>
      <c r="AS40" s="5"/>
    </row>
    <row r="41" spans="1:45" ht="15.75" thickBot="1">
      <c r="B41" s="139"/>
      <c r="C41" s="31" t="str">
        <f t="shared" si="70"/>
        <v>Lo</v>
      </c>
      <c r="D41" s="15"/>
      <c r="E41" s="10">
        <f t="shared" si="44"/>
        <v>-0.27535063131418291</v>
      </c>
      <c r="F41" s="10">
        <f t="shared" si="45"/>
        <v>-3.5762698349752792E-2</v>
      </c>
      <c r="G41" s="10">
        <f t="shared" si="46"/>
        <v>0.20382523461467736</v>
      </c>
      <c r="H41" s="12">
        <f t="shared" si="47"/>
        <v>7.9862644321476717E-2</v>
      </c>
      <c r="I41" s="5">
        <f t="shared" si="67"/>
        <v>0.15555666483196787</v>
      </c>
      <c r="J41" s="5">
        <f>2*(J36-J37)/(J36+J37)</f>
        <v>-4.0285492172290943E-3</v>
      </c>
      <c r="K41" s="5">
        <f t="shared" ref="K41:AO41" si="75">2*(K36-K37)/(K36+K37)</f>
        <v>-9.6392838573112205E-2</v>
      </c>
      <c r="L41" s="5">
        <f t="shared" si="75"/>
        <v>-6.2222336565267745E-2</v>
      </c>
      <c r="M41" s="5">
        <f t="shared" si="75"/>
        <v>-4.0327926240103971E-2</v>
      </c>
      <c r="N41" s="5">
        <f t="shared" si="75"/>
        <v>-6.312214552749254E-2</v>
      </c>
      <c r="O41" s="5">
        <f t="shared" si="75"/>
        <v>-3.5632380058700196E-2</v>
      </c>
      <c r="P41" s="5">
        <f t="shared" ref="P41" si="76">2*(P36-P37)/(P36+P37)</f>
        <v>-4.0789396780811518E-2</v>
      </c>
      <c r="Q41" s="5">
        <f t="shared" si="75"/>
        <v>-8.2943328817100842E-2</v>
      </c>
      <c r="R41" s="5">
        <f t="shared" si="75"/>
        <v>-4.4299622517648088E-2</v>
      </c>
      <c r="S41" s="5">
        <f t="shared" si="75"/>
        <v>-5.8661814103159099E-2</v>
      </c>
      <c r="T41" s="5">
        <f t="shared" si="75"/>
        <v>-6.0365171513281073E-2</v>
      </c>
      <c r="U41" s="5">
        <f t="shared" si="75"/>
        <v>-6.6893621538043919E-3</v>
      </c>
      <c r="V41" s="5">
        <f t="shared" si="75"/>
        <v>-5.0891479317876132E-2</v>
      </c>
      <c r="W41" s="5">
        <f t="shared" si="75"/>
        <v>-0.16866660627031191</v>
      </c>
      <c r="X41" s="5">
        <f t="shared" si="75"/>
        <v>0.35081029720418272</v>
      </c>
      <c r="Y41" s="5">
        <f t="shared" si="75"/>
        <v>-3.4238243077969507E-2</v>
      </c>
      <c r="Z41" s="5">
        <f t="shared" si="75"/>
        <v>-4.9926365614656347E-2</v>
      </c>
      <c r="AA41" s="5">
        <f t="shared" si="75"/>
        <v>-6.9437862653687649E-2</v>
      </c>
      <c r="AB41" s="5">
        <f t="shared" si="75"/>
        <v>-6.8021652882292158E-2</v>
      </c>
      <c r="AC41" s="5">
        <f t="shared" si="75"/>
        <v>-0.10330575157904776</v>
      </c>
      <c r="AD41" s="5">
        <f t="shared" si="75"/>
        <v>-6.5540083134201163E-2</v>
      </c>
      <c r="AE41" s="5">
        <f t="shared" si="75"/>
        <v>-5.1794733571529729E-2</v>
      </c>
      <c r="AF41" s="5">
        <f t="shared" si="75"/>
        <v>-4.9274002112531155E-2</v>
      </c>
      <c r="AG41" s="5">
        <f t="shared" si="75"/>
        <v>-3.2248355502074451E-2</v>
      </c>
      <c r="AH41" s="5">
        <f t="shared" si="75"/>
        <v>-4.4844945036247134E-2</v>
      </c>
      <c r="AI41" s="5">
        <f t="shared" si="75"/>
        <v>-8.2086571232071071E-3</v>
      </c>
      <c r="AJ41" s="5">
        <f t="shared" si="75"/>
        <v>-2.3892877026695656E-2</v>
      </c>
      <c r="AK41" s="5">
        <f t="shared" si="75"/>
        <v>-5.5365947418554204E-2</v>
      </c>
      <c r="AL41" s="5">
        <f t="shared" si="75"/>
        <v>7.5308475095452426E-4</v>
      </c>
      <c r="AM41" s="5">
        <f t="shared" si="75"/>
        <v>-4.5435727131789103E-2</v>
      </c>
      <c r="AN41" s="5">
        <f t="shared" si="75"/>
        <v>5.8367401059578446E-2</v>
      </c>
      <c r="AO41" s="5">
        <f t="shared" si="75"/>
        <v>-3.7768968686423113E-2</v>
      </c>
      <c r="AP41" s="5"/>
      <c r="AQ41" s="5"/>
      <c r="AR41" s="5"/>
      <c r="AS41" s="5"/>
    </row>
    <row r="42" spans="1:45" ht="15.75" thickBot="1">
      <c r="B42" s="71" t="s">
        <v>19</v>
      </c>
      <c r="C42" s="72" t="s">
        <v>16</v>
      </c>
      <c r="D42" s="73"/>
      <c r="E42" s="74">
        <f t="shared" ref="E42" si="77">F42-3*H42</f>
        <v>2.4862771305328088E-4</v>
      </c>
      <c r="F42" s="74">
        <f t="shared" ref="F42" si="78">AVERAGE(J42:AS42)</f>
        <v>4.5082342412948266E-4</v>
      </c>
      <c r="G42" s="74">
        <f t="shared" ref="G42" si="79">F42+3*H42</f>
        <v>6.5301913520568445E-4</v>
      </c>
      <c r="H42" s="75">
        <f t="shared" ref="H42" si="80">STDEV(J42:AS42)</f>
        <v>6.7398570358733923E-5</v>
      </c>
      <c r="J42" s="5">
        <f>(J20-J21)/((J20+J21)/2)</f>
        <v>3.7481006702084379E-4</v>
      </c>
      <c r="K42" s="5">
        <f t="shared" ref="K42:AO42" si="81">(K20-K21)/((K20+K21)/2)</f>
        <v>3.9147338785344178E-4</v>
      </c>
      <c r="L42" s="5">
        <f t="shared" si="81"/>
        <v>4.3758724780945717E-4</v>
      </c>
      <c r="M42" s="5">
        <f t="shared" si="81"/>
        <v>4.4386420781575026E-4</v>
      </c>
      <c r="N42" s="5">
        <f t="shared" si="81"/>
        <v>5.129629646065569E-4</v>
      </c>
      <c r="O42" s="5">
        <f t="shared" si="81"/>
        <v>4.725974936036863E-4</v>
      </c>
      <c r="P42" s="5">
        <f t="shared" ref="P42" si="82">(P20-P21)/((P20+P21)/2)</f>
        <v>4.1144043929184639E-4</v>
      </c>
      <c r="Q42" s="5">
        <f t="shared" si="81"/>
        <v>4.475686941071489E-4</v>
      </c>
      <c r="R42" s="5">
        <f t="shared" si="81"/>
        <v>4.861053447369487E-4</v>
      </c>
      <c r="S42" s="5">
        <f t="shared" si="81"/>
        <v>3.6999344420597522E-4</v>
      </c>
      <c r="T42" s="5">
        <f t="shared" si="81"/>
        <v>4.5850078749011557E-4</v>
      </c>
      <c r="U42" s="5">
        <f t="shared" si="81"/>
        <v>4.4435576691012168E-4</v>
      </c>
      <c r="V42" s="5">
        <f t="shared" si="81"/>
        <v>5.1292666320372818E-4</v>
      </c>
      <c r="W42" s="5">
        <f t="shared" si="81"/>
        <v>5.1633396213755496E-4</v>
      </c>
      <c r="X42" s="5">
        <f t="shared" si="81"/>
        <v>2.0249936718949081E-4</v>
      </c>
      <c r="Y42" s="5">
        <f t="shared" si="81"/>
        <v>5.1545536112886201E-4</v>
      </c>
      <c r="Z42" s="5">
        <f t="shared" si="81"/>
        <v>4.7789807957694165E-4</v>
      </c>
      <c r="AA42" s="5">
        <f t="shared" si="81"/>
        <v>5.1006583037133601E-4</v>
      </c>
      <c r="AB42" s="5">
        <f t="shared" si="81"/>
        <v>3.5347578860783129E-4</v>
      </c>
      <c r="AC42" s="5">
        <f t="shared" si="81"/>
        <v>4.9193450243470514E-4</v>
      </c>
      <c r="AD42" s="5">
        <f t="shared" si="81"/>
        <v>4.305013881845731E-4</v>
      </c>
      <c r="AE42" s="5">
        <f t="shared" si="81"/>
        <v>4.7071145345187193E-4</v>
      </c>
      <c r="AF42" s="5">
        <f t="shared" si="81"/>
        <v>4.7591007023982856E-4</v>
      </c>
      <c r="AG42" s="5">
        <f t="shared" si="81"/>
        <v>4.4288683557358691E-4</v>
      </c>
      <c r="AH42" s="5">
        <f t="shared" si="81"/>
        <v>5.066586116628032E-4</v>
      </c>
      <c r="AI42" s="5">
        <f t="shared" si="81"/>
        <v>5.0950402220206888E-4</v>
      </c>
      <c r="AJ42" s="5">
        <f t="shared" si="81"/>
        <v>4.6985503388901446E-4</v>
      </c>
      <c r="AK42" s="5">
        <f t="shared" si="81"/>
        <v>5.2762317646537526E-4</v>
      </c>
      <c r="AL42" s="5">
        <f t="shared" si="81"/>
        <v>3.9112256541491523E-4</v>
      </c>
      <c r="AM42" s="5">
        <f t="shared" si="81"/>
        <v>5.3793413305038679E-4</v>
      </c>
      <c r="AN42" s="5">
        <f t="shared" si="81"/>
        <v>4.0577357834339098E-4</v>
      </c>
      <c r="AO42" s="5">
        <f t="shared" si="81"/>
        <v>4.2601930356328706E-4</v>
      </c>
      <c r="AP42" s="19"/>
      <c r="AQ42" s="19"/>
      <c r="AR42" s="19"/>
      <c r="AS42" s="19"/>
    </row>
    <row r="44" spans="1:45" ht="15.75" thickBot="1">
      <c r="E44" s="113" t="s">
        <v>17</v>
      </c>
      <c r="F44" s="113"/>
    </row>
    <row r="45" spans="1:45">
      <c r="B45" t="str">
        <f>setCalcEnable(D45)</f>
        <v>Calc Enable=</v>
      </c>
      <c r="D45">
        <v>1</v>
      </c>
      <c r="E45" s="11">
        <f>H22/2</f>
        <v>0.12076671715884978</v>
      </c>
      <c r="O45" s="114" t="s">
        <v>8</v>
      </c>
      <c r="P45" s="115"/>
      <c r="Q45" s="17">
        <f>COUNT(J2:AS2)</f>
        <v>32</v>
      </c>
    </row>
    <row r="46" spans="1:45" ht="15.75" thickBot="1">
      <c r="E46" s="3">
        <f>F22-1.5*H22</f>
        <v>-0.27949774502455443</v>
      </c>
      <c r="F46" s="5">
        <f>histogram($J$22:$AS$22,$E$46:E$51,E46)/count</f>
        <v>0</v>
      </c>
      <c r="O46" s="117" t="str">
        <f>setCalcEnable(Q46)</f>
        <v>Calc Enable=</v>
      </c>
      <c r="P46" s="118"/>
      <c r="Q46" s="18">
        <v>1</v>
      </c>
    </row>
    <row r="47" spans="1:45" ht="15" customHeight="1">
      <c r="A47" s="136" t="s">
        <v>30</v>
      </c>
      <c r="B47" s="136"/>
      <c r="C47" s="136"/>
      <c r="D47" s="136"/>
      <c r="E47" s="3">
        <f t="shared" ref="E47:E51" si="83">E46+E$45</f>
        <v>-0.15873102786570464</v>
      </c>
      <c r="F47" s="5">
        <f>histogram($J$22:$AS$22,$E$46:E$51,E47)/count</f>
        <v>0</v>
      </c>
      <c r="O47" s="116"/>
      <c r="P47" s="116"/>
      <c r="Q47" s="13"/>
    </row>
    <row r="48" spans="1:45" ht="15" customHeight="1">
      <c r="A48" s="136"/>
      <c r="B48" s="136"/>
      <c r="C48" s="136"/>
      <c r="D48" s="136"/>
      <c r="E48" s="3">
        <f t="shared" si="83"/>
        <v>-3.7964310706854867E-2</v>
      </c>
      <c r="F48" s="5">
        <f>histogram($J$22:$AS$22,$E$46:E$51,E48)/count</f>
        <v>0</v>
      </c>
      <c r="O48" s="116"/>
      <c r="P48" s="116"/>
      <c r="Q48" s="13"/>
    </row>
    <row r="49" spans="1:6" ht="15" customHeight="1">
      <c r="A49" s="136"/>
      <c r="B49" s="136"/>
      <c r="C49" s="136"/>
      <c r="D49" s="136"/>
      <c r="E49" s="3">
        <f t="shared" si="83"/>
        <v>8.2802406451994909E-2</v>
      </c>
      <c r="F49" s="5">
        <f>histogram($J$22:$AS$22,$E$46:E$51,E49)/count</f>
        <v>0</v>
      </c>
    </row>
    <row r="50" spans="1:6" ht="15" customHeight="1">
      <c r="A50" s="136"/>
      <c r="B50" s="136"/>
      <c r="C50" s="136"/>
      <c r="D50" s="136"/>
      <c r="E50" s="3">
        <f t="shared" si="83"/>
        <v>0.20356912361084467</v>
      </c>
      <c r="F50" s="5">
        <f>histogram($J$22:$AS$22,$E$46:E$51,E50)/count</f>
        <v>0</v>
      </c>
    </row>
    <row r="51" spans="1:6" ht="15.75" thickBot="1">
      <c r="E51" s="3">
        <f t="shared" si="83"/>
        <v>0.32433584076969446</v>
      </c>
      <c r="F51" s="5">
        <f>histogram($J$22:$AS$22,$E$46:E$51,E51)/count</f>
        <v>0</v>
      </c>
    </row>
    <row r="52" spans="1:6">
      <c r="B52" s="68" t="s">
        <v>28</v>
      </c>
      <c r="C52" s="70">
        <v>1</v>
      </c>
      <c r="E52" s="3"/>
      <c r="F52" s="5"/>
    </row>
    <row r="53" spans="1:6" ht="15.75" thickBot="1">
      <c r="B53" s="69" t="s">
        <v>29</v>
      </c>
      <c r="C53" s="18">
        <v>1000.8320529272037</v>
      </c>
      <c r="E53" s="3"/>
      <c r="F53" s="5"/>
    </row>
    <row r="54" spans="1:6" ht="15.75" thickBot="1">
      <c r="B54" s="76" t="s">
        <v>31</v>
      </c>
      <c r="C54" s="77">
        <f>ABS(F38)+ABS(F39)+ABS(F40)+ABS(F41)</f>
        <v>0.14269608643458165</v>
      </c>
    </row>
    <row r="55" spans="1:6">
      <c r="B55" s="5"/>
      <c r="E55" s="113" t="s">
        <v>18</v>
      </c>
      <c r="F55" s="113"/>
    </row>
    <row r="56" spans="1:6">
      <c r="E56" s="11">
        <f>H25/2</f>
        <v>4.5592022172045471E-2</v>
      </c>
    </row>
    <row r="57" spans="1:6">
      <c r="E57" s="5">
        <f>F25-1.5*H25</f>
        <v>-7.6376793876345495E-2</v>
      </c>
      <c r="F57" s="5">
        <f>histogram($J$25:$AS$25,$E$57:E$64,E57)/count</f>
        <v>0</v>
      </c>
    </row>
    <row r="58" spans="1:6">
      <c r="E58" s="5">
        <f>E57+E$56</f>
        <v>-3.0784771704300024E-2</v>
      </c>
      <c r="F58" s="5">
        <f>histogram($J$25:$AS$25,$E$57:E$64,E58)/count</f>
        <v>0</v>
      </c>
    </row>
    <row r="59" spans="1:6">
      <c r="E59" s="5">
        <f t="shared" ref="E59:E62" si="84">E58+E$56</f>
        <v>1.4807250467745448E-2</v>
      </c>
      <c r="F59" s="5">
        <f>histogram($J$25:$AS$25,$E$57:E$64,E59)/count</f>
        <v>0</v>
      </c>
    </row>
    <row r="60" spans="1:6">
      <c r="E60" s="5">
        <f t="shared" si="84"/>
        <v>6.0399272639790919E-2</v>
      </c>
      <c r="F60" s="5">
        <f>histogram($J$25:$AS$25,$E$57:E$64,E60)/count</f>
        <v>0</v>
      </c>
    </row>
    <row r="61" spans="1:6">
      <c r="E61" s="5">
        <f t="shared" si="84"/>
        <v>0.10599129481183639</v>
      </c>
      <c r="F61" s="5">
        <f>histogram($J$25:$AS$25,$E$57:E$64,E61)/count</f>
        <v>0</v>
      </c>
    </row>
    <row r="62" spans="1:6">
      <c r="E62" s="5">
        <f t="shared" si="84"/>
        <v>0.15158331698388186</v>
      </c>
      <c r="F62" s="5">
        <f>histogram($J$25:$AS$25,$E$57:E$64,E62)/count</f>
        <v>0</v>
      </c>
    </row>
    <row r="63" spans="1:6">
      <c r="E63" s="5"/>
      <c r="F63" s="5"/>
    </row>
    <row r="64" spans="1:6">
      <c r="E64" s="5"/>
      <c r="F64" s="5"/>
    </row>
  </sheetData>
  <mergeCells count="28">
    <mergeCell ref="A47:D50"/>
    <mergeCell ref="B30:B31"/>
    <mergeCell ref="B32:B33"/>
    <mergeCell ref="B34:B35"/>
    <mergeCell ref="B36:B37"/>
    <mergeCell ref="B38:B41"/>
    <mergeCell ref="B1:C1"/>
    <mergeCell ref="B2:B6"/>
    <mergeCell ref="B7:B10"/>
    <mergeCell ref="B12:B16"/>
    <mergeCell ref="C9:C11"/>
    <mergeCell ref="E44:F44"/>
    <mergeCell ref="B22:B25"/>
    <mergeCell ref="C2:C4"/>
    <mergeCell ref="C5:C6"/>
    <mergeCell ref="C7:C8"/>
    <mergeCell ref="C12:C14"/>
    <mergeCell ref="C15:C16"/>
    <mergeCell ref="C17:C18"/>
    <mergeCell ref="B17:B21"/>
    <mergeCell ref="B26:B29"/>
    <mergeCell ref="D26:D29"/>
    <mergeCell ref="C19:C21"/>
    <mergeCell ref="E55:F55"/>
    <mergeCell ref="O45:P45"/>
    <mergeCell ref="O47:P47"/>
    <mergeCell ref="O48:P48"/>
    <mergeCell ref="O46:P46"/>
  </mergeCells>
  <conditionalFormatting sqref="J22:AS22">
    <cfRule type="top10" dxfId="40" priority="13" percent="1" bottom="1" rank="10"/>
    <cfRule type="top10" dxfId="39" priority="14" percent="1" rank="10"/>
  </conditionalFormatting>
  <conditionalFormatting sqref="J42:AS42">
    <cfRule type="top10" dxfId="38" priority="9" percent="1" bottom="1" rank="10"/>
    <cfRule type="top10" dxfId="37" priority="10" percent="1" rank="10"/>
  </conditionalFormatting>
  <conditionalFormatting sqref="J42:AO42">
    <cfRule type="top10" dxfId="36" priority="7" percent="1" bottom="1" rank="10"/>
    <cfRule type="top10" dxfId="35" priority="8" percent="1" rank="10"/>
  </conditionalFormatting>
  <conditionalFormatting sqref="A22">
    <cfRule type="top10" dxfId="34" priority="5" percent="1" bottom="1" rank="10"/>
    <cfRule type="top10" dxfId="33" priority="6" percent="1" rank="10"/>
  </conditionalFormatting>
  <conditionalFormatting sqref="A23:A29">
    <cfRule type="top10" dxfId="32" priority="3" percent="1" bottom="1" rank="10"/>
    <cfRule type="top10" dxfId="31" priority="4" percent="1" rank="10"/>
  </conditionalFormatting>
  <conditionalFormatting sqref="J7:AS8">
    <cfRule type="top10" dxfId="30" priority="67" percent="1" bottom="1" rank="10"/>
    <cfRule type="top10" dxfId="29" priority="68" percent="1" rank="10"/>
  </conditionalFormatting>
  <conditionalFormatting sqref="J9:AO10 J12:AO12 J14:AO20 K9:AS21">
    <cfRule type="top10" dxfId="28" priority="69" percent="1" bottom="1" rank="10"/>
    <cfRule type="top10" dxfId="27" priority="70" percent="1" rank="10"/>
  </conditionalFormatting>
  <conditionalFormatting sqref="J26:AO29">
    <cfRule type="cellIs" dxfId="26" priority="1" operator="between">
      <formula>-$D$26</formula>
      <formula>$D$26</formula>
    </cfRule>
  </conditionalFormatting>
  <pageMargins left="0.7" right="0.7" top="0.75" bottom="0.75" header="0.3" footer="0.3"/>
  <pageSetup orientation="portrait" r:id="rId1"/>
  <ignoredErrors>
    <ignoredError sqref="E42:H42 E22:H24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S64"/>
  <sheetViews>
    <sheetView topLeftCell="A18" zoomScale="70" zoomScaleNormal="70" workbookViewId="0">
      <pane xSplit="8490" ySplit="5670" topLeftCell="A41"/>
      <selection activeCell="A30" sqref="A30"/>
      <selection pane="topRight" activeCell="AL2" sqref="AL2:AM42"/>
      <selection pane="bottomLeft" activeCell="A28" sqref="A28"/>
      <selection pane="bottomRight" activeCell="AE41" sqref="AE41"/>
    </sheetView>
  </sheetViews>
  <sheetFormatPr defaultRowHeight="15"/>
  <cols>
    <col min="1" max="1" width="15.42578125" style="19" customWidth="1"/>
    <col min="2" max="2" width="7.7109375" bestFit="1" customWidth="1"/>
    <col min="3" max="3" width="6.140625" bestFit="1" customWidth="1"/>
    <col min="4" max="4" width="5.42578125" customWidth="1"/>
    <col min="9" max="9" width="6.140625" customWidth="1"/>
    <col min="10" max="45" width="7.85546875" customWidth="1"/>
  </cols>
  <sheetData>
    <row r="1" spans="1:45">
      <c r="B1" s="134" t="s">
        <v>9</v>
      </c>
      <c r="C1" s="135"/>
      <c r="D1" s="82"/>
      <c r="E1" s="82" t="s">
        <v>3</v>
      </c>
      <c r="F1" s="82" t="s">
        <v>1</v>
      </c>
      <c r="G1" s="82" t="s">
        <v>4</v>
      </c>
      <c r="H1" s="41" t="s">
        <v>2</v>
      </c>
      <c r="J1">
        <f>data0!B1</f>
        <v>0</v>
      </c>
      <c r="K1">
        <f>data0!C1</f>
        <v>1</v>
      </c>
      <c r="L1">
        <f>data0!D1</f>
        <v>2</v>
      </c>
      <c r="M1">
        <f>data0!E1</f>
        <v>3</v>
      </c>
      <c r="N1">
        <f>data0!F1</f>
        <v>4</v>
      </c>
      <c r="O1">
        <f>data0!G1</f>
        <v>5</v>
      </c>
      <c r="P1">
        <f>data0!H1</f>
        <v>6</v>
      </c>
      <c r="Q1">
        <f>data0!I1</f>
        <v>7</v>
      </c>
      <c r="R1">
        <f>data0!J1</f>
        <v>8</v>
      </c>
      <c r="S1">
        <f>data0!K1</f>
        <v>9</v>
      </c>
      <c r="T1">
        <f>data0!L1</f>
        <v>10</v>
      </c>
      <c r="U1">
        <f>data0!M1</f>
        <v>11</v>
      </c>
      <c r="V1">
        <f>data0!N1</f>
        <v>12</v>
      </c>
      <c r="W1">
        <f>data0!O1</f>
        <v>13</v>
      </c>
      <c r="X1">
        <f>data0!P1</f>
        <v>14</v>
      </c>
      <c r="Y1">
        <f>data0!Q1</f>
        <v>15</v>
      </c>
      <c r="Z1">
        <f>data0!R1</f>
        <v>16</v>
      </c>
      <c r="AA1">
        <f>data0!S1</f>
        <v>17</v>
      </c>
      <c r="AB1">
        <f>data0!T1</f>
        <v>18</v>
      </c>
      <c r="AC1">
        <f>data0!U1</f>
        <v>19</v>
      </c>
      <c r="AD1">
        <f>data0!V1</f>
        <v>20</v>
      </c>
      <c r="AE1">
        <f>data0!W1</f>
        <v>21</v>
      </c>
      <c r="AF1">
        <f>data0!X1</f>
        <v>22</v>
      </c>
      <c r="AG1">
        <f>data0!Y1</f>
        <v>23</v>
      </c>
      <c r="AH1">
        <f>data0!Z1</f>
        <v>24</v>
      </c>
      <c r="AI1">
        <f>data0!AA1</f>
        <v>25</v>
      </c>
      <c r="AJ1">
        <f>data0!AB1</f>
        <v>26</v>
      </c>
      <c r="AK1">
        <f>data0!AC1</f>
        <v>27</v>
      </c>
      <c r="AL1">
        <f>data0!AD1</f>
        <v>28</v>
      </c>
      <c r="AM1">
        <f>data0!AE1</f>
        <v>29</v>
      </c>
      <c r="AN1">
        <f>data0!AF1</f>
        <v>30</v>
      </c>
      <c r="AO1">
        <f>data0!AG1</f>
        <v>31</v>
      </c>
      <c r="AP1">
        <f>data0!AH1</f>
        <v>32</v>
      </c>
      <c r="AQ1">
        <f>data0!AI1</f>
        <v>33</v>
      </c>
      <c r="AR1">
        <f>data0!AJ1</f>
        <v>34</v>
      </c>
      <c r="AS1">
        <f>data0!AK1</f>
        <v>35</v>
      </c>
    </row>
    <row r="2" spans="1:45">
      <c r="B2" s="126" t="s">
        <v>13</v>
      </c>
      <c r="C2" s="121" t="s">
        <v>6</v>
      </c>
      <c r="D2" s="50" t="s">
        <v>27</v>
      </c>
      <c r="E2" s="8">
        <f>F2-3*H2</f>
        <v>456.74393675254203</v>
      </c>
      <c r="F2" s="8">
        <f>AVERAGE(J2:AS2)</f>
        <v>542.5167213448284</v>
      </c>
      <c r="G2" s="8">
        <f>F2+3*H2</f>
        <v>628.28950593711477</v>
      </c>
      <c r="H2" s="9">
        <f>STDEV(J2:AS2)</f>
        <v>28.590928197428802</v>
      </c>
      <c r="I2" s="38"/>
      <c r="J2" s="42">
        <f>data0!B2</f>
        <v>529.97634851606006</v>
      </c>
      <c r="K2" s="42">
        <f>data0!C2</f>
        <v>519.53917753871974</v>
      </c>
      <c r="L2" s="42">
        <f>data0!D2</f>
        <v>523.44548714427401</v>
      </c>
      <c r="M2" s="42">
        <f>data0!E2</f>
        <v>565.43831540398264</v>
      </c>
      <c r="N2" s="42">
        <f>data0!F2</f>
        <v>530.434119172961</v>
      </c>
      <c r="O2" s="42">
        <f>data0!G2</f>
        <v>538.70450904097049</v>
      </c>
      <c r="P2" s="94"/>
      <c r="Q2" s="42">
        <f>data0!I2</f>
        <v>573.25093461509118</v>
      </c>
      <c r="R2" s="42">
        <f>data0!J2</f>
        <v>562.50858319981683</v>
      </c>
      <c r="S2" s="42">
        <f>data0!K2</f>
        <v>538.09414816510264</v>
      </c>
      <c r="T2" s="42"/>
      <c r="U2" s="42">
        <f>data0!M2</f>
        <v>554.69596398870829</v>
      </c>
      <c r="V2" s="42"/>
      <c r="W2" s="42">
        <f>data0!O2</f>
        <v>592.44678416113527</v>
      </c>
      <c r="X2" s="42">
        <f>data0!P2</f>
        <v>547.46318760967415</v>
      </c>
      <c r="Y2" s="42">
        <f>data0!Q2</f>
        <v>531.77691309987028</v>
      </c>
      <c r="Z2" s="42"/>
      <c r="AA2" s="42">
        <f>data0!S2</f>
        <v>537.94155794613562</v>
      </c>
      <c r="AB2" s="42"/>
      <c r="AC2" s="42">
        <f>data0!U2</f>
        <v>561.53200579842826</v>
      </c>
      <c r="AD2" s="42">
        <f>data0!V2</f>
        <v>442.38956282902262</v>
      </c>
      <c r="AE2" s="42">
        <f>data0!W2</f>
        <v>531.25810635538255</v>
      </c>
      <c r="AF2" s="42"/>
      <c r="AG2" s="42">
        <f>data0!Y2</f>
        <v>519.53917753871974</v>
      </c>
      <c r="AH2" s="42">
        <f>data0!Z2</f>
        <v>542.97703517204548</v>
      </c>
      <c r="AI2" s="42">
        <f>data0!AA2</f>
        <v>572.27435721370261</v>
      </c>
      <c r="AJ2" s="42">
        <f>data0!AB2</f>
        <v>570.01602197299155</v>
      </c>
      <c r="AK2" s="42">
        <f>data0!AC2</f>
        <v>533.36385137712671</v>
      </c>
      <c r="AL2" s="42"/>
      <c r="AM2" s="42"/>
      <c r="AN2" s="42">
        <f>data0!AF2</f>
        <v>550.54551003280687</v>
      </c>
      <c r="AO2" s="42">
        <f>data0!AG2</f>
        <v>550.78965438315402</v>
      </c>
      <c r="AP2" s="19"/>
      <c r="AQ2" s="19"/>
      <c r="AR2" s="19"/>
      <c r="AS2" s="19"/>
    </row>
    <row r="3" spans="1:45">
      <c r="B3" s="120"/>
      <c r="C3" s="122"/>
      <c r="D3" s="90">
        <v>850</v>
      </c>
      <c r="E3" s="8">
        <f t="shared" ref="E3:E25" si="0">F3-3*H3</f>
        <v>456.80433867363485</v>
      </c>
      <c r="F3" s="8">
        <f t="shared" ref="F3:F25" si="1">AVERAGE(J3:AS3)</f>
        <v>542.38829124386461</v>
      </c>
      <c r="G3" s="8">
        <f t="shared" ref="G3:G25" si="2">F3+3*H3</f>
        <v>627.97224381409433</v>
      </c>
      <c r="H3" s="9">
        <f t="shared" ref="H3:H25" si="3">STDEV(J3:AS3)</f>
        <v>28.527984190076587</v>
      </c>
      <c r="I3" s="83"/>
      <c r="J3" s="46">
        <f>data0!B3</f>
        <v>529.97634851606006</v>
      </c>
      <c r="K3" s="46">
        <f>data0!C3</f>
        <v>519.53917753871974</v>
      </c>
      <c r="L3" s="46">
        <f>data0!D3</f>
        <v>523.56755931944758</v>
      </c>
      <c r="M3" s="46">
        <f>data0!E3</f>
        <v>565.43831540398264</v>
      </c>
      <c r="N3" s="46">
        <f>data0!F3</f>
        <v>530.67826352330815</v>
      </c>
      <c r="O3" s="46">
        <f>data0!G3</f>
        <v>538.39932860303657</v>
      </c>
      <c r="P3" s="95"/>
      <c r="Q3" s="46">
        <f>data0!I3</f>
        <v>573.25093461509118</v>
      </c>
      <c r="R3" s="46">
        <f>data0!J3</f>
        <v>562.50858319981683</v>
      </c>
      <c r="S3" s="46">
        <f>data0!K3</f>
        <v>538.09414816510264</v>
      </c>
      <c r="T3" s="46"/>
      <c r="U3" s="46">
        <f>data0!M3</f>
        <v>554.69596398870829</v>
      </c>
      <c r="V3" s="46"/>
      <c r="W3" s="46">
        <f>data0!O3</f>
        <v>592.05004959182111</v>
      </c>
      <c r="X3" s="46">
        <f>data0!P3</f>
        <v>546.94438086518653</v>
      </c>
      <c r="Y3" s="46">
        <f>data0!Q3</f>
        <v>531.38017853055612</v>
      </c>
      <c r="Z3" s="46"/>
      <c r="AA3" s="46">
        <f>data0!S3</f>
        <v>537.97207598992907</v>
      </c>
      <c r="AB3" s="46"/>
      <c r="AC3" s="46">
        <f>data0!U3</f>
        <v>561.53200579842826</v>
      </c>
      <c r="AD3" s="46">
        <f>data0!V3</f>
        <v>442.38956282902262</v>
      </c>
      <c r="AE3" s="46">
        <f>data0!W3</f>
        <v>531.25810635538255</v>
      </c>
      <c r="AF3" s="46"/>
      <c r="AG3" s="46">
        <f>data0!Y3</f>
        <v>519.26451514457926</v>
      </c>
      <c r="AH3" s="46">
        <f>data0!Z3</f>
        <v>542.97703517204548</v>
      </c>
      <c r="AI3" s="46">
        <f>data0!AA3</f>
        <v>572.27435721370261</v>
      </c>
      <c r="AJ3" s="46">
        <f>data0!AB3</f>
        <v>569.34462500953691</v>
      </c>
      <c r="AK3" s="46">
        <f>data0!AC3</f>
        <v>533.36385137712671</v>
      </c>
      <c r="AL3" s="46"/>
      <c r="AM3" s="46"/>
      <c r="AN3" s="46">
        <f>data0!AF3</f>
        <v>550.17929350728616</v>
      </c>
      <c r="AO3" s="46">
        <f>data0!AG3</f>
        <v>550.24032959487295</v>
      </c>
      <c r="AP3" s="19"/>
      <c r="AQ3" s="19"/>
      <c r="AR3" s="19"/>
      <c r="AS3" s="19"/>
    </row>
    <row r="4" spans="1:45" s="5" customFormat="1">
      <c r="A4" s="19"/>
      <c r="B4" s="120"/>
      <c r="C4" s="123"/>
      <c r="D4" s="52" t="s">
        <v>19</v>
      </c>
      <c r="E4" s="6">
        <f t="shared" si="0"/>
        <v>3.5665296943964142E-3</v>
      </c>
      <c r="F4" s="6">
        <f t="shared" si="1"/>
        <v>4.0420115841407894E-3</v>
      </c>
      <c r="G4" s="6">
        <f t="shared" si="2"/>
        <v>4.5174934738851646E-3</v>
      </c>
      <c r="H4" s="7">
        <f t="shared" si="3"/>
        <v>1.5849396324812501E-4</v>
      </c>
      <c r="I4" s="13"/>
      <c r="J4" s="13">
        <f>data0!B4</f>
        <v>3.9520866712443731E-3</v>
      </c>
      <c r="K4" s="13">
        <f>data0!C4</f>
        <v>4.0283817807278549E-3</v>
      </c>
      <c r="L4" s="13">
        <f>data0!D4</f>
        <v>4.0283817807278549E-3</v>
      </c>
      <c r="M4" s="13">
        <f>data0!E4</f>
        <v>4.2420080872816049E-3</v>
      </c>
      <c r="N4" s="13">
        <f>data0!F4</f>
        <v>3.9978637369344622E-3</v>
      </c>
      <c r="O4" s="13">
        <f>data0!G4</f>
        <v>3.7842374303807126E-3</v>
      </c>
      <c r="P4" s="96"/>
      <c r="Q4" s="13">
        <f>data0!I4</f>
        <v>4.1504539559014267E-3</v>
      </c>
      <c r="R4" s="13">
        <f>data0!J4</f>
        <v>4.1657129777981231E-3</v>
      </c>
      <c r="S4" s="13">
        <f>data0!K4</f>
        <v>3.9826047150377658E-3</v>
      </c>
      <c r="T4" s="13"/>
      <c r="U4" s="13">
        <f>data0!M4</f>
        <v>4.0741588464179449E-3</v>
      </c>
      <c r="V4" s="13"/>
      <c r="W4" s="13">
        <f>data0!O4</f>
        <v>4.4251163500419622E-3</v>
      </c>
      <c r="X4" s="13">
        <f>data0!P4</f>
        <v>4.119935912108034E-3</v>
      </c>
      <c r="Y4" s="13">
        <f>data0!Q4</f>
        <v>4.0894178683146412E-3</v>
      </c>
      <c r="Z4" s="13"/>
      <c r="AA4" s="13">
        <f>data0!S4</f>
        <v>4.0741588464179449E-3</v>
      </c>
      <c r="AB4" s="13"/>
      <c r="AC4" s="13">
        <f>data0!U4</f>
        <v>4.1504539559014267E-3</v>
      </c>
      <c r="AD4" s="13">
        <f>data0!V4</f>
        <v>3.6469062333104449E-3</v>
      </c>
      <c r="AE4" s="13">
        <f>data0!W4</f>
        <v>4.1351949340047304E-3</v>
      </c>
      <c r="AF4" s="13"/>
      <c r="AG4" s="13">
        <f>data0!Y4</f>
        <v>3.9368276493476767E-3</v>
      </c>
      <c r="AH4" s="13">
        <f>data0!Z4</f>
        <v>4.1657129777981231E-3</v>
      </c>
      <c r="AI4" s="13">
        <f>data0!AA4</f>
        <v>3.9892805371175705E-3</v>
      </c>
      <c r="AJ4" s="13">
        <f>data0!AB4</f>
        <v>3.8300144960708017E-3</v>
      </c>
      <c r="AK4" s="13">
        <f>data0!AC4</f>
        <v>3.9215686274509803E-3</v>
      </c>
      <c r="AL4" s="13"/>
      <c r="AM4" s="13"/>
      <c r="AN4" s="13">
        <f>data0!AF4</f>
        <v>3.9978637369344622E-3</v>
      </c>
      <c r="AO4" s="13">
        <f>data0!AG4</f>
        <v>4.119935912108034E-3</v>
      </c>
    </row>
    <row r="5" spans="1:45" s="5" customFormat="1">
      <c r="A5" s="19"/>
      <c r="B5" s="120"/>
      <c r="C5" s="124" t="s">
        <v>7</v>
      </c>
      <c r="D5" s="52" t="s">
        <v>19</v>
      </c>
      <c r="E5" s="6">
        <f t="shared" si="0"/>
        <v>5.0263330938605189E-2</v>
      </c>
      <c r="F5" s="6">
        <f t="shared" si="1"/>
        <v>5.5694813998881015E-2</v>
      </c>
      <c r="G5" s="6">
        <f t="shared" si="2"/>
        <v>6.1126297059156842E-2</v>
      </c>
      <c r="H5" s="7">
        <f t="shared" si="3"/>
        <v>1.8104943534252766E-3</v>
      </c>
      <c r="I5" s="13"/>
      <c r="J5" s="13">
        <f>data0!B5</f>
        <v>5.4077973601892121E-2</v>
      </c>
      <c r="K5" s="13">
        <f>data0!C5</f>
        <v>5.5037861448081177E-2</v>
      </c>
      <c r="L5" s="13">
        <f>data0!D5</f>
        <v>5.4864290074006256E-2</v>
      </c>
      <c r="M5" s="13">
        <f>data0!E5</f>
        <v>5.7562752727550161E-2</v>
      </c>
      <c r="N5" s="13">
        <f>data0!F5</f>
        <v>5.5588616769665061E-2</v>
      </c>
      <c r="O5" s="13">
        <f>data0!G5</f>
        <v>5.3914892805371178E-2</v>
      </c>
      <c r="P5" s="96"/>
      <c r="Q5" s="13">
        <f>data0!I5</f>
        <v>5.7025825894560157E-2</v>
      </c>
      <c r="R5" s="13">
        <f>data0!J5</f>
        <v>5.7103551537346454E-2</v>
      </c>
      <c r="S5" s="13">
        <f>data0!K5</f>
        <v>5.5184252689402608E-2</v>
      </c>
      <c r="T5" s="13"/>
      <c r="U5" s="13">
        <f>data0!M5</f>
        <v>5.6519417105363547E-2</v>
      </c>
      <c r="V5" s="13"/>
      <c r="W5" s="13">
        <f>data0!O5</f>
        <v>6.0270275425345236E-2</v>
      </c>
      <c r="X5" s="13">
        <f>data0!P5</f>
        <v>5.6281471732661938E-2</v>
      </c>
      <c r="Y5" s="13">
        <f>data0!Q5</f>
        <v>5.550707637140459E-2</v>
      </c>
      <c r="Z5" s="13"/>
      <c r="AA5" s="13">
        <f>data0!S5</f>
        <v>5.6455996795605402E-2</v>
      </c>
      <c r="AB5" s="13"/>
      <c r="AC5" s="13">
        <f>data0!U5</f>
        <v>5.712930113679713E-2</v>
      </c>
      <c r="AD5" s="13">
        <f>data0!V5</f>
        <v>5.2966449225604638E-2</v>
      </c>
      <c r="AE5" s="13">
        <f>data0!W5</f>
        <v>5.6266689555199513E-2</v>
      </c>
      <c r="AF5" s="13"/>
      <c r="AG5" s="13">
        <f>data0!Y5</f>
        <v>5.6146524757763029E-2</v>
      </c>
      <c r="AH5" s="13">
        <f>data0!Z5</f>
        <v>5.619277866788739E-2</v>
      </c>
      <c r="AI5" s="13">
        <f>data0!AA5</f>
        <v>5.4159990844586864E-2</v>
      </c>
      <c r="AJ5" s="13">
        <f>data0!AB5</f>
        <v>5.0766765850308995E-2</v>
      </c>
      <c r="AK5" s="13">
        <f>data0!AC5</f>
        <v>5.4929617761501487E-2</v>
      </c>
      <c r="AL5" s="13"/>
      <c r="AM5" s="13"/>
      <c r="AN5" s="13">
        <f>data0!AF5</f>
        <v>5.6354428931105517E-2</v>
      </c>
      <c r="AO5" s="13">
        <f>data0!AG5</f>
        <v>5.636873426413367E-2</v>
      </c>
    </row>
    <row r="6" spans="1:45" s="19" customFormat="1">
      <c r="B6" s="120"/>
      <c r="C6" s="125"/>
      <c r="D6" s="51" t="s">
        <v>27</v>
      </c>
      <c r="E6" s="8">
        <f t="shared" si="0"/>
        <v>133.15209562107589</v>
      </c>
      <c r="F6" s="8">
        <f t="shared" si="1"/>
        <v>505.57462933292641</v>
      </c>
      <c r="G6" s="8">
        <f t="shared" si="2"/>
        <v>877.99716304477693</v>
      </c>
      <c r="H6" s="9">
        <f t="shared" si="3"/>
        <v>124.14084457061684</v>
      </c>
      <c r="I6" s="44"/>
      <c r="J6" s="44">
        <f>data0!B6</f>
        <v>539.62005035477227</v>
      </c>
      <c r="K6" s="44">
        <f>data0!C6</f>
        <v>405.15754940108337</v>
      </c>
      <c r="L6" s="44">
        <f>data0!D6</f>
        <v>506.84367132066831</v>
      </c>
      <c r="M6" s="44">
        <f>data0!E6</f>
        <v>518.41000991836427</v>
      </c>
      <c r="N6" s="44">
        <f>data0!F6</f>
        <v>491.61516746776527</v>
      </c>
      <c r="O6" s="44">
        <f>data0!G6</f>
        <v>533.51644159609373</v>
      </c>
      <c r="P6" s="97"/>
      <c r="Q6" s="44">
        <f>data0!I6</f>
        <v>565.80453192950336</v>
      </c>
      <c r="R6" s="44">
        <f>data0!J6</f>
        <v>518.41000991836427</v>
      </c>
      <c r="S6" s="44">
        <f>data0!K6</f>
        <v>530.28152895399398</v>
      </c>
      <c r="T6" s="44"/>
      <c r="U6" s="44">
        <f>data0!M6</f>
        <v>514.29007400625619</v>
      </c>
      <c r="V6" s="44"/>
      <c r="W6" s="44">
        <f>data0!O6</f>
        <v>545.60158693827725</v>
      </c>
      <c r="X6" s="44">
        <f>data0!P6</f>
        <v>496.92530708781567</v>
      </c>
      <c r="Y6" s="44">
        <f>data0!Q6</f>
        <v>478.52292668039979</v>
      </c>
      <c r="Z6" s="44"/>
      <c r="AA6" s="44">
        <f>data0!S6</f>
        <v>478.0651560234989</v>
      </c>
      <c r="AB6" s="44"/>
      <c r="AC6" s="44">
        <f>data0!U6</f>
        <v>517.70809491111618</v>
      </c>
      <c r="AD6" s="44">
        <f>data0!V6</f>
        <v>111.3298237582971</v>
      </c>
      <c r="AE6" s="44">
        <f>data0!W6</f>
        <v>461.73800259403373</v>
      </c>
      <c r="AF6" s="44"/>
      <c r="AG6" s="44">
        <f>data0!Y6</f>
        <v>369.2683299000534</v>
      </c>
      <c r="AH6" s="44">
        <f>data0!Z6</f>
        <v>497.1999694819562</v>
      </c>
      <c r="AI6" s="44">
        <f>data0!AA6</f>
        <v>745.79995422293428</v>
      </c>
      <c r="AJ6" s="44">
        <f>data0!AB6</f>
        <v>821.30159456778813</v>
      </c>
      <c r="AK6" s="44">
        <f>data0!AC6</f>
        <v>510.10910200656139</v>
      </c>
      <c r="AL6" s="44"/>
      <c r="AM6" s="44"/>
      <c r="AN6" s="44">
        <f>data0!AF6</f>
        <v>476.84443427176319</v>
      </c>
      <c r="AO6" s="44">
        <f>data0!AG6</f>
        <v>499.42778667887387</v>
      </c>
    </row>
    <row r="7" spans="1:45">
      <c r="B7" s="126" t="s">
        <v>20</v>
      </c>
      <c r="C7" s="124" t="s">
        <v>7</v>
      </c>
      <c r="D7" s="50" t="s">
        <v>27</v>
      </c>
      <c r="E7" s="8">
        <f t="shared" si="0"/>
        <v>234.63735449357654</v>
      </c>
      <c r="F7" s="8">
        <f t="shared" si="1"/>
        <v>538.05600061036091</v>
      </c>
      <c r="G7" s="8">
        <f t="shared" si="2"/>
        <v>841.47464672714523</v>
      </c>
      <c r="H7" s="9">
        <f t="shared" si="3"/>
        <v>101.13954870559479</v>
      </c>
      <c r="I7" s="38"/>
      <c r="J7" s="46">
        <f>data0!B7</f>
        <v>556.77119096665899</v>
      </c>
      <c r="K7" s="46">
        <f>data0!C7</f>
        <v>356.38208590829328</v>
      </c>
      <c r="L7" s="46">
        <f>data0!D7</f>
        <v>534.41672388799873</v>
      </c>
      <c r="M7" s="46">
        <f>data0!E7</f>
        <v>578.60685130083164</v>
      </c>
      <c r="N7" s="46">
        <f>data0!F7</f>
        <v>507.87365529869533</v>
      </c>
      <c r="O7" s="46">
        <f>data0!G7</f>
        <v>474.08255130846112</v>
      </c>
      <c r="P7" s="95"/>
      <c r="Q7" s="46">
        <f>data0!I7</f>
        <v>587.9530022125582</v>
      </c>
      <c r="R7" s="46">
        <f>data0!J7</f>
        <v>543.12962539101238</v>
      </c>
      <c r="S7" s="46">
        <f>data0!K7</f>
        <v>549.87411306935223</v>
      </c>
      <c r="T7" s="46"/>
      <c r="U7" s="46">
        <f>data0!M7</f>
        <v>528.19104295414661</v>
      </c>
      <c r="V7" s="46"/>
      <c r="W7" s="46">
        <f>data0!O7</f>
        <v>606.08072022583349</v>
      </c>
      <c r="X7" s="46">
        <f>data0!P7</f>
        <v>526.33707179369799</v>
      </c>
      <c r="Y7" s="46">
        <f>data0!Q7</f>
        <v>510.29983978027008</v>
      </c>
      <c r="Z7" s="46"/>
      <c r="AA7" s="46">
        <f>data0!S7</f>
        <v>501.5411612115663</v>
      </c>
      <c r="AB7" s="46"/>
      <c r="AC7" s="46">
        <f>data0!U7</f>
        <v>539.56664377813377</v>
      </c>
      <c r="AD7" s="46">
        <f>data0!V7</f>
        <v>354.24582284275579</v>
      </c>
      <c r="AE7" s="46">
        <f>data0!W7</f>
        <v>519.76806286717022</v>
      </c>
      <c r="AF7" s="46"/>
      <c r="AG7" s="46">
        <f>data0!Y7</f>
        <v>484.06958113984894</v>
      </c>
      <c r="AH7" s="46">
        <f>data0!Z7</f>
        <v>539.20042725261305</v>
      </c>
      <c r="AI7" s="46">
        <f>data0!AA7</f>
        <v>659.47203784237433</v>
      </c>
      <c r="AJ7" s="46">
        <f>data0!AB7</f>
        <v>900.01525902189667</v>
      </c>
      <c r="AK7" s="46">
        <f>data0!AC7</f>
        <v>546.62394140535594</v>
      </c>
      <c r="AL7" s="46"/>
      <c r="AM7" s="46"/>
      <c r="AN7" s="46">
        <f>data0!AF7</f>
        <v>488.563363088426</v>
      </c>
      <c r="AO7" s="46">
        <f>data0!AG7</f>
        <v>520.27924010070956</v>
      </c>
      <c r="AP7" s="19"/>
      <c r="AQ7" s="19"/>
      <c r="AR7" s="19"/>
      <c r="AS7" s="19"/>
    </row>
    <row r="8" spans="1:45" s="5" customFormat="1">
      <c r="A8" s="19"/>
      <c r="B8" s="120"/>
      <c r="C8" s="125"/>
      <c r="D8" s="52" t="s">
        <v>19</v>
      </c>
      <c r="E8" s="6">
        <f t="shared" si="0"/>
        <v>5.0280292329144848E-2</v>
      </c>
      <c r="F8" s="6">
        <f t="shared" si="1"/>
        <v>5.5705503261615941E-2</v>
      </c>
      <c r="G8" s="6">
        <f t="shared" si="2"/>
        <v>6.1130714194087034E-2</v>
      </c>
      <c r="H8" s="7">
        <f t="shared" si="3"/>
        <v>1.8084036441570303E-3</v>
      </c>
      <c r="I8" s="13"/>
      <c r="J8" s="13">
        <f>data0!B8</f>
        <v>5.4106584267948427E-2</v>
      </c>
      <c r="K8" s="13">
        <f>data0!C8</f>
        <v>5.5027370870527198E-2</v>
      </c>
      <c r="L8" s="13">
        <f>data0!D8</f>
        <v>5.4871442740520332E-2</v>
      </c>
      <c r="M8" s="13">
        <f>data0!E8</f>
        <v>5.7580872816052488E-2</v>
      </c>
      <c r="N8" s="13">
        <f>data0!F8</f>
        <v>5.5594338902876322E-2</v>
      </c>
      <c r="O8" s="13">
        <f>data0!G8</f>
        <v>5.3926813916227972E-2</v>
      </c>
      <c r="P8" s="96"/>
      <c r="Q8" s="13">
        <f>data0!I8</f>
        <v>5.7048714427405202E-2</v>
      </c>
      <c r="R8" s="13">
        <f>data0!J8</f>
        <v>5.71078431372549E-2</v>
      </c>
      <c r="S8" s="13">
        <f>data0!K8</f>
        <v>5.5199511711299304E-2</v>
      </c>
      <c r="T8" s="13"/>
      <c r="U8" s="13">
        <f>data0!M8</f>
        <v>5.6539444571602961E-2</v>
      </c>
      <c r="V8" s="13"/>
      <c r="W8" s="13">
        <f>data0!O8</f>
        <v>6.0273136491950867E-2</v>
      </c>
      <c r="X8" s="13">
        <f>data0!P8</f>
        <v>5.6277180132753492E-2</v>
      </c>
      <c r="Y8" s="13">
        <f>data0!Q8</f>
        <v>5.5525673304341189E-2</v>
      </c>
      <c r="Z8" s="13"/>
      <c r="AA8" s="13">
        <f>data0!S8</f>
        <v>5.6435492484931717E-2</v>
      </c>
      <c r="AB8" s="13"/>
      <c r="AC8" s="13">
        <f>data0!U8</f>
        <v>5.7121671625848781E-2</v>
      </c>
      <c r="AD8" s="13">
        <f>data0!V8</f>
        <v>5.3007457846952009E-2</v>
      </c>
      <c r="AE8" s="13">
        <f>data0!W8</f>
        <v>5.6287670710307471E-2</v>
      </c>
      <c r="AF8" s="13"/>
      <c r="AG8" s="13">
        <f>data0!Y8</f>
        <v>5.6155107957579921E-2</v>
      </c>
      <c r="AH8" s="13">
        <f>data0!Z8</f>
        <v>5.6198977645532923E-2</v>
      </c>
      <c r="AI8" s="13">
        <f>data0!AA8</f>
        <v>5.4198138399328605E-2</v>
      </c>
      <c r="AJ8" s="13">
        <f>data0!AB8</f>
        <v>5.0751506828412299E-2</v>
      </c>
      <c r="AK8" s="13">
        <f>data0!AC8</f>
        <v>5.4954413672083618E-2</v>
      </c>
      <c r="AL8" s="13"/>
      <c r="AM8" s="13"/>
      <c r="AN8" s="13">
        <f>data0!AF8</f>
        <v>5.637684061951629E-2</v>
      </c>
      <c r="AO8" s="13">
        <f>data0!AG8</f>
        <v>5.6365873197528039E-2</v>
      </c>
    </row>
    <row r="9" spans="1:45" s="5" customFormat="1">
      <c r="A9" s="19"/>
      <c r="B9" s="120"/>
      <c r="C9" s="121" t="s">
        <v>6</v>
      </c>
      <c r="D9" s="52" t="s">
        <v>19</v>
      </c>
      <c r="E9" s="6">
        <f t="shared" si="0"/>
        <v>3.5681735581138021E-3</v>
      </c>
      <c r="F9" s="6">
        <f t="shared" si="1"/>
        <v>4.0523829505862002E-3</v>
      </c>
      <c r="G9" s="6">
        <f t="shared" si="2"/>
        <v>4.5365923430585979E-3</v>
      </c>
      <c r="H9" s="7">
        <f t="shared" si="3"/>
        <v>1.6140313082413265E-4</v>
      </c>
      <c r="I9" s="13"/>
      <c r="J9" s="13">
        <f>data0!B9</f>
        <v>3.9673456931410694E-3</v>
      </c>
      <c r="K9" s="13">
        <f>data0!C9</f>
        <v>4.0436408026245521E-3</v>
      </c>
      <c r="L9" s="13">
        <f>data0!D9</f>
        <v>4.0412565804531933E-3</v>
      </c>
      <c r="M9" s="13">
        <f>data0!E9</f>
        <v>4.2572671091783013E-3</v>
      </c>
      <c r="N9" s="13">
        <f>data0!F9</f>
        <v>4.0131227588311585E-3</v>
      </c>
      <c r="O9" s="13">
        <f>data0!G9</f>
        <v>3.7842374303807126E-3</v>
      </c>
      <c r="P9" s="96"/>
      <c r="Q9" s="13">
        <f>data0!I9</f>
        <v>4.1657129777981231E-3</v>
      </c>
      <c r="R9" s="13">
        <f>data0!J9</f>
        <v>4.1790646219577324E-3</v>
      </c>
      <c r="S9" s="13">
        <f>data0!K9</f>
        <v>3.9978637369344622E-3</v>
      </c>
      <c r="T9" s="13"/>
      <c r="U9" s="13">
        <f>data0!M9</f>
        <v>4.0741588464179449E-3</v>
      </c>
      <c r="V9" s="13"/>
      <c r="W9" s="13">
        <f>data0!O9</f>
        <v>4.4403753719386586E-3</v>
      </c>
      <c r="X9" s="13">
        <f>data0!P9</f>
        <v>4.1351949340047304E-3</v>
      </c>
      <c r="Y9" s="13">
        <f>data0!Q9</f>
        <v>4.1046768902113376E-3</v>
      </c>
      <c r="Z9" s="13"/>
      <c r="AA9" s="13">
        <f>data0!S9</f>
        <v>4.0741588464179449E-3</v>
      </c>
      <c r="AB9" s="13"/>
      <c r="AC9" s="13">
        <f>data0!U9</f>
        <v>4.1633287556267643E-3</v>
      </c>
      <c r="AD9" s="13">
        <f>data0!V9</f>
        <v>3.6469062333104449E-3</v>
      </c>
      <c r="AE9" s="13">
        <f>data0!W9</f>
        <v>4.1504539559014267E-3</v>
      </c>
      <c r="AF9" s="13"/>
      <c r="AG9" s="13">
        <f>data0!Y9</f>
        <v>3.9368276493476767E-3</v>
      </c>
      <c r="AH9" s="13">
        <f>data0!Z9</f>
        <v>4.1809719996948195E-3</v>
      </c>
      <c r="AI9" s="13">
        <f>data0!AA9</f>
        <v>3.9978637369344622E-3</v>
      </c>
      <c r="AJ9" s="13">
        <f>data0!AB9</f>
        <v>3.8452735179674985E-3</v>
      </c>
      <c r="AK9" s="13">
        <f>data0!AC9</f>
        <v>3.9368276493476767E-3</v>
      </c>
      <c r="AL9" s="13"/>
      <c r="AM9" s="13"/>
      <c r="AN9" s="13">
        <f>data0!AF9</f>
        <v>3.9978637369344622E-3</v>
      </c>
      <c r="AO9" s="13">
        <f>data0!AG9</f>
        <v>4.1227969787136646E-3</v>
      </c>
    </row>
    <row r="10" spans="1:45" s="19" customFormat="1">
      <c r="B10" s="120"/>
      <c r="C10" s="122"/>
      <c r="D10" s="51" t="s">
        <v>27</v>
      </c>
      <c r="E10" s="8">
        <f t="shared" si="0"/>
        <v>480.50707119552834</v>
      </c>
      <c r="F10" s="8">
        <f t="shared" si="1"/>
        <v>557.5665674830243</v>
      </c>
      <c r="G10" s="8">
        <f t="shared" si="2"/>
        <v>634.6260637705202</v>
      </c>
      <c r="H10" s="92">
        <f t="shared" si="3"/>
        <v>25.686498762498651</v>
      </c>
      <c r="I10" s="93"/>
      <c r="J10" s="46">
        <f>data0!B10</f>
        <v>546.41794460975052</v>
      </c>
      <c r="K10" s="46">
        <f>data0!C10</f>
        <v>517.33424887464707</v>
      </c>
      <c r="L10" s="46">
        <f>data0!D10</f>
        <v>544.31982909895476</v>
      </c>
      <c r="M10" s="46">
        <f>data0!E10</f>
        <v>587.06034943160137</v>
      </c>
      <c r="N10" s="46">
        <f>data0!F10</f>
        <v>542.28274967574578</v>
      </c>
      <c r="O10" s="46">
        <f>data0!G10</f>
        <v>517.66994735637445</v>
      </c>
      <c r="P10" s="95"/>
      <c r="Q10" s="46">
        <f>data0!I10</f>
        <v>574.9980926222629</v>
      </c>
      <c r="R10" s="46">
        <f>data0!J10</f>
        <v>569.53536278324555</v>
      </c>
      <c r="S10" s="46">
        <f>data0!K10</f>
        <v>552.84962233920805</v>
      </c>
      <c r="T10" s="46"/>
      <c r="U10" s="46">
        <f>data0!M10</f>
        <v>564.42359044785223</v>
      </c>
      <c r="V10" s="46"/>
      <c r="W10" s="46">
        <f>data0!O10</f>
        <v>611.09330891889829</v>
      </c>
      <c r="X10" s="46">
        <f>data0!P10</f>
        <v>570.20675974670019</v>
      </c>
      <c r="Y10" s="46">
        <f>data0!Q10</f>
        <v>547.82177462424659</v>
      </c>
      <c r="Z10" s="46"/>
      <c r="AA10" s="46">
        <f>data0!S10</f>
        <v>542.00045777065691</v>
      </c>
      <c r="AB10" s="46"/>
      <c r="AC10" s="46">
        <f>data0!U10</f>
        <v>569.10048065918977</v>
      </c>
      <c r="AD10" s="46">
        <f>data0!V10</f>
        <v>494.72800793469139</v>
      </c>
      <c r="AE10" s="46">
        <f>data0!W10</f>
        <v>566.28519111924925</v>
      </c>
      <c r="AF10" s="46"/>
      <c r="AG10" s="46">
        <f>data0!Y10</f>
        <v>560.45624475471118</v>
      </c>
      <c r="AH10" s="46">
        <f>data0!Z10</f>
        <v>571.58007171740292</v>
      </c>
      <c r="AI10" s="46">
        <f>data0!AA10</f>
        <v>583.21507591363388</v>
      </c>
      <c r="AJ10" s="46">
        <f>data0!AB10</f>
        <v>594.00320439459824</v>
      </c>
      <c r="AK10" s="46">
        <f>data0!AC10</f>
        <v>540.68055237659269</v>
      </c>
      <c r="AL10" s="46"/>
      <c r="AM10" s="46"/>
      <c r="AN10" s="46">
        <f>data0!AF10</f>
        <v>551.82726787212937</v>
      </c>
      <c r="AO10" s="46">
        <f>data0!AG10</f>
        <v>561.70748455024034</v>
      </c>
    </row>
    <row r="11" spans="1:45" s="19" customFormat="1">
      <c r="B11" s="81"/>
      <c r="C11" s="123"/>
      <c r="D11" s="90">
        <f>D3</f>
        <v>850</v>
      </c>
      <c r="E11" s="8">
        <f t="shared" si="0"/>
        <v>493.35401172022432</v>
      </c>
      <c r="F11" s="8">
        <f t="shared" si="1"/>
        <v>552.25730207777019</v>
      </c>
      <c r="G11" s="8">
        <f t="shared" si="2"/>
        <v>611.16059243531606</v>
      </c>
      <c r="H11" s="9">
        <f t="shared" si="3"/>
        <v>19.63443011918196</v>
      </c>
      <c r="I11" s="46"/>
      <c r="J11" s="44">
        <f>data0!B12</f>
        <v>517.98466468299375</v>
      </c>
      <c r="K11" s="44">
        <f>data0!C12</f>
        <v>525.9594110017548</v>
      </c>
      <c r="L11" s="44">
        <f>data0!D12</f>
        <v>540.87129015030132</v>
      </c>
      <c r="M11" s="44">
        <f>data0!E12</f>
        <v>579.15236133363851</v>
      </c>
      <c r="N11" s="44">
        <f>data0!F12</f>
        <v>538.46227206836045</v>
      </c>
      <c r="O11" s="44">
        <f>data0!G12</f>
        <v>517.4830243381399</v>
      </c>
      <c r="P11" s="97"/>
      <c r="Q11" s="44">
        <f>data0!I12</f>
        <v>564.21187151903564</v>
      </c>
      <c r="R11" s="44">
        <f>data0!J12</f>
        <v>565.06637674525064</v>
      </c>
      <c r="S11" s="44">
        <f>data0!K12</f>
        <v>550.34332799267565</v>
      </c>
      <c r="T11" s="44"/>
      <c r="U11" s="44">
        <f>data0!M12</f>
        <v>559.35568780041194</v>
      </c>
      <c r="V11" s="44"/>
      <c r="W11" s="44">
        <f>data0!O12</f>
        <v>589.77836270695047</v>
      </c>
      <c r="X11" s="44">
        <f>data0!P12</f>
        <v>558.47829404135189</v>
      </c>
      <c r="Y11" s="44">
        <f>data0!Q12</f>
        <v>551.08529793240257</v>
      </c>
      <c r="Z11" s="44"/>
      <c r="AA11" s="44">
        <f>data0!S12</f>
        <v>547.95910582131683</v>
      </c>
      <c r="AB11" s="44"/>
      <c r="AC11" s="44">
        <f>data0!U12</f>
        <v>563.09224078736554</v>
      </c>
      <c r="AD11" s="44">
        <f>data0!V12</f>
        <v>520.16861219195846</v>
      </c>
      <c r="AE11" s="44">
        <f>data0!W12</f>
        <v>568.18493934538799</v>
      </c>
      <c r="AF11" s="44"/>
      <c r="AG11" s="44">
        <f>data0!Y12</f>
        <v>568.95170519569695</v>
      </c>
      <c r="AH11" s="44">
        <f>data0!Z12</f>
        <v>573.25665674830236</v>
      </c>
      <c r="AI11" s="44">
        <f>data0!AA12</f>
        <v>553.16815442130155</v>
      </c>
      <c r="AJ11" s="44">
        <f>data0!AB12</f>
        <v>570.29640650034332</v>
      </c>
      <c r="AK11" s="44">
        <f>data0!AC12</f>
        <v>531.16083009079114</v>
      </c>
      <c r="AL11" s="44"/>
      <c r="AM11" s="44"/>
      <c r="AN11" s="44">
        <f>data0!AF12</f>
        <v>546.9119554436561</v>
      </c>
      <c r="AO11" s="44">
        <f>data0!AG12</f>
        <v>552.79240100709546</v>
      </c>
    </row>
    <row r="12" spans="1:45">
      <c r="B12" s="126" t="s">
        <v>21</v>
      </c>
      <c r="C12" s="121" t="s">
        <v>6</v>
      </c>
      <c r="D12" s="50" t="s">
        <v>27</v>
      </c>
      <c r="E12" s="8">
        <f t="shared" si="0"/>
        <v>493.35401172022432</v>
      </c>
      <c r="F12" s="8">
        <f t="shared" si="1"/>
        <v>552.25730207777019</v>
      </c>
      <c r="G12" s="8">
        <f t="shared" si="2"/>
        <v>611.16059243531606</v>
      </c>
      <c r="H12" s="9">
        <f t="shared" si="3"/>
        <v>19.63443011918196</v>
      </c>
      <c r="I12" s="38"/>
      <c r="J12" s="46">
        <f>data0!B12</f>
        <v>517.98466468299375</v>
      </c>
      <c r="K12" s="46">
        <f>data0!C12</f>
        <v>525.9594110017548</v>
      </c>
      <c r="L12" s="46">
        <f>data0!D12</f>
        <v>540.87129015030132</v>
      </c>
      <c r="M12" s="46">
        <f>data0!E12</f>
        <v>579.15236133363851</v>
      </c>
      <c r="N12" s="46">
        <f>data0!F12</f>
        <v>538.46227206836045</v>
      </c>
      <c r="O12" s="46">
        <f>data0!G12</f>
        <v>517.4830243381399</v>
      </c>
      <c r="P12" s="95"/>
      <c r="Q12" s="46">
        <f>data0!I12</f>
        <v>564.21187151903564</v>
      </c>
      <c r="R12" s="46">
        <f>data0!J12</f>
        <v>565.06637674525064</v>
      </c>
      <c r="S12" s="46">
        <f>data0!K12</f>
        <v>550.34332799267565</v>
      </c>
      <c r="T12" s="46"/>
      <c r="U12" s="46">
        <f>data0!M12</f>
        <v>559.35568780041194</v>
      </c>
      <c r="V12" s="46"/>
      <c r="W12" s="46">
        <f>data0!O12</f>
        <v>589.77836270695047</v>
      </c>
      <c r="X12" s="46">
        <f>data0!P12</f>
        <v>558.47829404135189</v>
      </c>
      <c r="Y12" s="46">
        <f>data0!Q12</f>
        <v>551.08529793240257</v>
      </c>
      <c r="Z12" s="46"/>
      <c r="AA12" s="46">
        <f>data0!S12</f>
        <v>547.95910582131683</v>
      </c>
      <c r="AB12" s="46"/>
      <c r="AC12" s="46">
        <f>data0!U12</f>
        <v>563.09224078736554</v>
      </c>
      <c r="AD12" s="46">
        <f>data0!V12</f>
        <v>520.16861219195846</v>
      </c>
      <c r="AE12" s="46">
        <f>data0!W12</f>
        <v>568.18493934538799</v>
      </c>
      <c r="AF12" s="46"/>
      <c r="AG12" s="46">
        <f>data0!Y12</f>
        <v>568.95170519569695</v>
      </c>
      <c r="AH12" s="46">
        <f>data0!Z12</f>
        <v>573.25665674830236</v>
      </c>
      <c r="AI12" s="46">
        <f>data0!AA12</f>
        <v>553.16815442130155</v>
      </c>
      <c r="AJ12" s="46">
        <f>data0!AB12</f>
        <v>570.29640650034332</v>
      </c>
      <c r="AK12" s="46">
        <f>data0!AC12</f>
        <v>531.16083009079114</v>
      </c>
      <c r="AL12" s="46"/>
      <c r="AM12" s="46"/>
      <c r="AN12" s="46">
        <f>data0!AF12</f>
        <v>546.9119554436561</v>
      </c>
      <c r="AO12" s="46">
        <f>data0!AG12</f>
        <v>552.79240100709546</v>
      </c>
      <c r="AP12" s="19"/>
      <c r="AQ12" s="19"/>
      <c r="AR12" s="19"/>
      <c r="AS12" s="19"/>
    </row>
    <row r="13" spans="1:45">
      <c r="B13" s="120"/>
      <c r="C13" s="122"/>
      <c r="D13" s="90">
        <f>D11</f>
        <v>850</v>
      </c>
      <c r="E13" s="8">
        <f t="shared" si="0"/>
        <v>493.29590250673255</v>
      </c>
      <c r="F13" s="8">
        <f t="shared" si="1"/>
        <v>552.1272824953586</v>
      </c>
      <c r="G13" s="8">
        <f t="shared" si="2"/>
        <v>610.95866248398465</v>
      </c>
      <c r="H13" s="9">
        <f t="shared" si="3"/>
        <v>19.610459996208689</v>
      </c>
      <c r="I13" s="83"/>
      <c r="J13" s="46">
        <f>data0!B13</f>
        <v>517.93888761730375</v>
      </c>
      <c r="K13" s="46">
        <f>data0!C13</f>
        <v>525.84496833752951</v>
      </c>
      <c r="L13" s="46">
        <f>data0!D13</f>
        <v>540.74731059739065</v>
      </c>
      <c r="M13" s="46">
        <f>data0!E13</f>
        <v>579.02075226977945</v>
      </c>
      <c r="N13" s="46">
        <f>data0!F13</f>
        <v>538.37262531471731</v>
      </c>
      <c r="O13" s="46">
        <f>data0!G13</f>
        <v>517.42389562829021</v>
      </c>
      <c r="P13" s="95"/>
      <c r="Q13" s="46">
        <f>data0!I13</f>
        <v>564.05165178912034</v>
      </c>
      <c r="R13" s="46">
        <f>data0!J13</f>
        <v>564.94621194781416</v>
      </c>
      <c r="S13" s="46">
        <f>data0!K13</f>
        <v>550.20218204013122</v>
      </c>
      <c r="T13" s="46"/>
      <c r="U13" s="46">
        <f>data0!M13</f>
        <v>559.20309758144504</v>
      </c>
      <c r="V13" s="46"/>
      <c r="W13" s="46">
        <f>data0!O13</f>
        <v>589.57999542229345</v>
      </c>
      <c r="X13" s="46">
        <f>data0!P13</f>
        <v>558.29709315632863</v>
      </c>
      <c r="Y13" s="46">
        <f>data0!Q13</f>
        <v>550.89265278095672</v>
      </c>
      <c r="Z13" s="46"/>
      <c r="AA13" s="46">
        <f>data0!S13</f>
        <v>547.84084840161745</v>
      </c>
      <c r="AB13" s="46"/>
      <c r="AC13" s="46">
        <f>data0!U13</f>
        <v>562.9549095902953</v>
      </c>
      <c r="AD13" s="46">
        <f>data0!V13</f>
        <v>520.05607690547038</v>
      </c>
      <c r="AE13" s="46">
        <f>data0!W13</f>
        <v>568.08003356984818</v>
      </c>
      <c r="AF13" s="46"/>
      <c r="AG13" s="46">
        <f>data0!Y13</f>
        <v>568.84679942015714</v>
      </c>
      <c r="AH13" s="46">
        <f>data0!Z13</f>
        <v>573.09643701838706</v>
      </c>
      <c r="AI13" s="46">
        <f>data0!AA13</f>
        <v>553.03654535744261</v>
      </c>
      <c r="AJ13" s="46">
        <f>data0!AB13</f>
        <v>570.12283512626834</v>
      </c>
      <c r="AK13" s="46">
        <f>data0!AC13</f>
        <v>531.03685053788047</v>
      </c>
      <c r="AL13" s="46"/>
      <c r="AM13" s="46"/>
      <c r="AN13" s="46">
        <f>data0!AF13</f>
        <v>546.7498283360037</v>
      </c>
      <c r="AO13" s="46">
        <f>data0!AG13</f>
        <v>552.71229114213781</v>
      </c>
      <c r="AP13" s="19"/>
      <c r="AQ13" s="19"/>
      <c r="AR13" s="19"/>
      <c r="AS13" s="19"/>
    </row>
    <row r="14" spans="1:45" s="5" customFormat="1">
      <c r="A14" s="19"/>
      <c r="B14" s="120"/>
      <c r="C14" s="123"/>
      <c r="D14" s="52" t="s">
        <v>19</v>
      </c>
      <c r="E14" s="6">
        <f t="shared" si="0"/>
        <v>3.5682020401173499E-3</v>
      </c>
      <c r="F14" s="6">
        <f t="shared" si="1"/>
        <v>4.0427069822741024E-3</v>
      </c>
      <c r="G14" s="6">
        <f t="shared" si="2"/>
        <v>4.5172119244308549E-3</v>
      </c>
      <c r="H14" s="7">
        <f t="shared" si="3"/>
        <v>1.5816831405225087E-4</v>
      </c>
      <c r="I14" s="13"/>
      <c r="J14" s="13">
        <f>data0!B14</f>
        <v>3.9621004043640801E-3</v>
      </c>
      <c r="K14" s="13">
        <f>data0!C14</f>
        <v>4.0283817807278549E-3</v>
      </c>
      <c r="L14" s="13">
        <f>data0!D14</f>
        <v>4.0283817807278549E-3</v>
      </c>
      <c r="M14" s="13">
        <f>data0!E14</f>
        <v>4.2420080872816049E-3</v>
      </c>
      <c r="N14" s="13">
        <f>data0!F14</f>
        <v>3.9978637369344622E-3</v>
      </c>
      <c r="O14" s="13">
        <f>data0!G14</f>
        <v>3.7842374303807126E-3</v>
      </c>
      <c r="P14" s="96"/>
      <c r="Q14" s="13">
        <f>data0!I14</f>
        <v>4.1504539559014267E-3</v>
      </c>
      <c r="R14" s="13">
        <f>data0!J14</f>
        <v>4.1657129777981231E-3</v>
      </c>
      <c r="S14" s="13">
        <f>data0!K14</f>
        <v>3.9826047150377658E-3</v>
      </c>
      <c r="T14" s="13"/>
      <c r="U14" s="13">
        <f>data0!M14</f>
        <v>4.0741588464179449E-3</v>
      </c>
      <c r="V14" s="13"/>
      <c r="W14" s="13">
        <f>data0!O14</f>
        <v>4.4251163500419622E-3</v>
      </c>
      <c r="X14" s="13">
        <f>data0!P14</f>
        <v>4.119935912108034E-3</v>
      </c>
      <c r="Y14" s="13">
        <f>data0!Q14</f>
        <v>4.0894178683146412E-3</v>
      </c>
      <c r="Z14" s="13"/>
      <c r="AA14" s="13">
        <f>data0!S14</f>
        <v>4.0741588464179449E-3</v>
      </c>
      <c r="AB14" s="13"/>
      <c r="AC14" s="13">
        <f>data0!U14</f>
        <v>4.1504539559014267E-3</v>
      </c>
      <c r="AD14" s="13">
        <f>data0!V14</f>
        <v>3.6469062333104449E-3</v>
      </c>
      <c r="AE14" s="13">
        <f>data0!W14</f>
        <v>4.1351949340047304E-3</v>
      </c>
      <c r="AF14" s="13"/>
      <c r="AG14" s="13">
        <f>data0!Y14</f>
        <v>3.9368276493476767E-3</v>
      </c>
      <c r="AH14" s="13">
        <f>data0!Z14</f>
        <v>4.1657129777981231E-3</v>
      </c>
      <c r="AI14" s="13">
        <f>data0!AA14</f>
        <v>3.9959563591973751E-3</v>
      </c>
      <c r="AJ14" s="13">
        <f>data0!AB14</f>
        <v>3.8300144960708017E-3</v>
      </c>
      <c r="AK14" s="13">
        <f>data0!AC14</f>
        <v>3.9215686274509803E-3</v>
      </c>
      <c r="AL14" s="13"/>
      <c r="AM14" s="13"/>
      <c r="AN14" s="13">
        <f>data0!AF14</f>
        <v>3.9978637369344622E-3</v>
      </c>
      <c r="AO14" s="13">
        <f>data0!AG14</f>
        <v>4.119935912108034E-3</v>
      </c>
    </row>
    <row r="15" spans="1:45" s="5" customFormat="1">
      <c r="A15" s="19"/>
      <c r="B15" s="120"/>
      <c r="C15" s="124" t="s">
        <v>7</v>
      </c>
      <c r="D15" s="52" t="s">
        <v>19</v>
      </c>
      <c r="E15" s="6">
        <f t="shared" si="0"/>
        <v>5.028549873698767E-2</v>
      </c>
      <c r="F15" s="6">
        <f t="shared" si="1"/>
        <v>5.57037945690598E-2</v>
      </c>
      <c r="G15" s="6">
        <f t="shared" si="2"/>
        <v>6.112209040113193E-2</v>
      </c>
      <c r="H15" s="7">
        <f t="shared" si="3"/>
        <v>1.8060986106907106E-3</v>
      </c>
      <c r="I15" s="13"/>
      <c r="J15" s="13">
        <f>data0!B15</f>
        <v>5.4084172579537654E-2</v>
      </c>
      <c r="K15" s="13">
        <f>data0!C15</f>
        <v>5.5017357137407491E-2</v>
      </c>
      <c r="L15" s="13">
        <f>data0!D15</f>
        <v>5.4875257495994506E-2</v>
      </c>
      <c r="M15" s="13">
        <f>data0!E15</f>
        <v>5.7569905394064237E-2</v>
      </c>
      <c r="N15" s="13">
        <f>data0!F15</f>
        <v>5.5600061036087584E-2</v>
      </c>
      <c r="O15" s="13">
        <f>data0!G15</f>
        <v>5.392061493858244E-2</v>
      </c>
      <c r="P15" s="96"/>
      <c r="Q15" s="13">
        <f>data0!I15</f>
        <v>5.7045853360799571E-2</v>
      </c>
      <c r="R15" s="13">
        <f>data0!J15</f>
        <v>5.711308842603189E-2</v>
      </c>
      <c r="S15" s="13">
        <f>data0!K15</f>
        <v>5.5183775844968336E-2</v>
      </c>
      <c r="T15" s="13"/>
      <c r="U15" s="13">
        <f>data0!M15</f>
        <v>5.6532291905088884E-2</v>
      </c>
      <c r="V15" s="13"/>
      <c r="W15" s="13">
        <f>data0!O15</f>
        <v>6.0257877470054171E-2</v>
      </c>
      <c r="X15" s="13">
        <f>data0!P15</f>
        <v>5.6303406576638439E-2</v>
      </c>
      <c r="Y15" s="13">
        <f>data0!Q15</f>
        <v>5.5500877393759057E-2</v>
      </c>
      <c r="Z15" s="13"/>
      <c r="AA15" s="13">
        <f>data0!S15</f>
        <v>5.6445506218051424E-2</v>
      </c>
      <c r="AB15" s="13"/>
      <c r="AC15" s="13">
        <f>data0!U15</f>
        <v>5.712930113679713E-2</v>
      </c>
      <c r="AD15" s="13">
        <f>data0!V15</f>
        <v>5.3009842069123368E-2</v>
      </c>
      <c r="AE15" s="13">
        <f>data0!W15</f>
        <v>5.6285286488136112E-2</v>
      </c>
      <c r="AF15" s="13"/>
      <c r="AG15" s="13">
        <f>data0!Y15</f>
        <v>5.6146047913328757E-2</v>
      </c>
      <c r="AH15" s="13">
        <f>data0!Z15</f>
        <v>5.6186102845807585E-2</v>
      </c>
      <c r="AI15" s="13">
        <f>data0!AA15</f>
        <v>5.4194323643854431E-2</v>
      </c>
      <c r="AJ15" s="13">
        <f>data0!AB15</f>
        <v>5.0766765850308995E-2</v>
      </c>
      <c r="AK15" s="13">
        <f>data0!AC15</f>
        <v>5.4975394827191576E-2</v>
      </c>
      <c r="AL15" s="13"/>
      <c r="AM15" s="13"/>
      <c r="AN15" s="13">
        <f>data0!AF15</f>
        <v>5.6365873197528039E-2</v>
      </c>
      <c r="AO15" s="13">
        <f>data0!AG15</f>
        <v>5.6382085908293279E-2</v>
      </c>
    </row>
    <row r="16" spans="1:45" s="19" customFormat="1">
      <c r="B16" s="120"/>
      <c r="C16" s="125"/>
      <c r="D16" s="51" t="s">
        <v>27</v>
      </c>
      <c r="E16" s="8">
        <f t="shared" si="0"/>
        <v>367.26278336868381</v>
      </c>
      <c r="F16" s="8">
        <f t="shared" si="1"/>
        <v>522.93621728847177</v>
      </c>
      <c r="G16" s="8">
        <f t="shared" si="2"/>
        <v>678.60965120825972</v>
      </c>
      <c r="H16" s="9">
        <f t="shared" si="3"/>
        <v>51.891144639929323</v>
      </c>
      <c r="I16" s="44"/>
      <c r="J16" s="44">
        <f>data0!B16</f>
        <v>399.38200961318381</v>
      </c>
      <c r="K16" s="44">
        <f>data0!C16</f>
        <v>459.01045242999925</v>
      </c>
      <c r="L16" s="44">
        <f>data0!D16</f>
        <v>499.8664835584039</v>
      </c>
      <c r="M16" s="44">
        <f>data0!E16</f>
        <v>564.74784466315703</v>
      </c>
      <c r="N16" s="44">
        <f>data0!F16</f>
        <v>508.10635538261994</v>
      </c>
      <c r="O16" s="44">
        <f>data0!G16</f>
        <v>417.63179980163272</v>
      </c>
      <c r="P16" s="97"/>
      <c r="Q16" s="44">
        <f>data0!I16</f>
        <v>542.23506523231856</v>
      </c>
      <c r="R16" s="44">
        <f>data0!J16</f>
        <v>549.02914473182273</v>
      </c>
      <c r="S16" s="44">
        <f>data0!K16</f>
        <v>536.64644846265355</v>
      </c>
      <c r="T16" s="44"/>
      <c r="U16" s="44">
        <f>data0!M16</f>
        <v>530.37499046311132</v>
      </c>
      <c r="V16" s="44"/>
      <c r="W16" s="44">
        <f>data0!O16</f>
        <v>568.19256885633627</v>
      </c>
      <c r="X16" s="44">
        <f>data0!P16</f>
        <v>498.60379949645227</v>
      </c>
      <c r="Y16" s="44">
        <f>data0!Q16</f>
        <v>525.22697795071338</v>
      </c>
      <c r="Z16" s="44"/>
      <c r="AA16" s="44">
        <f>data0!S16</f>
        <v>555.42648966201261</v>
      </c>
      <c r="AB16" s="44"/>
      <c r="AC16" s="44">
        <f>data0!U16</f>
        <v>522.3830777447165</v>
      </c>
      <c r="AD16" s="44">
        <f>data0!V16</f>
        <v>477.8000305180438</v>
      </c>
      <c r="AE16" s="44">
        <f>data0!W16</f>
        <v>535.41046768902117</v>
      </c>
      <c r="AF16" s="44"/>
      <c r="AG16" s="44">
        <f>data0!Y16</f>
        <v>530.10414282444492</v>
      </c>
      <c r="AH16" s="44">
        <f>data0!Z16</f>
        <v>554.28969253070875</v>
      </c>
      <c r="AI16" s="44">
        <f>data0!AA16</f>
        <v>631.46601052872506</v>
      </c>
      <c r="AJ16" s="44">
        <f>data0!AB16</f>
        <v>612.4704356450751</v>
      </c>
      <c r="AK16" s="44">
        <f>data0!AC16</f>
        <v>529.05699244678419</v>
      </c>
      <c r="AL16" s="44"/>
      <c r="AM16" s="44"/>
      <c r="AN16" s="44">
        <f>data0!AF16</f>
        <v>498.87083237964447</v>
      </c>
      <c r="AO16" s="44">
        <f>data0!AG16</f>
        <v>504.13710231174178</v>
      </c>
    </row>
    <row r="17" spans="1:45">
      <c r="B17" s="126" t="s">
        <v>14</v>
      </c>
      <c r="C17" s="124" t="s">
        <v>7</v>
      </c>
      <c r="D17" s="50" t="s">
        <v>27</v>
      </c>
      <c r="E17" s="8">
        <f t="shared" si="0"/>
        <v>347.31095507250427</v>
      </c>
      <c r="F17" s="8">
        <f t="shared" si="1"/>
        <v>513.3216824343225</v>
      </c>
      <c r="G17" s="8">
        <f t="shared" si="2"/>
        <v>679.33240979614072</v>
      </c>
      <c r="H17" s="9">
        <f t="shared" si="3"/>
        <v>55.336909120606073</v>
      </c>
      <c r="I17" s="38"/>
      <c r="J17" s="42">
        <f>data0!B17</f>
        <v>482.57944228274965</v>
      </c>
      <c r="K17" s="42">
        <f>data0!C17</f>
        <v>537.0412756542305</v>
      </c>
      <c r="L17" s="42">
        <f>data0!D17</f>
        <v>525.86642633707174</v>
      </c>
      <c r="M17" s="42">
        <f>data0!E17</f>
        <v>537.51335164415957</v>
      </c>
      <c r="N17" s="42">
        <f>data0!F17</f>
        <v>521.11037994964522</v>
      </c>
      <c r="O17" s="42">
        <f>data0!G17</f>
        <v>495.87529564354924</v>
      </c>
      <c r="P17" s="94"/>
      <c r="Q17" s="42">
        <f>data0!I17</f>
        <v>554.16380560006098</v>
      </c>
      <c r="R17" s="42">
        <f>data0!J17</f>
        <v>523.60666056305786</v>
      </c>
      <c r="S17" s="42">
        <f>data0!K17</f>
        <v>527.21065079728385</v>
      </c>
      <c r="T17" s="42"/>
      <c r="U17" s="42">
        <f>data0!M17</f>
        <v>498.60713740749219</v>
      </c>
      <c r="V17" s="42"/>
      <c r="W17" s="42">
        <f>data0!O17</f>
        <v>622.05882352941171</v>
      </c>
      <c r="X17" s="42">
        <f>data0!P17</f>
        <v>303.39608606088348</v>
      </c>
      <c r="Y17" s="42">
        <f>data0!Q17</f>
        <v>513.65491721980618</v>
      </c>
      <c r="Z17" s="42"/>
      <c r="AA17" s="42">
        <f>data0!S17</f>
        <v>525.24462119478142</v>
      </c>
      <c r="AB17" s="42"/>
      <c r="AC17" s="42">
        <f>data0!U17</f>
        <v>564.58762493324173</v>
      </c>
      <c r="AD17" s="42">
        <f>data0!V17</f>
        <v>509.21501869230178</v>
      </c>
      <c r="AE17" s="42">
        <f>data0!W17</f>
        <v>536.01892118715193</v>
      </c>
      <c r="AF17" s="42"/>
      <c r="AG17" s="42">
        <f>data0!Y17</f>
        <v>524.00291828793775</v>
      </c>
      <c r="AH17" s="42">
        <f>data0!Z17</f>
        <v>541.80971999694816</v>
      </c>
      <c r="AI17" s="42">
        <f>data0!AA17</f>
        <v>492.51640344853894</v>
      </c>
      <c r="AJ17" s="42">
        <f>data0!AB17</f>
        <v>523.90659571221488</v>
      </c>
      <c r="AK17" s="42">
        <f>data0!AC17</f>
        <v>500.44394216830699</v>
      </c>
      <c r="AL17" s="42"/>
      <c r="AM17" s="42"/>
      <c r="AN17" s="42">
        <f>data0!AF17</f>
        <v>444.06614785992218</v>
      </c>
      <c r="AO17" s="42">
        <f>data0!AG17</f>
        <v>515.22421225299456</v>
      </c>
      <c r="AP17" s="19"/>
      <c r="AQ17" s="19"/>
      <c r="AR17" s="19"/>
      <c r="AS17" s="19"/>
    </row>
    <row r="18" spans="1:45" s="5" customFormat="1">
      <c r="A18" s="19"/>
      <c r="B18" s="120"/>
      <c r="C18" s="125"/>
      <c r="D18" s="52" t="s">
        <v>19</v>
      </c>
      <c r="E18" s="6">
        <f t="shared" si="0"/>
        <v>5.028504981910125E-2</v>
      </c>
      <c r="F18" s="6">
        <f t="shared" si="1"/>
        <v>5.5714364620686165E-2</v>
      </c>
      <c r="G18" s="6">
        <f t="shared" si="2"/>
        <v>6.1143679422271079E-2</v>
      </c>
      <c r="H18" s="7">
        <f t="shared" si="3"/>
        <v>1.8097716005283048E-3</v>
      </c>
      <c r="I18" s="13"/>
      <c r="J18" s="13">
        <f>data0!B18</f>
        <v>5.4123273823147938E-2</v>
      </c>
      <c r="K18" s="13">
        <f>data0!C18</f>
        <v>5.5033569848172731E-2</v>
      </c>
      <c r="L18" s="13">
        <f>data0!D18</f>
        <v>5.4889085984588387E-2</v>
      </c>
      <c r="M18" s="13">
        <f>data0!E18</f>
        <v>5.7583733882658118E-2</v>
      </c>
      <c r="N18" s="13">
        <f>data0!F18</f>
        <v>5.5591477836270692E-2</v>
      </c>
      <c r="O18" s="13">
        <f>data0!G18</f>
        <v>5.3943026626993212E-2</v>
      </c>
      <c r="P18" s="96"/>
      <c r="Q18" s="13">
        <f>data0!I18</f>
        <v>5.7038223849851223E-2</v>
      </c>
      <c r="R18" s="13">
        <f>data0!J18</f>
        <v>5.7127870603494314E-2</v>
      </c>
      <c r="S18" s="13">
        <f>data0!K18</f>
        <v>5.519855802243076E-2</v>
      </c>
      <c r="T18" s="13"/>
      <c r="U18" s="13">
        <f>data0!M18</f>
        <v>5.6541351949340048E-2</v>
      </c>
      <c r="V18" s="13"/>
      <c r="W18" s="13">
        <f>data0!O18</f>
        <v>6.0286964980544748E-2</v>
      </c>
      <c r="X18" s="13">
        <f>data0!P18</f>
        <v>5.632534142061494E-2</v>
      </c>
      <c r="Y18" s="13">
        <f>data0!Q18</f>
        <v>5.5513752193484395E-2</v>
      </c>
      <c r="Z18" s="13"/>
      <c r="AA18" s="13">
        <f>data0!S18</f>
        <v>5.6449320973525598E-2</v>
      </c>
      <c r="AB18" s="13"/>
      <c r="AC18" s="13">
        <f>data0!U18</f>
        <v>5.7141699092088195E-2</v>
      </c>
      <c r="AD18" s="13">
        <f>data0!V18</f>
        <v>5.2994583047226672E-2</v>
      </c>
      <c r="AE18" s="13">
        <f>data0!W18</f>
        <v>5.6305790798809797E-2</v>
      </c>
      <c r="AF18" s="13"/>
      <c r="AG18" s="13">
        <f>data0!Y18</f>
        <v>5.614414053559167E-2</v>
      </c>
      <c r="AH18" s="13">
        <f>data0!Z18</f>
        <v>5.6220912489509424E-2</v>
      </c>
      <c r="AI18" s="13">
        <f>data0!AA18</f>
        <v>5.418860151064317E-2</v>
      </c>
      <c r="AJ18" s="13">
        <f>data0!AB18</f>
        <v>5.0766765850308995E-2</v>
      </c>
      <c r="AK18" s="13">
        <f>data0!AC18</f>
        <v>5.4983024338139924E-2</v>
      </c>
      <c r="AL18" s="13"/>
      <c r="AM18" s="13"/>
      <c r="AN18" s="13">
        <f>data0!AF18</f>
        <v>5.6371595330739301E-2</v>
      </c>
      <c r="AO18" s="13">
        <f>data0!AG18</f>
        <v>5.6382085908293279E-2</v>
      </c>
    </row>
    <row r="19" spans="1:45" s="5" customFormat="1">
      <c r="A19" s="19"/>
      <c r="B19" s="120"/>
      <c r="C19" s="121" t="s">
        <v>6</v>
      </c>
      <c r="D19" s="52" t="s">
        <v>19</v>
      </c>
      <c r="E19" s="6">
        <f t="shared" si="0"/>
        <v>3.5709584997663966E-3</v>
      </c>
      <c r="F19" s="6">
        <f t="shared" si="1"/>
        <v>4.0534757190814064E-3</v>
      </c>
      <c r="G19" s="6">
        <f t="shared" si="2"/>
        <v>4.5359929383964161E-3</v>
      </c>
      <c r="H19" s="7">
        <f t="shared" si="3"/>
        <v>1.6083907310500322E-4</v>
      </c>
      <c r="I19" s="13"/>
      <c r="J19" s="13">
        <f>data0!B19</f>
        <v>3.9673456931410694E-3</v>
      </c>
      <c r="K19" s="13">
        <f>data0!C19</f>
        <v>4.0436408026245521E-3</v>
      </c>
      <c r="L19" s="13">
        <f>data0!D19</f>
        <v>4.0436408026245521E-3</v>
      </c>
      <c r="M19" s="13">
        <f>data0!E19</f>
        <v>4.2572671091783013E-3</v>
      </c>
      <c r="N19" s="13">
        <f>data0!F19</f>
        <v>4.0131227588311585E-3</v>
      </c>
      <c r="O19" s="13">
        <f>data0!G19</f>
        <v>3.7947280079346913E-3</v>
      </c>
      <c r="P19" s="96"/>
      <c r="Q19" s="13">
        <f>data0!I19</f>
        <v>4.1657129777981231E-3</v>
      </c>
      <c r="R19" s="13">
        <f>data0!J19</f>
        <v>4.1804951552605477E-3</v>
      </c>
      <c r="S19" s="13">
        <f>data0!K19</f>
        <v>3.9978637369344622E-3</v>
      </c>
      <c r="T19" s="13"/>
      <c r="U19" s="13">
        <f>data0!M19</f>
        <v>4.0808346684977495E-3</v>
      </c>
      <c r="V19" s="13"/>
      <c r="W19" s="13">
        <f>data0!O19</f>
        <v>4.4403753719386586E-3</v>
      </c>
      <c r="X19" s="13">
        <f>data0!P19</f>
        <v>4.1351949340047304E-3</v>
      </c>
      <c r="Y19" s="13">
        <f>data0!Q19</f>
        <v>4.1046768902113376E-3</v>
      </c>
      <c r="Z19" s="13"/>
      <c r="AA19" s="13">
        <f>data0!S19</f>
        <v>4.0765430685893037E-3</v>
      </c>
      <c r="AB19" s="13"/>
      <c r="AC19" s="13">
        <f>data0!U19</f>
        <v>4.1657129777981231E-3</v>
      </c>
      <c r="AD19" s="13">
        <f>data0!V19</f>
        <v>3.6469062333104449E-3</v>
      </c>
      <c r="AE19" s="13">
        <f>data0!W19</f>
        <v>4.1504539559014267E-3</v>
      </c>
      <c r="AF19" s="13"/>
      <c r="AG19" s="13">
        <f>data0!Y19</f>
        <v>3.9368276493476767E-3</v>
      </c>
      <c r="AH19" s="13">
        <f>data0!Z19</f>
        <v>4.1809719996948195E-3</v>
      </c>
      <c r="AI19" s="13">
        <f>data0!AA19</f>
        <v>3.9978637369344622E-3</v>
      </c>
      <c r="AJ19" s="13">
        <f>data0!AB19</f>
        <v>3.8452735179674985E-3</v>
      </c>
      <c r="AK19" s="13">
        <f>data0!AC19</f>
        <v>3.9368276493476767E-3</v>
      </c>
      <c r="AL19" s="13"/>
      <c r="AM19" s="13"/>
      <c r="AN19" s="13">
        <f>data0!AF19</f>
        <v>3.9978637369344622E-3</v>
      </c>
      <c r="AO19" s="13">
        <f>data0!AG19</f>
        <v>4.1232738231479363E-3</v>
      </c>
    </row>
    <row r="20" spans="1:45" s="19" customFormat="1">
      <c r="B20" s="120"/>
      <c r="C20" s="122"/>
      <c r="D20" s="51" t="s">
        <v>27</v>
      </c>
      <c r="E20" s="8">
        <f t="shared" si="0"/>
        <v>495.31929385096151</v>
      </c>
      <c r="F20" s="8">
        <f t="shared" si="1"/>
        <v>544.10306356654212</v>
      </c>
      <c r="G20" s="8">
        <f t="shared" si="2"/>
        <v>592.88683328212267</v>
      </c>
      <c r="H20" s="9">
        <f t="shared" si="3"/>
        <v>16.261256571860198</v>
      </c>
      <c r="I20" s="46"/>
      <c r="J20" s="46">
        <f>data0!B20</f>
        <v>530.61913481345846</v>
      </c>
      <c r="K20" s="46">
        <f>data0!C20</f>
        <v>533.62182421606769</v>
      </c>
      <c r="L20" s="46">
        <f>data0!D20</f>
        <v>541.7057679102769</v>
      </c>
      <c r="M20" s="46">
        <f>data0!E20</f>
        <v>567.35761425192641</v>
      </c>
      <c r="N20" s="46">
        <f>data0!F20</f>
        <v>537.43991760128176</v>
      </c>
      <c r="O20" s="46">
        <f>data0!G20</f>
        <v>526.81534676127262</v>
      </c>
      <c r="P20" s="95"/>
      <c r="Q20" s="46">
        <f>data0!I20</f>
        <v>558.40009155413134</v>
      </c>
      <c r="R20" s="46">
        <f>data0!J20</f>
        <v>551.4271953917754</v>
      </c>
      <c r="S20" s="46">
        <f>data0!K20</f>
        <v>545.25968947890442</v>
      </c>
      <c r="T20" s="46"/>
      <c r="U20" s="46">
        <f>data0!M20</f>
        <v>547.40978103303576</v>
      </c>
      <c r="V20" s="46"/>
      <c r="W20" s="46">
        <f>data0!O20</f>
        <v>571.80609597924774</v>
      </c>
      <c r="X20" s="46">
        <f>data0!P20</f>
        <v>508.68715190356295</v>
      </c>
      <c r="Y20" s="46">
        <f>data0!Q20</f>
        <v>545.94586861982145</v>
      </c>
      <c r="Z20" s="46"/>
      <c r="AA20" s="46">
        <f>data0!S20</f>
        <v>538.6215381094072</v>
      </c>
      <c r="AB20" s="46"/>
      <c r="AC20" s="46">
        <f>data0!U20</f>
        <v>556.52943083848322</v>
      </c>
      <c r="AD20" s="46">
        <f>data0!V20</f>
        <v>522.9228656443122</v>
      </c>
      <c r="AE20" s="46">
        <f>data0!W20</f>
        <v>558.31044480048831</v>
      </c>
      <c r="AF20" s="46"/>
      <c r="AG20" s="46">
        <f>data0!Y20</f>
        <v>557.84027618829634</v>
      </c>
      <c r="AH20" s="46">
        <f>data0!Z20</f>
        <v>567.66041046768896</v>
      </c>
      <c r="AI20" s="46">
        <f>data0!AA20</f>
        <v>538.27916380560009</v>
      </c>
      <c r="AJ20" s="46">
        <f>data0!AB20</f>
        <v>557.297627222095</v>
      </c>
      <c r="AK20" s="46">
        <f>data0!AC20</f>
        <v>521.60677500572217</v>
      </c>
      <c r="AL20" s="46"/>
      <c r="AM20" s="46"/>
      <c r="AN20" s="46">
        <f>data0!AF20</f>
        <v>526.57358663309685</v>
      </c>
      <c r="AO20" s="46">
        <f>data0!AG20</f>
        <v>546.33592736705577</v>
      </c>
    </row>
    <row r="21" spans="1:45" ht="15.75" thickBot="1">
      <c r="A21" s="67"/>
      <c r="B21" s="120"/>
      <c r="C21" s="133"/>
      <c r="D21" s="91">
        <f>D13</f>
        <v>850</v>
      </c>
      <c r="E21" s="55">
        <f t="shared" si="0"/>
        <v>495.14886424434019</v>
      </c>
      <c r="F21" s="55">
        <f t="shared" si="1"/>
        <v>543.85758802548264</v>
      </c>
      <c r="G21" s="55">
        <f t="shared" si="2"/>
        <v>592.56631180662509</v>
      </c>
      <c r="H21" s="56">
        <f t="shared" si="3"/>
        <v>16.236241260380826</v>
      </c>
      <c r="I21" s="47"/>
      <c r="J21" s="44">
        <f>data0!B21</f>
        <v>530.42029068436716</v>
      </c>
      <c r="K21" s="44">
        <f>data0!C21</f>
        <v>533.41296635385675</v>
      </c>
      <c r="L21" s="44">
        <f>data0!D21</f>
        <v>541.46877622644388</v>
      </c>
      <c r="M21" s="44">
        <f>data0!E21</f>
        <v>567.10584039063099</v>
      </c>
      <c r="N21" s="44">
        <f>data0!F21</f>
        <v>537.16430151827262</v>
      </c>
      <c r="O21" s="44">
        <f>data0!G21</f>
        <v>526.56643396658274</v>
      </c>
      <c r="P21" s="97"/>
      <c r="Q21" s="44">
        <f>data0!I21</f>
        <v>558.15022507057301</v>
      </c>
      <c r="R21" s="44">
        <f>data0!J21</f>
        <v>551.15920881971465</v>
      </c>
      <c r="S21" s="44">
        <f>data0!K21</f>
        <v>545.05798428320747</v>
      </c>
      <c r="T21" s="44"/>
      <c r="U21" s="44">
        <f>data0!M21</f>
        <v>547.16659037155716</v>
      </c>
      <c r="V21" s="44"/>
      <c r="W21" s="44">
        <f>data0!O21</f>
        <v>571.51092927443347</v>
      </c>
      <c r="X21" s="44">
        <f>data0!P21</f>
        <v>508.58415350576024</v>
      </c>
      <c r="Y21" s="44">
        <f>data0!Q21</f>
        <v>545.66453040360113</v>
      </c>
      <c r="Z21" s="44"/>
      <c r="AA21" s="44">
        <f>data0!S21</f>
        <v>538.34687571526661</v>
      </c>
      <c r="AB21" s="44"/>
      <c r="AC21" s="44">
        <f>data0!U21</f>
        <v>556.25572213321129</v>
      </c>
      <c r="AD21" s="44">
        <f>data0!V21</f>
        <v>522.69779507133592</v>
      </c>
      <c r="AE21" s="44">
        <f>data0!W21</f>
        <v>558.04770351720458</v>
      </c>
      <c r="AF21" s="44"/>
      <c r="AG21" s="44">
        <f>data0!Y21</f>
        <v>557.59327077134355</v>
      </c>
      <c r="AH21" s="44">
        <f>data0!Z21</f>
        <v>567.37287327382319</v>
      </c>
      <c r="AI21" s="44">
        <f>data0!AA21</f>
        <v>538.00497825589377</v>
      </c>
      <c r="AJ21" s="44">
        <f>data0!AB21</f>
        <v>557.03583962767982</v>
      </c>
      <c r="AK21" s="44">
        <f>data0!AC21</f>
        <v>521.3316357671473</v>
      </c>
      <c r="AL21" s="44"/>
      <c r="AM21" s="44"/>
      <c r="AN21" s="44">
        <f>data0!AF21</f>
        <v>526.35996032654305</v>
      </c>
      <c r="AO21" s="44">
        <f>data0!AG21</f>
        <v>546.1032272831311</v>
      </c>
      <c r="AP21" s="19"/>
      <c r="AQ21" s="19"/>
      <c r="AR21" s="19"/>
      <c r="AS21" s="19"/>
    </row>
    <row r="22" spans="1:45">
      <c r="A22" s="5"/>
      <c r="B22" s="119" t="s">
        <v>15</v>
      </c>
      <c r="C22" s="57" t="s">
        <v>12</v>
      </c>
      <c r="D22" s="58"/>
      <c r="E22" s="59">
        <f t="shared" si="0"/>
        <v>-0.70414142010249814</v>
      </c>
      <c r="F22" s="59">
        <f t="shared" si="1"/>
        <v>0.10524111832088977</v>
      </c>
      <c r="G22" s="59">
        <f t="shared" si="2"/>
        <v>0.9146236567442777</v>
      </c>
      <c r="H22" s="60">
        <f t="shared" si="3"/>
        <v>0.26979417947446266</v>
      </c>
      <c r="I22" s="5">
        <f>ABS(F22)+1.5*H22</f>
        <v>0.50993238753258374</v>
      </c>
      <c r="J22" s="5">
        <f>(J2-J6)/((J2+J6)/2)</f>
        <v>-1.8032412691166552E-2</v>
      </c>
      <c r="K22" s="5">
        <f t="shared" ref="K22:AO22" si="4">(K2-K6)/((K2+K6)/2)</f>
        <v>0.24739273927392741</v>
      </c>
      <c r="L22" s="5">
        <f t="shared" si="4"/>
        <v>3.2227488151658767E-2</v>
      </c>
      <c r="M22" s="5">
        <f t="shared" si="4"/>
        <v>8.6780233704068704E-2</v>
      </c>
      <c r="N22" s="5">
        <f t="shared" si="4"/>
        <v>7.5962974022096216E-2</v>
      </c>
      <c r="O22" s="5">
        <f t="shared" si="4"/>
        <v>9.6772357260772705E-3</v>
      </c>
      <c r="P22" s="79"/>
      <c r="Q22" s="5">
        <f t="shared" si="4"/>
        <v>1.3074697245739959E-2</v>
      </c>
      <c r="R22" s="5">
        <f t="shared" si="4"/>
        <v>8.1594624354160025E-2</v>
      </c>
      <c r="S22" s="5">
        <f t="shared" si="4"/>
        <v>1.4625228519195775E-2</v>
      </c>
      <c r="T22" s="5"/>
      <c r="U22" s="5">
        <f t="shared" si="4"/>
        <v>7.5596665524723022E-2</v>
      </c>
      <c r="V22" s="5"/>
      <c r="W22" s="5">
        <f t="shared" si="4"/>
        <v>8.2325494087045134E-2</v>
      </c>
      <c r="X22" s="5">
        <f t="shared" si="4"/>
        <v>9.6779849219799999E-2</v>
      </c>
      <c r="Y22" s="5">
        <f t="shared" si="4"/>
        <v>0.10542214167044249</v>
      </c>
      <c r="Z22" s="5"/>
      <c r="AA22" s="5">
        <f t="shared" si="4"/>
        <v>0.11786615403099836</v>
      </c>
      <c r="AB22" s="5"/>
      <c r="AC22" s="5">
        <f t="shared" si="4"/>
        <v>8.1212532518945738E-2</v>
      </c>
      <c r="AD22" s="5">
        <f t="shared" si="4"/>
        <v>1.1957671957671956</v>
      </c>
      <c r="AE22" s="5">
        <f t="shared" si="4"/>
        <v>0.14002089864158815</v>
      </c>
      <c r="AF22" s="5"/>
      <c r="AG22" s="5">
        <f t="shared" si="4"/>
        <v>0.33814036533443204</v>
      </c>
      <c r="AH22" s="5">
        <f t="shared" si="4"/>
        <v>8.8017838281891816E-2</v>
      </c>
      <c r="AI22" s="5">
        <f t="shared" si="4"/>
        <v>-0.26330169020606614</v>
      </c>
      <c r="AJ22" s="5">
        <f t="shared" si="4"/>
        <v>-0.36121956569423108</v>
      </c>
      <c r="AK22" s="5">
        <f t="shared" si="4"/>
        <v>4.4571829667758495E-2</v>
      </c>
      <c r="AL22" s="5"/>
      <c r="AM22" s="5"/>
      <c r="AN22" s="5">
        <f t="shared" si="4"/>
        <v>0.14347244913114504</v>
      </c>
      <c r="AO22" s="5">
        <f t="shared" si="4"/>
        <v>9.7811873419928502E-2</v>
      </c>
      <c r="AP22" s="5"/>
      <c r="AQ22" s="5"/>
      <c r="AR22" s="5"/>
      <c r="AS22" s="5"/>
    </row>
    <row r="23" spans="1:45">
      <c r="A23" s="5"/>
      <c r="B23" s="120"/>
      <c r="C23" s="30" t="s">
        <v>22</v>
      </c>
      <c r="D23" s="14"/>
      <c r="E23" s="6">
        <f t="shared" si="0"/>
        <v>-0.37504844547243038</v>
      </c>
      <c r="F23" s="6">
        <f t="shared" si="1"/>
        <v>4.9954463657810311E-2</v>
      </c>
      <c r="G23" s="6">
        <f t="shared" si="2"/>
        <v>0.474957372788051</v>
      </c>
      <c r="H23" s="7">
        <f t="shared" si="3"/>
        <v>0.1416676363767469</v>
      </c>
      <c r="I23" s="5">
        <f>ABS(F23)+1.5*H23</f>
        <v>0.26245591822293068</v>
      </c>
      <c r="J23" s="5">
        <f t="shared" ref="J23:AO23" si="5">(J10-J7)/((J7+J10)/2)</f>
        <v>-1.8769667000933549E-2</v>
      </c>
      <c r="K23" s="5">
        <f t="shared" si="5"/>
        <v>0.36843116365986123</v>
      </c>
      <c r="L23" s="5">
        <f t="shared" si="5"/>
        <v>1.8360562981823418E-2</v>
      </c>
      <c r="M23" s="5">
        <f t="shared" si="5"/>
        <v>1.450413655880182E-2</v>
      </c>
      <c r="N23" s="5">
        <f t="shared" si="5"/>
        <v>6.553137078259863E-2</v>
      </c>
      <c r="O23" s="5">
        <f t="shared" si="5"/>
        <v>8.7899745363069187E-2</v>
      </c>
      <c r="P23" s="79"/>
      <c r="Q23" s="5">
        <f t="shared" si="5"/>
        <v>-2.2279371244128442E-2</v>
      </c>
      <c r="R23" s="5">
        <f t="shared" si="5"/>
        <v>4.7463949477841716E-2</v>
      </c>
      <c r="S23" s="5">
        <f t="shared" si="5"/>
        <v>5.3966540744738584E-3</v>
      </c>
      <c r="T23" s="5"/>
      <c r="U23" s="5">
        <f t="shared" si="5"/>
        <v>6.6322647319651651E-2</v>
      </c>
      <c r="V23" s="5"/>
      <c r="W23" s="5">
        <f t="shared" si="5"/>
        <v>8.2364371454540161E-3</v>
      </c>
      <c r="X23" s="5">
        <f t="shared" si="5"/>
        <v>8.0014472182794796E-2</v>
      </c>
      <c r="Y23" s="5">
        <f t="shared" si="5"/>
        <v>7.0921781264420877E-2</v>
      </c>
      <c r="Z23" s="5"/>
      <c r="AA23" s="5">
        <f t="shared" si="5"/>
        <v>7.7542276844791244E-2</v>
      </c>
      <c r="AB23" s="5"/>
      <c r="AC23" s="5">
        <f t="shared" si="5"/>
        <v>5.3278096247410908E-2</v>
      </c>
      <c r="AD23" s="5">
        <f t="shared" si="5"/>
        <v>0.33094585486407552</v>
      </c>
      <c r="AE23" s="5">
        <f t="shared" si="5"/>
        <v>8.5662702231838639E-2</v>
      </c>
      <c r="AF23" s="5"/>
      <c r="AG23" s="5">
        <f t="shared" si="5"/>
        <v>0.14626093816195046</v>
      </c>
      <c r="AH23" s="5">
        <f t="shared" si="5"/>
        <v>5.8300707466172233E-2</v>
      </c>
      <c r="AI23" s="5">
        <f t="shared" si="5"/>
        <v>-0.12272914249227967</v>
      </c>
      <c r="AJ23" s="5">
        <f t="shared" si="5"/>
        <v>-0.40964962899791146</v>
      </c>
      <c r="AK23" s="5">
        <f t="shared" si="5"/>
        <v>-1.0932335997417766E-2</v>
      </c>
      <c r="AL23" s="5"/>
      <c r="AM23" s="5"/>
      <c r="AN23" s="5">
        <f t="shared" si="5"/>
        <v>0.12161567569153149</v>
      </c>
      <c r="AO23" s="5">
        <f t="shared" si="5"/>
        <v>7.6578101201556947E-2</v>
      </c>
      <c r="AP23" s="5"/>
      <c r="AQ23" s="5"/>
      <c r="AR23" s="5"/>
      <c r="AS23" s="5"/>
    </row>
    <row r="24" spans="1:45">
      <c r="A24" s="5"/>
      <c r="B24" s="120"/>
      <c r="C24" s="29" t="s">
        <v>23</v>
      </c>
      <c r="D24" s="21"/>
      <c r="E24" s="6">
        <f t="shared" si="0"/>
        <v>-0.17769550877667037</v>
      </c>
      <c r="F24" s="6">
        <f t="shared" si="1"/>
        <v>5.8754571534522175E-2</v>
      </c>
      <c r="G24" s="6">
        <f t="shared" si="2"/>
        <v>0.29520465184571471</v>
      </c>
      <c r="H24" s="7">
        <f t="shared" si="3"/>
        <v>7.8816693437064184E-2</v>
      </c>
      <c r="I24" s="5">
        <f t="shared" ref="I24:I25" si="6">ABS(F24)+1.5*H24</f>
        <v>0.17697961169011844</v>
      </c>
      <c r="J24" s="5">
        <f>(J12-J16)/((J12+J16)/2)</f>
        <v>0.25857197213056454</v>
      </c>
      <c r="K24" s="5">
        <f t="shared" ref="K24:AO24" si="7">(K12-K16)/((K12+K16)/2)</f>
        <v>0.13594113090627422</v>
      </c>
      <c r="L24" s="5">
        <f t="shared" si="7"/>
        <v>7.8799497102474469E-2</v>
      </c>
      <c r="M24" s="5">
        <f t="shared" si="7"/>
        <v>2.5184918395795508E-2</v>
      </c>
      <c r="N24" s="5">
        <f t="shared" si="7"/>
        <v>5.8010370059869455E-2</v>
      </c>
      <c r="O24" s="5">
        <f t="shared" si="7"/>
        <v>0.21355928054795184</v>
      </c>
      <c r="P24" s="79"/>
      <c r="Q24" s="5">
        <f t="shared" si="7"/>
        <v>3.9725007240280885E-2</v>
      </c>
      <c r="R24" s="5">
        <f t="shared" si="7"/>
        <v>2.878968940143601E-2</v>
      </c>
      <c r="S24" s="5">
        <f t="shared" si="7"/>
        <v>2.5201487312396974E-2</v>
      </c>
      <c r="T24" s="5"/>
      <c r="U24" s="5">
        <f t="shared" si="7"/>
        <v>5.3188733538237401E-2</v>
      </c>
      <c r="V24" s="5"/>
      <c r="W24" s="5">
        <f t="shared" si="7"/>
        <v>3.7282099683578242E-2</v>
      </c>
      <c r="X24" s="5">
        <f t="shared" si="7"/>
        <v>0.11328258213988626</v>
      </c>
      <c r="Y24" s="5">
        <f t="shared" si="7"/>
        <v>4.8049846798360447E-2</v>
      </c>
      <c r="Z24" s="5"/>
      <c r="AA24" s="5">
        <f t="shared" si="7"/>
        <v>-1.3535402077502671E-2</v>
      </c>
      <c r="AB24" s="5"/>
      <c r="AC24" s="5">
        <f t="shared" si="7"/>
        <v>7.5007072657720414E-2</v>
      </c>
      <c r="AD24" s="5">
        <f t="shared" si="7"/>
        <v>8.4909645174545759E-2</v>
      </c>
      <c r="AE24" s="5">
        <f t="shared" si="7"/>
        <v>5.939581018090434E-2</v>
      </c>
      <c r="AF24" s="5"/>
      <c r="AG24" s="5">
        <f t="shared" si="7"/>
        <v>7.0692608462495685E-2</v>
      </c>
      <c r="AH24" s="5">
        <f t="shared" si="7"/>
        <v>3.3642899433307893E-2</v>
      </c>
      <c r="AI24" s="5">
        <f t="shared" si="7"/>
        <v>-0.1321890899723063</v>
      </c>
      <c r="AJ24" s="5">
        <f t="shared" si="7"/>
        <v>-7.1314189140156123E-2</v>
      </c>
      <c r="AK24" s="5">
        <f t="shared" si="7"/>
        <v>3.9686894509498435E-3</v>
      </c>
      <c r="AL24" s="5"/>
      <c r="AM24" s="5"/>
      <c r="AN24" s="5">
        <f t="shared" si="7"/>
        <v>9.1875910797890925E-2</v>
      </c>
      <c r="AO24" s="5">
        <f t="shared" si="7"/>
        <v>9.2069146603576527E-2</v>
      </c>
      <c r="AP24" s="5"/>
      <c r="AQ24" s="5"/>
      <c r="AR24" s="5"/>
      <c r="AS24" s="5"/>
    </row>
    <row r="25" spans="1:45" ht="15.75" thickBot="1">
      <c r="A25" s="5"/>
      <c r="B25" s="120"/>
      <c r="C25" s="29" t="s">
        <v>16</v>
      </c>
      <c r="D25" s="21"/>
      <c r="E25" s="53">
        <f t="shared" si="0"/>
        <v>-0.25026902450985866</v>
      </c>
      <c r="F25" s="53">
        <f t="shared" si="1"/>
        <v>6.4167346483289187E-2</v>
      </c>
      <c r="G25" s="53">
        <f t="shared" si="2"/>
        <v>0.37860371747643706</v>
      </c>
      <c r="H25" s="54">
        <f t="shared" si="3"/>
        <v>0.10481212366438263</v>
      </c>
      <c r="I25" s="5">
        <f t="shared" si="6"/>
        <v>0.2213855319798631</v>
      </c>
      <c r="J25" s="5">
        <f t="shared" ref="J25:AO25" si="8">(J20-J17)/((J17+J20)/2)</f>
        <v>9.4827793123020157E-2</v>
      </c>
      <c r="K25" s="5">
        <f t="shared" si="8"/>
        <v>-6.387539532420698E-3</v>
      </c>
      <c r="L25" s="5">
        <f t="shared" si="8"/>
        <v>2.9673574599555934E-2</v>
      </c>
      <c r="M25" s="5">
        <f t="shared" si="8"/>
        <v>5.402307333429144E-2</v>
      </c>
      <c r="N25" s="5">
        <f t="shared" si="8"/>
        <v>3.085264382697115E-2</v>
      </c>
      <c r="O25" s="5">
        <f t="shared" si="8"/>
        <v>6.0507155995813008E-2</v>
      </c>
      <c r="P25" s="79"/>
      <c r="Q25" s="5">
        <f t="shared" si="8"/>
        <v>7.6153575806410315E-3</v>
      </c>
      <c r="R25" s="5">
        <f t="shared" si="8"/>
        <v>5.1757504518790527E-2</v>
      </c>
      <c r="S25" s="5">
        <f t="shared" si="8"/>
        <v>3.3658811817532386E-2</v>
      </c>
      <c r="T25" s="5"/>
      <c r="U25" s="5">
        <f t="shared" si="8"/>
        <v>9.3311384864217722E-2</v>
      </c>
      <c r="V25" s="5"/>
      <c r="W25" s="5">
        <f t="shared" si="8"/>
        <v>-8.4184947105817809E-2</v>
      </c>
      <c r="X25" s="5">
        <f t="shared" si="8"/>
        <v>0.50559119126078367</v>
      </c>
      <c r="Y25" s="5">
        <f t="shared" si="8"/>
        <v>6.0949277938535926E-2</v>
      </c>
      <c r="Z25" s="5"/>
      <c r="AA25" s="5">
        <f t="shared" si="8"/>
        <v>2.5147744004518059E-2</v>
      </c>
      <c r="AB25" s="5"/>
      <c r="AC25" s="5">
        <f t="shared" si="8"/>
        <v>-1.4375294806681213E-2</v>
      </c>
      <c r="AD25" s="5">
        <f t="shared" si="8"/>
        <v>2.6562045943737175E-2</v>
      </c>
      <c r="AE25" s="5">
        <f t="shared" si="8"/>
        <v>4.0740062921034957E-2</v>
      </c>
      <c r="AF25" s="5"/>
      <c r="AG25" s="5">
        <f t="shared" si="8"/>
        <v>6.2555013652862479E-2</v>
      </c>
      <c r="AH25" s="5">
        <f t="shared" si="8"/>
        <v>4.6600065672637338E-2</v>
      </c>
      <c r="AI25" s="5">
        <f t="shared" si="8"/>
        <v>8.8791146975855217E-2</v>
      </c>
      <c r="AJ25" s="5">
        <f t="shared" si="8"/>
        <v>6.1766372719594606E-2</v>
      </c>
      <c r="AK25" s="5">
        <f t="shared" si="8"/>
        <v>4.1412490558062377E-2</v>
      </c>
      <c r="AL25" s="5"/>
      <c r="AM25" s="5"/>
      <c r="AN25" s="5">
        <f t="shared" si="8"/>
        <v>0.17000630788367563</v>
      </c>
      <c r="AO25" s="5">
        <f t="shared" si="8"/>
        <v>5.8615077851729813E-2</v>
      </c>
      <c r="AP25" s="5"/>
      <c r="AQ25" s="5"/>
      <c r="AR25" s="5"/>
      <c r="AS25" s="5"/>
    </row>
    <row r="26" spans="1:45">
      <c r="A26" s="5"/>
      <c r="B26" s="127" t="s">
        <v>34</v>
      </c>
      <c r="C26" s="57" t="str">
        <f>C22</f>
        <v>Hi</v>
      </c>
      <c r="D26" s="130">
        <v>0.05</v>
      </c>
      <c r="E26" s="59">
        <f t="shared" ref="E26:E29" si="9">F26-3*H26</f>
        <v>-1.0681623279669545E-3</v>
      </c>
      <c r="F26" s="59">
        <f t="shared" ref="F26:F29" si="10">AVERAGE(J26:AS26)</f>
        <v>2.3119627737675411E-4</v>
      </c>
      <c r="G26" s="59">
        <f t="shared" ref="G26:G29" si="11">F26+3*H26</f>
        <v>1.5305548827204626E-3</v>
      </c>
      <c r="H26" s="60">
        <f t="shared" ref="H26:H29" si="12">STDEV(J26:AS26)</f>
        <v>4.331195351145695E-4</v>
      </c>
      <c r="I26" s="5"/>
      <c r="J26" s="5">
        <f>(J2-J3)/J2</f>
        <v>0</v>
      </c>
      <c r="K26" s="5">
        <f t="shared" ref="K26:AO26" si="13">(K2-K3)/K2</f>
        <v>0</v>
      </c>
      <c r="L26" s="5">
        <f t="shared" si="13"/>
        <v>-2.3320895522387978E-4</v>
      </c>
      <c r="M26" s="5">
        <f t="shared" si="13"/>
        <v>0</v>
      </c>
      <c r="N26" s="5">
        <f t="shared" si="13"/>
        <v>-4.6027271158161049E-4</v>
      </c>
      <c r="O26" s="5">
        <f t="shared" si="13"/>
        <v>5.6650804441422866E-4</v>
      </c>
      <c r="P26" s="79"/>
      <c r="Q26" s="5">
        <f t="shared" si="13"/>
        <v>0</v>
      </c>
      <c r="R26" s="5">
        <f t="shared" si="13"/>
        <v>0</v>
      </c>
      <c r="S26" s="5">
        <f t="shared" si="13"/>
        <v>0</v>
      </c>
      <c r="T26" s="5"/>
      <c r="U26" s="5">
        <f t="shared" si="13"/>
        <v>0</v>
      </c>
      <c r="V26" s="5"/>
      <c r="W26" s="5">
        <f t="shared" si="13"/>
        <v>6.6965435532899691E-4</v>
      </c>
      <c r="X26" s="5">
        <f t="shared" si="13"/>
        <v>9.4765594514733707E-4</v>
      </c>
      <c r="Y26" s="5">
        <f t="shared" si="13"/>
        <v>7.4605451936882736E-4</v>
      </c>
      <c r="Z26" s="5"/>
      <c r="AA26" s="5">
        <f t="shared" si="13"/>
        <v>-5.6731151075160787E-5</v>
      </c>
      <c r="AB26" s="5"/>
      <c r="AC26" s="5">
        <f t="shared" si="13"/>
        <v>0</v>
      </c>
      <c r="AD26" s="5">
        <f t="shared" si="13"/>
        <v>0</v>
      </c>
      <c r="AE26" s="5">
        <f t="shared" si="13"/>
        <v>0</v>
      </c>
      <c r="AF26" s="5"/>
      <c r="AG26" s="5">
        <f t="shared" si="13"/>
        <v>5.2866541353372332E-4</v>
      </c>
      <c r="AH26" s="5">
        <f t="shared" si="13"/>
        <v>0</v>
      </c>
      <c r="AI26" s="5">
        <f t="shared" si="13"/>
        <v>0</v>
      </c>
      <c r="AJ26" s="5">
        <f t="shared" si="13"/>
        <v>1.177856301531209E-3</v>
      </c>
      <c r="AK26" s="5">
        <f t="shared" si="13"/>
        <v>0</v>
      </c>
      <c r="AL26" s="5"/>
      <c r="AM26" s="5"/>
      <c r="AN26" s="5">
        <f t="shared" si="13"/>
        <v>6.6518847006651646E-4</v>
      </c>
      <c r="AO26" s="5">
        <f t="shared" si="13"/>
        <v>9.9734042553191135E-4</v>
      </c>
      <c r="AP26" s="5"/>
      <c r="AQ26" s="5"/>
      <c r="AR26" s="5"/>
      <c r="AS26" s="5"/>
    </row>
    <row r="27" spans="1:45">
      <c r="A27" s="5"/>
      <c r="B27" s="128"/>
      <c r="C27" s="30" t="str">
        <f t="shared" ref="C27:C29" si="14">C23</f>
        <v>Mhi</v>
      </c>
      <c r="D27" s="131"/>
      <c r="E27" s="6">
        <f t="shared" si="9"/>
        <v>-5.8442658080155307E-2</v>
      </c>
      <c r="F27" s="6">
        <f t="shared" si="10"/>
        <v>8.8622671344932447E-3</v>
      </c>
      <c r="G27" s="6">
        <f t="shared" si="11"/>
        <v>7.6167192349141793E-2</v>
      </c>
      <c r="H27" s="7">
        <f t="shared" si="12"/>
        <v>2.2434975071549516E-2</v>
      </c>
      <c r="I27" s="5"/>
      <c r="J27" s="5">
        <f>(J10-J11)/J10</f>
        <v>5.2035772630168106E-2</v>
      </c>
      <c r="K27" s="5">
        <f t="shared" ref="K27:AO27" si="15">(K10-K11)/K10</f>
        <v>-1.6672319966965211E-2</v>
      </c>
      <c r="L27" s="5">
        <f t="shared" si="15"/>
        <v>6.3355012334604987E-3</v>
      </c>
      <c r="M27" s="5">
        <f t="shared" si="15"/>
        <v>1.3470485795232913E-2</v>
      </c>
      <c r="N27" s="5">
        <f t="shared" si="15"/>
        <v>7.0451763580341737E-3</v>
      </c>
      <c r="O27" s="5">
        <f t="shared" si="15"/>
        <v>3.610853193026294E-4</v>
      </c>
      <c r="P27" s="79"/>
      <c r="Q27" s="5">
        <f t="shared" si="15"/>
        <v>1.8758707622901841E-2</v>
      </c>
      <c r="R27" s="5">
        <f t="shared" si="15"/>
        <v>7.8467226620583374E-3</v>
      </c>
      <c r="S27" s="5">
        <f t="shared" si="15"/>
        <v>4.5334106152190336E-3</v>
      </c>
      <c r="T27" s="5"/>
      <c r="U27" s="5">
        <f t="shared" si="15"/>
        <v>8.9788994174022242E-3</v>
      </c>
      <c r="V27" s="5"/>
      <c r="W27" s="5">
        <f t="shared" si="15"/>
        <v>3.4880018977227326E-2</v>
      </c>
      <c r="X27" s="5">
        <f t="shared" si="15"/>
        <v>2.0568794572969236E-2</v>
      </c>
      <c r="Y27" s="5">
        <f t="shared" si="15"/>
        <v>-5.9572719802794384E-3</v>
      </c>
      <c r="Z27" s="5"/>
      <c r="AA27" s="5">
        <f t="shared" si="15"/>
        <v>-1.0993806306306241E-2</v>
      </c>
      <c r="AB27" s="5"/>
      <c r="AC27" s="5">
        <f t="shared" si="15"/>
        <v>1.0557432432432456E-2</v>
      </c>
      <c r="AD27" s="5">
        <f t="shared" si="15"/>
        <v>-5.142341619887722E-2</v>
      </c>
      <c r="AE27" s="5">
        <f t="shared" si="15"/>
        <v>-3.3547552645407045E-3</v>
      </c>
      <c r="AF27" s="5"/>
      <c r="AG27" s="5">
        <f t="shared" si="15"/>
        <v>-1.515811541131794E-2</v>
      </c>
      <c r="AH27" s="5">
        <f t="shared" si="15"/>
        <v>-2.9332461257123264E-3</v>
      </c>
      <c r="AI27" s="5">
        <f t="shared" si="15"/>
        <v>5.1519452656916341E-2</v>
      </c>
      <c r="AJ27" s="5">
        <f t="shared" si="15"/>
        <v>3.9910218865597931E-2</v>
      </c>
      <c r="AK27" s="5">
        <f t="shared" si="15"/>
        <v>1.7606925649456151E-2</v>
      </c>
      <c r="AL27" s="5"/>
      <c r="AM27" s="5"/>
      <c r="AN27" s="5">
        <f t="shared" si="15"/>
        <v>8.9073387899567483E-3</v>
      </c>
      <c r="AO27" s="5">
        <f t="shared" si="15"/>
        <v>1.5871398883501062E-2</v>
      </c>
      <c r="AP27" s="5"/>
      <c r="AQ27" s="5"/>
      <c r="AR27" s="5"/>
      <c r="AS27" s="5"/>
    </row>
    <row r="28" spans="1:45">
      <c r="A28" s="5"/>
      <c r="B28" s="128"/>
      <c r="C28" s="30" t="str">
        <f t="shared" si="14"/>
        <v>Mlo</v>
      </c>
      <c r="D28" s="131"/>
      <c r="E28" s="6">
        <f t="shared" si="9"/>
        <v>3.4503363563550811E-5</v>
      </c>
      <c r="F28" s="6">
        <f t="shared" si="10"/>
        <v>2.342099567760294E-4</v>
      </c>
      <c r="G28" s="6">
        <f t="shared" si="11"/>
        <v>4.3391654998850798E-4</v>
      </c>
      <c r="H28" s="7">
        <f t="shared" si="12"/>
        <v>6.6568864404159528E-5</v>
      </c>
      <c r="I28" s="5"/>
      <c r="J28" s="5">
        <f>(J12-J13)/J12</f>
        <v>8.8375330026458154E-5</v>
      </c>
      <c r="K28" s="5">
        <f t="shared" ref="K28:AO28" si="16">(K12-K13)/K12</f>
        <v>2.1758839528571909E-4</v>
      </c>
      <c r="L28" s="5">
        <f t="shared" si="16"/>
        <v>2.2922191502569177E-4</v>
      </c>
      <c r="M28" s="5">
        <f t="shared" si="16"/>
        <v>2.2724428431233144E-4</v>
      </c>
      <c r="N28" s="5">
        <f t="shared" si="16"/>
        <v>1.6648660137094293E-4</v>
      </c>
      <c r="O28" s="5">
        <f t="shared" si="16"/>
        <v>1.1426212468575816E-4</v>
      </c>
      <c r="P28" s="79"/>
      <c r="Q28" s="5">
        <f t="shared" si="16"/>
        <v>2.8397085918085307E-4</v>
      </c>
      <c r="R28" s="5">
        <f t="shared" si="16"/>
        <v>2.1265607436884754E-4</v>
      </c>
      <c r="S28" s="5">
        <f t="shared" si="16"/>
        <v>2.564689083435436E-4</v>
      </c>
      <c r="T28" s="5"/>
      <c r="U28" s="5">
        <f t="shared" si="16"/>
        <v>2.7279640181535747E-4</v>
      </c>
      <c r="V28" s="5"/>
      <c r="W28" s="5">
        <f t="shared" si="16"/>
        <v>3.3634208577365061E-4</v>
      </c>
      <c r="X28" s="5">
        <f t="shared" si="16"/>
        <v>3.2445466002272577E-4</v>
      </c>
      <c r="Y28" s="5">
        <f t="shared" si="16"/>
        <v>3.4957410798042236E-4</v>
      </c>
      <c r="Z28" s="5"/>
      <c r="AA28" s="5">
        <f t="shared" si="16"/>
        <v>2.1581431614704826E-4</v>
      </c>
      <c r="AB28" s="5"/>
      <c r="AC28" s="5">
        <f t="shared" si="16"/>
        <v>2.4388756783117846E-4</v>
      </c>
      <c r="AD28" s="5">
        <f t="shared" si="16"/>
        <v>2.1634386206785078E-4</v>
      </c>
      <c r="AE28" s="5">
        <f t="shared" si="16"/>
        <v>1.8463315071439305E-4</v>
      </c>
      <c r="AF28" s="5"/>
      <c r="AG28" s="5">
        <f t="shared" si="16"/>
        <v>1.8438432398005001E-4</v>
      </c>
      <c r="AH28" s="5">
        <f t="shared" si="16"/>
        <v>2.794903958448837E-4</v>
      </c>
      <c r="AI28" s="5">
        <f t="shared" si="16"/>
        <v>2.3791872834152749E-4</v>
      </c>
      <c r="AJ28" s="5">
        <f t="shared" si="16"/>
        <v>3.0435291560070016E-4</v>
      </c>
      <c r="AK28" s="5">
        <f t="shared" si="16"/>
        <v>2.3341245417038162E-4</v>
      </c>
      <c r="AL28" s="5"/>
      <c r="AM28" s="5"/>
      <c r="AN28" s="5">
        <f t="shared" si="16"/>
        <v>2.9644096465376683E-4</v>
      </c>
      <c r="AO28" s="5">
        <f t="shared" si="16"/>
        <v>1.4491853508062343E-4</v>
      </c>
      <c r="AP28" s="5"/>
      <c r="AQ28" s="5"/>
      <c r="AR28" s="5"/>
      <c r="AS28" s="5"/>
    </row>
    <row r="29" spans="1:45" ht="15.75" thickBot="1">
      <c r="A29" s="5"/>
      <c r="B29" s="129"/>
      <c r="C29" s="31" t="str">
        <f t="shared" si="14"/>
        <v>Lo</v>
      </c>
      <c r="D29" s="132"/>
      <c r="E29" s="10">
        <f t="shared" si="9"/>
        <v>2.3966604994692895E-4</v>
      </c>
      <c r="F29" s="10">
        <f t="shared" si="10"/>
        <v>4.5019382232148168E-4</v>
      </c>
      <c r="G29" s="10">
        <f t="shared" si="11"/>
        <v>6.6072159469603435E-4</v>
      </c>
      <c r="H29" s="12">
        <f t="shared" si="12"/>
        <v>7.0175924124850914E-5</v>
      </c>
      <c r="I29" s="5"/>
      <c r="J29" s="5">
        <f>(J20-J21)/J20</f>
        <v>3.747398388887791E-4</v>
      </c>
      <c r="K29" s="5">
        <f t="shared" ref="K29:AO29" si="17">(K20-K21)/K20</f>
        <v>3.9139677714227042E-4</v>
      </c>
      <c r="L29" s="5">
        <f t="shared" si="17"/>
        <v>4.3749152745273809E-4</v>
      </c>
      <c r="M29" s="5">
        <f t="shared" si="17"/>
        <v>4.4376572195543444E-4</v>
      </c>
      <c r="N29" s="5">
        <f t="shared" si="17"/>
        <v>5.1283143284049017E-4</v>
      </c>
      <c r="O29" s="5">
        <f t="shared" si="17"/>
        <v>4.7248584579044438E-4</v>
      </c>
      <c r="P29" s="79"/>
      <c r="Q29" s="5">
        <f t="shared" si="17"/>
        <v>4.4746855764814865E-4</v>
      </c>
      <c r="R29" s="5">
        <f t="shared" si="17"/>
        <v>4.8598722424335935E-4</v>
      </c>
      <c r="S29" s="5">
        <f t="shared" si="17"/>
        <v>3.6992500929183234E-4</v>
      </c>
      <c r="T29" s="5"/>
      <c r="U29" s="5">
        <f t="shared" si="17"/>
        <v>4.4425706281619521E-4</v>
      </c>
      <c r="V29" s="5"/>
      <c r="W29" s="5">
        <f t="shared" si="17"/>
        <v>5.162006961622011E-4</v>
      </c>
      <c r="X29" s="5">
        <f t="shared" si="17"/>
        <v>2.0247886626834649E-4</v>
      </c>
      <c r="Y29" s="5">
        <f t="shared" si="17"/>
        <v>5.1532254824376064E-4</v>
      </c>
      <c r="Z29" s="5"/>
      <c r="AA29" s="5">
        <f t="shared" si="17"/>
        <v>5.099357799628147E-4</v>
      </c>
      <c r="AB29" s="5"/>
      <c r="AC29" s="5">
        <f t="shared" si="17"/>
        <v>4.9181353241202627E-4</v>
      </c>
      <c r="AD29" s="5">
        <f t="shared" si="17"/>
        <v>4.3040874240402727E-4</v>
      </c>
      <c r="AE29" s="5">
        <f t="shared" si="17"/>
        <v>4.7060069488332991E-4</v>
      </c>
      <c r="AF29" s="5"/>
      <c r="AG29" s="5">
        <f t="shared" si="17"/>
        <v>4.4278878291214121E-4</v>
      </c>
      <c r="AH29" s="5">
        <f t="shared" si="17"/>
        <v>5.0653029269537211E-4</v>
      </c>
      <c r="AI29" s="5">
        <f t="shared" si="17"/>
        <v>5.0937425808541853E-4</v>
      </c>
      <c r="AJ29" s="5">
        <f t="shared" si="17"/>
        <v>4.6974467793822853E-4</v>
      </c>
      <c r="AK29" s="5">
        <f t="shared" si="17"/>
        <v>5.274840200682737E-4</v>
      </c>
      <c r="AL29" s="5"/>
      <c r="AM29" s="5"/>
      <c r="AN29" s="5">
        <f t="shared" si="17"/>
        <v>4.0569126894443987E-4</v>
      </c>
      <c r="AO29" s="5">
        <f t="shared" si="17"/>
        <v>4.2592857666548772E-4</v>
      </c>
      <c r="AP29" s="5"/>
      <c r="AQ29" s="5"/>
      <c r="AR29" s="5"/>
      <c r="AS29" s="5"/>
    </row>
    <row r="30" spans="1:45">
      <c r="B30" s="137" t="str">
        <f>B2</f>
        <v>HI</v>
      </c>
      <c r="C30" s="106" t="str">
        <f>C2</f>
        <v>LED</v>
      </c>
      <c r="D30" s="107"/>
      <c r="E30" s="108">
        <f t="shared" ref="E30:E42" si="18">F30-3*H30</f>
        <v>460.17964482422417</v>
      </c>
      <c r="F30" s="108">
        <f t="shared" ref="F30:F42" si="19">AVERAGE(J30:AS30)</f>
        <v>546.24855778666301</v>
      </c>
      <c r="G30" s="108">
        <f t="shared" ref="G30:G42" si="20">F30+3*H30</f>
        <v>632.31747074910186</v>
      </c>
      <c r="H30" s="109">
        <f t="shared" ref="H30:H42" si="21">STDEV(J30:AS30)</f>
        <v>28.689637654146278</v>
      </c>
      <c r="I30" s="5"/>
      <c r="J30" s="19">
        <f t="shared" ref="J30:AO30" si="22">K_0*J2+K_1*J4</f>
        <v>533.62516068644209</v>
      </c>
      <c r="K30" s="19">
        <f t="shared" si="22"/>
        <v>523.25843009849132</v>
      </c>
      <c r="L30" s="19">
        <f t="shared" si="22"/>
        <v>527.16473970404559</v>
      </c>
      <c r="M30" s="19">
        <f t="shared" si="22"/>
        <v>569.3548010540452</v>
      </c>
      <c r="N30" s="19">
        <f t="shared" si="22"/>
        <v>534.12519557697669</v>
      </c>
      <c r="O30" s="19">
        <f t="shared" si="22"/>
        <v>542.19835235469532</v>
      </c>
      <c r="P30" s="80"/>
      <c r="Q30" s="19">
        <f t="shared" si="22"/>
        <v>577.08289179788619</v>
      </c>
      <c r="R30" s="19">
        <f t="shared" si="22"/>
        <v>566.35462846048972</v>
      </c>
      <c r="S30" s="19">
        <f t="shared" si="22"/>
        <v>541.77113649124044</v>
      </c>
      <c r="T30" s="19"/>
      <c r="U30" s="19">
        <f t="shared" si="22"/>
        <v>558.45748078211363</v>
      </c>
      <c r="V30" s="19"/>
      <c r="W30" s="19">
        <f t="shared" si="22"/>
        <v>596.5323267457328</v>
      </c>
      <c r="X30" s="19">
        <f t="shared" si="22"/>
        <v>551.26696863671327</v>
      </c>
      <c r="Y30" s="19">
        <f t="shared" si="22"/>
        <v>535.55251797115352</v>
      </c>
      <c r="Z30" s="19"/>
      <c r="AA30" s="19">
        <f t="shared" si="22"/>
        <v>541.70307473954097</v>
      </c>
      <c r="AB30" s="19"/>
      <c r="AC30" s="19">
        <f t="shared" si="22"/>
        <v>565.36396298122327</v>
      </c>
      <c r="AD30" s="19">
        <f t="shared" si="22"/>
        <v>445.75661344184613</v>
      </c>
      <c r="AE30" s="19">
        <f t="shared" si="22"/>
        <v>535.07597546029956</v>
      </c>
      <c r="AF30" s="19"/>
      <c r="AG30" s="19">
        <f t="shared" si="22"/>
        <v>523.17390163122377</v>
      </c>
      <c r="AH30" s="19">
        <f t="shared" si="22"/>
        <v>546.82308043271837</v>
      </c>
      <c r="AI30" s="19">
        <f t="shared" si="22"/>
        <v>575.95750907391198</v>
      </c>
      <c r="AJ30" s="19">
        <f t="shared" si="22"/>
        <v>573.55212952035015</v>
      </c>
      <c r="AK30" s="19">
        <f t="shared" si="22"/>
        <v>536.98448739175285</v>
      </c>
      <c r="AL30" s="19"/>
      <c r="AM30" s="19"/>
      <c r="AN30" s="19">
        <f t="shared" si="22"/>
        <v>554.23658643682256</v>
      </c>
      <c r="AO30" s="19">
        <f t="shared" si="22"/>
        <v>554.59343541019314</v>
      </c>
      <c r="AP30" s="5"/>
      <c r="AQ30" s="5"/>
      <c r="AR30" s="5"/>
      <c r="AS30" s="5"/>
    </row>
    <row r="31" spans="1:45">
      <c r="B31" s="138"/>
      <c r="C31" s="30" t="str">
        <f>C5</f>
        <v>QTH</v>
      </c>
      <c r="D31" s="14"/>
      <c r="E31" s="55">
        <f t="shared" si="18"/>
        <v>185.22694997828728</v>
      </c>
      <c r="F31" s="55">
        <f t="shared" si="19"/>
        <v>556.99554492795085</v>
      </c>
      <c r="G31" s="55">
        <f t="shared" si="20"/>
        <v>928.76413987761441</v>
      </c>
      <c r="H31" s="56">
        <f t="shared" si="21"/>
        <v>123.92286498322119</v>
      </c>
      <c r="I31" s="5"/>
      <c r="J31" s="19">
        <f t="shared" ref="J31:AO31" si="23">K_0*J6+K_1*J5</f>
        <v>589.54819835413036</v>
      </c>
      <c r="K31" s="19">
        <f t="shared" si="23"/>
        <v>455.97192554944945</v>
      </c>
      <c r="L31" s="19">
        <f t="shared" si="23"/>
        <v>557.497795583173</v>
      </c>
      <c r="M31" s="19">
        <f t="shared" si="23"/>
        <v>571.55552270309295</v>
      </c>
      <c r="N31" s="19">
        <f t="shared" si="23"/>
        <v>542.93803517703759</v>
      </c>
      <c r="O31" s="19">
        <f t="shared" si="23"/>
        <v>583.29402326313141</v>
      </c>
      <c r="P31" s="80"/>
      <c r="Q31" s="19">
        <f t="shared" si="23"/>
        <v>618.45432047390261</v>
      </c>
      <c r="R31" s="19">
        <f t="shared" si="23"/>
        <v>571.13155960945414</v>
      </c>
      <c r="S31" s="19">
        <f t="shared" si="23"/>
        <v>581.23106259950146</v>
      </c>
      <c r="T31" s="19"/>
      <c r="U31" s="19">
        <f t="shared" si="23"/>
        <v>566.4723144660818</v>
      </c>
      <c r="V31" s="19"/>
      <c r="W31" s="19">
        <f t="shared" si="23"/>
        <v>601.24685304146976</v>
      </c>
      <c r="X31" s="19">
        <f t="shared" si="23"/>
        <v>548.88786158323251</v>
      </c>
      <c r="Y31" s="19">
        <f t="shared" si="23"/>
        <v>529.77051122351202</v>
      </c>
      <c r="Z31" s="19"/>
      <c r="AA31" s="19">
        <f t="shared" si="23"/>
        <v>530.18884290964445</v>
      </c>
      <c r="AB31" s="19"/>
      <c r="AC31" s="19">
        <f t="shared" si="23"/>
        <v>570.45341823362503</v>
      </c>
      <c r="AD31" s="19">
        <f t="shared" si="23"/>
        <v>160.2317433347352</v>
      </c>
      <c r="AE31" s="19">
        <f t="shared" si="23"/>
        <v>513.68690926400632</v>
      </c>
      <c r="AF31" s="19"/>
      <c r="AG31" s="19">
        <f t="shared" si="23"/>
        <v>421.10629295673732</v>
      </c>
      <c r="AH31" s="19">
        <f t="shared" si="23"/>
        <v>549.08063702470758</v>
      </c>
      <c r="AI31" s="19">
        <f t="shared" si="23"/>
        <v>795.80382564088609</v>
      </c>
      <c r="AJ31" s="19">
        <f t="shared" si="23"/>
        <v>868.1726296676369</v>
      </c>
      <c r="AK31" s="19">
        <f t="shared" si="23"/>
        <v>560.82354085248096</v>
      </c>
      <c r="AL31" s="19"/>
      <c r="AM31" s="19"/>
      <c r="AN31" s="19">
        <f t="shared" si="23"/>
        <v>528.8743473895338</v>
      </c>
      <c r="AO31" s="19">
        <f t="shared" si="23"/>
        <v>551.47090736965504</v>
      </c>
      <c r="AP31" s="5"/>
      <c r="AQ31" s="5"/>
      <c r="AR31" s="5"/>
      <c r="AS31" s="5"/>
    </row>
    <row r="32" spans="1:45">
      <c r="B32" s="138" t="str">
        <f>B7</f>
        <v>MEDHI</v>
      </c>
      <c r="C32" s="30" t="str">
        <f>C30</f>
        <v>LED</v>
      </c>
      <c r="D32" s="14"/>
      <c r="E32" s="55">
        <f t="shared" si="18"/>
        <v>483.93676882274684</v>
      </c>
      <c r="F32" s="55">
        <f t="shared" si="19"/>
        <v>561.30797941529124</v>
      </c>
      <c r="G32" s="55">
        <f t="shared" si="20"/>
        <v>638.67919000783559</v>
      </c>
      <c r="H32" s="56">
        <f t="shared" si="21"/>
        <v>25.790403530848135</v>
      </c>
      <c r="I32" s="5"/>
      <c r="J32" s="19">
        <f t="shared" ref="J32:AO32" si="24">K_0*J10+K_1*J9</f>
        <v>550.08084485801044</v>
      </c>
      <c r="K32" s="19">
        <f t="shared" si="24"/>
        <v>521.06758951229654</v>
      </c>
      <c r="L32" s="19">
        <f t="shared" si="24"/>
        <v>548.05096847443588</v>
      </c>
      <c r="M32" s="19">
        <f t="shared" si="24"/>
        <v>590.99092315954181</v>
      </c>
      <c r="N32" s="19">
        <f t="shared" si="24"/>
        <v>545.98791415763947</v>
      </c>
      <c r="O32" s="19">
        <f t="shared" si="24"/>
        <v>521.16379067009927</v>
      </c>
      <c r="P32" s="80"/>
      <c r="Q32" s="19">
        <f t="shared" si="24"/>
        <v>578.8441378829358</v>
      </c>
      <c r="R32" s="19">
        <f t="shared" si="24"/>
        <v>573.39373511206168</v>
      </c>
      <c r="S32" s="19">
        <f t="shared" si="24"/>
        <v>556.54069874322374</v>
      </c>
      <c r="T32" s="19"/>
      <c r="U32" s="19">
        <f t="shared" si="24"/>
        <v>568.18510724125758</v>
      </c>
      <c r="V32" s="19"/>
      <c r="W32" s="19">
        <f t="shared" si="24"/>
        <v>615.19293958137382</v>
      </c>
      <c r="X32" s="19">
        <f t="shared" si="24"/>
        <v>574.02462885161719</v>
      </c>
      <c r="Y32" s="19">
        <f t="shared" si="24"/>
        <v>551.61146757340782</v>
      </c>
      <c r="Z32" s="19"/>
      <c r="AA32" s="19">
        <f t="shared" si="24"/>
        <v>545.76197456406226</v>
      </c>
      <c r="AB32" s="19"/>
      <c r="AC32" s="19">
        <f t="shared" si="24"/>
        <v>572.94432465769421</v>
      </c>
      <c r="AD32" s="19">
        <f t="shared" si="24"/>
        <v>498.0950585475149</v>
      </c>
      <c r="AE32" s="19">
        <f t="shared" si="24"/>
        <v>570.11714830204426</v>
      </c>
      <c r="AF32" s="19"/>
      <c r="AG32" s="19">
        <f t="shared" si="24"/>
        <v>564.09096884721521</v>
      </c>
      <c r="AH32" s="19">
        <f t="shared" si="24"/>
        <v>575.4402050559537</v>
      </c>
      <c r="AI32" s="19">
        <f t="shared" si="24"/>
        <v>586.90615231764957</v>
      </c>
      <c r="AJ32" s="19">
        <f t="shared" si="24"/>
        <v>597.55340001983473</v>
      </c>
      <c r="AK32" s="19">
        <f t="shared" si="24"/>
        <v>544.31527646909672</v>
      </c>
      <c r="AL32" s="19"/>
      <c r="AM32" s="19"/>
      <c r="AN32" s="19">
        <f t="shared" si="24"/>
        <v>555.51834427614506</v>
      </c>
      <c r="AO32" s="19">
        <f t="shared" si="24"/>
        <v>565.51390709188161</v>
      </c>
      <c r="AP32" s="5"/>
      <c r="AQ32" s="5"/>
      <c r="AR32" s="5"/>
      <c r="AS32" s="5"/>
    </row>
    <row r="33" spans="1:45">
      <c r="B33" s="138"/>
      <c r="C33" s="30" t="str">
        <f t="shared" ref="C33:C37" si="25">C31</f>
        <v>QTH</v>
      </c>
      <c r="D33" s="14"/>
      <c r="E33" s="55">
        <f t="shared" si="18"/>
        <v>287.13848594506027</v>
      </c>
      <c r="F33" s="55">
        <f t="shared" si="19"/>
        <v>589.48678519744021</v>
      </c>
      <c r="G33" s="55">
        <f t="shared" si="20"/>
        <v>891.83508444982022</v>
      </c>
      <c r="H33" s="56">
        <f t="shared" si="21"/>
        <v>100.78276641745998</v>
      </c>
      <c r="I33" s="5"/>
      <c r="J33" s="19">
        <f t="shared" ref="J33:O33" si="26">K_0*J7+K_1*J8</f>
        <v>606.72575411203809</v>
      </c>
      <c r="K33" s="19">
        <f t="shared" si="26"/>
        <v>407.18677650311832</v>
      </c>
      <c r="L33" s="19">
        <f t="shared" si="26"/>
        <v>585.07745193700873</v>
      </c>
      <c r="M33" s="19">
        <f t="shared" si="26"/>
        <v>631.76909367804024</v>
      </c>
      <c r="N33" s="19">
        <f t="shared" si="26"/>
        <v>559.20180603717188</v>
      </c>
      <c r="O33" s="19">
        <f t="shared" si="26"/>
        <v>523.87113928634096</v>
      </c>
      <c r="P33" s="80"/>
      <c r="Q33" s="19">
        <f t="shared" ref="Q33:AO33" si="27">K_0*Q7+K_1*Q8</f>
        <v>640.62392287377429</v>
      </c>
      <c r="R33" s="19">
        <f t="shared" si="27"/>
        <v>595.85513735400548</v>
      </c>
      <c r="S33" s="19">
        <f t="shared" si="27"/>
        <v>600.83773479273759</v>
      </c>
      <c r="T33" s="19"/>
      <c r="U33" s="19">
        <f t="shared" si="27"/>
        <v>580.39177401618701</v>
      </c>
      <c r="V33" s="19"/>
      <c r="W33" s="19">
        <f t="shared" si="27"/>
        <v>661.72862784362815</v>
      </c>
      <c r="X33" s="19">
        <f t="shared" si="27"/>
        <v>578.29566401721161</v>
      </c>
      <c r="Y33" s="19">
        <f t="shared" si="27"/>
        <v>561.56459416829603</v>
      </c>
      <c r="Z33" s="19"/>
      <c r="AA33" s="19">
        <f t="shared" si="27"/>
        <v>553.64591724306342</v>
      </c>
      <c r="AB33" s="19"/>
      <c r="AC33" s="19">
        <f t="shared" si="27"/>
        <v>592.30492306170368</v>
      </c>
      <c r="AD33" s="19">
        <f t="shared" si="27"/>
        <v>403.18560412849081</v>
      </c>
      <c r="AE33" s="19">
        <f t="shared" si="27"/>
        <v>571.73634064422492</v>
      </c>
      <c r="AF33" s="19"/>
      <c r="AG33" s="19">
        <f t="shared" si="27"/>
        <v>535.91546874033918</v>
      </c>
      <c r="AH33" s="19">
        <f t="shared" si="27"/>
        <v>591.08681807700236</v>
      </c>
      <c r="AI33" s="19">
        <f t="shared" si="27"/>
        <v>709.51112945502098</v>
      </c>
      <c r="AJ33" s="19">
        <f t="shared" si="27"/>
        <v>946.87220604386755</v>
      </c>
      <c r="AK33" s="19">
        <f t="shared" si="27"/>
        <v>597.36127337782716</v>
      </c>
      <c r="AL33" s="19"/>
      <c r="AM33" s="19"/>
      <c r="AN33" s="19">
        <f t="shared" si="27"/>
        <v>540.61396807057986</v>
      </c>
      <c r="AO33" s="19">
        <f t="shared" si="27"/>
        <v>572.31971927688858</v>
      </c>
      <c r="AP33" s="5"/>
      <c r="AQ33" s="5"/>
      <c r="AR33" s="5"/>
      <c r="AS33" s="5"/>
    </row>
    <row r="34" spans="1:45">
      <c r="B34" s="138" t="str">
        <f>B12</f>
        <v>MEDLO</v>
      </c>
      <c r="C34" s="30" t="str">
        <f t="shared" si="25"/>
        <v>LED</v>
      </c>
      <c r="D34" s="14"/>
      <c r="E34" s="55">
        <f t="shared" si="18"/>
        <v>496.77152542515023</v>
      </c>
      <c r="F34" s="55">
        <f t="shared" si="19"/>
        <v>555.98978055440364</v>
      </c>
      <c r="G34" s="55">
        <f t="shared" si="20"/>
        <v>615.20803568365704</v>
      </c>
      <c r="H34" s="56">
        <f t="shared" si="21"/>
        <v>19.739418376417813</v>
      </c>
      <c r="I34" s="5"/>
      <c r="J34" s="19">
        <f t="shared" ref="J34:AO34" si="28">K_0*J12+K_1*J14</f>
        <v>521.64272215448307</v>
      </c>
      <c r="K34" s="19">
        <f t="shared" si="28"/>
        <v>529.67866356152638</v>
      </c>
      <c r="L34" s="19">
        <f t="shared" si="28"/>
        <v>544.5905427100729</v>
      </c>
      <c r="M34" s="19">
        <f t="shared" si="28"/>
        <v>583.06884698370106</v>
      </c>
      <c r="N34" s="19">
        <f t="shared" si="28"/>
        <v>542.15334847237614</v>
      </c>
      <c r="O34" s="19">
        <f t="shared" si="28"/>
        <v>520.97686765186472</v>
      </c>
      <c r="P34" s="80"/>
      <c r="Q34" s="19">
        <f t="shared" si="28"/>
        <v>568.04382870183065</v>
      </c>
      <c r="R34" s="19">
        <f t="shared" si="28"/>
        <v>568.91242200592353</v>
      </c>
      <c r="S34" s="19">
        <f t="shared" si="28"/>
        <v>554.02031631881346</v>
      </c>
      <c r="T34" s="19"/>
      <c r="U34" s="19">
        <f t="shared" si="28"/>
        <v>563.11720459381729</v>
      </c>
      <c r="V34" s="19"/>
      <c r="W34" s="19">
        <f t="shared" si="28"/>
        <v>593.86390529154801</v>
      </c>
      <c r="X34" s="19">
        <f t="shared" si="28"/>
        <v>562.28207506839101</v>
      </c>
      <c r="Y34" s="19">
        <f t="shared" si="28"/>
        <v>554.8609028036858</v>
      </c>
      <c r="Z34" s="19"/>
      <c r="AA34" s="19">
        <f t="shared" si="28"/>
        <v>551.72062261472217</v>
      </c>
      <c r="AB34" s="19"/>
      <c r="AC34" s="19">
        <f t="shared" si="28"/>
        <v>566.92419797016055</v>
      </c>
      <c r="AD34" s="19">
        <f t="shared" si="28"/>
        <v>523.53566280478196</v>
      </c>
      <c r="AE34" s="19">
        <f t="shared" si="28"/>
        <v>572.002808450305</v>
      </c>
      <c r="AF34" s="19"/>
      <c r="AG34" s="19">
        <f t="shared" si="28"/>
        <v>572.58642928820097</v>
      </c>
      <c r="AH34" s="19">
        <f t="shared" si="28"/>
        <v>577.10270200897526</v>
      </c>
      <c r="AI34" s="19">
        <f t="shared" si="28"/>
        <v>556.85746981558259</v>
      </c>
      <c r="AJ34" s="19">
        <f t="shared" si="28"/>
        <v>573.83251404770192</v>
      </c>
      <c r="AK34" s="19">
        <f t="shared" si="28"/>
        <v>534.78146610541728</v>
      </c>
      <c r="AL34" s="19"/>
      <c r="AM34" s="19"/>
      <c r="AN34" s="19">
        <f t="shared" si="28"/>
        <v>550.60303184767179</v>
      </c>
      <c r="AO34" s="19">
        <f t="shared" si="28"/>
        <v>556.59618203413459</v>
      </c>
      <c r="AP34" s="5"/>
      <c r="AQ34" s="5"/>
      <c r="AR34" s="5"/>
      <c r="AS34" s="5"/>
    </row>
    <row r="35" spans="1:45">
      <c r="B35" s="138"/>
      <c r="C35" s="30" t="str">
        <f t="shared" si="25"/>
        <v>QTH</v>
      </c>
      <c r="D35" s="14"/>
      <c r="E35" s="55">
        <f t="shared" si="18"/>
        <v>417.88349196201193</v>
      </c>
      <c r="F35" s="55">
        <f t="shared" si="19"/>
        <v>574.36542430433053</v>
      </c>
      <c r="G35" s="55">
        <f t="shared" si="20"/>
        <v>730.84735664664913</v>
      </c>
      <c r="H35" s="56">
        <f t="shared" si="21"/>
        <v>52.160644114106205</v>
      </c>
      <c r="I35" s="5"/>
      <c r="J35" s="19">
        <f t="shared" ref="J35:AO35" si="29">K_0*J16+K_1*J15</f>
        <v>449.31588089417977</v>
      </c>
      <c r="K35" s="19">
        <f t="shared" si="29"/>
        <v>509.8058977237169</v>
      </c>
      <c r="L35" s="19">
        <f t="shared" si="29"/>
        <v>550.53073362688338</v>
      </c>
      <c r="M35" s="19">
        <f t="shared" si="29"/>
        <v>617.89996123439096</v>
      </c>
      <c r="N35" s="19">
        <f t="shared" si="29"/>
        <v>559.43978915030073</v>
      </c>
      <c r="O35" s="19">
        <f t="shared" si="29"/>
        <v>467.4146644978747</v>
      </c>
      <c r="P35" s="80"/>
      <c r="Q35" s="19">
        <f t="shared" si="29"/>
        <v>594.9033443789325</v>
      </c>
      <c r="R35" s="19">
        <f t="shared" si="29"/>
        <v>601.75949947158631</v>
      </c>
      <c r="S35" s="19">
        <f t="shared" si="29"/>
        <v>587.59554185572733</v>
      </c>
      <c r="T35" s="19"/>
      <c r="U35" s="19">
        <f t="shared" si="29"/>
        <v>582.56911773864647</v>
      </c>
      <c r="V35" s="19"/>
      <c r="W35" s="19">
        <f t="shared" si="29"/>
        <v>623.82638839625304</v>
      </c>
      <c r="X35" s="19">
        <f t="shared" si="29"/>
        <v>550.58660560381861</v>
      </c>
      <c r="Y35" s="19">
        <f t="shared" si="29"/>
        <v>576.46883921218773</v>
      </c>
      <c r="Z35" s="19"/>
      <c r="AA35" s="19">
        <f t="shared" si="29"/>
        <v>607.54049099461713</v>
      </c>
      <c r="AB35" s="19"/>
      <c r="AC35" s="19">
        <f t="shared" si="29"/>
        <v>575.12840106722535</v>
      </c>
      <c r="AD35" s="19">
        <f t="shared" si="29"/>
        <v>526.74201306594728</v>
      </c>
      <c r="AE35" s="19">
        <f t="shared" si="29"/>
        <v>587.37654420390743</v>
      </c>
      <c r="AF35" s="19"/>
      <c r="AG35" s="19">
        <f t="shared" si="29"/>
        <v>581.9416656286952</v>
      </c>
      <c r="AH35" s="19">
        <f t="shared" si="29"/>
        <v>606.16419653938851</v>
      </c>
      <c r="AI35" s="19">
        <f t="shared" si="29"/>
        <v>681.50158012190229</v>
      </c>
      <c r="AJ35" s="19">
        <f t="shared" si="29"/>
        <v>659.34147074492387</v>
      </c>
      <c r="AK35" s="19">
        <f t="shared" si="29"/>
        <v>579.8136955263376</v>
      </c>
      <c r="AL35" s="19"/>
      <c r="AM35" s="19"/>
      <c r="AN35" s="19">
        <f t="shared" si="29"/>
        <v>550.91131155582354</v>
      </c>
      <c r="AO35" s="19">
        <f t="shared" si="29"/>
        <v>556.19255007066613</v>
      </c>
      <c r="AP35" s="5"/>
      <c r="AQ35" s="5"/>
      <c r="AR35" s="5"/>
      <c r="AS35" s="5"/>
    </row>
    <row r="36" spans="1:45">
      <c r="B36" s="138" t="str">
        <f>B17</f>
        <v>LO</v>
      </c>
      <c r="C36" s="30" t="str">
        <f t="shared" si="25"/>
        <v>LED</v>
      </c>
      <c r="D36" s="14"/>
      <c r="E36" s="55">
        <f t="shared" si="18"/>
        <v>498.79941976678589</v>
      </c>
      <c r="F36" s="55">
        <f t="shared" si="19"/>
        <v>547.84548441063646</v>
      </c>
      <c r="G36" s="55">
        <f t="shared" si="20"/>
        <v>596.89154905448709</v>
      </c>
      <c r="H36" s="56">
        <f t="shared" si="21"/>
        <v>16.348688214616864</v>
      </c>
      <c r="I36" s="5"/>
      <c r="J36" s="19">
        <f t="shared" ref="J36:AO36" si="30">K_0*J20+K_1*J19</f>
        <v>534.28203506171837</v>
      </c>
      <c r="K36" s="19">
        <f t="shared" si="30"/>
        <v>537.35516485371716</v>
      </c>
      <c r="L36" s="19">
        <f t="shared" si="30"/>
        <v>545.43910854792637</v>
      </c>
      <c r="M36" s="19">
        <f t="shared" si="30"/>
        <v>571.28818797986685</v>
      </c>
      <c r="N36" s="19">
        <f t="shared" si="30"/>
        <v>541.14508208317545</v>
      </c>
      <c r="O36" s="19">
        <f t="shared" si="30"/>
        <v>530.31887562853854</v>
      </c>
      <c r="P36" s="80"/>
      <c r="Q36" s="19">
        <f t="shared" si="30"/>
        <v>562.24613681480423</v>
      </c>
      <c r="R36" s="19">
        <f t="shared" si="30"/>
        <v>555.28688847789249</v>
      </c>
      <c r="S36" s="19">
        <f t="shared" si="30"/>
        <v>548.95076588292011</v>
      </c>
      <c r="T36" s="19"/>
      <c r="U36" s="19">
        <f t="shared" si="30"/>
        <v>551.17746136051267</v>
      </c>
      <c r="V36" s="19"/>
      <c r="W36" s="19">
        <f t="shared" si="30"/>
        <v>575.90572664172328</v>
      </c>
      <c r="X36" s="19">
        <f t="shared" si="30"/>
        <v>512.50502100847996</v>
      </c>
      <c r="Y36" s="19">
        <f t="shared" si="30"/>
        <v>549.73556156898269</v>
      </c>
      <c r="Z36" s="19"/>
      <c r="AA36" s="19">
        <f t="shared" si="30"/>
        <v>542.385256164981</v>
      </c>
      <c r="AB36" s="19"/>
      <c r="AC36" s="19">
        <f t="shared" si="30"/>
        <v>560.37547609915612</v>
      </c>
      <c r="AD36" s="19">
        <f t="shared" si="30"/>
        <v>526.2899162571357</v>
      </c>
      <c r="AE36" s="19">
        <f t="shared" si="30"/>
        <v>562.14240198328332</v>
      </c>
      <c r="AF36" s="19"/>
      <c r="AG36" s="19">
        <f t="shared" si="30"/>
        <v>561.47500028080037</v>
      </c>
      <c r="AH36" s="19">
        <f t="shared" si="30"/>
        <v>571.52054380623974</v>
      </c>
      <c r="AI36" s="19">
        <f t="shared" si="30"/>
        <v>541.97024020961578</v>
      </c>
      <c r="AJ36" s="19">
        <f t="shared" si="30"/>
        <v>560.84782284733149</v>
      </c>
      <c r="AK36" s="19">
        <f t="shared" si="30"/>
        <v>525.2414990982262</v>
      </c>
      <c r="AL36" s="19"/>
      <c r="AM36" s="19"/>
      <c r="AN36" s="19">
        <f t="shared" si="30"/>
        <v>530.26466303711254</v>
      </c>
      <c r="AO36" s="19">
        <f t="shared" si="30"/>
        <v>550.14279016113073</v>
      </c>
      <c r="AP36" s="5"/>
      <c r="AQ36" s="5"/>
      <c r="AR36" s="5"/>
      <c r="AS36" s="5"/>
    </row>
    <row r="37" spans="1:45">
      <c r="B37" s="138"/>
      <c r="C37" s="30" t="str">
        <f t="shared" si="25"/>
        <v>QTH</v>
      </c>
      <c r="D37" s="14"/>
      <c r="E37" s="55">
        <f t="shared" si="18"/>
        <v>397.40477843327972</v>
      </c>
      <c r="F37" s="55">
        <f t="shared" si="19"/>
        <v>564.76064837912793</v>
      </c>
      <c r="G37" s="55">
        <f t="shared" si="20"/>
        <v>732.11651832497614</v>
      </c>
      <c r="H37" s="56">
        <f t="shared" si="21"/>
        <v>55.785289981949404</v>
      </c>
      <c r="I37" s="5"/>
      <c r="J37" s="19">
        <f t="shared" ref="J37:O37" si="31">K_0*J17+K_1*J18</f>
        <v>532.54941426330777</v>
      </c>
      <c r="K37" s="19">
        <f t="shared" si="31"/>
        <v>587.85168953069342</v>
      </c>
      <c r="L37" s="19">
        <f t="shared" si="31"/>
        <v>576.54344372612809</v>
      </c>
      <c r="M37" s="19">
        <f t="shared" si="31"/>
        <v>590.67823553597032</v>
      </c>
      <c r="N37" s="19">
        <f t="shared" si="31"/>
        <v>572.43588917351974</v>
      </c>
      <c r="O37" s="19">
        <f t="shared" si="31"/>
        <v>545.6788522041744</v>
      </c>
      <c r="P37" s="80"/>
      <c r="Q37" s="19">
        <f t="shared" ref="Q37:AO37" si="32">K_0*Q17+K_1*Q18</f>
        <v>606.82504070773598</v>
      </c>
      <c r="R37" s="19">
        <f t="shared" si="32"/>
        <v>576.35066312826564</v>
      </c>
      <c r="S37" s="19">
        <f t="shared" si="32"/>
        <v>578.17339201580182</v>
      </c>
      <c r="T37" s="19"/>
      <c r="U37" s="19">
        <f t="shared" si="32"/>
        <v>550.80962947926741</v>
      </c>
      <c r="V37" s="19"/>
      <c r="W37" s="19">
        <f t="shared" si="32"/>
        <v>677.71949846778318</v>
      </c>
      <c r="X37" s="19">
        <f t="shared" si="32"/>
        <v>355.39914378019932</v>
      </c>
      <c r="Y37" s="19">
        <f t="shared" si="32"/>
        <v>564.90866529698997</v>
      </c>
      <c r="Z37" s="19"/>
      <c r="AA37" s="19">
        <f t="shared" si="32"/>
        <v>577.36214454685535</v>
      </c>
      <c r="AB37" s="19"/>
      <c r="AC37" s="19">
        <f t="shared" si="32"/>
        <v>617.34439481902643</v>
      </c>
      <c r="AD37" s="19">
        <f t="shared" si="32"/>
        <v>558.14291316232732</v>
      </c>
      <c r="AE37" s="19">
        <f t="shared" si="32"/>
        <v>588.00392855668667</v>
      </c>
      <c r="AF37" s="19"/>
      <c r="AG37" s="19">
        <f t="shared" si="32"/>
        <v>575.83868008245327</v>
      </c>
      <c r="AH37" s="19">
        <f t="shared" si="32"/>
        <v>593.71636243328692</v>
      </c>
      <c r="AI37" s="19">
        <f t="shared" si="32"/>
        <v>542.54669001251193</v>
      </c>
      <c r="AJ37" s="19">
        <f t="shared" si="32"/>
        <v>570.77763081206365</v>
      </c>
      <c r="AK37" s="19">
        <f t="shared" si="32"/>
        <v>551.20768928679934</v>
      </c>
      <c r="AL37" s="19"/>
      <c r="AM37" s="19"/>
      <c r="AN37" s="19">
        <f t="shared" si="32"/>
        <v>496.11191006530544</v>
      </c>
      <c r="AO37" s="19">
        <f t="shared" si="32"/>
        <v>567.27966001191896</v>
      </c>
      <c r="AP37" s="5"/>
      <c r="AQ37" s="5"/>
      <c r="AR37" s="5"/>
      <c r="AS37" s="5"/>
    </row>
    <row r="38" spans="1:45">
      <c r="B38" s="138" t="str">
        <f>B22</f>
        <v>Match</v>
      </c>
      <c r="C38" s="30" t="str">
        <f>C22</f>
        <v>Hi</v>
      </c>
      <c r="D38" s="14"/>
      <c r="E38" s="53">
        <f t="shared" si="18"/>
        <v>-0.69198968647103842</v>
      </c>
      <c r="F38" s="53">
        <f t="shared" si="19"/>
        <v>9.2236646271507527E-3</v>
      </c>
      <c r="G38" s="53">
        <f t="shared" si="20"/>
        <v>0.7104370157253399</v>
      </c>
      <c r="H38" s="54">
        <f t="shared" si="21"/>
        <v>0.23373778369939638</v>
      </c>
      <c r="I38" s="5">
        <f t="shared" ref="I38:I41" si="33">ABS(F38)+1.5*H38</f>
        <v>0.35983034017624532</v>
      </c>
      <c r="J38" s="5">
        <f>2*(J30-J31)/(J30+J31)</f>
        <v>-9.9580420453452306E-2</v>
      </c>
      <c r="K38" s="5">
        <f t="shared" ref="K38:AO38" si="34">2*(K30-K31)/(K30+K31)</f>
        <v>0.13742732577876324</v>
      </c>
      <c r="L38" s="5">
        <f t="shared" si="34"/>
        <v>-5.5930863088389467E-2</v>
      </c>
      <c r="M38" s="5">
        <f t="shared" si="34"/>
        <v>-3.8578345786205912E-3</v>
      </c>
      <c r="N38" s="5">
        <f t="shared" si="34"/>
        <v>-1.6364572382424263E-2</v>
      </c>
      <c r="O38" s="5">
        <f t="shared" si="34"/>
        <v>-7.3027008976186206E-2</v>
      </c>
      <c r="P38" s="79"/>
      <c r="Q38" s="5">
        <f t="shared" si="34"/>
        <v>-6.9209771559350181E-2</v>
      </c>
      <c r="R38" s="5">
        <f t="shared" si="34"/>
        <v>-8.3991018072400361E-3</v>
      </c>
      <c r="S38" s="5">
        <f t="shared" si="34"/>
        <v>-7.0275777091461489E-2</v>
      </c>
      <c r="T38" s="5"/>
      <c r="U38" s="5">
        <f t="shared" si="34"/>
        <v>-1.4249482443835235E-2</v>
      </c>
      <c r="V38" s="5"/>
      <c r="W38" s="5">
        <f t="shared" si="34"/>
        <v>-7.8721126152393843E-3</v>
      </c>
      <c r="X38" s="5">
        <f t="shared" si="34"/>
        <v>4.3250404181839185E-3</v>
      </c>
      <c r="Y38" s="5">
        <f t="shared" si="34"/>
        <v>1.0854936182150178E-2</v>
      </c>
      <c r="Z38" s="5"/>
      <c r="AA38" s="5">
        <f t="shared" si="34"/>
        <v>2.1483941879418027E-2</v>
      </c>
      <c r="AB38" s="5"/>
      <c r="AC38" s="5">
        <f t="shared" si="34"/>
        <v>-8.9617491976715126E-3</v>
      </c>
      <c r="AD38" s="5">
        <f t="shared" si="34"/>
        <v>0.94234440947313314</v>
      </c>
      <c r="AE38" s="5">
        <f t="shared" si="34"/>
        <v>4.0789136434621072E-2</v>
      </c>
      <c r="AF38" s="5"/>
      <c r="AG38" s="5">
        <f t="shared" si="34"/>
        <v>0.21618076765662525</v>
      </c>
      <c r="AH38" s="5">
        <f t="shared" si="34"/>
        <v>-4.1199907547113807E-3</v>
      </c>
      <c r="AI38" s="5">
        <f t="shared" si="34"/>
        <v>-0.32053143794533645</v>
      </c>
      <c r="AJ38" s="5">
        <f t="shared" si="34"/>
        <v>-0.40870561217693713</v>
      </c>
      <c r="AK38" s="5">
        <f t="shared" si="34"/>
        <v>-4.343027714755341E-2</v>
      </c>
      <c r="AL38" s="5"/>
      <c r="AM38" s="5"/>
      <c r="AN38" s="5">
        <f t="shared" si="34"/>
        <v>4.6832209435261458E-2</v>
      </c>
      <c r="AO38" s="5">
        <f t="shared" si="34"/>
        <v>5.6461960118709114E-3</v>
      </c>
      <c r="AP38" s="5"/>
      <c r="AQ38" s="5"/>
      <c r="AR38" s="5"/>
      <c r="AS38" s="5"/>
    </row>
    <row r="39" spans="1:45">
      <c r="A39" s="5"/>
      <c r="B39" s="138"/>
      <c r="C39" s="30" t="str">
        <f t="shared" ref="C39:C41" si="35">C23</f>
        <v>Mhi</v>
      </c>
      <c r="D39" s="14"/>
      <c r="E39" s="53">
        <f t="shared" si="18"/>
        <v>-0.44386926158838319</v>
      </c>
      <c r="F39" s="53">
        <f t="shared" si="19"/>
        <v>-3.5227074069415575E-2</v>
      </c>
      <c r="G39" s="53">
        <f t="shared" si="20"/>
        <v>0.37341511344955208</v>
      </c>
      <c r="H39" s="54">
        <f t="shared" si="21"/>
        <v>0.13621406250632254</v>
      </c>
      <c r="I39" s="5">
        <f t="shared" si="33"/>
        <v>0.2395481678288994</v>
      </c>
      <c r="J39" s="5">
        <f>2*(J32-J33)/(J31+J32)</f>
        <v>-9.9409381660490473E-2</v>
      </c>
      <c r="K39" s="5">
        <f t="shared" ref="K39:AO39" si="36">2*(K32-K33)/(K31+K32)</f>
        <v>0.23311403736210462</v>
      </c>
      <c r="L39" s="5">
        <f t="shared" si="36"/>
        <v>-6.6982994629160381E-2</v>
      </c>
      <c r="M39" s="5">
        <f t="shared" si="36"/>
        <v>-7.015318942933095E-2</v>
      </c>
      <c r="N39" s="5">
        <f t="shared" si="36"/>
        <v>-2.426958763836231E-2</v>
      </c>
      <c r="O39" s="5">
        <f t="shared" si="36"/>
        <v>-4.9025840228341389E-3</v>
      </c>
      <c r="P39" s="79"/>
      <c r="Q39" s="5">
        <f t="shared" si="36"/>
        <v>-0.10319863783274975</v>
      </c>
      <c r="R39" s="5">
        <f t="shared" si="36"/>
        <v>-3.9250163094751135E-2</v>
      </c>
      <c r="S39" s="5">
        <f t="shared" si="36"/>
        <v>-7.786629542859691E-2</v>
      </c>
      <c r="T39" s="5"/>
      <c r="U39" s="5">
        <f t="shared" si="36"/>
        <v>-2.1516039187514133E-2</v>
      </c>
      <c r="V39" s="5"/>
      <c r="W39" s="5">
        <f t="shared" si="36"/>
        <v>-7.6511289000034691E-2</v>
      </c>
      <c r="X39" s="5">
        <f t="shared" si="36"/>
        <v>-7.6070668052511331E-3</v>
      </c>
      <c r="Y39" s="5">
        <f t="shared" si="36"/>
        <v>-1.8408160650062708E-2</v>
      </c>
      <c r="Z39" s="5"/>
      <c r="AA39" s="5">
        <f t="shared" si="36"/>
        <v>-1.4654838401465926E-2</v>
      </c>
      <c r="AB39" s="5"/>
      <c r="AC39" s="5">
        <f t="shared" si="36"/>
        <v>-3.3865028201039059E-2</v>
      </c>
      <c r="AD39" s="5">
        <f t="shared" si="36"/>
        <v>0.28833538038452772</v>
      </c>
      <c r="AE39" s="5">
        <f t="shared" si="36"/>
        <v>-2.9879798490826167E-3</v>
      </c>
      <c r="AF39" s="5"/>
      <c r="AG39" s="5">
        <f t="shared" si="36"/>
        <v>5.7197682533719346E-2</v>
      </c>
      <c r="AH39" s="5">
        <f t="shared" si="36"/>
        <v>-2.7828053399345253E-2</v>
      </c>
      <c r="AI39" s="5">
        <f t="shared" si="36"/>
        <v>-0.17734012062079452</v>
      </c>
      <c r="AJ39" s="5">
        <f t="shared" si="36"/>
        <v>-0.47664952241929703</v>
      </c>
      <c r="AK39" s="5">
        <f t="shared" si="36"/>
        <v>-9.5998794137542101E-2</v>
      </c>
      <c r="AL39" s="5"/>
      <c r="AM39" s="5"/>
      <c r="AN39" s="5">
        <f t="shared" si="36"/>
        <v>2.748889091583856E-2</v>
      </c>
      <c r="AO39" s="5">
        <f t="shared" si="36"/>
        <v>-1.2186042454458684E-2</v>
      </c>
      <c r="AP39" s="5"/>
      <c r="AQ39" s="5"/>
      <c r="AR39" s="5"/>
      <c r="AS39" s="5"/>
    </row>
    <row r="40" spans="1:45">
      <c r="B40" s="138"/>
      <c r="C40" s="30" t="str">
        <f t="shared" si="35"/>
        <v>Mlo</v>
      </c>
      <c r="D40" s="14"/>
      <c r="E40" s="53">
        <f t="shared" si="18"/>
        <v>-0.23936970512135108</v>
      </c>
      <c r="F40" s="53">
        <f t="shared" si="19"/>
        <v>-2.8973604827689167E-2</v>
      </c>
      <c r="G40" s="53">
        <f t="shared" si="20"/>
        <v>0.18142249546597272</v>
      </c>
      <c r="H40" s="54">
        <f t="shared" si="21"/>
        <v>7.0132033431220639E-2</v>
      </c>
      <c r="I40" s="5">
        <f t="shared" si="33"/>
        <v>0.1341716549745201</v>
      </c>
      <c r="J40" s="5">
        <f>2*(J34-J35)/(J34+J35)</f>
        <v>0.14898027790929083</v>
      </c>
      <c r="K40" s="5">
        <f t="shared" ref="K40:AO40" si="37">2*(K34-K35)/(K34+K35)</f>
        <v>3.823580758763425E-2</v>
      </c>
      <c r="L40" s="5">
        <f t="shared" si="37"/>
        <v>-1.0848462257403445E-2</v>
      </c>
      <c r="M40" s="5">
        <f t="shared" si="37"/>
        <v>-5.8005027295204625E-2</v>
      </c>
      <c r="N40" s="5">
        <f t="shared" si="37"/>
        <v>-3.1384437842868311E-2</v>
      </c>
      <c r="O40" s="5">
        <f t="shared" si="37"/>
        <v>0.1083825617920722</v>
      </c>
      <c r="P40" s="79"/>
      <c r="Q40" s="5">
        <f t="shared" si="37"/>
        <v>-4.619215094000928E-2</v>
      </c>
      <c r="R40" s="5">
        <f t="shared" si="37"/>
        <v>-5.6116623048763907E-2</v>
      </c>
      <c r="S40" s="5">
        <f t="shared" si="37"/>
        <v>-5.8820531085826216E-2</v>
      </c>
      <c r="T40" s="5"/>
      <c r="U40" s="5">
        <f t="shared" si="37"/>
        <v>-3.3956786889499893E-2</v>
      </c>
      <c r="V40" s="5"/>
      <c r="W40" s="5">
        <f t="shared" si="37"/>
        <v>-4.9211993000228348E-2</v>
      </c>
      <c r="X40" s="5">
        <f t="shared" si="37"/>
        <v>2.1018597553680719E-2</v>
      </c>
      <c r="Y40" s="5">
        <f t="shared" si="37"/>
        <v>-3.8199183855980957E-2</v>
      </c>
      <c r="Z40" s="5"/>
      <c r="AA40" s="5">
        <f t="shared" si="37"/>
        <v>-9.6302494277757278E-2</v>
      </c>
      <c r="AB40" s="5"/>
      <c r="AC40" s="5">
        <f t="shared" si="37"/>
        <v>-1.4367469771497339E-2</v>
      </c>
      <c r="AD40" s="5">
        <f t="shared" si="37"/>
        <v>-6.1057191537601677E-3</v>
      </c>
      <c r="AE40" s="5">
        <f t="shared" si="37"/>
        <v>-2.6520630574292596E-2</v>
      </c>
      <c r="AF40" s="5"/>
      <c r="AG40" s="5">
        <f t="shared" si="37"/>
        <v>-1.6206164894008279E-2</v>
      </c>
      <c r="AH40" s="5">
        <f t="shared" si="37"/>
        <v>-4.9120776666812881E-2</v>
      </c>
      <c r="AI40" s="5">
        <f t="shared" si="37"/>
        <v>-0.20130528429959307</v>
      </c>
      <c r="AJ40" s="5">
        <f t="shared" si="37"/>
        <v>-0.13868109083018224</v>
      </c>
      <c r="AK40" s="5">
        <f t="shared" si="37"/>
        <v>-8.0804638259856856E-2</v>
      </c>
      <c r="AL40" s="5"/>
      <c r="AM40" s="5"/>
      <c r="AN40" s="5">
        <f t="shared" si="37"/>
        <v>-5.5973798252907994E-4</v>
      </c>
      <c r="AO40" s="5">
        <f t="shared" si="37"/>
        <v>7.2544221885676428E-4</v>
      </c>
      <c r="AP40" s="5"/>
      <c r="AQ40" s="5"/>
      <c r="AR40" s="5"/>
      <c r="AS40" s="5"/>
    </row>
    <row r="41" spans="1:45" ht="15.75" thickBot="1">
      <c r="B41" s="139"/>
      <c r="C41" s="31" t="str">
        <f t="shared" si="35"/>
        <v>Lo</v>
      </c>
      <c r="D41" s="15"/>
      <c r="E41" s="10">
        <f t="shared" si="18"/>
        <v>-0.30351122025822058</v>
      </c>
      <c r="F41" s="10">
        <f t="shared" si="19"/>
        <v>-2.5401733187156914E-2</v>
      </c>
      <c r="G41" s="10">
        <f t="shared" si="20"/>
        <v>0.25270775388390671</v>
      </c>
      <c r="H41" s="12">
        <f t="shared" si="21"/>
        <v>9.2703162357021224E-2</v>
      </c>
      <c r="I41" s="5">
        <f t="shared" si="33"/>
        <v>0.16445647672268873</v>
      </c>
      <c r="J41" s="5">
        <f>2*(J36-J37)/(J36+J37)</f>
        <v>3.2481622087665676E-3</v>
      </c>
      <c r="K41" s="5">
        <f t="shared" ref="K41:AO41" si="38">2*(K36-K37)/(K36+K37)</f>
        <v>-8.9755096105599896E-2</v>
      </c>
      <c r="L41" s="5">
        <f t="shared" si="38"/>
        <v>-5.5445309938481485E-2</v>
      </c>
      <c r="M41" s="5">
        <f t="shared" si="38"/>
        <v>-3.3374540199593281E-2</v>
      </c>
      <c r="N41" s="5">
        <f t="shared" si="38"/>
        <v>-5.6198530502963022E-2</v>
      </c>
      <c r="O41" s="5">
        <f t="shared" si="38"/>
        <v>-2.8550202622777118E-2</v>
      </c>
      <c r="P41" s="79"/>
      <c r="Q41" s="5">
        <f t="shared" si="38"/>
        <v>-7.626379770546049E-2</v>
      </c>
      <c r="R41" s="5">
        <f t="shared" si="38"/>
        <v>-3.7227069074328385E-2</v>
      </c>
      <c r="S41" s="5">
        <f t="shared" si="38"/>
        <v>-5.1853428795920677E-2</v>
      </c>
      <c r="T41" s="5"/>
      <c r="U41" s="5">
        <f t="shared" si="38"/>
        <v>6.6757929253951926E-4</v>
      </c>
      <c r="V41" s="5"/>
      <c r="W41" s="5">
        <f t="shared" si="38"/>
        <v>-0.16243095589779039</v>
      </c>
      <c r="X41" s="5">
        <f t="shared" si="38"/>
        <v>0.36203508083529795</v>
      </c>
      <c r="Y41" s="5">
        <f t="shared" si="38"/>
        <v>-2.7225016489197187E-2</v>
      </c>
      <c r="Z41" s="5"/>
      <c r="AA41" s="5">
        <f t="shared" si="38"/>
        <v>-6.2472819065512698E-2</v>
      </c>
      <c r="AB41" s="5"/>
      <c r="AC41" s="5">
        <f t="shared" si="38"/>
        <v>-9.6744429854029368E-2</v>
      </c>
      <c r="AD41" s="5">
        <f t="shared" si="38"/>
        <v>-5.8745910380163809E-2</v>
      </c>
      <c r="AE41" s="5">
        <f t="shared" si="38"/>
        <v>-4.4970845685803992E-2</v>
      </c>
      <c r="AF41" s="5"/>
      <c r="AG41" s="5">
        <f t="shared" si="38"/>
        <v>-2.5258958983180764E-2</v>
      </c>
      <c r="AH41" s="5">
        <f t="shared" si="38"/>
        <v>-3.8096662589718201E-2</v>
      </c>
      <c r="AI41" s="5">
        <f t="shared" si="38"/>
        <v>-1.0630535805062683E-3</v>
      </c>
      <c r="AJ41" s="5">
        <f t="shared" si="38"/>
        <v>-1.7549636998039651E-2</v>
      </c>
      <c r="AK41" s="5">
        <f t="shared" si="38"/>
        <v>-4.824415396239868E-2</v>
      </c>
      <c r="AL41" s="5"/>
      <c r="AM41" s="5"/>
      <c r="AN41" s="5">
        <f t="shared" si="38"/>
        <v>6.6550141277238878E-2</v>
      </c>
      <c r="AO41" s="5">
        <f t="shared" si="38"/>
        <v>-3.0672141674143612E-2</v>
      </c>
      <c r="AP41" s="5"/>
      <c r="AQ41" s="5"/>
      <c r="AR41" s="5"/>
      <c r="AS41" s="5"/>
    </row>
    <row r="42" spans="1:45" ht="15.75" thickBot="1">
      <c r="B42" s="71" t="s">
        <v>19</v>
      </c>
      <c r="C42" s="72" t="s">
        <v>16</v>
      </c>
      <c r="D42" s="73"/>
      <c r="E42" s="74">
        <f t="shared" si="18"/>
        <v>2.3968839482864238E-4</v>
      </c>
      <c r="F42" s="74">
        <f t="shared" si="19"/>
        <v>4.5029754355282715E-4</v>
      </c>
      <c r="G42" s="74">
        <f t="shared" si="20"/>
        <v>6.6090669227701192E-4</v>
      </c>
      <c r="H42" s="75">
        <f t="shared" si="21"/>
        <v>7.0203049574728253E-5</v>
      </c>
      <c r="J42" s="5">
        <f>(J20-J21)/((J20+J21)/2)</f>
        <v>3.7481006702084379E-4</v>
      </c>
      <c r="K42" s="5">
        <f t="shared" ref="K42:AO42" si="39">(K20-K21)/((K20+K21)/2)</f>
        <v>3.9147338785344178E-4</v>
      </c>
      <c r="L42" s="5">
        <f t="shared" si="39"/>
        <v>4.3758724780945717E-4</v>
      </c>
      <c r="M42" s="5">
        <f t="shared" si="39"/>
        <v>4.4386420781575026E-4</v>
      </c>
      <c r="N42" s="5">
        <f t="shared" si="39"/>
        <v>5.129629646065569E-4</v>
      </c>
      <c r="O42" s="5">
        <f t="shared" si="39"/>
        <v>4.725974936036863E-4</v>
      </c>
      <c r="P42" s="79"/>
      <c r="Q42" s="5">
        <f t="shared" si="39"/>
        <v>4.475686941071489E-4</v>
      </c>
      <c r="R42" s="5">
        <f t="shared" si="39"/>
        <v>4.861053447369487E-4</v>
      </c>
      <c r="S42" s="5">
        <f t="shared" si="39"/>
        <v>3.6999344420597522E-4</v>
      </c>
      <c r="T42" s="5"/>
      <c r="U42" s="5">
        <f t="shared" si="39"/>
        <v>4.4435576691012168E-4</v>
      </c>
      <c r="V42" s="5"/>
      <c r="W42" s="5">
        <f t="shared" si="39"/>
        <v>5.1633396213755496E-4</v>
      </c>
      <c r="X42" s="5">
        <f t="shared" si="39"/>
        <v>2.0249936718949081E-4</v>
      </c>
      <c r="Y42" s="5">
        <f t="shared" si="39"/>
        <v>5.1545536112886201E-4</v>
      </c>
      <c r="Z42" s="5"/>
      <c r="AA42" s="5">
        <f t="shared" si="39"/>
        <v>5.1006583037133601E-4</v>
      </c>
      <c r="AB42" s="5"/>
      <c r="AC42" s="5">
        <f t="shared" si="39"/>
        <v>4.9193450243470514E-4</v>
      </c>
      <c r="AD42" s="5">
        <f t="shared" si="39"/>
        <v>4.305013881845731E-4</v>
      </c>
      <c r="AE42" s="5">
        <f t="shared" si="39"/>
        <v>4.7071145345187193E-4</v>
      </c>
      <c r="AF42" s="5"/>
      <c r="AG42" s="5">
        <f t="shared" si="39"/>
        <v>4.4288683557358691E-4</v>
      </c>
      <c r="AH42" s="5">
        <f t="shared" si="39"/>
        <v>5.066586116628032E-4</v>
      </c>
      <c r="AI42" s="5">
        <f t="shared" si="39"/>
        <v>5.0950402220206888E-4</v>
      </c>
      <c r="AJ42" s="5">
        <f t="shared" si="39"/>
        <v>4.6985503388901446E-4</v>
      </c>
      <c r="AK42" s="5">
        <f t="shared" si="39"/>
        <v>5.2762317646537526E-4</v>
      </c>
      <c r="AL42" s="5"/>
      <c r="AM42" s="5"/>
      <c r="AN42" s="5">
        <f t="shared" si="39"/>
        <v>4.0577357834339098E-4</v>
      </c>
      <c r="AO42" s="5">
        <f t="shared" si="39"/>
        <v>4.2601930356328706E-4</v>
      </c>
      <c r="AP42" s="19"/>
      <c r="AQ42" s="19"/>
      <c r="AR42" s="19"/>
      <c r="AS42" s="19"/>
    </row>
    <row r="44" spans="1:45" ht="15.75" thickBot="1">
      <c r="E44" s="113" t="s">
        <v>17</v>
      </c>
      <c r="F44" s="113"/>
    </row>
    <row r="45" spans="1:45">
      <c r="B45" t="str">
        <f>setCalcEnable(D45)</f>
        <v>Calc Enable=</v>
      </c>
      <c r="D45">
        <v>1</v>
      </c>
      <c r="E45" s="11">
        <f>H22/2</f>
        <v>0.13489708973723133</v>
      </c>
      <c r="O45" s="114" t="s">
        <v>8</v>
      </c>
      <c r="P45" s="115"/>
      <c r="Q45" s="17">
        <f>COUNT(J2:AS2)</f>
        <v>24</v>
      </c>
    </row>
    <row r="46" spans="1:45" ht="15.75" thickBot="1">
      <c r="E46" s="3">
        <f>F22-1.5*H22</f>
        <v>-0.29945015089080418</v>
      </c>
      <c r="F46" s="5">
        <f>histogram($J$22:$AS$22,$E$46:E$51,E46)/count</f>
        <v>0</v>
      </c>
      <c r="O46" s="117" t="str">
        <f>setCalcEnable(Q46)</f>
        <v>Calc Enable=</v>
      </c>
      <c r="P46" s="118"/>
      <c r="Q46" s="18">
        <v>1</v>
      </c>
    </row>
    <row r="47" spans="1:45" ht="15" customHeight="1">
      <c r="A47" s="136" t="s">
        <v>30</v>
      </c>
      <c r="B47" s="136"/>
      <c r="C47" s="136"/>
      <c r="D47" s="136"/>
      <c r="E47" s="3">
        <f t="shared" ref="E47:E51" si="40">E46+E$45</f>
        <v>-0.16455306115357285</v>
      </c>
      <c r="F47" s="5">
        <f>histogram($J$22:$AS$22,$E$46:E$51,E47)/count</f>
        <v>0</v>
      </c>
      <c r="O47" s="116"/>
      <c r="P47" s="116"/>
      <c r="Q47" s="13"/>
    </row>
    <row r="48" spans="1:45" ht="15" customHeight="1">
      <c r="A48" s="136"/>
      <c r="B48" s="136"/>
      <c r="C48" s="136"/>
      <c r="D48" s="136"/>
      <c r="E48" s="3">
        <f t="shared" si="40"/>
        <v>-2.965597141634152E-2</v>
      </c>
      <c r="F48" s="5">
        <f>histogram($J$22:$AS$22,$E$46:E$51,E48)/count</f>
        <v>0</v>
      </c>
      <c r="O48" s="116"/>
      <c r="P48" s="116"/>
      <c r="Q48" s="13"/>
    </row>
    <row r="49" spans="1:6" ht="15" customHeight="1">
      <c r="A49" s="136"/>
      <c r="B49" s="136"/>
      <c r="C49" s="136"/>
      <c r="D49" s="136"/>
      <c r="E49" s="3">
        <f t="shared" si="40"/>
        <v>0.10524111832088981</v>
      </c>
      <c r="F49" s="5">
        <f>histogram($J$22:$AS$22,$E$46:E$51,E49)/count</f>
        <v>0</v>
      </c>
    </row>
    <row r="50" spans="1:6" ht="15" customHeight="1">
      <c r="A50" s="136"/>
      <c r="B50" s="136"/>
      <c r="C50" s="136"/>
      <c r="D50" s="136"/>
      <c r="E50" s="3">
        <f t="shared" si="40"/>
        <v>0.24013820805812114</v>
      </c>
      <c r="F50" s="5">
        <f>histogram($J$22:$AS$22,$E$46:E$51,E50)/count</f>
        <v>0</v>
      </c>
    </row>
    <row r="51" spans="1:6" ht="15.75" thickBot="1">
      <c r="E51" s="3">
        <f t="shared" si="40"/>
        <v>0.3750352977953525</v>
      </c>
      <c r="F51" s="5">
        <f>histogram($J$22:$AS$22,$E$46:E$51,E51)/count</f>
        <v>0</v>
      </c>
    </row>
    <row r="52" spans="1:6">
      <c r="B52" s="68" t="s">
        <v>28</v>
      </c>
      <c r="C52" s="70">
        <v>1</v>
      </c>
      <c r="E52" s="3"/>
      <c r="F52" s="5"/>
    </row>
    <row r="53" spans="1:6" ht="15.75" thickBot="1">
      <c r="B53" s="69" t="s">
        <v>29</v>
      </c>
      <c r="C53" s="18">
        <v>923.26218372966378</v>
      </c>
      <c r="E53" s="3"/>
      <c r="F53" s="5"/>
    </row>
    <row r="54" spans="1:6" ht="15.75" thickBot="1">
      <c r="B54" s="76" t="s">
        <v>31</v>
      </c>
      <c r="C54" s="77">
        <f>ABS(F38)+ABS(F39)+ABS(F40)+ABS(F41)</f>
        <v>9.8826076711412414E-2</v>
      </c>
    </row>
    <row r="55" spans="1:6">
      <c r="B55" s="5"/>
      <c r="E55" s="113" t="s">
        <v>18</v>
      </c>
      <c r="F55" s="113"/>
    </row>
    <row r="56" spans="1:6">
      <c r="E56" s="11">
        <f>H25/2</f>
        <v>5.2406061832191313E-2</v>
      </c>
    </row>
    <row r="57" spans="1:6">
      <c r="E57" s="5">
        <f>F25-1.5*H25</f>
        <v>-9.3050839013284745E-2</v>
      </c>
      <c r="F57" s="5">
        <f>histogram($J$25:$AS$25,$E$57:E$64,E57)/count</f>
        <v>0</v>
      </c>
    </row>
    <row r="58" spans="1:6">
      <c r="E58" s="5">
        <f>E57+E$56</f>
        <v>-4.0644777181093432E-2</v>
      </c>
      <c r="F58" s="5">
        <f>histogram($J$25:$AS$25,$E$57:E$64,E58)/count</f>
        <v>0</v>
      </c>
    </row>
    <row r="59" spans="1:6">
      <c r="E59" s="5">
        <f t="shared" ref="E59:E62" si="41">E58+E$56</f>
        <v>1.1761284651097881E-2</v>
      </c>
      <c r="F59" s="5">
        <f>histogram($J$25:$AS$25,$E$57:E$64,E59)/count</f>
        <v>0</v>
      </c>
    </row>
    <row r="60" spans="1:6">
      <c r="E60" s="5">
        <f t="shared" si="41"/>
        <v>6.41673464832892E-2</v>
      </c>
      <c r="F60" s="5">
        <f>histogram($J$25:$AS$25,$E$57:E$64,E60)/count</f>
        <v>0</v>
      </c>
    </row>
    <row r="61" spans="1:6">
      <c r="E61" s="5">
        <f t="shared" si="41"/>
        <v>0.11657340831548052</v>
      </c>
      <c r="F61" s="5">
        <f>histogram($J$25:$AS$25,$E$57:E$64,E61)/count</f>
        <v>0</v>
      </c>
    </row>
    <row r="62" spans="1:6">
      <c r="E62" s="5">
        <f t="shared" si="41"/>
        <v>0.16897947014767184</v>
      </c>
      <c r="F62" s="5">
        <f>histogram($J$25:$AS$25,$E$57:E$64,E62)/count</f>
        <v>0</v>
      </c>
    </row>
    <row r="63" spans="1:6">
      <c r="E63" s="5"/>
      <c r="F63" s="5"/>
    </row>
    <row r="64" spans="1:6">
      <c r="E64" s="5"/>
      <c r="F64" s="5"/>
    </row>
  </sheetData>
  <mergeCells count="28">
    <mergeCell ref="B1:C1"/>
    <mergeCell ref="B2:B6"/>
    <mergeCell ref="C2:C4"/>
    <mergeCell ref="C5:C6"/>
    <mergeCell ref="B7:B10"/>
    <mergeCell ref="C7:C8"/>
    <mergeCell ref="C9:C11"/>
    <mergeCell ref="B34:B35"/>
    <mergeCell ref="B12:B16"/>
    <mergeCell ref="C12:C14"/>
    <mergeCell ref="C15:C16"/>
    <mergeCell ref="B17:B21"/>
    <mergeCell ref="C17:C18"/>
    <mergeCell ref="C19:C21"/>
    <mergeCell ref="B22:B25"/>
    <mergeCell ref="B26:B29"/>
    <mergeCell ref="D26:D29"/>
    <mergeCell ref="B30:B31"/>
    <mergeCell ref="B32:B33"/>
    <mergeCell ref="E55:F55"/>
    <mergeCell ref="B36:B37"/>
    <mergeCell ref="B38:B41"/>
    <mergeCell ref="E44:F44"/>
    <mergeCell ref="O45:P45"/>
    <mergeCell ref="O46:P46"/>
    <mergeCell ref="A47:D50"/>
    <mergeCell ref="O47:P47"/>
    <mergeCell ref="O48:P48"/>
  </mergeCells>
  <conditionalFormatting sqref="J22:AS22">
    <cfRule type="top10" dxfId="25" priority="14" percent="1" bottom="1" rank="10"/>
    <cfRule type="top10" dxfId="24" priority="15" percent="1" rank="10"/>
  </conditionalFormatting>
  <conditionalFormatting sqref="J42:AS42">
    <cfRule type="top10" dxfId="23" priority="12" percent="1" bottom="1" rank="10"/>
    <cfRule type="top10" dxfId="22" priority="13" percent="1" rank="10"/>
  </conditionalFormatting>
  <conditionalFormatting sqref="J42:AO42">
    <cfRule type="top10" dxfId="21" priority="10" percent="1" bottom="1" rank="10"/>
    <cfRule type="top10" dxfId="20" priority="11" percent="1" rank="10"/>
  </conditionalFormatting>
  <conditionalFormatting sqref="A22">
    <cfRule type="top10" dxfId="19" priority="8" percent="1" bottom="1" rank="10"/>
    <cfRule type="top10" dxfId="18" priority="9" percent="1" rank="10"/>
  </conditionalFormatting>
  <conditionalFormatting sqref="A23:A29">
    <cfRule type="top10" dxfId="17" priority="6" percent="1" bottom="1" rank="10"/>
    <cfRule type="top10" dxfId="16" priority="7" percent="1" rank="10"/>
  </conditionalFormatting>
  <conditionalFormatting sqref="J7:AS8">
    <cfRule type="top10" dxfId="15" priority="4" percent="1" bottom="1" rank="10"/>
    <cfRule type="top10" dxfId="14" priority="5" percent="1" rank="10"/>
  </conditionalFormatting>
  <conditionalFormatting sqref="K9:AS21 J9:J10 J12 J14:J20">
    <cfRule type="top10" dxfId="13" priority="2" percent="1" bottom="1" rank="10"/>
    <cfRule type="top10" dxfId="12" priority="3" percent="1" rank="10"/>
  </conditionalFormatting>
  <conditionalFormatting sqref="J26:AO29">
    <cfRule type="cellIs" dxfId="11" priority="1" operator="between">
      <formula>-$D$26</formula>
      <formula>$D$26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L21"/>
  <sheetViews>
    <sheetView zoomScale="70" zoomScaleNormal="70" workbookViewId="0">
      <pane xSplit="9855" topLeftCell="Z1"/>
      <selection activeCell="B2" sqref="B2:AG21"/>
      <selection pane="topRight" activeCell="AG17" sqref="B17:AG17"/>
    </sheetView>
  </sheetViews>
  <sheetFormatPr defaultRowHeight="18.75"/>
  <cols>
    <col min="1" max="1" width="18.140625" style="64" bestFit="1" customWidth="1"/>
    <col min="2" max="34" width="6.5703125" style="19" customWidth="1"/>
    <col min="35" max="37" width="6.5703125" style="4" customWidth="1"/>
    <col min="38" max="38" width="6.42578125" style="4" bestFit="1" customWidth="1"/>
    <col min="39" max="16384" width="9.140625" style="19"/>
  </cols>
  <sheetData>
    <row r="1" spans="1:38">
      <c r="A1" s="61"/>
      <c r="B1" s="4">
        <v>0</v>
      </c>
      <c r="C1" s="4">
        <f>B1+1</f>
        <v>1</v>
      </c>
      <c r="D1" s="4">
        <f t="shared" ref="D1:AG1" si="0">C1+1</f>
        <v>2</v>
      </c>
      <c r="E1" s="4">
        <f t="shared" si="0"/>
        <v>3</v>
      </c>
      <c r="F1" s="4">
        <f t="shared" si="0"/>
        <v>4</v>
      </c>
      <c r="G1" s="4">
        <f t="shared" si="0"/>
        <v>5</v>
      </c>
      <c r="H1" s="4">
        <f t="shared" si="0"/>
        <v>6</v>
      </c>
      <c r="I1" s="4">
        <f t="shared" si="0"/>
        <v>7</v>
      </c>
      <c r="J1" s="4">
        <f t="shared" si="0"/>
        <v>8</v>
      </c>
      <c r="K1" s="4">
        <f t="shared" si="0"/>
        <v>9</v>
      </c>
      <c r="L1" s="4">
        <f t="shared" si="0"/>
        <v>10</v>
      </c>
      <c r="M1" s="4">
        <f t="shared" si="0"/>
        <v>11</v>
      </c>
      <c r="N1" s="4">
        <f t="shared" si="0"/>
        <v>12</v>
      </c>
      <c r="O1" s="4">
        <f t="shared" si="0"/>
        <v>13</v>
      </c>
      <c r="P1" s="4">
        <f t="shared" si="0"/>
        <v>14</v>
      </c>
      <c r="Q1" s="4">
        <f t="shared" si="0"/>
        <v>15</v>
      </c>
      <c r="R1" s="4">
        <f t="shared" si="0"/>
        <v>16</v>
      </c>
      <c r="S1" s="4">
        <f t="shared" si="0"/>
        <v>17</v>
      </c>
      <c r="T1" s="4">
        <f t="shared" si="0"/>
        <v>18</v>
      </c>
      <c r="U1" s="4">
        <f t="shared" si="0"/>
        <v>19</v>
      </c>
      <c r="V1" s="4">
        <f t="shared" si="0"/>
        <v>20</v>
      </c>
      <c r="W1" s="4">
        <f t="shared" si="0"/>
        <v>21</v>
      </c>
      <c r="X1" s="4">
        <f t="shared" si="0"/>
        <v>22</v>
      </c>
      <c r="Y1" s="4">
        <f t="shared" si="0"/>
        <v>23</v>
      </c>
      <c r="Z1" s="4">
        <f t="shared" si="0"/>
        <v>24</v>
      </c>
      <c r="AA1" s="4">
        <f t="shared" si="0"/>
        <v>25</v>
      </c>
      <c r="AB1" s="4">
        <f t="shared" si="0"/>
        <v>26</v>
      </c>
      <c r="AC1" s="4">
        <f t="shared" si="0"/>
        <v>27</v>
      </c>
      <c r="AD1" s="4">
        <f t="shared" si="0"/>
        <v>28</v>
      </c>
      <c r="AE1" s="4">
        <f t="shared" si="0"/>
        <v>29</v>
      </c>
      <c r="AF1" s="4">
        <f t="shared" si="0"/>
        <v>30</v>
      </c>
      <c r="AG1" s="4">
        <f t="shared" si="0"/>
        <v>31</v>
      </c>
      <c r="AH1" s="4">
        <f t="shared" ref="AH1" si="1">AG1+1</f>
        <v>32</v>
      </c>
      <c r="AI1" s="4">
        <f t="shared" ref="AI1" si="2">AH1+1</f>
        <v>33</v>
      </c>
      <c r="AJ1" s="4">
        <f t="shared" ref="AJ1" si="3">AI1+1</f>
        <v>34</v>
      </c>
      <c r="AK1" s="4">
        <f t="shared" ref="AK1" si="4">AJ1+1</f>
        <v>35</v>
      </c>
    </row>
    <row r="2" spans="1:38">
      <c r="A2" s="62" t="str">
        <f>Calculations!B2&amp;Calculations!C2&amp;Calculations!D2</f>
        <v>HILEDVis</v>
      </c>
      <c r="B2" s="32">
        <v>529.97634851606006</v>
      </c>
      <c r="C2" s="32">
        <v>519.53917753871974</v>
      </c>
      <c r="D2" s="32">
        <v>523.44548714427401</v>
      </c>
      <c r="E2" s="32">
        <v>565.43831540398264</v>
      </c>
      <c r="F2" s="32">
        <v>530.434119172961</v>
      </c>
      <c r="G2" s="32">
        <v>538.70450904097049</v>
      </c>
      <c r="H2" s="32">
        <v>562.32547493705647</v>
      </c>
      <c r="I2" s="32">
        <v>573.25093461509118</v>
      </c>
      <c r="J2" s="32">
        <v>562.50858319981683</v>
      </c>
      <c r="K2" s="32">
        <v>538.09414816510264</v>
      </c>
      <c r="L2" s="32">
        <v>566.41489280537121</v>
      </c>
      <c r="M2" s="32">
        <v>554.69596398870829</v>
      </c>
      <c r="N2" s="32">
        <v>543.12962539101238</v>
      </c>
      <c r="O2" s="32">
        <v>592.44678416113527</v>
      </c>
      <c r="P2" s="32">
        <v>547.46318760967415</v>
      </c>
      <c r="Q2" s="32">
        <v>531.77691309987028</v>
      </c>
      <c r="R2" s="32">
        <v>552.04089417868317</v>
      </c>
      <c r="S2" s="32">
        <v>537.94155794613562</v>
      </c>
      <c r="T2" s="32">
        <v>567.26939803158621</v>
      </c>
      <c r="U2" s="32">
        <v>561.53200579842826</v>
      </c>
      <c r="V2" s="32">
        <v>442.38956282902262</v>
      </c>
      <c r="W2" s="32">
        <v>531.25810635538255</v>
      </c>
      <c r="X2" s="32">
        <v>566.41489280537121</v>
      </c>
      <c r="Y2" s="32">
        <v>519.53917753871974</v>
      </c>
      <c r="Z2" s="32">
        <v>542.97703517204548</v>
      </c>
      <c r="AA2" s="32">
        <v>572.27435721370261</v>
      </c>
      <c r="AB2" s="32">
        <v>570.01602197299155</v>
      </c>
      <c r="AC2" s="32">
        <v>533.36385137712671</v>
      </c>
      <c r="AD2" s="32">
        <v>555.67254139009685</v>
      </c>
      <c r="AE2" s="32">
        <v>548.04303044174867</v>
      </c>
      <c r="AF2" s="32">
        <v>550.54551003280687</v>
      </c>
      <c r="AG2" s="33">
        <v>550.78965438315402</v>
      </c>
      <c r="AI2" s="19"/>
    </row>
    <row r="3" spans="1:38">
      <c r="A3" s="84" t="str">
        <f>Calculations!B2&amp;Calculations!C2&amp;Calculations!D3</f>
        <v>HILED850</v>
      </c>
      <c r="B3" s="85">
        <v>529.97634851606006</v>
      </c>
      <c r="C3" s="85">
        <v>519.53917753871974</v>
      </c>
      <c r="D3" s="85">
        <v>523.56755931944758</v>
      </c>
      <c r="E3" s="85">
        <v>565.43831540398264</v>
      </c>
      <c r="F3" s="85">
        <v>530.67826352330815</v>
      </c>
      <c r="G3" s="85">
        <v>538.39932860303657</v>
      </c>
      <c r="H3" s="85">
        <v>561.65407797360183</v>
      </c>
      <c r="I3" s="85">
        <v>573.25093461509118</v>
      </c>
      <c r="J3" s="85">
        <v>562.50858319981683</v>
      </c>
      <c r="K3" s="85">
        <v>538.09414816510264</v>
      </c>
      <c r="L3" s="85">
        <v>566.41489280537121</v>
      </c>
      <c r="M3" s="85">
        <v>554.69596398870829</v>
      </c>
      <c r="N3" s="85">
        <v>542.97703517204548</v>
      </c>
      <c r="O3" s="85">
        <v>592.05004959182111</v>
      </c>
      <c r="P3" s="85">
        <v>546.94438086518653</v>
      </c>
      <c r="Q3" s="85">
        <v>531.38017853055612</v>
      </c>
      <c r="R3" s="85">
        <v>552.16296635385675</v>
      </c>
      <c r="S3" s="85">
        <v>537.97207598992907</v>
      </c>
      <c r="T3" s="85">
        <v>566.81162737468526</v>
      </c>
      <c r="U3" s="85">
        <v>561.53200579842826</v>
      </c>
      <c r="V3" s="85">
        <v>442.38956282902262</v>
      </c>
      <c r="W3" s="85">
        <v>531.25810635538255</v>
      </c>
      <c r="X3" s="85">
        <v>566.41489280537121</v>
      </c>
      <c r="Y3" s="85">
        <v>519.26451514457926</v>
      </c>
      <c r="Z3" s="85">
        <v>542.97703517204548</v>
      </c>
      <c r="AA3" s="85">
        <v>572.27435721370261</v>
      </c>
      <c r="AB3" s="85">
        <v>569.34462500953691</v>
      </c>
      <c r="AC3" s="85">
        <v>533.36385137712671</v>
      </c>
      <c r="AD3" s="85">
        <v>555.67254139009685</v>
      </c>
      <c r="AE3" s="85">
        <v>547.85992217898831</v>
      </c>
      <c r="AF3" s="85">
        <v>550.17929350728616</v>
      </c>
      <c r="AG3" s="86">
        <v>550.24032959487295</v>
      </c>
      <c r="AI3" s="19"/>
    </row>
    <row r="4" spans="1:38" s="5" customFormat="1">
      <c r="A4" s="65" t="str">
        <f>Calculations!B2&amp;Calculations!C2&amp;Calculations!D4</f>
        <v>HILEDIR</v>
      </c>
      <c r="B4" s="34">
        <v>3.9520866712443731E-3</v>
      </c>
      <c r="C4" s="34">
        <v>4.0283817807278549E-3</v>
      </c>
      <c r="D4" s="34">
        <v>4.0283817807278549E-3</v>
      </c>
      <c r="E4" s="34">
        <v>4.2420080872816049E-3</v>
      </c>
      <c r="F4" s="34">
        <v>3.9978637369344622E-3</v>
      </c>
      <c r="G4" s="34">
        <v>3.7842374303807126E-3</v>
      </c>
      <c r="H4" s="34">
        <v>4.1504539559014267E-3</v>
      </c>
      <c r="I4" s="34">
        <v>4.1504539559014267E-3</v>
      </c>
      <c r="J4" s="34">
        <v>4.1657129777981231E-3</v>
      </c>
      <c r="K4" s="34">
        <v>3.9826047150377658E-3</v>
      </c>
      <c r="L4" s="34">
        <v>4.0283817807278549E-3</v>
      </c>
      <c r="M4" s="34">
        <v>4.0741588464179449E-3</v>
      </c>
      <c r="N4" s="34">
        <v>4.0741588464179449E-3</v>
      </c>
      <c r="O4" s="34">
        <v>4.4251163500419622E-3</v>
      </c>
      <c r="P4" s="34">
        <v>4.119935912108034E-3</v>
      </c>
      <c r="Q4" s="34">
        <v>4.0894178683146412E-3</v>
      </c>
      <c r="R4" s="34">
        <v>4.0894178683146412E-3</v>
      </c>
      <c r="S4" s="34">
        <v>4.0741588464179449E-3</v>
      </c>
      <c r="T4" s="34">
        <v>4.3183031967650876E-3</v>
      </c>
      <c r="U4" s="34">
        <v>4.1504539559014267E-3</v>
      </c>
      <c r="V4" s="34">
        <v>3.6469062333104449E-3</v>
      </c>
      <c r="W4" s="34">
        <v>4.1351949340047304E-3</v>
      </c>
      <c r="X4" s="34">
        <v>4.0894178683146412E-3</v>
      </c>
      <c r="Y4" s="34">
        <v>3.9368276493476767E-3</v>
      </c>
      <c r="Z4" s="34">
        <v>4.1657129777981231E-3</v>
      </c>
      <c r="AA4" s="34">
        <v>3.9892805371175705E-3</v>
      </c>
      <c r="AB4" s="34">
        <v>3.8300144960708017E-3</v>
      </c>
      <c r="AC4" s="34">
        <v>3.9215686274509803E-3</v>
      </c>
      <c r="AD4" s="34">
        <v>4.1371023117418174E-3</v>
      </c>
      <c r="AE4" s="34">
        <v>4.0312428473334863E-3</v>
      </c>
      <c r="AF4" s="34">
        <v>3.9978637369344622E-3</v>
      </c>
      <c r="AG4" s="35">
        <v>4.119935912108034E-3</v>
      </c>
      <c r="AJ4" s="66"/>
      <c r="AK4" s="66"/>
      <c r="AL4" s="66"/>
    </row>
    <row r="5" spans="1:38" s="5" customFormat="1">
      <c r="A5" s="65" t="str">
        <f>Calculations!B2&amp;Calculations!C5&amp;Calculations!D5</f>
        <v>HIQTHIR</v>
      </c>
      <c r="B5" s="34">
        <v>5.4077973601892121E-2</v>
      </c>
      <c r="C5" s="34">
        <v>5.5037861448081177E-2</v>
      </c>
      <c r="D5" s="34">
        <v>5.4864290074006256E-2</v>
      </c>
      <c r="E5" s="34">
        <v>5.7562752727550161E-2</v>
      </c>
      <c r="F5" s="34">
        <v>5.5588616769665061E-2</v>
      </c>
      <c r="G5" s="34">
        <v>5.3914892805371178E-2</v>
      </c>
      <c r="H5" s="34">
        <v>5.7602807660028989E-2</v>
      </c>
      <c r="I5" s="34">
        <v>5.7025825894560157E-2</v>
      </c>
      <c r="J5" s="34">
        <v>5.7103551537346454E-2</v>
      </c>
      <c r="K5" s="34">
        <v>5.5184252689402608E-2</v>
      </c>
      <c r="L5" s="34">
        <v>5.5819886320286873E-2</v>
      </c>
      <c r="M5" s="34">
        <v>5.6519417105363547E-2</v>
      </c>
      <c r="N5" s="34">
        <v>5.6289101243610286E-2</v>
      </c>
      <c r="O5" s="34">
        <v>6.0270275425345236E-2</v>
      </c>
      <c r="P5" s="34">
        <v>5.6281471732661938E-2</v>
      </c>
      <c r="Q5" s="34">
        <v>5.550707637140459E-2</v>
      </c>
      <c r="R5" s="34">
        <v>5.6578068970778973E-2</v>
      </c>
      <c r="S5" s="34">
        <v>5.6455996795605402E-2</v>
      </c>
      <c r="T5" s="34">
        <v>5.8957045853360798E-2</v>
      </c>
      <c r="U5" s="34">
        <v>5.712930113679713E-2</v>
      </c>
      <c r="V5" s="34">
        <v>5.2966449225604638E-2</v>
      </c>
      <c r="W5" s="34">
        <v>5.6266689555199513E-2</v>
      </c>
      <c r="X5" s="34">
        <v>5.4650663767452506E-2</v>
      </c>
      <c r="Y5" s="34">
        <v>5.6146524757763029E-2</v>
      </c>
      <c r="Z5" s="34">
        <v>5.619277866788739E-2</v>
      </c>
      <c r="AA5" s="34">
        <v>5.4159990844586864E-2</v>
      </c>
      <c r="AB5" s="34">
        <v>5.0766765850308995E-2</v>
      </c>
      <c r="AC5" s="34">
        <v>5.4929617761501487E-2</v>
      </c>
      <c r="AD5" s="34">
        <v>5.6275272755016405E-2</v>
      </c>
      <c r="AE5" s="34">
        <v>5.62685969329366E-2</v>
      </c>
      <c r="AF5" s="34">
        <v>5.6354428931105517E-2</v>
      </c>
      <c r="AG5" s="35">
        <v>5.636873426413367E-2</v>
      </c>
      <c r="AJ5" s="66"/>
      <c r="AK5" s="66"/>
      <c r="AL5" s="66"/>
    </row>
    <row r="6" spans="1:38">
      <c r="A6" s="63" t="str">
        <f>Calculations!B2&amp;Calculations!C5&amp;Calculations!D6</f>
        <v>HIQTHVis</v>
      </c>
      <c r="B6" s="36">
        <v>539.62005035477227</v>
      </c>
      <c r="C6" s="36">
        <v>405.15754940108337</v>
      </c>
      <c r="D6" s="36">
        <v>506.84367132066831</v>
      </c>
      <c r="E6" s="36">
        <v>518.41000991836427</v>
      </c>
      <c r="F6" s="36">
        <v>491.61516746776527</v>
      </c>
      <c r="G6" s="36">
        <v>533.51644159609373</v>
      </c>
      <c r="H6" s="36">
        <v>534.58457312886242</v>
      </c>
      <c r="I6" s="36">
        <v>565.80453192950336</v>
      </c>
      <c r="J6" s="36">
        <v>518.41000991836427</v>
      </c>
      <c r="K6" s="36">
        <v>530.28152895399398</v>
      </c>
      <c r="L6" s="36">
        <v>608.34668497749294</v>
      </c>
      <c r="M6" s="36">
        <v>514.29007400625619</v>
      </c>
      <c r="N6" s="36">
        <v>511.78759441519799</v>
      </c>
      <c r="O6" s="36">
        <v>545.60158693827725</v>
      </c>
      <c r="P6" s="36">
        <v>496.92530708781567</v>
      </c>
      <c r="Q6" s="36">
        <v>478.52292668039979</v>
      </c>
      <c r="R6" s="36">
        <v>497.81033035782406</v>
      </c>
      <c r="S6" s="36">
        <v>478.0651560234989</v>
      </c>
      <c r="T6" s="36">
        <v>502.93736171511404</v>
      </c>
      <c r="U6" s="36">
        <v>517.70809491111618</v>
      </c>
      <c r="V6" s="36">
        <v>111.3298237582971</v>
      </c>
      <c r="W6" s="36">
        <v>461.73800259403373</v>
      </c>
      <c r="X6" s="36">
        <v>703.13572899977112</v>
      </c>
      <c r="Y6" s="36">
        <v>369.2683299000534</v>
      </c>
      <c r="Z6" s="36">
        <v>497.1999694819562</v>
      </c>
      <c r="AA6" s="36">
        <v>745.79995422293428</v>
      </c>
      <c r="AB6" s="36">
        <v>821.30159456778813</v>
      </c>
      <c r="AC6" s="36">
        <v>510.10910200656139</v>
      </c>
      <c r="AD6" s="36">
        <v>552.89539940489817</v>
      </c>
      <c r="AE6" s="36">
        <v>509.89547570000764</v>
      </c>
      <c r="AF6" s="36">
        <v>476.84443427176319</v>
      </c>
      <c r="AG6" s="37">
        <v>499.42778667887387</v>
      </c>
      <c r="AI6" s="19"/>
    </row>
    <row r="7" spans="1:38">
      <c r="A7" s="62" t="str">
        <f>Calculations!B7&amp;Calculations!C7&amp;Calculations!D7</f>
        <v>MEDHIQTHVis</v>
      </c>
      <c r="B7" s="32">
        <v>556.77119096665899</v>
      </c>
      <c r="C7" s="32">
        <v>356.38208590829328</v>
      </c>
      <c r="D7" s="32">
        <v>534.41672388799873</v>
      </c>
      <c r="E7" s="32">
        <v>578.60685130083164</v>
      </c>
      <c r="F7" s="32">
        <v>507.87365529869533</v>
      </c>
      <c r="G7" s="32">
        <v>474.08255130846112</v>
      </c>
      <c r="H7" s="32">
        <v>553.96353093766686</v>
      </c>
      <c r="I7" s="32">
        <v>587.9530022125582</v>
      </c>
      <c r="J7" s="32">
        <v>543.12962539101238</v>
      </c>
      <c r="K7" s="32">
        <v>549.87411306935223</v>
      </c>
      <c r="L7" s="32">
        <v>587.29686427100023</v>
      </c>
      <c r="M7" s="32">
        <v>528.19104295414661</v>
      </c>
      <c r="N7" s="32">
        <v>526.61173418783858</v>
      </c>
      <c r="O7" s="32">
        <v>606.08072022583349</v>
      </c>
      <c r="P7" s="32">
        <v>526.33707179369799</v>
      </c>
      <c r="Q7" s="32">
        <v>510.29983978027008</v>
      </c>
      <c r="R7" s="32">
        <v>502.08285648889904</v>
      </c>
      <c r="S7" s="32">
        <v>501.5411612115663</v>
      </c>
      <c r="T7" s="32">
        <v>540.93232623788811</v>
      </c>
      <c r="U7" s="32">
        <v>539.56664377813377</v>
      </c>
      <c r="V7" s="32">
        <v>354.24582284275579</v>
      </c>
      <c r="W7" s="32">
        <v>519.76806286717022</v>
      </c>
      <c r="X7" s="32">
        <v>609.49874113069347</v>
      </c>
      <c r="Y7" s="32">
        <v>484.06958113984894</v>
      </c>
      <c r="Z7" s="32">
        <v>539.20042725261305</v>
      </c>
      <c r="AA7" s="32">
        <v>659.47203784237433</v>
      </c>
      <c r="AB7" s="32">
        <v>900.01525902189667</v>
      </c>
      <c r="AC7" s="32">
        <v>546.62394140535594</v>
      </c>
      <c r="AD7" s="32">
        <v>584.83253223468375</v>
      </c>
      <c r="AE7" s="32">
        <v>557.86984054322113</v>
      </c>
      <c r="AF7" s="32">
        <v>488.563363088426</v>
      </c>
      <c r="AG7" s="33">
        <v>520.27924010070956</v>
      </c>
      <c r="AH7" s="4"/>
    </row>
    <row r="8" spans="1:38" s="5" customFormat="1">
      <c r="A8" s="65" t="str">
        <f>Calculations!B7&amp;Calculations!C7&amp;Calculations!D8</f>
        <v>MEDHIQTHIR</v>
      </c>
      <c r="B8" s="34">
        <v>5.4106584267948427E-2</v>
      </c>
      <c r="C8" s="34">
        <v>5.5027370870527198E-2</v>
      </c>
      <c r="D8" s="34">
        <v>5.4871442740520332E-2</v>
      </c>
      <c r="E8" s="34">
        <v>5.7580872816052488E-2</v>
      </c>
      <c r="F8" s="34">
        <v>5.5594338902876322E-2</v>
      </c>
      <c r="G8" s="34">
        <v>5.3926813916227972E-2</v>
      </c>
      <c r="H8" s="34">
        <v>5.7608052948805978E-2</v>
      </c>
      <c r="I8" s="34">
        <v>5.7048714427405202E-2</v>
      </c>
      <c r="J8" s="34">
        <v>5.71078431372549E-2</v>
      </c>
      <c r="K8" s="34">
        <v>5.5199511711299304E-2</v>
      </c>
      <c r="L8" s="34">
        <v>5.5835145342183569E-2</v>
      </c>
      <c r="M8" s="34">
        <v>5.6539444571602961E-2</v>
      </c>
      <c r="N8" s="34">
        <v>5.6308175020981156E-2</v>
      </c>
      <c r="O8" s="34">
        <v>6.0273136491950867E-2</v>
      </c>
      <c r="P8" s="34">
        <v>5.6277180132753492E-2</v>
      </c>
      <c r="Q8" s="34">
        <v>5.5525673304341189E-2</v>
      </c>
      <c r="R8" s="34">
        <v>5.6583791103990234E-2</v>
      </c>
      <c r="S8" s="34">
        <v>5.6435492484931717E-2</v>
      </c>
      <c r="T8" s="34">
        <v>5.8960860608834972E-2</v>
      </c>
      <c r="U8" s="34">
        <v>5.7121671625848781E-2</v>
      </c>
      <c r="V8" s="34">
        <v>5.3007457846952009E-2</v>
      </c>
      <c r="W8" s="34">
        <v>5.6287670710307471E-2</v>
      </c>
      <c r="X8" s="34">
        <v>5.4641603723201343E-2</v>
      </c>
      <c r="Y8" s="34">
        <v>5.6155107957579921E-2</v>
      </c>
      <c r="Z8" s="34">
        <v>5.6198977645532923E-2</v>
      </c>
      <c r="AA8" s="34">
        <v>5.4198138399328605E-2</v>
      </c>
      <c r="AB8" s="34">
        <v>5.0751506828412299E-2</v>
      </c>
      <c r="AC8" s="34">
        <v>5.4954413672083618E-2</v>
      </c>
      <c r="AD8" s="34">
        <v>5.6305790798809797E-2</v>
      </c>
      <c r="AE8" s="34">
        <v>5.6291962310215916E-2</v>
      </c>
      <c r="AF8" s="34">
        <v>5.637684061951629E-2</v>
      </c>
      <c r="AG8" s="35">
        <v>5.6365873197528039E-2</v>
      </c>
      <c r="AL8" s="66"/>
    </row>
    <row r="9" spans="1:38" s="5" customFormat="1">
      <c r="A9" s="65" t="str">
        <f>Calculations!B7&amp;Calculations!C9&amp;Calculations!D9</f>
        <v>MEDHILEDIR</v>
      </c>
      <c r="B9" s="34">
        <v>3.9673456931410694E-3</v>
      </c>
      <c r="C9" s="34">
        <v>4.0436408026245521E-3</v>
      </c>
      <c r="D9" s="34">
        <v>4.0412565804531933E-3</v>
      </c>
      <c r="E9" s="34">
        <v>4.2572671091783013E-3</v>
      </c>
      <c r="F9" s="34">
        <v>4.0131227588311585E-3</v>
      </c>
      <c r="G9" s="34">
        <v>3.7842374303807126E-3</v>
      </c>
      <c r="H9" s="34">
        <v>4.1657129777981231E-3</v>
      </c>
      <c r="I9" s="34">
        <v>4.1657129777981231E-3</v>
      </c>
      <c r="J9" s="34">
        <v>4.1790646219577324E-3</v>
      </c>
      <c r="K9" s="34">
        <v>3.9978637369344622E-3</v>
      </c>
      <c r="L9" s="34">
        <v>4.0312428473334863E-3</v>
      </c>
      <c r="M9" s="34">
        <v>4.0741588464179449E-3</v>
      </c>
      <c r="N9" s="34">
        <v>4.0813115129320213E-3</v>
      </c>
      <c r="O9" s="34">
        <v>4.4403753719386586E-3</v>
      </c>
      <c r="P9" s="34">
        <v>4.1351949340047304E-3</v>
      </c>
      <c r="Q9" s="34">
        <v>4.1046768902113376E-3</v>
      </c>
      <c r="R9" s="34">
        <v>4.1046768902113376E-3</v>
      </c>
      <c r="S9" s="34">
        <v>4.0741588464179449E-3</v>
      </c>
      <c r="T9" s="34">
        <v>4.333562218661784E-3</v>
      </c>
      <c r="U9" s="34">
        <v>4.1633287556267643E-3</v>
      </c>
      <c r="V9" s="34">
        <v>3.6469062333104449E-3</v>
      </c>
      <c r="W9" s="34">
        <v>4.1504539559014267E-3</v>
      </c>
      <c r="X9" s="34">
        <v>4.0965705348287177E-3</v>
      </c>
      <c r="Y9" s="34">
        <v>3.9368276493476767E-3</v>
      </c>
      <c r="Z9" s="34">
        <v>4.1809719996948195E-3</v>
      </c>
      <c r="AA9" s="34">
        <v>3.9978637369344622E-3</v>
      </c>
      <c r="AB9" s="34">
        <v>3.8452735179674985E-3</v>
      </c>
      <c r="AC9" s="34">
        <v>3.9368276493476767E-3</v>
      </c>
      <c r="AD9" s="34">
        <v>4.1504539559014267E-3</v>
      </c>
      <c r="AE9" s="34">
        <v>4.0436408026245521E-3</v>
      </c>
      <c r="AF9" s="34">
        <v>3.9978637369344622E-3</v>
      </c>
      <c r="AG9" s="35">
        <v>4.1227969787136646E-3</v>
      </c>
      <c r="AI9" s="66"/>
      <c r="AJ9" s="66"/>
      <c r="AK9" s="66"/>
      <c r="AL9" s="66"/>
    </row>
    <row r="10" spans="1:38">
      <c r="A10" s="84" t="str">
        <f>Calculations!B7&amp;Calculations!C9&amp;Calculations!D10</f>
        <v>MEDHILEDVis</v>
      </c>
      <c r="B10" s="85">
        <v>546.41794460975052</v>
      </c>
      <c r="C10" s="85">
        <v>517.33424887464707</v>
      </c>
      <c r="D10" s="85">
        <v>544.31982909895476</v>
      </c>
      <c r="E10" s="85">
        <v>587.06034943160137</v>
      </c>
      <c r="F10" s="85">
        <v>542.28274967574578</v>
      </c>
      <c r="G10" s="85">
        <v>517.66994735637445</v>
      </c>
      <c r="H10" s="85">
        <v>572.19043259327077</v>
      </c>
      <c r="I10" s="85">
        <v>574.9980926222629</v>
      </c>
      <c r="J10" s="85">
        <v>569.53536278324555</v>
      </c>
      <c r="K10" s="85">
        <v>552.84962233920805</v>
      </c>
      <c r="L10" s="85">
        <v>576.91309987029831</v>
      </c>
      <c r="M10" s="85">
        <v>564.42359044785223</v>
      </c>
      <c r="N10" s="85">
        <v>555.82513160906387</v>
      </c>
      <c r="O10" s="85">
        <v>611.09330891889829</v>
      </c>
      <c r="P10" s="85">
        <v>570.20675974670019</v>
      </c>
      <c r="Q10" s="85">
        <v>547.82177462424659</v>
      </c>
      <c r="R10" s="85">
        <v>559.99847409781034</v>
      </c>
      <c r="S10" s="85">
        <v>542.00045777065691</v>
      </c>
      <c r="T10" s="85">
        <v>570.07705806057834</v>
      </c>
      <c r="U10" s="85">
        <v>569.10048065918977</v>
      </c>
      <c r="V10" s="85">
        <v>494.72800793469139</v>
      </c>
      <c r="W10" s="85">
        <v>566.28519111924925</v>
      </c>
      <c r="X10" s="85">
        <v>565.33150225070574</v>
      </c>
      <c r="Y10" s="85">
        <v>560.45624475471118</v>
      </c>
      <c r="Z10" s="85">
        <v>571.58007171740292</v>
      </c>
      <c r="AA10" s="85">
        <v>583.21507591363388</v>
      </c>
      <c r="AB10" s="85">
        <v>594.00320439459824</v>
      </c>
      <c r="AC10" s="85">
        <v>540.68055237659269</v>
      </c>
      <c r="AD10" s="85">
        <v>569.10048065918977</v>
      </c>
      <c r="AE10" s="85">
        <v>560.16632333867392</v>
      </c>
      <c r="AF10" s="85">
        <v>551.82726787212937</v>
      </c>
      <c r="AG10" s="86">
        <v>561.70748455024034</v>
      </c>
    </row>
    <row r="11" spans="1:38" s="44" customFormat="1">
      <c r="A11" s="87" t="str">
        <f>Calculations!B7&amp;Calculations!C9&amp;Calculations!D11</f>
        <v>MEDHILED850</v>
      </c>
      <c r="B11" s="36">
        <v>546.23483634699016</v>
      </c>
      <c r="C11" s="36">
        <v>517.0595864805066</v>
      </c>
      <c r="D11" s="36">
        <v>544.15960936903946</v>
      </c>
      <c r="E11" s="36">
        <v>586.85435263599607</v>
      </c>
      <c r="F11" s="36">
        <v>542.03097581445024</v>
      </c>
      <c r="G11" s="36">
        <v>517.37239642938891</v>
      </c>
      <c r="H11" s="36">
        <v>571.9615472648203</v>
      </c>
      <c r="I11" s="36">
        <v>574.79972533760588</v>
      </c>
      <c r="J11" s="36">
        <v>569.34462500953691</v>
      </c>
      <c r="K11" s="36">
        <v>552.65125505455103</v>
      </c>
      <c r="L11" s="36">
        <v>576.66895551995117</v>
      </c>
      <c r="M11" s="36">
        <v>564.21759365224682</v>
      </c>
      <c r="N11" s="36">
        <v>555.55046921492328</v>
      </c>
      <c r="O11" s="36">
        <v>610.88731212329287</v>
      </c>
      <c r="P11" s="36">
        <v>570.00076295109477</v>
      </c>
      <c r="Q11" s="36">
        <v>547.59288929579611</v>
      </c>
      <c r="R11" s="36">
        <v>559.59411001754791</v>
      </c>
      <c r="S11" s="36">
        <v>541.79446097505149</v>
      </c>
      <c r="T11" s="36">
        <v>569.86343175402453</v>
      </c>
      <c r="U11" s="36">
        <v>568.79530022125584</v>
      </c>
      <c r="V11" s="36">
        <v>494.46097505149919</v>
      </c>
      <c r="W11" s="36">
        <v>565.97238117036693</v>
      </c>
      <c r="X11" s="36">
        <v>565.11024643320366</v>
      </c>
      <c r="Y11" s="36">
        <v>560.16632333867392</v>
      </c>
      <c r="Z11" s="36">
        <v>571.22911421377887</v>
      </c>
      <c r="AA11" s="36">
        <v>583.01670862897686</v>
      </c>
      <c r="AB11" s="36">
        <v>593.66750591287098</v>
      </c>
      <c r="AC11" s="36">
        <v>540.44403753719382</v>
      </c>
      <c r="AD11" s="36">
        <v>568.89448386358436</v>
      </c>
      <c r="AE11" s="36">
        <v>559.86877241168838</v>
      </c>
      <c r="AF11" s="36">
        <v>551.55260547798889</v>
      </c>
      <c r="AG11" s="36">
        <v>561.50148775463492</v>
      </c>
      <c r="AI11" s="88"/>
      <c r="AJ11" s="88"/>
      <c r="AK11" s="88"/>
      <c r="AL11" s="88"/>
    </row>
    <row r="12" spans="1:38">
      <c r="A12" s="84" t="str">
        <f>Calculations!B12&amp;Calculations!C12&amp;Calculations!D12</f>
        <v>MEDLOLEDVis</v>
      </c>
      <c r="B12" s="85">
        <v>517.98466468299375</v>
      </c>
      <c r="C12" s="85">
        <v>525.9594110017548</v>
      </c>
      <c r="D12" s="85">
        <v>540.87129015030132</v>
      </c>
      <c r="E12" s="85">
        <v>579.15236133363851</v>
      </c>
      <c r="F12" s="85">
        <v>538.46227206836045</v>
      </c>
      <c r="G12" s="85">
        <v>517.4830243381399</v>
      </c>
      <c r="H12" s="85">
        <v>566.16121156633858</v>
      </c>
      <c r="I12" s="85">
        <v>564.21187151903564</v>
      </c>
      <c r="J12" s="85">
        <v>565.06637674525064</v>
      </c>
      <c r="K12" s="85">
        <v>550.34332799267565</v>
      </c>
      <c r="L12" s="85">
        <v>570.71030746929125</v>
      </c>
      <c r="M12" s="85">
        <v>559.35568780041194</v>
      </c>
      <c r="N12" s="85">
        <v>552.5082017242695</v>
      </c>
      <c r="O12" s="85">
        <v>589.77836270695047</v>
      </c>
      <c r="P12" s="85">
        <v>558.47829404135189</v>
      </c>
      <c r="Q12" s="85">
        <v>551.08529793240257</v>
      </c>
      <c r="R12" s="85">
        <v>554.61394674601354</v>
      </c>
      <c r="S12" s="85">
        <v>547.95910582131683</v>
      </c>
      <c r="T12" s="85">
        <v>567.09582665751122</v>
      </c>
      <c r="U12" s="85">
        <v>563.09224078736554</v>
      </c>
      <c r="V12" s="85">
        <v>520.16861219195846</v>
      </c>
      <c r="W12" s="85">
        <v>568.18493934538799</v>
      </c>
      <c r="X12" s="85">
        <v>560.9235523002975</v>
      </c>
      <c r="Y12" s="85">
        <v>568.95170519569695</v>
      </c>
      <c r="Z12" s="85">
        <v>573.25665674830236</v>
      </c>
      <c r="AA12" s="85">
        <v>553.16815442130155</v>
      </c>
      <c r="AB12" s="85">
        <v>570.29640650034332</v>
      </c>
      <c r="AC12" s="85">
        <v>531.16083009079114</v>
      </c>
      <c r="AD12" s="85">
        <v>564.50942244602118</v>
      </c>
      <c r="AE12" s="85">
        <v>554.58915083543138</v>
      </c>
      <c r="AF12" s="85">
        <v>546.9119554436561</v>
      </c>
      <c r="AG12" s="86">
        <v>552.79240100709546</v>
      </c>
    </row>
    <row r="13" spans="1:38">
      <c r="A13" s="65" t="str">
        <f>Calculations!B12&amp;Calculations!C12&amp;Calculations!D13</f>
        <v>MEDLOLED850</v>
      </c>
      <c r="B13" s="85">
        <v>517.93888761730375</v>
      </c>
      <c r="C13" s="85">
        <v>525.84496833752951</v>
      </c>
      <c r="D13" s="85">
        <v>540.74731059739065</v>
      </c>
      <c r="E13" s="85">
        <v>579.02075226977945</v>
      </c>
      <c r="F13" s="85">
        <v>538.37262531471731</v>
      </c>
      <c r="G13" s="85">
        <v>517.42389562829021</v>
      </c>
      <c r="H13" s="85">
        <v>566.04104676890211</v>
      </c>
      <c r="I13" s="85">
        <v>564.05165178912034</v>
      </c>
      <c r="J13" s="85">
        <v>564.94621194781416</v>
      </c>
      <c r="K13" s="85">
        <v>550.20218204013122</v>
      </c>
      <c r="L13" s="85">
        <v>570.56725413900972</v>
      </c>
      <c r="M13" s="85">
        <v>559.20309758144504</v>
      </c>
      <c r="N13" s="85">
        <v>552.34416723888</v>
      </c>
      <c r="O13" s="85">
        <v>589.57999542229345</v>
      </c>
      <c r="P13" s="85">
        <v>558.29709315632863</v>
      </c>
      <c r="Q13" s="85">
        <v>550.89265278095672</v>
      </c>
      <c r="R13" s="85">
        <v>554.43846799420157</v>
      </c>
      <c r="S13" s="85">
        <v>547.84084840161745</v>
      </c>
      <c r="T13" s="85">
        <v>566.9489585717555</v>
      </c>
      <c r="U13" s="85">
        <v>562.9549095902953</v>
      </c>
      <c r="V13" s="85">
        <v>520.05607690547038</v>
      </c>
      <c r="W13" s="85">
        <v>568.08003356984818</v>
      </c>
      <c r="X13" s="85">
        <v>560.80910963607232</v>
      </c>
      <c r="Y13" s="85">
        <v>568.84679942015714</v>
      </c>
      <c r="Z13" s="85">
        <v>573.09643701838706</v>
      </c>
      <c r="AA13" s="85">
        <v>553.03654535744261</v>
      </c>
      <c r="AB13" s="85">
        <v>570.12283512626834</v>
      </c>
      <c r="AC13" s="85">
        <v>531.03685053788047</v>
      </c>
      <c r="AD13" s="85">
        <v>564.40260929274427</v>
      </c>
      <c r="AE13" s="85">
        <v>554.46135652704663</v>
      </c>
      <c r="AF13" s="85">
        <v>546.7498283360037</v>
      </c>
      <c r="AG13" s="86">
        <v>552.71229114213781</v>
      </c>
    </row>
    <row r="14" spans="1:38" s="5" customFormat="1">
      <c r="A14" s="65" t="str">
        <f>Calculations!B12&amp;Calculations!C12&amp;Calculations!D14</f>
        <v>MEDLOLEDIR</v>
      </c>
      <c r="B14" s="13">
        <v>3.9621004043640801E-3</v>
      </c>
      <c r="C14" s="13">
        <v>4.0283817807278549E-3</v>
      </c>
      <c r="D14" s="13">
        <v>4.0283817807278549E-3</v>
      </c>
      <c r="E14" s="13">
        <v>4.2420080872816049E-3</v>
      </c>
      <c r="F14" s="13">
        <v>3.9978637369344622E-3</v>
      </c>
      <c r="G14" s="13">
        <v>3.7842374303807126E-3</v>
      </c>
      <c r="H14" s="13">
        <v>4.1609445334554055E-3</v>
      </c>
      <c r="I14" s="13">
        <v>4.1504539559014267E-3</v>
      </c>
      <c r="J14" s="13">
        <v>4.1657129777981231E-3</v>
      </c>
      <c r="K14" s="13">
        <v>3.9826047150377658E-3</v>
      </c>
      <c r="L14" s="13">
        <v>4.0283817807278549E-3</v>
      </c>
      <c r="M14" s="13">
        <v>4.0741588464179449E-3</v>
      </c>
      <c r="N14" s="13">
        <v>4.0741588464179449E-3</v>
      </c>
      <c r="O14" s="13">
        <v>4.4251163500419622E-3</v>
      </c>
      <c r="P14" s="13">
        <v>4.119935912108034E-3</v>
      </c>
      <c r="Q14" s="13">
        <v>4.0894178683146412E-3</v>
      </c>
      <c r="R14" s="13">
        <v>4.0894178683146412E-3</v>
      </c>
      <c r="S14" s="13">
        <v>4.0741588464179449E-3</v>
      </c>
      <c r="T14" s="13">
        <v>4.3183031967650876E-3</v>
      </c>
      <c r="U14" s="13">
        <v>4.1504539559014267E-3</v>
      </c>
      <c r="V14" s="13">
        <v>3.6469062333104449E-3</v>
      </c>
      <c r="W14" s="13">
        <v>4.1351949340047304E-3</v>
      </c>
      <c r="X14" s="13">
        <v>4.0894178683146412E-3</v>
      </c>
      <c r="Y14" s="13">
        <v>3.9368276493476767E-3</v>
      </c>
      <c r="Z14" s="13">
        <v>4.1657129777981231E-3</v>
      </c>
      <c r="AA14" s="13">
        <v>3.9959563591973751E-3</v>
      </c>
      <c r="AB14" s="13">
        <v>3.8300144960708017E-3</v>
      </c>
      <c r="AC14" s="13">
        <v>3.9215686274509803E-3</v>
      </c>
      <c r="AD14" s="13">
        <v>4.1423476005188068E-3</v>
      </c>
      <c r="AE14" s="13">
        <v>4.0436408026245521E-3</v>
      </c>
      <c r="AF14" s="13">
        <v>3.9978637369344622E-3</v>
      </c>
      <c r="AG14" s="39">
        <v>4.119935912108034E-3</v>
      </c>
      <c r="AI14" s="66"/>
      <c r="AJ14" s="66"/>
      <c r="AK14" s="66"/>
      <c r="AL14" s="66"/>
    </row>
    <row r="15" spans="1:38" s="5" customFormat="1">
      <c r="A15" s="65" t="str">
        <f>Calculations!B12&amp;Calculations!C15&amp;Calculations!D15</f>
        <v>MEDLOQTHIR</v>
      </c>
      <c r="B15" s="13">
        <v>5.4084172579537654E-2</v>
      </c>
      <c r="C15" s="13">
        <v>5.5017357137407491E-2</v>
      </c>
      <c r="D15" s="13">
        <v>5.4875257495994506E-2</v>
      </c>
      <c r="E15" s="13">
        <v>5.7569905394064237E-2</v>
      </c>
      <c r="F15" s="13">
        <v>5.5600061036087584E-2</v>
      </c>
      <c r="G15" s="13">
        <v>5.392061493858244E-2</v>
      </c>
      <c r="H15" s="13">
        <v>5.7589932860303651E-2</v>
      </c>
      <c r="I15" s="13">
        <v>5.7045853360799571E-2</v>
      </c>
      <c r="J15" s="13">
        <v>5.711308842603189E-2</v>
      </c>
      <c r="K15" s="13">
        <v>5.5183775844968336E-2</v>
      </c>
      <c r="L15" s="13">
        <v>5.5839436942092015E-2</v>
      </c>
      <c r="M15" s="13">
        <v>5.6532291905088884E-2</v>
      </c>
      <c r="N15" s="13">
        <v>5.6302929732204167E-2</v>
      </c>
      <c r="O15" s="13">
        <v>6.0257877470054171E-2</v>
      </c>
      <c r="P15" s="13">
        <v>5.6303406576638439E-2</v>
      </c>
      <c r="Q15" s="13">
        <v>5.5500877393759057E-2</v>
      </c>
      <c r="R15" s="13">
        <v>5.6554703593499657E-2</v>
      </c>
      <c r="S15" s="13">
        <v>5.6445506218051424E-2</v>
      </c>
      <c r="T15" s="13">
        <v>5.893034256504158E-2</v>
      </c>
      <c r="U15" s="13">
        <v>5.712930113679713E-2</v>
      </c>
      <c r="V15" s="13">
        <v>5.3009842069123368E-2</v>
      </c>
      <c r="W15" s="13">
        <v>5.6285286488136112E-2</v>
      </c>
      <c r="X15" s="13">
        <v>5.4646849011978332E-2</v>
      </c>
      <c r="Y15" s="13">
        <v>5.6146047913328757E-2</v>
      </c>
      <c r="Z15" s="13">
        <v>5.6186102845807585E-2</v>
      </c>
      <c r="AA15" s="13">
        <v>5.4194323643854431E-2</v>
      </c>
      <c r="AB15" s="13">
        <v>5.0766765850308995E-2</v>
      </c>
      <c r="AC15" s="13">
        <v>5.4975394827191576E-2</v>
      </c>
      <c r="AD15" s="13">
        <v>5.6290531776913101E-2</v>
      </c>
      <c r="AE15" s="13">
        <v>5.6288624399176014E-2</v>
      </c>
      <c r="AF15" s="13">
        <v>5.6365873197528039E-2</v>
      </c>
      <c r="AG15" s="39">
        <v>5.6382085908293279E-2</v>
      </c>
      <c r="AI15" s="66"/>
      <c r="AJ15" s="66"/>
      <c r="AK15" s="66"/>
      <c r="AL15" s="66"/>
    </row>
    <row r="16" spans="1:38">
      <c r="A16" s="63" t="str">
        <f>Calculations!B12&amp;Calculations!C15&amp;Calculations!D16</f>
        <v>MEDLOQTHVis</v>
      </c>
      <c r="B16" s="44">
        <v>399.38200961318381</v>
      </c>
      <c r="C16" s="44">
        <v>459.01045242999925</v>
      </c>
      <c r="D16" s="44">
        <v>499.8664835584039</v>
      </c>
      <c r="E16" s="44">
        <v>564.74784466315703</v>
      </c>
      <c r="F16" s="44">
        <v>508.10635538261994</v>
      </c>
      <c r="G16" s="44">
        <v>417.63179980163272</v>
      </c>
      <c r="H16" s="44">
        <v>548.56755931944758</v>
      </c>
      <c r="I16" s="44">
        <v>542.23506523231856</v>
      </c>
      <c r="J16" s="44">
        <v>549.02914473182273</v>
      </c>
      <c r="K16" s="44">
        <v>536.64644846265355</v>
      </c>
      <c r="L16" s="44">
        <v>558.85404745555809</v>
      </c>
      <c r="M16" s="44">
        <v>530.37499046311132</v>
      </c>
      <c r="N16" s="44">
        <v>519.67650873578998</v>
      </c>
      <c r="O16" s="44">
        <v>568.19256885633627</v>
      </c>
      <c r="P16" s="44">
        <v>498.60379949645227</v>
      </c>
      <c r="Q16" s="44">
        <v>525.22697795071338</v>
      </c>
      <c r="R16" s="44">
        <v>512.09658960860611</v>
      </c>
      <c r="S16" s="44">
        <v>555.42648966201261</v>
      </c>
      <c r="T16" s="44">
        <v>542.23887998779276</v>
      </c>
      <c r="U16" s="44">
        <v>522.3830777447165</v>
      </c>
      <c r="V16" s="44">
        <v>477.8000305180438</v>
      </c>
      <c r="W16" s="44">
        <v>535.41046768902117</v>
      </c>
      <c r="X16" s="44">
        <v>545.90485999847408</v>
      </c>
      <c r="Y16" s="44">
        <v>530.10414282444492</v>
      </c>
      <c r="Z16" s="44">
        <v>554.28969253070875</v>
      </c>
      <c r="AA16" s="44">
        <v>631.46601052872506</v>
      </c>
      <c r="AB16" s="44">
        <v>612.4704356450751</v>
      </c>
      <c r="AC16" s="44">
        <v>529.05699244678419</v>
      </c>
      <c r="AD16" s="44">
        <v>533.9017318989853</v>
      </c>
      <c r="AE16" s="44">
        <v>538.2753490501259</v>
      </c>
      <c r="AF16" s="44">
        <v>498.87083237964447</v>
      </c>
      <c r="AG16" s="45">
        <v>504.13710231174178</v>
      </c>
    </row>
    <row r="17" spans="1:38">
      <c r="A17" s="62" t="str">
        <f>Calculations!B17&amp;Calculations!C17&amp;Calculations!D17</f>
        <v>LOQTHVis</v>
      </c>
      <c r="B17" s="42">
        <v>482.57944228274965</v>
      </c>
      <c r="C17" s="42">
        <v>537.0412756542305</v>
      </c>
      <c r="D17" s="42">
        <v>525.86642633707174</v>
      </c>
      <c r="E17" s="42">
        <v>537.51335164415957</v>
      </c>
      <c r="F17" s="42">
        <v>521.11037994964522</v>
      </c>
      <c r="G17" s="42">
        <v>495.87529564354924</v>
      </c>
      <c r="H17" s="42">
        <v>527.48483634699016</v>
      </c>
      <c r="I17" s="42">
        <v>554.16380560006098</v>
      </c>
      <c r="J17" s="42">
        <v>523.60666056305786</v>
      </c>
      <c r="K17" s="42">
        <v>527.21065079728385</v>
      </c>
      <c r="L17" s="42">
        <v>543.99509803921569</v>
      </c>
      <c r="M17" s="42">
        <v>498.60713740749219</v>
      </c>
      <c r="N17" s="42">
        <v>526.21595330739297</v>
      </c>
      <c r="O17" s="42">
        <v>622.05882352941171</v>
      </c>
      <c r="P17" s="42">
        <v>303.39608606088348</v>
      </c>
      <c r="Q17" s="42">
        <v>513.65491721980618</v>
      </c>
      <c r="R17" s="42">
        <v>526.82631418326082</v>
      </c>
      <c r="S17" s="42">
        <v>525.24462119478142</v>
      </c>
      <c r="T17" s="42">
        <v>546.47516594186311</v>
      </c>
      <c r="U17" s="42">
        <v>564.58762493324173</v>
      </c>
      <c r="V17" s="42">
        <v>509.21501869230178</v>
      </c>
      <c r="W17" s="42">
        <v>536.01892118715193</v>
      </c>
      <c r="X17" s="42">
        <v>530.77458609903101</v>
      </c>
      <c r="Y17" s="42">
        <v>524.00291828793775</v>
      </c>
      <c r="Z17" s="42">
        <v>541.80971999694816</v>
      </c>
      <c r="AA17" s="42">
        <v>492.51640344853894</v>
      </c>
      <c r="AB17" s="42">
        <v>523.90659571221488</v>
      </c>
      <c r="AC17" s="42">
        <v>500.44394216830699</v>
      </c>
      <c r="AD17" s="42">
        <v>493.68562600137329</v>
      </c>
      <c r="AE17" s="42">
        <v>522.27244983596552</v>
      </c>
      <c r="AF17" s="42">
        <v>444.06614785992218</v>
      </c>
      <c r="AG17" s="43">
        <v>515.22421225299456</v>
      </c>
    </row>
    <row r="18" spans="1:38" s="5" customFormat="1">
      <c r="A18" s="65" t="str">
        <f>Calculations!B17&amp;Calculations!C17&amp;Calculations!D18</f>
        <v>LOQTHIR</v>
      </c>
      <c r="B18" s="13">
        <v>5.4123273823147938E-2</v>
      </c>
      <c r="C18" s="13">
        <v>5.5033569848172731E-2</v>
      </c>
      <c r="D18" s="13">
        <v>5.4889085984588387E-2</v>
      </c>
      <c r="E18" s="13">
        <v>5.7583733882658118E-2</v>
      </c>
      <c r="F18" s="13">
        <v>5.5591477836270692E-2</v>
      </c>
      <c r="G18" s="13">
        <v>5.3943026626993212E-2</v>
      </c>
      <c r="H18" s="13">
        <v>5.7602807660028989E-2</v>
      </c>
      <c r="I18" s="13">
        <v>5.7038223849851223E-2</v>
      </c>
      <c r="J18" s="13">
        <v>5.7127870603494314E-2</v>
      </c>
      <c r="K18" s="13">
        <v>5.519855802243076E-2</v>
      </c>
      <c r="L18" s="13">
        <v>5.5836099031052112E-2</v>
      </c>
      <c r="M18" s="13">
        <v>5.6541351949340048E-2</v>
      </c>
      <c r="N18" s="13">
        <v>5.6305790798809797E-2</v>
      </c>
      <c r="O18" s="13">
        <v>6.0286964980544748E-2</v>
      </c>
      <c r="P18" s="13">
        <v>5.632534142061494E-2</v>
      </c>
      <c r="Q18" s="13">
        <v>5.5513752193484395E-2</v>
      </c>
      <c r="R18" s="13">
        <v>5.656900892652781E-2</v>
      </c>
      <c r="S18" s="13">
        <v>5.6449320973525598E-2</v>
      </c>
      <c r="T18" s="13">
        <v>5.8932249942778667E-2</v>
      </c>
      <c r="U18" s="13">
        <v>5.7141699092088195E-2</v>
      </c>
      <c r="V18" s="13">
        <v>5.2994583047226672E-2</v>
      </c>
      <c r="W18" s="13">
        <v>5.6305790798809797E-2</v>
      </c>
      <c r="X18" s="13">
        <v>5.4652094300755322E-2</v>
      </c>
      <c r="Y18" s="13">
        <v>5.614414053559167E-2</v>
      </c>
      <c r="Z18" s="13">
        <v>5.6220912489509424E-2</v>
      </c>
      <c r="AA18" s="13">
        <v>5.418860151064317E-2</v>
      </c>
      <c r="AB18" s="13">
        <v>5.0766765850308995E-2</v>
      </c>
      <c r="AC18" s="13">
        <v>5.4983024338139924E-2</v>
      </c>
      <c r="AD18" s="13">
        <v>5.6301499198901352E-2</v>
      </c>
      <c r="AE18" s="13">
        <v>5.628480964370184E-2</v>
      </c>
      <c r="AF18" s="13">
        <v>5.6371595330739301E-2</v>
      </c>
      <c r="AG18" s="39">
        <v>5.6382085908293279E-2</v>
      </c>
      <c r="AI18" s="66"/>
      <c r="AJ18" s="66"/>
      <c r="AK18" s="66"/>
      <c r="AL18" s="66"/>
    </row>
    <row r="19" spans="1:38" s="5" customFormat="1">
      <c r="A19" s="65" t="str">
        <f>Calculations!B17&amp;Calculations!C19&amp;Calculations!D19</f>
        <v>LOLEDIR</v>
      </c>
      <c r="B19" s="13">
        <v>3.9673456931410694E-3</v>
      </c>
      <c r="C19" s="13">
        <v>4.0436408026245521E-3</v>
      </c>
      <c r="D19" s="13">
        <v>4.0436408026245521E-3</v>
      </c>
      <c r="E19" s="13">
        <v>4.2572671091783013E-3</v>
      </c>
      <c r="F19" s="13">
        <v>4.0131227588311585E-3</v>
      </c>
      <c r="G19" s="13">
        <v>3.7947280079346913E-3</v>
      </c>
      <c r="H19" s="13">
        <v>4.1657129777981231E-3</v>
      </c>
      <c r="I19" s="13">
        <v>4.1657129777981231E-3</v>
      </c>
      <c r="J19" s="13">
        <v>4.1804951552605477E-3</v>
      </c>
      <c r="K19" s="13">
        <v>3.9978637369344622E-3</v>
      </c>
      <c r="L19" s="13">
        <v>4.0307660028992146E-3</v>
      </c>
      <c r="M19" s="13">
        <v>4.0808346684977495E-3</v>
      </c>
      <c r="N19" s="13">
        <v>4.0865568017090107E-3</v>
      </c>
      <c r="O19" s="13">
        <v>4.4403753719386586E-3</v>
      </c>
      <c r="P19" s="13">
        <v>4.1351949340047304E-3</v>
      </c>
      <c r="Q19" s="13">
        <v>4.1046768902113376E-3</v>
      </c>
      <c r="R19" s="13">
        <v>4.1046768902113376E-3</v>
      </c>
      <c r="S19" s="13">
        <v>4.0765430685893037E-3</v>
      </c>
      <c r="T19" s="13">
        <v>4.333562218661784E-3</v>
      </c>
      <c r="U19" s="13">
        <v>4.1657129777981231E-3</v>
      </c>
      <c r="V19" s="13">
        <v>3.6469062333104449E-3</v>
      </c>
      <c r="W19" s="13">
        <v>4.1504539559014267E-3</v>
      </c>
      <c r="X19" s="13">
        <v>4.0984779125658047E-3</v>
      </c>
      <c r="Y19" s="13">
        <v>3.9368276493476767E-3</v>
      </c>
      <c r="Z19" s="13">
        <v>4.1809719996948195E-3</v>
      </c>
      <c r="AA19" s="13">
        <v>3.9978637369344622E-3</v>
      </c>
      <c r="AB19" s="13">
        <v>3.8452735179674985E-3</v>
      </c>
      <c r="AC19" s="13">
        <v>3.9368276493476767E-3</v>
      </c>
      <c r="AD19" s="13">
        <v>4.1504539559014267E-3</v>
      </c>
      <c r="AE19" s="13">
        <v>4.0436408026245521E-3</v>
      </c>
      <c r="AF19" s="13">
        <v>3.9978637369344622E-3</v>
      </c>
      <c r="AG19" s="39">
        <v>4.1232738231479363E-3</v>
      </c>
      <c r="AI19" s="66"/>
      <c r="AJ19" s="66"/>
      <c r="AK19" s="66"/>
      <c r="AL19" s="66"/>
    </row>
    <row r="20" spans="1:38">
      <c r="A20" s="84" t="str">
        <f>Calculations!B17&amp;Calculations!C19&amp;Calculations!D20</f>
        <v>LOLEDVis</v>
      </c>
      <c r="B20" s="46">
        <v>530.61913481345846</v>
      </c>
      <c r="C20" s="46">
        <v>533.62182421606769</v>
      </c>
      <c r="D20" s="46">
        <v>541.7057679102769</v>
      </c>
      <c r="E20" s="46">
        <v>567.35761425192641</v>
      </c>
      <c r="F20" s="46">
        <v>537.43991760128176</v>
      </c>
      <c r="G20" s="46">
        <v>526.81534676127262</v>
      </c>
      <c r="H20" s="46">
        <v>557.57610437170979</v>
      </c>
      <c r="I20" s="46">
        <v>558.40009155413134</v>
      </c>
      <c r="J20" s="46">
        <v>551.4271953917754</v>
      </c>
      <c r="K20" s="46">
        <v>545.25968947890442</v>
      </c>
      <c r="L20" s="46">
        <v>560.69275959411004</v>
      </c>
      <c r="M20" s="46">
        <v>547.40978103303576</v>
      </c>
      <c r="N20" s="46">
        <v>549.56654840924693</v>
      </c>
      <c r="O20" s="46">
        <v>571.80609597924774</v>
      </c>
      <c r="P20" s="46">
        <v>508.68715190356295</v>
      </c>
      <c r="Q20" s="46">
        <v>545.94586861982145</v>
      </c>
      <c r="R20" s="46">
        <v>550.91458762493323</v>
      </c>
      <c r="S20" s="46">
        <v>538.6215381094072</v>
      </c>
      <c r="T20" s="46">
        <v>561.28976882581821</v>
      </c>
      <c r="U20" s="46">
        <v>556.52943083848322</v>
      </c>
      <c r="V20" s="46">
        <v>522.9228656443122</v>
      </c>
      <c r="W20" s="46">
        <v>558.31044480048831</v>
      </c>
      <c r="X20" s="46">
        <v>553.21536202029449</v>
      </c>
      <c r="Y20" s="46">
        <v>557.84027618829634</v>
      </c>
      <c r="Z20" s="46">
        <v>567.66041046768896</v>
      </c>
      <c r="AA20" s="46">
        <v>538.27916380560009</v>
      </c>
      <c r="AB20" s="46">
        <v>557.297627222095</v>
      </c>
      <c r="AC20" s="46">
        <v>521.60677500572217</v>
      </c>
      <c r="AD20" s="46">
        <v>546.29444190127413</v>
      </c>
      <c r="AE20" s="46">
        <v>548.85175860227355</v>
      </c>
      <c r="AF20" s="46">
        <v>526.57358663309685</v>
      </c>
      <c r="AG20" s="89">
        <v>546.33592736705577</v>
      </c>
    </row>
    <row r="21" spans="1:38" s="44" customFormat="1">
      <c r="A21" s="87" t="str">
        <f>Calculations!B17&amp;Calculations!C19&amp;Calculations!D21</f>
        <v>LOLED850</v>
      </c>
      <c r="B21" s="44">
        <v>530.42029068436716</v>
      </c>
      <c r="C21" s="44">
        <v>533.41296635385675</v>
      </c>
      <c r="D21" s="44">
        <v>541.46877622644388</v>
      </c>
      <c r="E21" s="44">
        <v>567.10584039063099</v>
      </c>
      <c r="F21" s="44">
        <v>537.16430151827262</v>
      </c>
      <c r="G21" s="44">
        <v>526.56643396658274</v>
      </c>
      <c r="H21" s="44">
        <v>557.34674219882504</v>
      </c>
      <c r="I21" s="44">
        <v>558.15022507057301</v>
      </c>
      <c r="J21" s="44">
        <v>551.15920881971465</v>
      </c>
      <c r="K21" s="44">
        <v>545.05798428320747</v>
      </c>
      <c r="L21" s="44">
        <v>560.43574044403749</v>
      </c>
      <c r="M21" s="44">
        <v>547.16659037155716</v>
      </c>
      <c r="N21" s="44">
        <v>549.28473334859234</v>
      </c>
      <c r="O21" s="44">
        <v>571.51092927443347</v>
      </c>
      <c r="P21" s="44">
        <v>508.58415350576024</v>
      </c>
      <c r="Q21" s="44">
        <v>545.66453040360113</v>
      </c>
      <c r="R21" s="44">
        <v>550.65136949721523</v>
      </c>
      <c r="S21" s="44">
        <v>538.34687571526661</v>
      </c>
      <c r="T21" s="44">
        <v>561.09140154116119</v>
      </c>
      <c r="U21" s="44">
        <v>556.25572213321129</v>
      </c>
      <c r="V21" s="44">
        <v>522.69779507133592</v>
      </c>
      <c r="W21" s="44">
        <v>558.04770351720458</v>
      </c>
      <c r="X21" s="44">
        <v>552.95214389257649</v>
      </c>
      <c r="Y21" s="44">
        <v>557.59327077134355</v>
      </c>
      <c r="Z21" s="44">
        <v>567.37287327382319</v>
      </c>
      <c r="AA21" s="44">
        <v>538.00497825589377</v>
      </c>
      <c r="AB21" s="44">
        <v>557.03583962767982</v>
      </c>
      <c r="AC21" s="44">
        <v>521.3316357671473</v>
      </c>
      <c r="AD21" s="44">
        <v>546.08081559472032</v>
      </c>
      <c r="AE21" s="44">
        <v>548.55659189745938</v>
      </c>
      <c r="AF21" s="44">
        <v>526.35996032654305</v>
      </c>
      <c r="AG21" s="44">
        <v>546.1032272831311</v>
      </c>
      <c r="AI21" s="88"/>
      <c r="AJ21" s="88"/>
      <c r="AK21" s="88"/>
      <c r="AL21" s="88"/>
    </row>
  </sheetData>
  <pageMargins left="0.7" right="0.7" top="0.75" bottom="0.75" header="0.3" footer="0.3"/>
  <pageSetup paperSize="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G21"/>
  <sheetViews>
    <sheetView zoomScale="60" zoomScaleNormal="60" workbookViewId="0">
      <pane xSplit="8880" ySplit="6480" topLeftCell="S25"/>
      <selection activeCell="E27" sqref="E27"/>
      <selection pane="topRight" activeCell="Y18" sqref="Y18"/>
      <selection pane="bottomLeft" activeCell="A25" sqref="A25"/>
      <selection pane="bottomRight" activeCell="O25" sqref="O25"/>
    </sheetView>
  </sheetViews>
  <sheetFormatPr defaultRowHeight="15"/>
  <cols>
    <col min="1" max="1" width="17.7109375" bestFit="1" customWidth="1"/>
  </cols>
  <sheetData>
    <row r="1" spans="1:33"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 s="100" t="str">
        <f>data0!A2</f>
        <v>HILEDVis</v>
      </c>
      <c r="B2" s="38">
        <f>data0!B2/r_0*(2^res-1)</f>
        <v>542.68749999999989</v>
      </c>
      <c r="C2" s="38">
        <f>data0!C2/r_0*(2^res-1)</f>
        <v>531.99999999999989</v>
      </c>
      <c r="D2" s="38">
        <f>data0!D2/r_0*(2^res-1)</f>
        <v>535.99999999999989</v>
      </c>
      <c r="E2" s="38">
        <f>data0!E2/r_0*(2^res-1)</f>
        <v>579</v>
      </c>
      <c r="F2" s="38">
        <f>data0!F2/r_0*(2^res-1)</f>
        <v>543.15625</v>
      </c>
      <c r="G2" s="38">
        <f>data0!G2/r_0*(2^res-1)</f>
        <v>551.625</v>
      </c>
      <c r="H2" s="38">
        <f>data0!H2/r_0*(2^res-1)</f>
        <v>575.81249999999989</v>
      </c>
      <c r="I2" s="38">
        <f>data0!I2/r_0*(2^res-1)</f>
        <v>587</v>
      </c>
      <c r="J2" s="38">
        <f>data0!J2/r_0*(2^res-1)</f>
        <v>575.99999999999989</v>
      </c>
      <c r="K2" s="38">
        <f>data0!K2/r_0*(2^res-1)</f>
        <v>551</v>
      </c>
      <c r="L2" s="38">
        <f>data0!L2/r_0*(2^res-1)</f>
        <v>580</v>
      </c>
      <c r="M2" s="38">
        <f>data0!M2/r_0*(2^res-1)</f>
        <v>567.99999999999989</v>
      </c>
      <c r="N2" s="38">
        <f>data0!N2/r_0*(2^res-1)</f>
        <v>556.15625</v>
      </c>
      <c r="O2" s="38">
        <f>data0!O2/r_0*(2^res-1)</f>
        <v>606.65625</v>
      </c>
      <c r="P2" s="38">
        <f>data0!P2/r_0*(2^res-1)</f>
        <v>560.59374999999989</v>
      </c>
      <c r="Q2" s="38">
        <f>data0!Q2/r_0*(2^res-1)</f>
        <v>544.53125</v>
      </c>
      <c r="R2" s="38">
        <f>data0!R2/r_0*(2^res-1)</f>
        <v>565.28125</v>
      </c>
      <c r="S2" s="38">
        <f>data0!S2/r_0*(2^res-1)</f>
        <v>550.84375</v>
      </c>
      <c r="T2" s="38">
        <f>data0!T2/r_0*(2^res-1)</f>
        <v>580.875</v>
      </c>
      <c r="U2" s="38">
        <f>data0!U2/r_0*(2^res-1)</f>
        <v>574.99999999999989</v>
      </c>
      <c r="V2" s="38">
        <f>data0!V2/r_0*(2^res-1)</f>
        <v>453</v>
      </c>
      <c r="W2" s="38">
        <f>data0!W2/r_0*(2^res-1)</f>
        <v>543.99999999999989</v>
      </c>
      <c r="X2" s="38">
        <f>data0!X2/r_0*(2^res-1)</f>
        <v>580</v>
      </c>
      <c r="Y2" s="38">
        <f>data0!Y2/r_0*(2^res-1)</f>
        <v>531.99999999999989</v>
      </c>
      <c r="Z2" s="38">
        <f>data0!Z2/r_0*(2^res-1)</f>
        <v>556</v>
      </c>
      <c r="AA2" s="38">
        <f>data0!AA2/r_0*(2^res-1)</f>
        <v>586</v>
      </c>
      <c r="AB2" s="38">
        <f>data0!AB2/r_0*(2^res-1)</f>
        <v>583.6875</v>
      </c>
      <c r="AC2" s="38">
        <f>data0!AC2/r_0*(2^res-1)</f>
        <v>546.15625</v>
      </c>
      <c r="AD2" s="38">
        <f>data0!AD2/r_0*(2^res-1)</f>
        <v>568.99999999999989</v>
      </c>
      <c r="AE2" s="38">
        <f>data0!AE2/r_0*(2^res-1)</f>
        <v>561.18749999999989</v>
      </c>
      <c r="AF2" s="38">
        <f>data0!AF2/r_0*(2^res-1)</f>
        <v>563.74999999999989</v>
      </c>
      <c r="AG2" s="101">
        <f>data0!AG2/r_0*(2^res-1)</f>
        <v>563.99999999999989</v>
      </c>
    </row>
    <row r="3" spans="1:33">
      <c r="A3" s="102" t="str">
        <f>data0!A3</f>
        <v>HILED850</v>
      </c>
      <c r="B3" s="83">
        <f>data0!B3/r_0*(2^res-1)</f>
        <v>542.68749999999989</v>
      </c>
      <c r="C3" s="83">
        <f>data0!C3/r_0*(2^res-1)</f>
        <v>531.99999999999989</v>
      </c>
      <c r="D3" s="83">
        <f>data0!D3/r_0*(2^res-1)</f>
        <v>536.12499999999989</v>
      </c>
      <c r="E3" s="83">
        <f>data0!E3/r_0*(2^res-1)</f>
        <v>579</v>
      </c>
      <c r="F3" s="83">
        <f>data0!F3/r_0*(2^res-1)</f>
        <v>543.40625</v>
      </c>
      <c r="G3" s="83">
        <f>data0!G3/r_0*(2^res-1)</f>
        <v>551.3125</v>
      </c>
      <c r="H3" s="83">
        <f>data0!H3/r_0*(2^res-1)</f>
        <v>575.12499999999989</v>
      </c>
      <c r="I3" s="83">
        <f>data0!I3/r_0*(2^res-1)</f>
        <v>587</v>
      </c>
      <c r="J3" s="83">
        <f>data0!J3/r_0*(2^res-1)</f>
        <v>575.99999999999989</v>
      </c>
      <c r="K3" s="83">
        <f>data0!K3/r_0*(2^res-1)</f>
        <v>551</v>
      </c>
      <c r="L3" s="83">
        <f>data0!L3/r_0*(2^res-1)</f>
        <v>580</v>
      </c>
      <c r="M3" s="83">
        <f>data0!M3/r_0*(2^res-1)</f>
        <v>567.99999999999989</v>
      </c>
      <c r="N3" s="83">
        <f>data0!N3/r_0*(2^res-1)</f>
        <v>556</v>
      </c>
      <c r="O3" s="83">
        <f>data0!O3/r_0*(2^res-1)</f>
        <v>606.24999999999989</v>
      </c>
      <c r="P3" s="83">
        <f>data0!P3/r_0*(2^res-1)</f>
        <v>560.06249999999989</v>
      </c>
      <c r="Q3" s="83">
        <f>data0!Q3/r_0*(2^res-1)</f>
        <v>544.12499999999989</v>
      </c>
      <c r="R3" s="83">
        <f>data0!R3/r_0*(2^res-1)</f>
        <v>565.40625</v>
      </c>
      <c r="S3" s="83">
        <f>data0!S3/r_0*(2^res-1)</f>
        <v>550.875</v>
      </c>
      <c r="T3" s="83">
        <f>data0!T3/r_0*(2^res-1)</f>
        <v>580.40625</v>
      </c>
      <c r="U3" s="83">
        <f>data0!U3/r_0*(2^res-1)</f>
        <v>574.99999999999989</v>
      </c>
      <c r="V3" s="83">
        <f>data0!V3/r_0*(2^res-1)</f>
        <v>453</v>
      </c>
      <c r="W3" s="83">
        <f>data0!W3/r_0*(2^res-1)</f>
        <v>543.99999999999989</v>
      </c>
      <c r="X3" s="83">
        <f>data0!X3/r_0*(2^res-1)</f>
        <v>580</v>
      </c>
      <c r="Y3" s="83">
        <f>data0!Y3/r_0*(2^res-1)</f>
        <v>531.71875</v>
      </c>
      <c r="Z3" s="83">
        <f>data0!Z3/r_0*(2^res-1)</f>
        <v>556</v>
      </c>
      <c r="AA3" s="83">
        <f>data0!AA3/r_0*(2^res-1)</f>
        <v>586</v>
      </c>
      <c r="AB3" s="83">
        <f>data0!AB3/r_0*(2^res-1)</f>
        <v>583</v>
      </c>
      <c r="AC3" s="83">
        <f>data0!AC3/r_0*(2^res-1)</f>
        <v>546.15625</v>
      </c>
      <c r="AD3" s="83">
        <f>data0!AD3/r_0*(2^res-1)</f>
        <v>568.99999999999989</v>
      </c>
      <c r="AE3" s="83">
        <f>data0!AE3/r_0*(2^res-1)</f>
        <v>560.99999999999989</v>
      </c>
      <c r="AF3" s="83">
        <f>data0!AF3/r_0*(2^res-1)</f>
        <v>563.37499999999989</v>
      </c>
      <c r="AG3" s="103">
        <f>data0!AG3/r_0*(2^res-1)</f>
        <v>563.43749999999989</v>
      </c>
    </row>
    <row r="4" spans="1:33">
      <c r="A4" s="102" t="str">
        <f>data0!A4</f>
        <v>HILEDIR</v>
      </c>
      <c r="B4" s="83">
        <f>data0!B4*(2^res-1)</f>
        <v>259</v>
      </c>
      <c r="C4" s="83">
        <f>data0!C4*(2^res-1)</f>
        <v>264</v>
      </c>
      <c r="D4" s="83">
        <f>data0!D4*(2^res-1)</f>
        <v>264</v>
      </c>
      <c r="E4" s="83">
        <f>data0!E4*(2^res-1)</f>
        <v>278</v>
      </c>
      <c r="F4" s="83">
        <f>data0!F4*(2^res-1)</f>
        <v>262</v>
      </c>
      <c r="G4" s="83">
        <f>data0!G4*(2^res-1)</f>
        <v>248</v>
      </c>
      <c r="H4" s="83">
        <f>data0!H4*(2^res-1)</f>
        <v>272</v>
      </c>
      <c r="I4" s="83">
        <f>data0!I4*(2^res-1)</f>
        <v>272</v>
      </c>
      <c r="J4" s="83">
        <f>data0!J4*(2^res-1)</f>
        <v>273</v>
      </c>
      <c r="K4" s="83">
        <f>data0!K4*(2^res-1)</f>
        <v>261</v>
      </c>
      <c r="L4" s="83">
        <f>data0!L4*(2^res-1)</f>
        <v>264</v>
      </c>
      <c r="M4" s="83">
        <f>data0!M4*(2^res-1)</f>
        <v>267</v>
      </c>
      <c r="N4" s="83">
        <f>data0!N4*(2^res-1)</f>
        <v>267</v>
      </c>
      <c r="O4" s="83">
        <f>data0!O4*(2^res-1)</f>
        <v>290</v>
      </c>
      <c r="P4" s="83">
        <f>data0!P4*(2^res-1)</f>
        <v>270</v>
      </c>
      <c r="Q4" s="83">
        <f>data0!Q4*(2^res-1)</f>
        <v>268</v>
      </c>
      <c r="R4" s="83">
        <f>data0!R4*(2^res-1)</f>
        <v>268</v>
      </c>
      <c r="S4" s="83">
        <f>data0!S4*(2^res-1)</f>
        <v>267</v>
      </c>
      <c r="T4" s="83">
        <f>data0!T4*(2^res-1)</f>
        <v>283</v>
      </c>
      <c r="U4" s="83">
        <f>data0!U4*(2^res-1)</f>
        <v>272</v>
      </c>
      <c r="V4" s="83">
        <f>data0!V4*(2^res-1)</f>
        <v>239</v>
      </c>
      <c r="W4" s="83">
        <f>data0!W4*(2^res-1)</f>
        <v>271</v>
      </c>
      <c r="X4" s="83">
        <f>data0!X4*(2^res-1)</f>
        <v>268</v>
      </c>
      <c r="Y4" s="83">
        <f>data0!Y4*(2^res-1)</f>
        <v>258</v>
      </c>
      <c r="Z4" s="83">
        <f>data0!Z4*(2^res-1)</f>
        <v>273</v>
      </c>
      <c r="AA4" s="83">
        <f>data0!AA4*(2^res-1)</f>
        <v>261.4375</v>
      </c>
      <c r="AB4" s="83">
        <f>data0!AB4*(2^res-1)</f>
        <v>251</v>
      </c>
      <c r="AC4" s="83">
        <f>data0!AC4*(2^res-1)</f>
        <v>257</v>
      </c>
      <c r="AD4" s="83">
        <f>data0!AD4*(2^res-1)</f>
        <v>271.125</v>
      </c>
      <c r="AE4" s="83">
        <f>data0!AE4*(2^res-1)</f>
        <v>264.1875</v>
      </c>
      <c r="AF4" s="83">
        <f>data0!AF4*(2^res-1)</f>
        <v>262</v>
      </c>
      <c r="AG4" s="103">
        <f>data0!AG4*(2^res-1)</f>
        <v>270</v>
      </c>
    </row>
    <row r="5" spans="1:33">
      <c r="A5" s="102" t="str">
        <f>data0!A5</f>
        <v>HIQTHIR</v>
      </c>
      <c r="B5" s="83">
        <f>data0!B5*(2^res-1)</f>
        <v>3544</v>
      </c>
      <c r="C5" s="83">
        <f>data0!C5*(2^res-1)</f>
        <v>3606.90625</v>
      </c>
      <c r="D5" s="83">
        <f>data0!D5*(2^res-1)</f>
        <v>3595.53125</v>
      </c>
      <c r="E5" s="83">
        <f>data0!E5*(2^res-1)</f>
        <v>3772.375</v>
      </c>
      <c r="F5" s="83">
        <f>data0!F5*(2^res-1)</f>
        <v>3643</v>
      </c>
      <c r="G5" s="83">
        <f>data0!G5*(2^res-1)</f>
        <v>3533.3125</v>
      </c>
      <c r="H5" s="83">
        <f>data0!H5*(2^res-1)</f>
        <v>3775</v>
      </c>
      <c r="I5" s="83">
        <f>data0!I5*(2^res-1)</f>
        <v>3737.1875</v>
      </c>
      <c r="J5" s="83">
        <f>data0!J5*(2^res-1)</f>
        <v>3742.28125</v>
      </c>
      <c r="K5" s="83">
        <f>data0!K5*(2^res-1)</f>
        <v>3616.5</v>
      </c>
      <c r="L5" s="83">
        <f>data0!L5*(2^res-1)</f>
        <v>3658.15625</v>
      </c>
      <c r="M5" s="83">
        <f>data0!M5*(2^res-1)</f>
        <v>3704</v>
      </c>
      <c r="N5" s="83">
        <f>data0!N5*(2^res-1)</f>
        <v>3688.90625</v>
      </c>
      <c r="O5" s="83">
        <f>data0!O5*(2^res-1)</f>
        <v>3949.8125</v>
      </c>
      <c r="P5" s="83">
        <f>data0!P5*(2^res-1)</f>
        <v>3688.40625</v>
      </c>
      <c r="Q5" s="83">
        <f>data0!Q5*(2^res-1)</f>
        <v>3637.65625</v>
      </c>
      <c r="R5" s="83">
        <f>data0!R5*(2^res-1)</f>
        <v>3707.84375</v>
      </c>
      <c r="S5" s="83">
        <f>data0!S5*(2^res-1)</f>
        <v>3699.84375</v>
      </c>
      <c r="T5" s="83">
        <f>data0!T5*(2^res-1)</f>
        <v>3863.75</v>
      </c>
      <c r="U5" s="83">
        <f>data0!U5*(2^res-1)</f>
        <v>3743.96875</v>
      </c>
      <c r="V5" s="83">
        <f>data0!V5*(2^res-1)</f>
        <v>3471.15625</v>
      </c>
      <c r="W5" s="83">
        <f>data0!W5*(2^res-1)</f>
        <v>3687.4375</v>
      </c>
      <c r="X5" s="83">
        <f>data0!X5*(2^res-1)</f>
        <v>3581.53125</v>
      </c>
      <c r="Y5" s="83">
        <f>data0!Y5*(2^res-1)</f>
        <v>3679.5625</v>
      </c>
      <c r="Z5" s="83">
        <f>data0!Z5*(2^res-1)</f>
        <v>3682.59375</v>
      </c>
      <c r="AA5" s="83">
        <f>data0!AA5*(2^res-1)</f>
        <v>3549.375</v>
      </c>
      <c r="AB5" s="83">
        <f>data0!AB5*(2^res-1)</f>
        <v>3327</v>
      </c>
      <c r="AC5" s="83">
        <f>data0!AC5*(2^res-1)</f>
        <v>3599.8125</v>
      </c>
      <c r="AD5" s="83">
        <f>data0!AD5*(2^res-1)</f>
        <v>3688</v>
      </c>
      <c r="AE5" s="83">
        <f>data0!AE5*(2^res-1)</f>
        <v>3687.5625</v>
      </c>
      <c r="AF5" s="83">
        <f>data0!AF5*(2^res-1)</f>
        <v>3693.1875</v>
      </c>
      <c r="AG5" s="103">
        <f>data0!AG5*(2^res-1)</f>
        <v>3694.125</v>
      </c>
    </row>
    <row r="6" spans="1:33">
      <c r="A6" s="104" t="str">
        <f>data0!A6</f>
        <v>HIQTHVis</v>
      </c>
      <c r="B6" s="47">
        <f>data0!B6/r_0*(2^res-1)</f>
        <v>552.5625</v>
      </c>
      <c r="C6" s="47">
        <f>data0!C6/r_0*(2^res-1)</f>
        <v>414.875</v>
      </c>
      <c r="D6" s="47">
        <f>data0!D6/r_0*(2^res-1)</f>
        <v>519</v>
      </c>
      <c r="E6" s="47">
        <f>data0!E6/r_0*(2^res-1)</f>
        <v>530.84375</v>
      </c>
      <c r="F6" s="47">
        <f>data0!F6/r_0*(2^res-1)</f>
        <v>503.40625</v>
      </c>
      <c r="G6" s="47">
        <f>data0!G6/r_0*(2^res-1)</f>
        <v>546.3125</v>
      </c>
      <c r="H6" s="47">
        <f>data0!H6/r_0*(2^res-1)</f>
        <v>547.40625</v>
      </c>
      <c r="I6" s="47">
        <f>data0!I6/r_0*(2^res-1)</f>
        <v>579.375</v>
      </c>
      <c r="J6" s="47">
        <f>data0!J6/r_0*(2^res-1)</f>
        <v>530.84375</v>
      </c>
      <c r="K6" s="47">
        <f>data0!K6/r_0*(2^res-1)</f>
        <v>542.99999999999989</v>
      </c>
      <c r="L6" s="47">
        <f>data0!L6/r_0*(2^res-1)</f>
        <v>622.9375</v>
      </c>
      <c r="M6" s="47">
        <f>data0!M6/r_0*(2^res-1)</f>
        <v>526.625</v>
      </c>
      <c r="N6" s="47">
        <f>data0!N6/r_0*(2^res-1)</f>
        <v>524.0625</v>
      </c>
      <c r="O6" s="47">
        <f>data0!O6/r_0*(2^res-1)</f>
        <v>558.6875</v>
      </c>
      <c r="P6" s="47">
        <f>data0!P6/r_0*(2^res-1)</f>
        <v>508.84375</v>
      </c>
      <c r="Q6" s="47">
        <f>data0!Q6/r_0*(2^res-1)</f>
        <v>490</v>
      </c>
      <c r="R6" s="47">
        <f>data0!R6/r_0*(2^res-1)</f>
        <v>509.75</v>
      </c>
      <c r="S6" s="47">
        <f>data0!S6/r_0*(2^res-1)</f>
        <v>489.53125</v>
      </c>
      <c r="T6" s="47">
        <f>data0!T6/r_0*(2^res-1)</f>
        <v>515</v>
      </c>
      <c r="U6" s="47">
        <f>data0!U6/r_0*(2^res-1)</f>
        <v>530.12499999999989</v>
      </c>
      <c r="V6" s="47">
        <f>data0!V6/r_0*(2^res-1)</f>
        <v>114</v>
      </c>
      <c r="W6" s="47">
        <f>data0!W6/r_0*(2^res-1)</f>
        <v>472.8125</v>
      </c>
      <c r="X6" s="47">
        <f>data0!X6/r_0*(2^res-1)</f>
        <v>720</v>
      </c>
      <c r="Y6" s="47">
        <f>data0!Y6/r_0*(2^res-1)</f>
        <v>378.125</v>
      </c>
      <c r="Z6" s="47">
        <f>data0!Z6/r_0*(2^res-1)</f>
        <v>509.125</v>
      </c>
      <c r="AA6" s="47">
        <f>data0!AA6/r_0*(2^res-1)</f>
        <v>763.6875</v>
      </c>
      <c r="AB6" s="47">
        <f>data0!AB6/r_0*(2^res-1)</f>
        <v>841</v>
      </c>
      <c r="AC6" s="47">
        <f>data0!AC6/r_0*(2^res-1)</f>
        <v>522.34375</v>
      </c>
      <c r="AD6" s="47">
        <f>data0!AD6/r_0*(2^res-1)</f>
        <v>566.15625</v>
      </c>
      <c r="AE6" s="47">
        <f>data0!AE6/r_0*(2^res-1)</f>
        <v>522.125</v>
      </c>
      <c r="AF6" s="47">
        <f>data0!AF6/r_0*(2^res-1)</f>
        <v>488.28125</v>
      </c>
      <c r="AG6" s="105">
        <f>data0!AG6/r_0*(2^res-1)</f>
        <v>511.40625</v>
      </c>
    </row>
    <row r="7" spans="1:33">
      <c r="A7" s="100" t="str">
        <f>data0!A7</f>
        <v>MEDHIQTHVis</v>
      </c>
      <c r="B7" s="38">
        <f>data0!B7/r_1*(2^res-1)</f>
        <v>2280.4999999999995</v>
      </c>
      <c r="C7" s="38">
        <f>data0!C7/r_1*(2^res-1)</f>
        <v>1459.71875</v>
      </c>
      <c r="D7" s="38">
        <f>data0!D7/r_1*(2^res-1)</f>
        <v>2188.9375</v>
      </c>
      <c r="E7" s="38">
        <f>data0!E7/r_1*(2^res-1)</f>
        <v>2369.9375</v>
      </c>
      <c r="F7" s="38">
        <f>data0!F7/r_1*(2^res-1)</f>
        <v>2080.21875</v>
      </c>
      <c r="G7" s="38">
        <f>data0!G7/r_1*(2^res-1)</f>
        <v>1941.8125</v>
      </c>
      <c r="H7" s="38">
        <f>data0!H7/r_1*(2^res-1)</f>
        <v>2268.9999999999995</v>
      </c>
      <c r="I7" s="38">
        <f>data0!I7/r_1*(2^res-1)</f>
        <v>2408.21875</v>
      </c>
      <c r="J7" s="38">
        <f>data0!J7/r_1*(2^res-1)</f>
        <v>2224.625</v>
      </c>
      <c r="K7" s="38">
        <f>data0!K7/r_1*(2^res-1)</f>
        <v>2252.2499999999995</v>
      </c>
      <c r="L7" s="38">
        <f>data0!L7/r_1*(2^res-1)</f>
        <v>2405.53125</v>
      </c>
      <c r="M7" s="38">
        <f>data0!M7/r_1*(2^res-1)</f>
        <v>2163.4375</v>
      </c>
      <c r="N7" s="38">
        <f>data0!N7/r_1*(2^res-1)</f>
        <v>2156.96875</v>
      </c>
      <c r="O7" s="38">
        <f>data0!O7/r_1*(2^res-1)</f>
        <v>2482.46875</v>
      </c>
      <c r="P7" s="38">
        <f>data0!P7/r_1*(2^res-1)</f>
        <v>2155.84375</v>
      </c>
      <c r="Q7" s="38">
        <f>data0!Q7/r_1*(2^res-1)</f>
        <v>2090.15625</v>
      </c>
      <c r="R7" s="38">
        <f>data0!R7/r_1*(2^res-1)</f>
        <v>2056.5</v>
      </c>
      <c r="S7" s="38">
        <f>data0!S7/r_1*(2^res-1)</f>
        <v>2054.28125</v>
      </c>
      <c r="T7" s="38">
        <f>data0!T7/r_1*(2^res-1)</f>
        <v>2215.625</v>
      </c>
      <c r="U7" s="38">
        <f>data0!U7/r_1*(2^res-1)</f>
        <v>2210.03125</v>
      </c>
      <c r="V7" s="38">
        <f>data0!V7/r_1*(2^res-1)</f>
        <v>1450.96875</v>
      </c>
      <c r="W7" s="38">
        <f>data0!W7/r_1*(2^res-1)</f>
        <v>2128.9375</v>
      </c>
      <c r="X7" s="38">
        <f>data0!X7/r_1*(2^res-1)</f>
        <v>2496.4687499999995</v>
      </c>
      <c r="Y7" s="38">
        <f>data0!Y7/r_1*(2^res-1)</f>
        <v>1982.71875</v>
      </c>
      <c r="Z7" s="38">
        <f>data0!Z7/r_1*(2^res-1)</f>
        <v>2208.53125</v>
      </c>
      <c r="AA7" s="38">
        <f>data0!AA7/r_1*(2^res-1)</f>
        <v>2701.15625</v>
      </c>
      <c r="AB7" s="38">
        <f>data0!AB7/r_1*(2^res-1)</f>
        <v>3686.40625</v>
      </c>
      <c r="AC7" s="38">
        <f>data0!AC7/r_1*(2^res-1)</f>
        <v>2238.9375000000005</v>
      </c>
      <c r="AD7" s="38">
        <f>data0!AD7/r_1*(2^res-1)</f>
        <v>2395.4375</v>
      </c>
      <c r="AE7" s="38">
        <f>data0!AE7/r_1*(2^res-1)</f>
        <v>2284.9999999999995</v>
      </c>
      <c r="AF7" s="38">
        <f>data0!AF7/r_1*(2^res-1)</f>
        <v>2001.125</v>
      </c>
      <c r="AG7" s="101">
        <f>data0!AG7/r_1*(2^res-1)</f>
        <v>2131.03125</v>
      </c>
    </row>
    <row r="8" spans="1:33">
      <c r="A8" s="102" t="str">
        <f>data0!A8</f>
        <v>MEDHIQTHIR</v>
      </c>
      <c r="B8" s="83">
        <f>data0!B8*(2^res-1)</f>
        <v>3545.875</v>
      </c>
      <c r="C8" s="83">
        <f>data0!C8*(2^res-1)</f>
        <v>3606.21875</v>
      </c>
      <c r="D8" s="83">
        <f>data0!D8*(2^res-1)</f>
        <v>3596</v>
      </c>
      <c r="E8" s="83">
        <f>data0!E8*(2^res-1)</f>
        <v>3773.5625</v>
      </c>
      <c r="F8" s="83">
        <f>data0!F8*(2^res-1)</f>
        <v>3643.375</v>
      </c>
      <c r="G8" s="83">
        <f>data0!G8*(2^res-1)</f>
        <v>3534.09375</v>
      </c>
      <c r="H8" s="83">
        <f>data0!H8*(2^res-1)</f>
        <v>3775.34375</v>
      </c>
      <c r="I8" s="83">
        <f>data0!I8*(2^res-1)</f>
        <v>3738.6875</v>
      </c>
      <c r="J8" s="83">
        <f>data0!J8*(2^res-1)</f>
        <v>3742.5625</v>
      </c>
      <c r="K8" s="83">
        <f>data0!K8*(2^res-1)</f>
        <v>3617.5</v>
      </c>
      <c r="L8" s="83">
        <f>data0!L8*(2^res-1)</f>
        <v>3659.15625</v>
      </c>
      <c r="M8" s="83">
        <f>data0!M8*(2^res-1)</f>
        <v>3705.3125</v>
      </c>
      <c r="N8" s="83">
        <f>data0!N8*(2^res-1)</f>
        <v>3690.15625</v>
      </c>
      <c r="O8" s="83">
        <f>data0!O8*(2^res-1)</f>
        <v>3950</v>
      </c>
      <c r="P8" s="83">
        <f>data0!P8*(2^res-1)</f>
        <v>3688.125</v>
      </c>
      <c r="Q8" s="83">
        <f>data0!Q8*(2^res-1)</f>
        <v>3638.875</v>
      </c>
      <c r="R8" s="83">
        <f>data0!R8*(2^res-1)</f>
        <v>3708.21875</v>
      </c>
      <c r="S8" s="83">
        <f>data0!S8*(2^res-1)</f>
        <v>3698.5</v>
      </c>
      <c r="T8" s="83">
        <f>data0!T8*(2^res-1)</f>
        <v>3864</v>
      </c>
      <c r="U8" s="83">
        <f>data0!U8*(2^res-1)</f>
        <v>3743.46875</v>
      </c>
      <c r="V8" s="83">
        <f>data0!V8*(2^res-1)</f>
        <v>3473.84375</v>
      </c>
      <c r="W8" s="83">
        <f>data0!W8*(2^res-1)</f>
        <v>3688.8125</v>
      </c>
      <c r="X8" s="83">
        <f>data0!X8*(2^res-1)</f>
        <v>3580.9375</v>
      </c>
      <c r="Y8" s="83">
        <f>data0!Y8*(2^res-1)</f>
        <v>3680.125</v>
      </c>
      <c r="Z8" s="83">
        <f>data0!Z8*(2^res-1)</f>
        <v>3683</v>
      </c>
      <c r="AA8" s="83">
        <f>data0!AA8*(2^res-1)</f>
        <v>3551.875</v>
      </c>
      <c r="AB8" s="83">
        <f>data0!AB8*(2^res-1)</f>
        <v>3326</v>
      </c>
      <c r="AC8" s="83">
        <f>data0!AC8*(2^res-1)</f>
        <v>3601.4375</v>
      </c>
      <c r="AD8" s="83">
        <f>data0!AD8*(2^res-1)</f>
        <v>3690</v>
      </c>
      <c r="AE8" s="83">
        <f>data0!AE8*(2^res-1)</f>
        <v>3689.09375</v>
      </c>
      <c r="AF8" s="83">
        <f>data0!AF8*(2^res-1)</f>
        <v>3694.65625</v>
      </c>
      <c r="AG8" s="103">
        <f>data0!AG8*(2^res-1)</f>
        <v>3693.9375</v>
      </c>
    </row>
    <row r="9" spans="1:33">
      <c r="A9" s="102" t="str">
        <f>data0!A9</f>
        <v>MEDHILEDIR</v>
      </c>
      <c r="B9" s="83">
        <f>data0!B9*(2^res-1)</f>
        <v>260</v>
      </c>
      <c r="C9" s="83">
        <f>data0!C9*(2^res-1)</f>
        <v>265</v>
      </c>
      <c r="D9" s="83">
        <f>data0!D9*(2^res-1)</f>
        <v>264.84375</v>
      </c>
      <c r="E9" s="83">
        <f>data0!E9*(2^res-1)</f>
        <v>279</v>
      </c>
      <c r="F9" s="83">
        <f>data0!F9*(2^res-1)</f>
        <v>263</v>
      </c>
      <c r="G9" s="83">
        <f>data0!G9*(2^res-1)</f>
        <v>248</v>
      </c>
      <c r="H9" s="83">
        <f>data0!H9*(2^res-1)</f>
        <v>273</v>
      </c>
      <c r="I9" s="83">
        <f>data0!I9*(2^res-1)</f>
        <v>273</v>
      </c>
      <c r="J9" s="83">
        <f>data0!J9*(2^res-1)</f>
        <v>273.875</v>
      </c>
      <c r="K9" s="83">
        <f>data0!K9*(2^res-1)</f>
        <v>262</v>
      </c>
      <c r="L9" s="83">
        <f>data0!L9*(2^res-1)</f>
        <v>264.1875</v>
      </c>
      <c r="M9" s="83">
        <f>data0!M9*(2^res-1)</f>
        <v>267</v>
      </c>
      <c r="N9" s="83">
        <f>data0!N9*(2^res-1)</f>
        <v>267.46875</v>
      </c>
      <c r="O9" s="83">
        <f>data0!O9*(2^res-1)</f>
        <v>291</v>
      </c>
      <c r="P9" s="83">
        <f>data0!P9*(2^res-1)</f>
        <v>271</v>
      </c>
      <c r="Q9" s="83">
        <f>data0!Q9*(2^res-1)</f>
        <v>269</v>
      </c>
      <c r="R9" s="83">
        <f>data0!R9*(2^res-1)</f>
        <v>269</v>
      </c>
      <c r="S9" s="83">
        <f>data0!S9*(2^res-1)</f>
        <v>267</v>
      </c>
      <c r="T9" s="83">
        <f>data0!T9*(2^res-1)</f>
        <v>284</v>
      </c>
      <c r="U9" s="83">
        <f>data0!U9*(2^res-1)</f>
        <v>272.84375</v>
      </c>
      <c r="V9" s="83">
        <f>data0!V9*(2^res-1)</f>
        <v>239</v>
      </c>
      <c r="W9" s="83">
        <f>data0!W9*(2^res-1)</f>
        <v>272</v>
      </c>
      <c r="X9" s="83">
        <f>data0!X9*(2^res-1)</f>
        <v>268.46875</v>
      </c>
      <c r="Y9" s="83">
        <f>data0!Y9*(2^res-1)</f>
        <v>258</v>
      </c>
      <c r="Z9" s="83">
        <f>data0!Z9*(2^res-1)</f>
        <v>274</v>
      </c>
      <c r="AA9" s="83">
        <f>data0!AA9*(2^res-1)</f>
        <v>262</v>
      </c>
      <c r="AB9" s="83">
        <f>data0!AB9*(2^res-1)</f>
        <v>252</v>
      </c>
      <c r="AC9" s="83">
        <f>data0!AC9*(2^res-1)</f>
        <v>258</v>
      </c>
      <c r="AD9" s="83">
        <f>data0!AD9*(2^res-1)</f>
        <v>272</v>
      </c>
      <c r="AE9" s="83">
        <f>data0!AE9*(2^res-1)</f>
        <v>265</v>
      </c>
      <c r="AF9" s="83">
        <f>data0!AF9*(2^res-1)</f>
        <v>262</v>
      </c>
      <c r="AG9" s="103">
        <f>data0!AG9*(2^res-1)</f>
        <v>270.1875</v>
      </c>
    </row>
    <row r="10" spans="1:33">
      <c r="A10" s="102" t="str">
        <f>data0!A10</f>
        <v>MEDHILEDVis</v>
      </c>
      <c r="B10" s="83">
        <f>data0!B10/r_1*(2^res-1)</f>
        <v>2238.0937500000005</v>
      </c>
      <c r="C10" s="83">
        <f>data0!C10/r_1*(2^res-1)</f>
        <v>2118.9687499999995</v>
      </c>
      <c r="D10" s="83">
        <f>data0!D10/r_1*(2^res-1)</f>
        <v>2229.5</v>
      </c>
      <c r="E10" s="83">
        <f>data0!E10/r_1*(2^res-1)</f>
        <v>2404.5624999999995</v>
      </c>
      <c r="F10" s="83">
        <f>data0!F10/r_1*(2^res-1)</f>
        <v>2221.15625</v>
      </c>
      <c r="G10" s="83">
        <f>data0!G10/r_1*(2^res-1)</f>
        <v>2120.34375</v>
      </c>
      <c r="H10" s="83">
        <f>data0!H10/r_1*(2^res-1)</f>
        <v>2343.65625</v>
      </c>
      <c r="I10" s="83">
        <f>data0!I10/r_1*(2^res-1)</f>
        <v>2355.15625</v>
      </c>
      <c r="J10" s="83">
        <f>data0!J10/r_1*(2^res-1)</f>
        <v>2332.78125</v>
      </c>
      <c r="K10" s="83">
        <f>data0!K10/r_1*(2^res-1)</f>
        <v>2264.4375</v>
      </c>
      <c r="L10" s="83">
        <f>data0!L10/r_1*(2^res-1)</f>
        <v>2363</v>
      </c>
      <c r="M10" s="83">
        <f>data0!M10/r_1*(2^res-1)</f>
        <v>2311.84375</v>
      </c>
      <c r="N10" s="83">
        <f>data0!N10/r_1*(2^res-1)</f>
        <v>2276.625</v>
      </c>
      <c r="O10" s="83">
        <f>data0!O10/r_1*(2^res-1)</f>
        <v>2502.9999999999995</v>
      </c>
      <c r="P10" s="83">
        <f>data0!P10/r_1*(2^res-1)</f>
        <v>2335.53125</v>
      </c>
      <c r="Q10" s="83">
        <f>data0!Q10/r_1*(2^res-1)</f>
        <v>2243.84375</v>
      </c>
      <c r="R10" s="83">
        <f>data0!R10/r_1*(2^res-1)</f>
        <v>2293.71875</v>
      </c>
      <c r="S10" s="83">
        <f>data0!S10/r_1*(2^res-1)</f>
        <v>2220</v>
      </c>
      <c r="T10" s="83">
        <f>data0!T10/r_1*(2^res-1)</f>
        <v>2335</v>
      </c>
      <c r="U10" s="83">
        <f>data0!U10/r_1*(2^res-1)</f>
        <v>2331</v>
      </c>
      <c r="V10" s="83">
        <f>data0!V10/r_1*(2^res-1)</f>
        <v>2026.375</v>
      </c>
      <c r="W10" s="83">
        <f>data0!W10/r_1*(2^res-1)</f>
        <v>2319.46875</v>
      </c>
      <c r="X10" s="83">
        <f>data0!X10/r_1*(2^res-1)</f>
        <v>2315.5625</v>
      </c>
      <c r="Y10" s="83">
        <f>data0!Y10/r_1*(2^res-1)</f>
        <v>2295.59375</v>
      </c>
      <c r="Z10" s="83">
        <f>data0!Z10/r_1*(2^res-1)</f>
        <v>2341.15625</v>
      </c>
      <c r="AA10" s="83">
        <f>data0!AA10/r_1*(2^res-1)</f>
        <v>2388.8124999999995</v>
      </c>
      <c r="AB10" s="83">
        <f>data0!AB10/r_1*(2^res-1)</f>
        <v>2432.9999999999995</v>
      </c>
      <c r="AC10" s="83">
        <f>data0!AC10/r_1*(2^res-1)</f>
        <v>2214.5937500000005</v>
      </c>
      <c r="AD10" s="83">
        <f>data0!AD10/r_1*(2^res-1)</f>
        <v>2331</v>
      </c>
      <c r="AE10" s="83">
        <f>data0!AE10/r_1*(2^res-1)</f>
        <v>2294.4062499999995</v>
      </c>
      <c r="AF10" s="83">
        <f>data0!AF10/r_1*(2^res-1)</f>
        <v>2260.2499999999995</v>
      </c>
      <c r="AG10" s="103">
        <f>data0!AG10/r_1*(2^res-1)</f>
        <v>2300.71875</v>
      </c>
    </row>
    <row r="11" spans="1:33">
      <c r="A11" s="104" t="str">
        <f>data0!A11</f>
        <v>MEDHILED850</v>
      </c>
      <c r="B11" s="47">
        <f>data0!B11/r_1*(2^res-1)</f>
        <v>2237.3437500000005</v>
      </c>
      <c r="C11" s="47">
        <f>data0!C11/r_1*(2^res-1)</f>
        <v>2117.84375</v>
      </c>
      <c r="D11" s="47">
        <f>data0!D11/r_1*(2^res-1)</f>
        <v>2228.8437500000005</v>
      </c>
      <c r="E11" s="47">
        <f>data0!E11/r_1*(2^res-1)</f>
        <v>2403.71875</v>
      </c>
      <c r="F11" s="47">
        <f>data0!F11/r_1*(2^res-1)</f>
        <v>2220.125</v>
      </c>
      <c r="G11" s="47">
        <f>data0!G11/r_1*(2^res-1)</f>
        <v>2119.125</v>
      </c>
      <c r="H11" s="47">
        <f>data0!H11/r_1*(2^res-1)</f>
        <v>2342.71875</v>
      </c>
      <c r="I11" s="47">
        <f>data0!I11/r_1*(2^res-1)</f>
        <v>2354.3437500000005</v>
      </c>
      <c r="J11" s="47">
        <f>data0!J11/r_1*(2^res-1)</f>
        <v>2332</v>
      </c>
      <c r="K11" s="47">
        <f>data0!K11/r_1*(2^res-1)</f>
        <v>2263.625</v>
      </c>
      <c r="L11" s="47">
        <f>data0!L11/r_1*(2^res-1)</f>
        <v>2362</v>
      </c>
      <c r="M11" s="47">
        <f>data0!M11/r_1*(2^res-1)</f>
        <v>2310.9999999999995</v>
      </c>
      <c r="N11" s="47">
        <f>data0!N11/r_1*(2^res-1)</f>
        <v>2275.4999999999995</v>
      </c>
      <c r="O11" s="47">
        <f>data0!O11/r_1*(2^res-1)</f>
        <v>2502.1562499999995</v>
      </c>
      <c r="P11" s="47">
        <f>data0!P11/r_1*(2^res-1)</f>
        <v>2334.6875</v>
      </c>
      <c r="Q11" s="47">
        <f>data0!Q11/r_1*(2^res-1)</f>
        <v>2242.9062499999995</v>
      </c>
      <c r="R11" s="47">
        <f>data0!R11/r_1*(2^res-1)</f>
        <v>2292.0625</v>
      </c>
      <c r="S11" s="47">
        <f>data0!S11/r_1*(2^res-1)</f>
        <v>2219.15625</v>
      </c>
      <c r="T11" s="47">
        <f>data0!T11/r_1*(2^res-1)</f>
        <v>2334.125</v>
      </c>
      <c r="U11" s="47">
        <f>data0!U11/r_1*(2^res-1)</f>
        <v>2329.75</v>
      </c>
      <c r="V11" s="47">
        <f>data0!V11/r_1*(2^res-1)</f>
        <v>2025.2812499999998</v>
      </c>
      <c r="W11" s="47">
        <f>data0!W11/r_1*(2^res-1)</f>
        <v>2318.1875</v>
      </c>
      <c r="X11" s="47">
        <f>data0!X11/r_1*(2^res-1)</f>
        <v>2314.65625</v>
      </c>
      <c r="Y11" s="47">
        <f>data0!Y11/r_1*(2^res-1)</f>
        <v>2294.4062499999995</v>
      </c>
      <c r="Z11" s="47">
        <f>data0!Z11/r_1*(2^res-1)</f>
        <v>2339.71875</v>
      </c>
      <c r="AA11" s="47">
        <f>data0!AA11/r_1*(2^res-1)</f>
        <v>2387.9999999999995</v>
      </c>
      <c r="AB11" s="47">
        <f>data0!AB11/r_1*(2^res-1)</f>
        <v>2431.625</v>
      </c>
      <c r="AC11" s="47">
        <f>data0!AC11/r_1*(2^res-1)</f>
        <v>2213.625</v>
      </c>
      <c r="AD11" s="47">
        <f>data0!AD11/r_1*(2^res-1)</f>
        <v>2330.15625</v>
      </c>
      <c r="AE11" s="47">
        <f>data0!AE11/r_1*(2^res-1)</f>
        <v>2293.1875</v>
      </c>
      <c r="AF11" s="47">
        <f>data0!AF11/r_1*(2^res-1)</f>
        <v>2259.125</v>
      </c>
      <c r="AG11" s="105">
        <f>data0!AG11/r_1*(2^res-1)</f>
        <v>2299.875</v>
      </c>
    </row>
    <row r="12" spans="1:33">
      <c r="A12" s="100" t="str">
        <f>data0!A12</f>
        <v>MEDLOLEDVis</v>
      </c>
      <c r="B12" s="38">
        <f>data0!B12/r_2*(2^res-1)</f>
        <v>8486.5312499999982</v>
      </c>
      <c r="C12" s="38">
        <f>data0!C12/r_2*(2^res-1)</f>
        <v>8617.1875</v>
      </c>
      <c r="D12" s="38">
        <f>data0!D12/r_2*(2^res-1)</f>
        <v>8861.5</v>
      </c>
      <c r="E12" s="38">
        <f>data0!E12/r_2*(2^res-1)</f>
        <v>9488.6874999999982</v>
      </c>
      <c r="F12" s="38">
        <f>data0!F12/r_2*(2^res-1)</f>
        <v>8822.0312500000018</v>
      </c>
      <c r="G12" s="38">
        <f>data0!G12/r_2*(2^res-1)</f>
        <v>8478.3124999999982</v>
      </c>
      <c r="H12" s="38">
        <f>data0!H12/r_2*(2^res-1)</f>
        <v>9275.84375</v>
      </c>
      <c r="I12" s="38">
        <f>data0!I12/r_2*(2^res-1)</f>
        <v>9243.90625</v>
      </c>
      <c r="J12" s="38">
        <f>data0!J12/r_2*(2^res-1)</f>
        <v>9257.90625</v>
      </c>
      <c r="K12" s="38">
        <f>data0!K12/r_2*(2^res-1)</f>
        <v>9016.6874999999982</v>
      </c>
      <c r="L12" s="38">
        <f>data0!L12/r_2*(2^res-1)</f>
        <v>9350.3750000000018</v>
      </c>
      <c r="M12" s="38">
        <f>data0!M12/r_2*(2^res-1)</f>
        <v>9164.3437499999982</v>
      </c>
      <c r="N12" s="38">
        <f>data0!N12/r_2*(2^res-1)</f>
        <v>9052.15625</v>
      </c>
      <c r="O12" s="38">
        <f>data0!O12/r_2*(2^res-1)</f>
        <v>9662.78125</v>
      </c>
      <c r="P12" s="38">
        <f>data0!P12/r_2*(2^res-1)</f>
        <v>9149.9687499999982</v>
      </c>
      <c r="Q12" s="38">
        <f>data0!Q12/r_2*(2^res-1)</f>
        <v>9028.84375</v>
      </c>
      <c r="R12" s="38">
        <f>data0!R12/r_2*(2^res-1)</f>
        <v>9086.6562499999982</v>
      </c>
      <c r="S12" s="38">
        <f>data0!S12/r_2*(2^res-1)</f>
        <v>8977.6249999999982</v>
      </c>
      <c r="T12" s="38">
        <f>data0!T12/r_2*(2^res-1)</f>
        <v>9291.15625</v>
      </c>
      <c r="U12" s="38">
        <f>data0!U12/r_2*(2^res-1)</f>
        <v>9225.5625</v>
      </c>
      <c r="V12" s="38">
        <f>data0!V12/r_2*(2^res-1)</f>
        <v>8522.3124999999982</v>
      </c>
      <c r="W12" s="38">
        <f>data0!W12/r_2*(2^res-1)</f>
        <v>9309</v>
      </c>
      <c r="X12" s="38">
        <f>data0!X12/r_2*(2^res-1)</f>
        <v>9190.03125</v>
      </c>
      <c r="Y12" s="38">
        <f>data0!Y12/r_2*(2^res-1)</f>
        <v>9321.5625</v>
      </c>
      <c r="Z12" s="38">
        <f>data0!Z12/r_2*(2^res-1)</f>
        <v>9392.09375</v>
      </c>
      <c r="AA12" s="38">
        <f>data0!AA12/r_2*(2^res-1)</f>
        <v>9062.9687499999982</v>
      </c>
      <c r="AB12" s="38">
        <f>data0!AB12/r_2*(2^res-1)</f>
        <v>9343.59375</v>
      </c>
      <c r="AC12" s="38">
        <f>data0!AC12/r_2*(2^res-1)</f>
        <v>8702.40625</v>
      </c>
      <c r="AD12" s="38">
        <f>data0!AD12/r_2*(2^res-1)</f>
        <v>9248.78125</v>
      </c>
      <c r="AE12" s="38">
        <f>data0!AE12/r_2*(2^res-1)</f>
        <v>9086.2499999999982</v>
      </c>
      <c r="AF12" s="38">
        <f>data0!AF12/r_2*(2^res-1)</f>
        <v>8960.46875</v>
      </c>
      <c r="AG12" s="101">
        <f>data0!AG12/r_2*(2^res-1)</f>
        <v>9056.8125</v>
      </c>
    </row>
    <row r="13" spans="1:33">
      <c r="A13" s="102" t="str">
        <f>data0!A13</f>
        <v>MEDLOLED850</v>
      </c>
      <c r="B13" s="83">
        <f>data0!B13/r_2*(2^res-1)</f>
        <v>8485.78125</v>
      </c>
      <c r="C13" s="83">
        <f>data0!C13/r_2*(2^res-1)</f>
        <v>8615.3124999999982</v>
      </c>
      <c r="D13" s="83">
        <f>data0!D13/r_2*(2^res-1)</f>
        <v>8859.46875</v>
      </c>
      <c r="E13" s="83">
        <f>data0!E13/r_2*(2^res-1)</f>
        <v>9486.5312499999982</v>
      </c>
      <c r="F13" s="83">
        <f>data0!F13/r_2*(2^res-1)</f>
        <v>8820.5625</v>
      </c>
      <c r="G13" s="83">
        <f>data0!G13/r_2*(2^res-1)</f>
        <v>8477.3437499999982</v>
      </c>
      <c r="H13" s="83">
        <f>data0!H13/r_2*(2^res-1)</f>
        <v>9273.875</v>
      </c>
      <c r="I13" s="83">
        <f>data0!I13/r_2*(2^res-1)</f>
        <v>9241.28125</v>
      </c>
      <c r="J13" s="83">
        <f>data0!J13/r_2*(2^res-1)</f>
        <v>9255.9375</v>
      </c>
      <c r="K13" s="83">
        <f>data0!K13/r_2*(2^res-1)</f>
        <v>9014.375</v>
      </c>
      <c r="L13" s="83">
        <f>data0!L13/r_2*(2^res-1)</f>
        <v>9348.0312500000018</v>
      </c>
      <c r="M13" s="83">
        <f>data0!M13/r_2*(2^res-1)</f>
        <v>9161.84375</v>
      </c>
      <c r="N13" s="83">
        <f>data0!N13/r_2*(2^res-1)</f>
        <v>9049.46875</v>
      </c>
      <c r="O13" s="83">
        <f>data0!O13/r_2*(2^res-1)</f>
        <v>9659.53125</v>
      </c>
      <c r="P13" s="83">
        <f>data0!P13/r_2*(2^res-1)</f>
        <v>9146.9999999999982</v>
      </c>
      <c r="Q13" s="83">
        <f>data0!Q13/r_2*(2^res-1)</f>
        <v>9025.6874999999982</v>
      </c>
      <c r="R13" s="83">
        <f>data0!R13/r_2*(2^res-1)</f>
        <v>9083.78125</v>
      </c>
      <c r="S13" s="83">
        <f>data0!S13/r_2*(2^res-1)</f>
        <v>8975.6874999999982</v>
      </c>
      <c r="T13" s="83">
        <f>data0!T13/r_2*(2^res-1)</f>
        <v>9288.75</v>
      </c>
      <c r="U13" s="83">
        <f>data0!U13/r_2*(2^res-1)</f>
        <v>9223.3125</v>
      </c>
      <c r="V13" s="83">
        <f>data0!V13/r_2*(2^res-1)</f>
        <v>8520.46875</v>
      </c>
      <c r="W13" s="83">
        <f>data0!W13/r_2*(2^res-1)</f>
        <v>9307.28125</v>
      </c>
      <c r="X13" s="83">
        <f>data0!X13/r_2*(2^res-1)</f>
        <v>9188.15625</v>
      </c>
      <c r="Y13" s="83">
        <f>data0!Y13/r_2*(2^res-1)</f>
        <v>9319.84375</v>
      </c>
      <c r="Z13" s="83">
        <f>data0!Z13/r_2*(2^res-1)</f>
        <v>9389.46875</v>
      </c>
      <c r="AA13" s="83">
        <f>data0!AA13/r_2*(2^res-1)</f>
        <v>9060.8125</v>
      </c>
      <c r="AB13" s="83">
        <f>data0!AB13/r_2*(2^res-1)</f>
        <v>9340.75</v>
      </c>
      <c r="AC13" s="83">
        <f>data0!AC13/r_2*(2^res-1)</f>
        <v>8700.375</v>
      </c>
      <c r="AD13" s="83">
        <f>data0!AD13/r_2*(2^res-1)</f>
        <v>9247.03125</v>
      </c>
      <c r="AE13" s="83">
        <f>data0!AE13/r_2*(2^res-1)</f>
        <v>9084.15625</v>
      </c>
      <c r="AF13" s="83">
        <f>data0!AF13/r_2*(2^res-1)</f>
        <v>8957.8125000000018</v>
      </c>
      <c r="AG13" s="103">
        <f>data0!AG13/r_2*(2^res-1)</f>
        <v>9055.5</v>
      </c>
    </row>
    <row r="14" spans="1:33">
      <c r="A14" s="102" t="str">
        <f>data0!A14</f>
        <v>MEDLOLEDIR</v>
      </c>
      <c r="B14" s="83">
        <f>data0!B14*(2^res-1)</f>
        <v>259.65625</v>
      </c>
      <c r="C14" s="83">
        <f>data0!C14*(2^res-1)</f>
        <v>264</v>
      </c>
      <c r="D14" s="83">
        <f>data0!D14*(2^res-1)</f>
        <v>264</v>
      </c>
      <c r="E14" s="83">
        <f>data0!E14*(2^res-1)</f>
        <v>278</v>
      </c>
      <c r="F14" s="83">
        <f>data0!F14*(2^res-1)</f>
        <v>262</v>
      </c>
      <c r="G14" s="83">
        <f>data0!G14*(2^res-1)</f>
        <v>248</v>
      </c>
      <c r="H14" s="83">
        <f>data0!H14*(2^res-1)</f>
        <v>272.6875</v>
      </c>
      <c r="I14" s="83">
        <f>data0!I14*(2^res-1)</f>
        <v>272</v>
      </c>
      <c r="J14" s="83">
        <f>data0!J14*(2^res-1)</f>
        <v>273</v>
      </c>
      <c r="K14" s="83">
        <f>data0!K14*(2^res-1)</f>
        <v>261</v>
      </c>
      <c r="L14" s="83">
        <f>data0!L14*(2^res-1)</f>
        <v>264</v>
      </c>
      <c r="M14" s="83">
        <f>data0!M14*(2^res-1)</f>
        <v>267</v>
      </c>
      <c r="N14" s="83">
        <f>data0!N14*(2^res-1)</f>
        <v>267</v>
      </c>
      <c r="O14" s="83">
        <f>data0!O14*(2^res-1)</f>
        <v>290</v>
      </c>
      <c r="P14" s="83">
        <f>data0!P14*(2^res-1)</f>
        <v>270</v>
      </c>
      <c r="Q14" s="83">
        <f>data0!Q14*(2^res-1)</f>
        <v>268</v>
      </c>
      <c r="R14" s="83">
        <f>data0!R14*(2^res-1)</f>
        <v>268</v>
      </c>
      <c r="S14" s="83">
        <f>data0!S14*(2^res-1)</f>
        <v>267</v>
      </c>
      <c r="T14" s="83">
        <f>data0!T14*(2^res-1)</f>
        <v>283</v>
      </c>
      <c r="U14" s="83">
        <f>data0!U14*(2^res-1)</f>
        <v>272</v>
      </c>
      <c r="V14" s="83">
        <f>data0!V14*(2^res-1)</f>
        <v>239</v>
      </c>
      <c r="W14" s="83">
        <f>data0!W14*(2^res-1)</f>
        <v>271</v>
      </c>
      <c r="X14" s="83">
        <f>data0!X14*(2^res-1)</f>
        <v>268</v>
      </c>
      <c r="Y14" s="83">
        <f>data0!Y14*(2^res-1)</f>
        <v>258</v>
      </c>
      <c r="Z14" s="83">
        <f>data0!Z14*(2^res-1)</f>
        <v>273</v>
      </c>
      <c r="AA14" s="83">
        <f>data0!AA14*(2^res-1)</f>
        <v>261.875</v>
      </c>
      <c r="AB14" s="83">
        <f>data0!AB14*(2^res-1)</f>
        <v>251</v>
      </c>
      <c r="AC14" s="83">
        <f>data0!AC14*(2^res-1)</f>
        <v>257</v>
      </c>
      <c r="AD14" s="83">
        <f>data0!AD14*(2^res-1)</f>
        <v>271.46875</v>
      </c>
      <c r="AE14" s="83">
        <f>data0!AE14*(2^res-1)</f>
        <v>265</v>
      </c>
      <c r="AF14" s="83">
        <f>data0!AF14*(2^res-1)</f>
        <v>262</v>
      </c>
      <c r="AG14" s="103">
        <f>data0!AG14*(2^res-1)</f>
        <v>270</v>
      </c>
    </row>
    <row r="15" spans="1:33">
      <c r="A15" s="102" t="str">
        <f>data0!A15</f>
        <v>MEDLOQTHIR</v>
      </c>
      <c r="B15" s="83">
        <f>data0!B15*(2^res-1)</f>
        <v>3544.40625</v>
      </c>
      <c r="C15" s="83">
        <f>data0!C15*(2^res-1)</f>
        <v>3605.5625</v>
      </c>
      <c r="D15" s="83">
        <f>data0!D15*(2^res-1)</f>
        <v>3596.25</v>
      </c>
      <c r="E15" s="83">
        <f>data0!E15*(2^res-1)</f>
        <v>3772.84375</v>
      </c>
      <c r="F15" s="83">
        <f>data0!F15*(2^res-1)</f>
        <v>3643.75</v>
      </c>
      <c r="G15" s="83">
        <f>data0!G15*(2^res-1)</f>
        <v>3533.6875</v>
      </c>
      <c r="H15" s="83">
        <f>data0!H15*(2^res-1)</f>
        <v>3774.15625</v>
      </c>
      <c r="I15" s="83">
        <f>data0!I15*(2^res-1)</f>
        <v>3738.5</v>
      </c>
      <c r="J15" s="83">
        <f>data0!J15*(2^res-1)</f>
        <v>3742.90625</v>
      </c>
      <c r="K15" s="83">
        <f>data0!K15*(2^res-1)</f>
        <v>3616.46875</v>
      </c>
      <c r="L15" s="83">
        <f>data0!L15*(2^res-1)</f>
        <v>3659.4375</v>
      </c>
      <c r="M15" s="83">
        <f>data0!M15*(2^res-1)</f>
        <v>3704.84375</v>
      </c>
      <c r="N15" s="83">
        <f>data0!N15*(2^res-1)</f>
        <v>3689.8125</v>
      </c>
      <c r="O15" s="83">
        <f>data0!O15*(2^res-1)</f>
        <v>3949</v>
      </c>
      <c r="P15" s="83">
        <f>data0!P15*(2^res-1)</f>
        <v>3689.84375</v>
      </c>
      <c r="Q15" s="83">
        <f>data0!Q15*(2^res-1)</f>
        <v>3637.25</v>
      </c>
      <c r="R15" s="83">
        <f>data0!R15*(2^res-1)</f>
        <v>3706.3125</v>
      </c>
      <c r="S15" s="83">
        <f>data0!S15*(2^res-1)</f>
        <v>3699.15625</v>
      </c>
      <c r="T15" s="83">
        <f>data0!T15*(2^res-1)</f>
        <v>3862</v>
      </c>
      <c r="U15" s="83">
        <f>data0!U15*(2^res-1)</f>
        <v>3743.96875</v>
      </c>
      <c r="V15" s="83">
        <f>data0!V15*(2^res-1)</f>
        <v>3474</v>
      </c>
      <c r="W15" s="83">
        <f>data0!W15*(2^res-1)</f>
        <v>3688.65625</v>
      </c>
      <c r="X15" s="83">
        <f>data0!X15*(2^res-1)</f>
        <v>3581.28125</v>
      </c>
      <c r="Y15" s="83">
        <f>data0!Y15*(2^res-1)</f>
        <v>3679.53125</v>
      </c>
      <c r="Z15" s="83">
        <f>data0!Z15*(2^res-1)</f>
        <v>3682.15625</v>
      </c>
      <c r="AA15" s="83">
        <f>data0!AA15*(2^res-1)</f>
        <v>3551.625</v>
      </c>
      <c r="AB15" s="83">
        <f>data0!AB15*(2^res-1)</f>
        <v>3327</v>
      </c>
      <c r="AC15" s="83">
        <f>data0!AC15*(2^res-1)</f>
        <v>3602.8125</v>
      </c>
      <c r="AD15" s="83">
        <f>data0!AD15*(2^res-1)</f>
        <v>3689</v>
      </c>
      <c r="AE15" s="83">
        <f>data0!AE15*(2^res-1)</f>
        <v>3688.875</v>
      </c>
      <c r="AF15" s="83">
        <f>data0!AF15*(2^res-1)</f>
        <v>3693.9375</v>
      </c>
      <c r="AG15" s="103">
        <f>data0!AG15*(2^res-1)</f>
        <v>3695</v>
      </c>
    </row>
    <row r="16" spans="1:33">
      <c r="A16" s="104" t="str">
        <f>data0!A16</f>
        <v>MEDLOQTHVis</v>
      </c>
      <c r="B16" s="47">
        <f>data0!B16/r_2*(2^res-1)</f>
        <v>6543.375</v>
      </c>
      <c r="C16" s="47">
        <f>data0!C16/r_2*(2^res-1)</f>
        <v>7520.3125000000009</v>
      </c>
      <c r="D16" s="47">
        <f>data0!D16/r_2*(2^res-1)</f>
        <v>8189.6875</v>
      </c>
      <c r="E16" s="47">
        <f>data0!E16/r_2*(2^res-1)</f>
        <v>9252.6874999999982</v>
      </c>
      <c r="F16" s="47">
        <f>data0!F16/r_2*(2^res-1)</f>
        <v>8324.6875</v>
      </c>
      <c r="G16" s="47">
        <f>data0!G16/r_2*(2^res-1)</f>
        <v>6842.375</v>
      </c>
      <c r="H16" s="47">
        <f>data0!H16/r_2*(2^res-1)</f>
        <v>8987.5937499999982</v>
      </c>
      <c r="I16" s="47">
        <f>data0!I16/r_2*(2^res-1)</f>
        <v>8883.84375</v>
      </c>
      <c r="J16" s="47">
        <f>data0!J16/r_2*(2^res-1)</f>
        <v>8995.15625</v>
      </c>
      <c r="K16" s="47">
        <f>data0!K16/r_2*(2^res-1)</f>
        <v>8792.28125</v>
      </c>
      <c r="L16" s="47">
        <f>data0!L16/r_2*(2^res-1)</f>
        <v>9156.125</v>
      </c>
      <c r="M16" s="47">
        <f>data0!M16/r_2*(2^res-1)</f>
        <v>8689.53125</v>
      </c>
      <c r="N16" s="47">
        <f>data0!N16/r_2*(2^res-1)</f>
        <v>8514.2499999999982</v>
      </c>
      <c r="O16" s="47">
        <f>data0!O16/r_2*(2^res-1)</f>
        <v>9309.125</v>
      </c>
      <c r="P16" s="47">
        <f>data0!P16/r_2*(2^res-1)</f>
        <v>8169</v>
      </c>
      <c r="Q16" s="47">
        <f>data0!Q16/r_2*(2^res-1)</f>
        <v>8605.1875</v>
      </c>
      <c r="R16" s="47">
        <f>data0!R16/r_2*(2^res-1)</f>
        <v>8390.0625000000018</v>
      </c>
      <c r="S16" s="47">
        <f>data0!S16/r_2*(2^res-1)</f>
        <v>9099.9687499999982</v>
      </c>
      <c r="T16" s="47">
        <f>data0!T16/r_2*(2^res-1)</f>
        <v>8883.90625</v>
      </c>
      <c r="U16" s="47">
        <f>data0!U16/r_2*(2^res-1)</f>
        <v>8558.5937499999982</v>
      </c>
      <c r="V16" s="47">
        <f>data0!V16/r_2*(2^res-1)</f>
        <v>7828.15625</v>
      </c>
      <c r="W16" s="47">
        <f>data0!W16/r_2*(2^res-1)</f>
        <v>8772.0312500000018</v>
      </c>
      <c r="X16" s="47">
        <f>data0!X16/r_2*(2^res-1)</f>
        <v>8943.96875</v>
      </c>
      <c r="Y16" s="47">
        <f>data0!Y16/r_2*(2^res-1)</f>
        <v>8685.09375</v>
      </c>
      <c r="Z16" s="47">
        <f>data0!Z16/r_2*(2^res-1)</f>
        <v>9081.3437499999982</v>
      </c>
      <c r="AA16" s="47">
        <f>data0!AA16/r_2*(2^res-1)</f>
        <v>10345.78125</v>
      </c>
      <c r="AB16" s="47">
        <f>data0!AB16/r_2*(2^res-1)</f>
        <v>10034.562499999998</v>
      </c>
      <c r="AC16" s="47">
        <f>data0!AC16/r_2*(2^res-1)</f>
        <v>8667.9375</v>
      </c>
      <c r="AD16" s="47">
        <f>data0!AD16/r_2*(2^res-1)</f>
        <v>8747.3125</v>
      </c>
      <c r="AE16" s="47">
        <f>data0!AE16/r_2*(2^res-1)</f>
        <v>8818.96875</v>
      </c>
      <c r="AF16" s="47">
        <f>data0!AF16/r_2*(2^res-1)</f>
        <v>8173.375</v>
      </c>
      <c r="AG16" s="105">
        <f>data0!AG16/r_2*(2^res-1)</f>
        <v>8259.65625</v>
      </c>
    </row>
    <row r="17" spans="1:33">
      <c r="A17" s="100" t="str">
        <f>data0!A17</f>
        <v>LOQTHVis</v>
      </c>
      <c r="B17" s="38">
        <f>data0!B17/r_3*(2^res-1)</f>
        <v>31625.843749999996</v>
      </c>
      <c r="C17" s="38">
        <f>data0!C17/r_3*(2^res-1)</f>
        <v>35195</v>
      </c>
      <c r="D17" s="38">
        <f>data0!D17/r_3*(2^res-1)</f>
        <v>34462.656249999993</v>
      </c>
      <c r="E17" s="38">
        <f>data0!E17/r_3*(2^res-1)</f>
        <v>35225.9375</v>
      </c>
      <c r="F17" s="38">
        <f>data0!F17/r_3*(2^res-1)</f>
        <v>34150.96875</v>
      </c>
      <c r="G17" s="38">
        <f>data0!G17/r_3*(2^res-1)</f>
        <v>32497.1875</v>
      </c>
      <c r="H17" s="38">
        <f>data0!H17/r_3*(2^res-1)</f>
        <v>34568.71875</v>
      </c>
      <c r="I17" s="38">
        <f>data0!I17/r_3*(2^res-1)</f>
        <v>36317.124999999993</v>
      </c>
      <c r="J17" s="38">
        <f>data0!J17/r_3*(2^res-1)</f>
        <v>34314.562499999993</v>
      </c>
      <c r="K17" s="38">
        <f>data0!K17/r_3*(2^res-1)</f>
        <v>34550.749999999993</v>
      </c>
      <c r="L17" s="38">
        <f>data0!L17/r_3*(2^res-1)</f>
        <v>35650.71875</v>
      </c>
      <c r="M17" s="38">
        <f>data0!M17/r_3*(2^res-1)</f>
        <v>32676.21875</v>
      </c>
      <c r="N17" s="38">
        <f>data0!N17/r_3*(2^res-1)</f>
        <v>34485.5625</v>
      </c>
      <c r="O17" s="38">
        <f>data0!O17/r_3*(2^res-1)</f>
        <v>40766.624999999993</v>
      </c>
      <c r="P17" s="38">
        <f>data0!P17/r_3*(2^res-1)</f>
        <v>19883.0625</v>
      </c>
      <c r="Q17" s="38">
        <f>data0!Q17/r_3*(2^res-1)</f>
        <v>33662.375</v>
      </c>
      <c r="R17" s="38">
        <f>data0!R17/r_3*(2^res-1)</f>
        <v>34525.5625</v>
      </c>
      <c r="S17" s="38">
        <f>data0!S17/r_3*(2^res-1)</f>
        <v>34421.90625</v>
      </c>
      <c r="T17" s="38">
        <f>data0!T17/r_3*(2^res-1)</f>
        <v>35813.25</v>
      </c>
      <c r="U17" s="38">
        <f>data0!U17/r_3*(2^res-1)</f>
        <v>37000.25</v>
      </c>
      <c r="V17" s="38">
        <f>data0!V17/r_3*(2^res-1)</f>
        <v>33371.40625</v>
      </c>
      <c r="W17" s="38">
        <f>data0!W17/r_3*(2^res-1)</f>
        <v>35128</v>
      </c>
      <c r="X17" s="38">
        <f>data0!X17/r_3*(2^res-1)</f>
        <v>34784.3125</v>
      </c>
      <c r="Y17" s="38">
        <f>data0!Y17/r_3*(2^res-1)</f>
        <v>34340.53125</v>
      </c>
      <c r="Z17" s="38">
        <f>data0!Z17/r_3*(2^res-1)</f>
        <v>35507.5</v>
      </c>
      <c r="AA17" s="38">
        <f>data0!AA17/r_3*(2^res-1)</f>
        <v>32277.062499999996</v>
      </c>
      <c r="AB17" s="38">
        <f>data0!AB17/r_3*(2^res-1)</f>
        <v>34334.21875</v>
      </c>
      <c r="AC17" s="38">
        <f>data0!AC17/r_3*(2^res-1)</f>
        <v>32796.59375</v>
      </c>
      <c r="AD17" s="38">
        <f>data0!AD17/r_3*(2^res-1)</f>
        <v>32353.687499999996</v>
      </c>
      <c r="AE17" s="38">
        <f>data0!AE17/r_3*(2^res-1)</f>
        <v>34227.125</v>
      </c>
      <c r="AF17" s="38">
        <f>data0!AF17/r_3*(2^res-1)</f>
        <v>29101.875</v>
      </c>
      <c r="AG17" s="101">
        <f>data0!AG17/r_3*(2^res-1)</f>
        <v>33765.21875</v>
      </c>
    </row>
    <row r="18" spans="1:33">
      <c r="A18" s="102" t="str">
        <f>data0!A18</f>
        <v>LOQTHIR</v>
      </c>
      <c r="B18" s="83">
        <f>data0!B18*(2^res-1)</f>
        <v>3546.96875</v>
      </c>
      <c r="C18" s="83">
        <f>data0!C18*(2^res-1)</f>
        <v>3606.625</v>
      </c>
      <c r="D18" s="83">
        <f>data0!D18*(2^res-1)</f>
        <v>3597.15625</v>
      </c>
      <c r="E18" s="83">
        <f>data0!E18*(2^res-1)</f>
        <v>3773.75</v>
      </c>
      <c r="F18" s="83">
        <f>data0!F18*(2^res-1)</f>
        <v>3643.1875</v>
      </c>
      <c r="G18" s="83">
        <f>data0!G18*(2^res-1)</f>
        <v>3535.15625</v>
      </c>
      <c r="H18" s="83">
        <f>data0!H18*(2^res-1)</f>
        <v>3775</v>
      </c>
      <c r="I18" s="83">
        <f>data0!I18*(2^res-1)</f>
        <v>3738</v>
      </c>
      <c r="J18" s="83">
        <f>data0!J18*(2^res-1)</f>
        <v>3743.875</v>
      </c>
      <c r="K18" s="83">
        <f>data0!K18*(2^res-1)</f>
        <v>3617.4375</v>
      </c>
      <c r="L18" s="83">
        <f>data0!L18*(2^res-1)</f>
        <v>3659.21875</v>
      </c>
      <c r="M18" s="83">
        <f>data0!M18*(2^res-1)</f>
        <v>3705.4375</v>
      </c>
      <c r="N18" s="83">
        <f>data0!N18*(2^res-1)</f>
        <v>3690</v>
      </c>
      <c r="O18" s="83">
        <f>data0!O18*(2^res-1)</f>
        <v>3950.90625</v>
      </c>
      <c r="P18" s="83">
        <f>data0!P18*(2^res-1)</f>
        <v>3691.28125</v>
      </c>
      <c r="Q18" s="83">
        <f>data0!Q18*(2^res-1)</f>
        <v>3638.09375</v>
      </c>
      <c r="R18" s="83">
        <f>data0!R18*(2^res-1)</f>
        <v>3707.25</v>
      </c>
      <c r="S18" s="83">
        <f>data0!S18*(2^res-1)</f>
        <v>3699.40625</v>
      </c>
      <c r="T18" s="83">
        <f>data0!T18*(2^res-1)</f>
        <v>3862.125</v>
      </c>
      <c r="U18" s="83">
        <f>data0!U18*(2^res-1)</f>
        <v>3744.78125</v>
      </c>
      <c r="V18" s="83">
        <f>data0!V18*(2^res-1)</f>
        <v>3473</v>
      </c>
      <c r="W18" s="83">
        <f>data0!W18*(2^res-1)</f>
        <v>3690</v>
      </c>
      <c r="X18" s="83">
        <f>data0!X18*(2^res-1)</f>
        <v>3581.625</v>
      </c>
      <c r="Y18" s="83">
        <f>data0!Y18*(2^res-1)</f>
        <v>3679.40625</v>
      </c>
      <c r="Z18" s="83">
        <f>data0!Z18*(2^res-1)</f>
        <v>3684.4375</v>
      </c>
      <c r="AA18" s="83">
        <f>data0!AA18*(2^res-1)</f>
        <v>3551.25</v>
      </c>
      <c r="AB18" s="83">
        <f>data0!AB18*(2^res-1)</f>
        <v>3327</v>
      </c>
      <c r="AC18" s="83">
        <f>data0!AC18*(2^res-1)</f>
        <v>3603.3125</v>
      </c>
      <c r="AD18" s="83">
        <f>data0!AD18*(2^res-1)</f>
        <v>3689.71875</v>
      </c>
      <c r="AE18" s="83">
        <f>data0!AE18*(2^res-1)</f>
        <v>3688.625</v>
      </c>
      <c r="AF18" s="83">
        <f>data0!AF18*(2^res-1)</f>
        <v>3694.3125</v>
      </c>
      <c r="AG18" s="103">
        <f>data0!AG18*(2^res-1)</f>
        <v>3695</v>
      </c>
    </row>
    <row r="19" spans="1:33">
      <c r="A19" s="102" t="str">
        <f>data0!A19</f>
        <v>LOLEDIR</v>
      </c>
      <c r="B19" s="83">
        <f>data0!B19*(2^res-1)</f>
        <v>260</v>
      </c>
      <c r="C19" s="83">
        <f>data0!C19*(2^res-1)</f>
        <v>265</v>
      </c>
      <c r="D19" s="83">
        <f>data0!D19*(2^res-1)</f>
        <v>265</v>
      </c>
      <c r="E19" s="83">
        <f>data0!E19*(2^res-1)</f>
        <v>279</v>
      </c>
      <c r="F19" s="83">
        <f>data0!F19*(2^res-1)</f>
        <v>263</v>
      </c>
      <c r="G19" s="83">
        <f>data0!G19*(2^res-1)</f>
        <v>248.6875</v>
      </c>
      <c r="H19" s="83">
        <f>data0!H19*(2^res-1)</f>
        <v>273</v>
      </c>
      <c r="I19" s="83">
        <f>data0!I19*(2^res-1)</f>
        <v>273</v>
      </c>
      <c r="J19" s="83">
        <f>data0!J19*(2^res-1)</f>
        <v>273.96875</v>
      </c>
      <c r="K19" s="83">
        <f>data0!K19*(2^res-1)</f>
        <v>262</v>
      </c>
      <c r="L19" s="83">
        <f>data0!L19*(2^res-1)</f>
        <v>264.15625</v>
      </c>
      <c r="M19" s="83">
        <f>data0!M19*(2^res-1)</f>
        <v>267.4375</v>
      </c>
      <c r="N19" s="83">
        <f>data0!N19*(2^res-1)</f>
        <v>267.8125</v>
      </c>
      <c r="O19" s="83">
        <f>data0!O19*(2^res-1)</f>
        <v>291</v>
      </c>
      <c r="P19" s="83">
        <f>data0!P19*(2^res-1)</f>
        <v>271</v>
      </c>
      <c r="Q19" s="83">
        <f>data0!Q19*(2^res-1)</f>
        <v>269</v>
      </c>
      <c r="R19" s="83">
        <f>data0!R19*(2^res-1)</f>
        <v>269</v>
      </c>
      <c r="S19" s="83">
        <f>data0!S19*(2^res-1)</f>
        <v>267.15625</v>
      </c>
      <c r="T19" s="83">
        <f>data0!T19*(2^res-1)</f>
        <v>284</v>
      </c>
      <c r="U19" s="83">
        <f>data0!U19*(2^res-1)</f>
        <v>273</v>
      </c>
      <c r="V19" s="83">
        <f>data0!V19*(2^res-1)</f>
        <v>239</v>
      </c>
      <c r="W19" s="83">
        <f>data0!W19*(2^res-1)</f>
        <v>272</v>
      </c>
      <c r="X19" s="83">
        <f>data0!X19*(2^res-1)</f>
        <v>268.59375</v>
      </c>
      <c r="Y19" s="83">
        <f>data0!Y19*(2^res-1)</f>
        <v>258</v>
      </c>
      <c r="Z19" s="83">
        <f>data0!Z19*(2^res-1)</f>
        <v>274</v>
      </c>
      <c r="AA19" s="83">
        <f>data0!AA19*(2^res-1)</f>
        <v>262</v>
      </c>
      <c r="AB19" s="83">
        <f>data0!AB19*(2^res-1)</f>
        <v>252</v>
      </c>
      <c r="AC19" s="83">
        <f>data0!AC19*(2^res-1)</f>
        <v>258</v>
      </c>
      <c r="AD19" s="83">
        <f>data0!AD19*(2^res-1)</f>
        <v>272</v>
      </c>
      <c r="AE19" s="83">
        <f>data0!AE19*(2^res-1)</f>
        <v>265</v>
      </c>
      <c r="AF19" s="83">
        <f>data0!AF19*(2^res-1)</f>
        <v>262</v>
      </c>
      <c r="AG19" s="103">
        <f>data0!AG19*(2^res-1)</f>
        <v>270.21875</v>
      </c>
    </row>
    <row r="20" spans="1:33">
      <c r="A20" s="102" t="str">
        <f>data0!A20</f>
        <v>LOLEDVis</v>
      </c>
      <c r="B20" s="83">
        <f>data0!B20/r_3*(2^res-1)</f>
        <v>34774.125</v>
      </c>
      <c r="C20" s="83">
        <f>data0!C20/r_3*(2^res-1)</f>
        <v>34970.90625</v>
      </c>
      <c r="D20" s="83">
        <f>data0!D20/r_3*(2^res-1)</f>
        <v>35500.6875</v>
      </c>
      <c r="E20" s="83">
        <f>data0!E20/r_3*(2^res-1)</f>
        <v>37181.78125</v>
      </c>
      <c r="F20" s="83">
        <f>data0!F20/r_3*(2^res-1)</f>
        <v>35221.125</v>
      </c>
      <c r="G20" s="83">
        <f>data0!G20/r_3*(2^res-1)</f>
        <v>34524.84375</v>
      </c>
      <c r="H20" s="83">
        <f>data0!H20/r_3*(2^res-1)</f>
        <v>36540.75</v>
      </c>
      <c r="I20" s="83">
        <f>data0!I20/r_3*(2^res-1)</f>
        <v>36594.749999999993</v>
      </c>
      <c r="J20" s="83">
        <f>data0!J20/r_3*(2^res-1)</f>
        <v>36137.78125</v>
      </c>
      <c r="K20" s="83">
        <f>data0!K20/r_3*(2^res-1)</f>
        <v>35733.593750000007</v>
      </c>
      <c r="L20" s="83">
        <f>data0!L20/r_3*(2^res-1)</f>
        <v>36745</v>
      </c>
      <c r="M20" s="83">
        <f>data0!M20/r_3*(2^res-1)</f>
        <v>35874.499999999993</v>
      </c>
      <c r="N20" s="83">
        <f>data0!N20/r_3*(2^res-1)</f>
        <v>36015.843749999993</v>
      </c>
      <c r="O20" s="83">
        <f>data0!O20/r_3*(2^res-1)</f>
        <v>37473.3125</v>
      </c>
      <c r="P20" s="83">
        <f>data0!P20/r_3*(2^res-1)</f>
        <v>33336.8125</v>
      </c>
      <c r="Q20" s="83">
        <f>data0!Q20/r_3*(2^res-1)</f>
        <v>35778.5625</v>
      </c>
      <c r="R20" s="83">
        <f>data0!R20/r_3*(2^res-1)</f>
        <v>36104.1875</v>
      </c>
      <c r="S20" s="83">
        <f>data0!S20/r_3*(2^res-1)</f>
        <v>35298.5625</v>
      </c>
      <c r="T20" s="83">
        <f>data0!T20/r_3*(2^res-1)</f>
        <v>36784.125</v>
      </c>
      <c r="U20" s="83">
        <f>data0!U20/r_3*(2^res-1)</f>
        <v>36472.15625</v>
      </c>
      <c r="V20" s="83">
        <f>data0!V20/r_3*(2^res-1)</f>
        <v>34269.75</v>
      </c>
      <c r="W20" s="83">
        <f>data0!W20/r_3*(2^res-1)</f>
        <v>36588.875</v>
      </c>
      <c r="X20" s="83">
        <f>data0!X20/r_3*(2^res-1)</f>
        <v>36254.96875</v>
      </c>
      <c r="Y20" s="83">
        <f>data0!Y20/r_3*(2^res-1)</f>
        <v>36558.0625</v>
      </c>
      <c r="Z20" s="83">
        <f>data0!Z20/r_3*(2^res-1)</f>
        <v>37201.625</v>
      </c>
      <c r="AA20" s="83">
        <f>data0!AA20/r_3*(2^res-1)</f>
        <v>35276.125000000007</v>
      </c>
      <c r="AB20" s="83">
        <f>data0!AB20/r_3*(2^res-1)</f>
        <v>36522.499999999993</v>
      </c>
      <c r="AC20" s="83">
        <f>data0!AC20/r_3*(2^res-1)</f>
        <v>34183.5</v>
      </c>
      <c r="AD20" s="83">
        <f>data0!AD20/r_3*(2^res-1)</f>
        <v>35801.40625</v>
      </c>
      <c r="AE20" s="83">
        <f>data0!AE20/r_3*(2^res-1)</f>
        <v>35968.999999999993</v>
      </c>
      <c r="AF20" s="83">
        <f>data0!AF20/r_3*(2^res-1)</f>
        <v>34509</v>
      </c>
      <c r="AG20" s="103">
        <f>data0!AG20/r_3*(2^res-1)</f>
        <v>35804.125000000007</v>
      </c>
    </row>
    <row r="21" spans="1:33">
      <c r="A21" s="104" t="str">
        <f>data0!A21</f>
        <v>LOLED850</v>
      </c>
      <c r="B21" s="47">
        <f>data0!B21/r_3*(2^res-1)</f>
        <v>34761.09375</v>
      </c>
      <c r="C21" s="47">
        <f>data0!C21/r_3*(2^res-1)</f>
        <v>34957.21875</v>
      </c>
      <c r="D21" s="47">
        <f>data0!D21/r_3*(2^res-1)</f>
        <v>35485.15625</v>
      </c>
      <c r="E21" s="47">
        <f>data0!E21/r_3*(2^res-1)</f>
        <v>37165.28125</v>
      </c>
      <c r="F21" s="47">
        <f>data0!F21/r_3*(2^res-1)</f>
        <v>35203.0625</v>
      </c>
      <c r="G21" s="47">
        <f>data0!G21/r_3*(2^res-1)</f>
        <v>34508.53125</v>
      </c>
      <c r="H21" s="47">
        <f>data0!H21/r_3*(2^res-1)</f>
        <v>36525.71875</v>
      </c>
      <c r="I21" s="47">
        <f>data0!I21/r_3*(2^res-1)</f>
        <v>36578.375</v>
      </c>
      <c r="J21" s="47">
        <f>data0!J21/r_3*(2^res-1)</f>
        <v>36120.21875</v>
      </c>
      <c r="K21" s="47">
        <f>data0!K21/r_3*(2^res-1)</f>
        <v>35720.375000000007</v>
      </c>
      <c r="L21" s="47">
        <f>data0!L21/r_3*(2^res-1)</f>
        <v>36728.15625</v>
      </c>
      <c r="M21" s="47">
        <f>data0!M21/r_3*(2^res-1)</f>
        <v>35858.562499999993</v>
      </c>
      <c r="N21" s="47">
        <f>data0!N21/r_3*(2^res-1)</f>
        <v>35997.374999999993</v>
      </c>
      <c r="O21" s="47">
        <f>data0!O21/r_3*(2^res-1)</f>
        <v>37453.96875</v>
      </c>
      <c r="P21" s="47">
        <f>data0!P21/r_3*(2^res-1)</f>
        <v>33330.0625</v>
      </c>
      <c r="Q21" s="47">
        <f>data0!Q21/r_3*(2^res-1)</f>
        <v>35760.125000000007</v>
      </c>
      <c r="R21" s="47">
        <f>data0!R21/r_3*(2^res-1)</f>
        <v>36086.9375</v>
      </c>
      <c r="S21" s="47">
        <f>data0!S21/r_3*(2^res-1)</f>
        <v>35280.5625</v>
      </c>
      <c r="T21" s="47">
        <f>data0!T21/r_3*(2^res-1)</f>
        <v>36771.125</v>
      </c>
      <c r="U21" s="47">
        <f>data0!U21/r_3*(2^res-1)</f>
        <v>36454.21875</v>
      </c>
      <c r="V21" s="47">
        <f>data0!V21/r_3*(2^res-1)</f>
        <v>34255</v>
      </c>
      <c r="W21" s="47">
        <f>data0!W21/r_3*(2^res-1)</f>
        <v>36571.65625</v>
      </c>
      <c r="X21" s="47">
        <f>data0!X21/r_3*(2^res-1)</f>
        <v>36237.71875</v>
      </c>
      <c r="Y21" s="47">
        <f>data0!Y21/r_3*(2^res-1)</f>
        <v>36541.875</v>
      </c>
      <c r="Z21" s="47">
        <f>data0!Z21/r_3*(2^res-1)</f>
        <v>37182.781250000007</v>
      </c>
      <c r="AA21" s="47">
        <f>data0!AA21/r_3*(2^res-1)</f>
        <v>35258.15625</v>
      </c>
      <c r="AB21" s="47">
        <f>data0!AB21/r_3*(2^res-1)</f>
        <v>36505.343749999993</v>
      </c>
      <c r="AC21" s="47">
        <f>data0!AC21/r_3*(2^res-1)</f>
        <v>34165.468749999993</v>
      </c>
      <c r="AD21" s="47">
        <f>data0!AD21/r_3*(2^res-1)</f>
        <v>35787.40625</v>
      </c>
      <c r="AE21" s="47">
        <f>data0!AE21/r_3*(2^res-1)</f>
        <v>35949.65625</v>
      </c>
      <c r="AF21" s="47">
        <f>data0!AF21/r_3*(2^res-1)</f>
        <v>34495</v>
      </c>
      <c r="AG21" s="105">
        <f>data0!AG21/r_3*(2^res-1)</f>
        <v>35788.875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Summary</vt:lpstr>
      <vt:lpstr>Calculations</vt:lpstr>
      <vt:lpstr>Calculations (2)</vt:lpstr>
      <vt:lpstr>data0</vt:lpstr>
      <vt:lpstr>count0</vt:lpstr>
      <vt:lpstr>'Calculations (2)'!count</vt:lpstr>
      <vt:lpstr>count</vt:lpstr>
      <vt:lpstr>'Calculations (2)'!K_0</vt:lpstr>
      <vt:lpstr>K_0</vt:lpstr>
      <vt:lpstr>'Calculations (2)'!K_1</vt:lpstr>
      <vt:lpstr>K_1</vt:lpstr>
      <vt:lpstr>'Calculations (2)'!k0</vt:lpstr>
      <vt:lpstr>k0</vt:lpstr>
      <vt:lpstr>Lux</vt:lpstr>
      <vt:lpstr>'Calculations (2)'!maxComp</vt:lpstr>
      <vt:lpstr>maxComp</vt:lpstr>
      <vt:lpstr>minComp</vt:lpstr>
      <vt:lpstr>data0!Print_Area</vt:lpstr>
      <vt:lpstr>Summary!Print_Area</vt:lpstr>
      <vt:lpstr>r_0</vt:lpstr>
      <vt:lpstr>r_1</vt:lpstr>
      <vt:lpstr>r_2</vt:lpstr>
      <vt:lpstr>r_3</vt:lpstr>
      <vt:lpstr>r0</vt:lpstr>
      <vt:lpstr>res</vt:lpstr>
      <vt:lpstr>v_0</vt:lpstr>
      <vt:lpstr>v_1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2013-04-22T23:18:55Z</dcterms:modified>
</cp:coreProperties>
</file>