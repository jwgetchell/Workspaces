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defaultThemeVersion="124226"/>
  <bookViews>
    <workbookView xWindow="105" yWindow="45" windowWidth="18840" windowHeight="12030" tabRatio="682"/>
  </bookViews>
  <sheets>
    <sheet name="Summary" sheetId="2" r:id="rId1"/>
    <sheet name="Calculations" sheetId="4" r:id="rId2"/>
    <sheet name="data0" sheetId="3" r:id="rId3"/>
  </sheets>
  <definedNames>
    <definedName name="_xlnm.Print_Area" localSheetId="2">data0!$A$1:$AO$14</definedName>
    <definedName name="_xlnm.Print_Area" localSheetId="0">Summary!$A$1:$G$6</definedName>
  </definedNames>
  <calcPr calcId="125725"/>
</workbook>
</file>

<file path=xl/calcChain.xml><?xml version="1.0" encoding="utf-8"?>
<calcChain xmlns="http://schemas.openxmlformats.org/spreadsheetml/2006/main">
  <c r="J24" i="4"/>
  <c r="C14"/>
  <c r="P79"/>
  <c r="O79"/>
  <c r="N79"/>
  <c r="M79"/>
  <c r="L79"/>
  <c r="K79"/>
  <c r="J79"/>
  <c r="P78"/>
  <c r="O78"/>
  <c r="N78"/>
  <c r="M78"/>
  <c r="L78"/>
  <c r="K78"/>
  <c r="J78"/>
  <c r="P77"/>
  <c r="O77"/>
  <c r="N77"/>
  <c r="M77"/>
  <c r="L77"/>
  <c r="K77"/>
  <c r="J77"/>
  <c r="P76"/>
  <c r="O76"/>
  <c r="N76"/>
  <c r="M76"/>
  <c r="L76"/>
  <c r="K76"/>
  <c r="J76"/>
  <c r="P75"/>
  <c r="O75"/>
  <c r="N75"/>
  <c r="M75"/>
  <c r="L75"/>
  <c r="K75"/>
  <c r="J75"/>
  <c r="P74"/>
  <c r="O74"/>
  <c r="N74"/>
  <c r="M74"/>
  <c r="L74"/>
  <c r="K74"/>
  <c r="J74"/>
  <c r="P73"/>
  <c r="O73"/>
  <c r="N73"/>
  <c r="M73"/>
  <c r="L73"/>
  <c r="K73"/>
  <c r="J73"/>
  <c r="P72"/>
  <c r="O72"/>
  <c r="N72"/>
  <c r="M72"/>
  <c r="L72"/>
  <c r="K72"/>
  <c r="J72"/>
  <c r="P71"/>
  <c r="O71"/>
  <c r="N71"/>
  <c r="M71"/>
  <c r="L71"/>
  <c r="K71"/>
  <c r="J71"/>
  <c r="P70"/>
  <c r="O70"/>
  <c r="N70"/>
  <c r="M70"/>
  <c r="L70"/>
  <c r="K70"/>
  <c r="J70"/>
  <c r="P69"/>
  <c r="O69"/>
  <c r="N69"/>
  <c r="M69"/>
  <c r="L69"/>
  <c r="K69"/>
  <c r="J69"/>
  <c r="P68"/>
  <c r="O68"/>
  <c r="N68"/>
  <c r="M68"/>
  <c r="L68"/>
  <c r="K68"/>
  <c r="J68"/>
  <c r="P67"/>
  <c r="O67"/>
  <c r="N67"/>
  <c r="M67"/>
  <c r="L67"/>
  <c r="K67"/>
  <c r="J67"/>
  <c r="P66"/>
  <c r="O66"/>
  <c r="N66"/>
  <c r="M66"/>
  <c r="L66"/>
  <c r="K66"/>
  <c r="J66"/>
  <c r="P65"/>
  <c r="O65"/>
  <c r="N65"/>
  <c r="M65"/>
  <c r="L65"/>
  <c r="K65"/>
  <c r="J65"/>
  <c r="P64"/>
  <c r="O64"/>
  <c r="N64"/>
  <c r="M64"/>
  <c r="L64"/>
  <c r="K64"/>
  <c r="J64"/>
  <c r="P63"/>
  <c r="O63"/>
  <c r="N63"/>
  <c r="M63"/>
  <c r="L63"/>
  <c r="K63"/>
  <c r="J63"/>
  <c r="P62"/>
  <c r="O62"/>
  <c r="N62"/>
  <c r="M62"/>
  <c r="L62"/>
  <c r="K62"/>
  <c r="J62"/>
  <c r="P61"/>
  <c r="O61"/>
  <c r="N61"/>
  <c r="M61"/>
  <c r="L61"/>
  <c r="K61"/>
  <c r="J61"/>
  <c r="P60"/>
  <c r="O60"/>
  <c r="N60"/>
  <c r="M60"/>
  <c r="L60"/>
  <c r="K60"/>
  <c r="J60"/>
  <c r="P59"/>
  <c r="O59"/>
  <c r="N59"/>
  <c r="M59"/>
  <c r="L59"/>
  <c r="K59"/>
  <c r="J59"/>
  <c r="P58"/>
  <c r="O58"/>
  <c r="N58"/>
  <c r="M58"/>
  <c r="L58"/>
  <c r="K58"/>
  <c r="J58"/>
  <c r="P57"/>
  <c r="O57"/>
  <c r="N57"/>
  <c r="M57"/>
  <c r="L57"/>
  <c r="K57"/>
  <c r="J57"/>
  <c r="P56"/>
  <c r="O56"/>
  <c r="N56"/>
  <c r="M56"/>
  <c r="L56"/>
  <c r="K56"/>
  <c r="J56"/>
  <c r="P55"/>
  <c r="P85" s="1"/>
  <c r="P86" s="1"/>
  <c r="O55"/>
  <c r="O85" s="1"/>
  <c r="O86" s="1"/>
  <c r="N55"/>
  <c r="N85" s="1"/>
  <c r="N86" s="1"/>
  <c r="M55"/>
  <c r="M85" s="1"/>
  <c r="M86" s="1"/>
  <c r="L55"/>
  <c r="L85" s="1"/>
  <c r="L86" s="1"/>
  <c r="K55"/>
  <c r="K85" s="1"/>
  <c r="K86" s="1"/>
  <c r="J55"/>
  <c r="J85" s="1"/>
  <c r="J86" s="1"/>
  <c r="P54"/>
  <c r="P83" s="1"/>
  <c r="P84" s="1"/>
  <c r="O54"/>
  <c r="O83" s="1"/>
  <c r="O84" s="1"/>
  <c r="N54"/>
  <c r="N83" s="1"/>
  <c r="N84" s="1"/>
  <c r="M54"/>
  <c r="M83" s="1"/>
  <c r="M84" s="1"/>
  <c r="L54"/>
  <c r="L83" s="1"/>
  <c r="L84" s="1"/>
  <c r="K54"/>
  <c r="K83" s="1"/>
  <c r="K84" s="1"/>
  <c r="J54"/>
  <c r="J83" s="1"/>
  <c r="J84" s="1"/>
  <c r="P53"/>
  <c r="O53"/>
  <c r="N53"/>
  <c r="M53"/>
  <c r="L53"/>
  <c r="K53"/>
  <c r="J53"/>
  <c r="J81" s="1"/>
  <c r="J82" s="1"/>
  <c r="P52"/>
  <c r="O52"/>
  <c r="N52"/>
  <c r="M52"/>
  <c r="L52"/>
  <c r="K52"/>
  <c r="J52"/>
  <c r="D79"/>
  <c r="D78"/>
  <c r="D75"/>
  <c r="D74"/>
  <c r="D71"/>
  <c r="D70"/>
  <c r="D67"/>
  <c r="D66"/>
  <c r="D63"/>
  <c r="D62"/>
  <c r="D59"/>
  <c r="D58"/>
  <c r="D57"/>
  <c r="D61" s="1"/>
  <c r="D65" s="1"/>
  <c r="D69" s="1"/>
  <c r="D73" s="1"/>
  <c r="D77" s="1"/>
  <c r="D33" i="3"/>
  <c r="D32"/>
  <c r="D31"/>
  <c r="D29"/>
  <c r="D28"/>
  <c r="D27"/>
  <c r="D25"/>
  <c r="D24"/>
  <c r="D23"/>
  <c r="D21"/>
  <c r="D20"/>
  <c r="D19"/>
  <c r="D17"/>
  <c r="D16"/>
  <c r="D15"/>
  <c r="D13"/>
  <c r="D12"/>
  <c r="D11"/>
  <c r="D9"/>
  <c r="D8"/>
  <c r="D7"/>
  <c r="C85" i="4"/>
  <c r="C83"/>
  <c r="C81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85" s="1"/>
  <c r="H86" s="1"/>
  <c r="H54"/>
  <c r="H83" s="1"/>
  <c r="H84" s="1"/>
  <c r="H53"/>
  <c r="H81" s="1"/>
  <c r="H82" s="1"/>
  <c r="H52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83" s="1"/>
  <c r="G84" s="1"/>
  <c r="G53"/>
  <c r="G81" s="1"/>
  <c r="G82" s="1"/>
  <c r="G52"/>
  <c r="M82" l="1"/>
  <c r="K81"/>
  <c r="K82" s="1"/>
  <c r="M81"/>
  <c r="O81"/>
  <c r="O82" s="1"/>
  <c r="N82"/>
  <c r="L81"/>
  <c r="L82" s="1"/>
  <c r="N81"/>
  <c r="P81"/>
  <c r="P82" s="1"/>
  <c r="G85"/>
  <c r="G86" s="1"/>
  <c r="D84"/>
  <c r="D86" s="1"/>
  <c r="D83"/>
  <c r="D85" s="1"/>
  <c r="C6" i="2"/>
  <c r="C8" s="1"/>
  <c r="C5"/>
  <c r="C7" s="1"/>
  <c r="G4"/>
  <c r="G5" s="1"/>
  <c r="G6" s="1"/>
  <c r="G7" s="1"/>
  <c r="G8" s="1"/>
  <c r="A4"/>
  <c r="A5" s="1"/>
  <c r="A6" s="1"/>
  <c r="A7" s="1"/>
  <c r="A8" s="1"/>
  <c r="U14" i="4"/>
  <c r="U15" s="1"/>
  <c r="U16" s="1"/>
  <c r="U17" s="1"/>
  <c r="U18" s="1"/>
  <c r="Q16"/>
  <c r="Q18" s="1"/>
  <c r="Q15"/>
  <c r="Q17" s="1"/>
  <c r="O14"/>
  <c r="O15" s="1"/>
  <c r="O16" s="1"/>
  <c r="O17" s="1"/>
  <c r="O18" s="1"/>
  <c r="C30" i="2"/>
  <c r="P24" i="4"/>
  <c r="Q24" s="1"/>
  <c r="R24" s="1"/>
  <c r="S24" s="1"/>
  <c r="T24" s="1"/>
  <c r="U24" s="1"/>
  <c r="V24" s="1"/>
  <c r="W24" s="1"/>
  <c r="X24" s="1"/>
  <c r="O23"/>
  <c r="P2"/>
  <c r="Q2" s="1"/>
  <c r="R2" s="1"/>
  <c r="S2" s="1"/>
  <c r="T2" s="1"/>
  <c r="U2" s="1"/>
  <c r="V2" s="1"/>
  <c r="W2" s="1"/>
  <c r="X2" s="1"/>
  <c r="O1"/>
  <c r="I35"/>
  <c r="I23"/>
  <c r="E81" l="1"/>
  <c r="I14"/>
  <c r="L2"/>
  <c r="K2"/>
  <c r="J2"/>
  <c r="E72"/>
  <c r="F8" s="1"/>
  <c r="I8" s="1"/>
  <c r="E62"/>
  <c r="K5" s="1"/>
  <c r="E52"/>
  <c r="F3" s="1"/>
  <c r="I3" s="1"/>
  <c r="G51"/>
  <c r="D51"/>
  <c r="E58" l="1"/>
  <c r="E60"/>
  <c r="E63"/>
  <c r="E65"/>
  <c r="E68"/>
  <c r="E70"/>
  <c r="E73"/>
  <c r="E75"/>
  <c r="E78"/>
  <c r="E59"/>
  <c r="E64"/>
  <c r="E66"/>
  <c r="K6" s="1"/>
  <c r="E69"/>
  <c r="E71"/>
  <c r="L7" s="1"/>
  <c r="E74"/>
  <c r="E76"/>
  <c r="F9" s="1"/>
  <c r="I9" s="1"/>
  <c r="E79"/>
  <c r="E54"/>
  <c r="E56"/>
  <c r="F4" s="1"/>
  <c r="I4" s="1"/>
  <c r="E61"/>
  <c r="J5" s="1"/>
  <c r="J27" s="1"/>
  <c r="F61"/>
  <c r="K27"/>
  <c r="T27" s="1"/>
  <c r="T1"/>
  <c r="P15"/>
  <c r="B5" i="2" s="1"/>
  <c r="E53" i="4"/>
  <c r="E55"/>
  <c r="Q27"/>
  <c r="W7"/>
  <c r="I15"/>
  <c r="O3"/>
  <c r="I21"/>
  <c r="O9"/>
  <c r="Q23"/>
  <c r="P13"/>
  <c r="B3" i="2" s="1"/>
  <c r="Q1" i="4"/>
  <c r="P17"/>
  <c r="B7" i="2" s="1"/>
  <c r="W1" i="4"/>
  <c r="L24"/>
  <c r="W23" s="1"/>
  <c r="L14"/>
  <c r="L36" s="1"/>
  <c r="K24"/>
  <c r="T23" s="1"/>
  <c r="K14"/>
  <c r="K36" s="1"/>
  <c r="M36"/>
  <c r="J14"/>
  <c r="J36" s="1"/>
  <c r="E57"/>
  <c r="J4" s="1"/>
  <c r="J26" s="1"/>
  <c r="E67"/>
  <c r="L6" s="1"/>
  <c r="E77"/>
  <c r="J9" s="1"/>
  <c r="J31" s="1"/>
  <c r="Q31" s="1"/>
  <c r="F52"/>
  <c r="G3" s="1"/>
  <c r="F57"/>
  <c r="J16" s="1"/>
  <c r="F62"/>
  <c r="K17" s="1"/>
  <c r="F67"/>
  <c r="L18" s="1"/>
  <c r="F72"/>
  <c r="G8" s="1"/>
  <c r="F77"/>
  <c r="J21" s="1"/>
  <c r="F54"/>
  <c r="F55"/>
  <c r="F56"/>
  <c r="F58"/>
  <c r="F59"/>
  <c r="F60"/>
  <c r="F63"/>
  <c r="F64"/>
  <c r="F65"/>
  <c r="F66"/>
  <c r="F68"/>
  <c r="F69"/>
  <c r="F70"/>
  <c r="F71"/>
  <c r="F73"/>
  <c r="F74"/>
  <c r="F75"/>
  <c r="F76"/>
  <c r="F78"/>
  <c r="F79"/>
  <c r="M42"/>
  <c r="J43"/>
  <c r="M43"/>
  <c r="F53"/>
  <c r="F1" i="3"/>
  <c r="J37" i="4" l="1"/>
  <c r="J15"/>
  <c r="J42"/>
  <c r="P30" s="1"/>
  <c r="K21"/>
  <c r="K43" s="1"/>
  <c r="L41"/>
  <c r="L20"/>
  <c r="L42" s="1"/>
  <c r="J41"/>
  <c r="J20"/>
  <c r="L40"/>
  <c r="K19"/>
  <c r="J40"/>
  <c r="G7"/>
  <c r="L39"/>
  <c r="J18"/>
  <c r="J39"/>
  <c r="L17"/>
  <c r="K38"/>
  <c r="L16"/>
  <c r="M37"/>
  <c r="G4"/>
  <c r="K37"/>
  <c r="K15"/>
  <c r="W3"/>
  <c r="V3" s="1"/>
  <c r="L3"/>
  <c r="T3"/>
  <c r="U3" s="1"/>
  <c r="K3"/>
  <c r="K30"/>
  <c r="T30" s="1"/>
  <c r="S30" s="1"/>
  <c r="L9"/>
  <c r="T7"/>
  <c r="U7" s="1"/>
  <c r="K8"/>
  <c r="T6"/>
  <c r="U6" s="1"/>
  <c r="J7"/>
  <c r="T5"/>
  <c r="U5" s="1"/>
  <c r="F6"/>
  <c r="I6" s="1"/>
  <c r="L29"/>
  <c r="W29" s="1"/>
  <c r="X29" s="1"/>
  <c r="L8"/>
  <c r="L28"/>
  <c r="W28" s="1"/>
  <c r="X28" s="1"/>
  <c r="K7"/>
  <c r="L27"/>
  <c r="W27" s="1"/>
  <c r="X27" s="1"/>
  <c r="J6"/>
  <c r="J28" s="1"/>
  <c r="L26"/>
  <c r="W26" s="1"/>
  <c r="X26" s="1"/>
  <c r="F5"/>
  <c r="I5" s="1"/>
  <c r="K42"/>
  <c r="L21"/>
  <c r="L43" s="1"/>
  <c r="M41"/>
  <c r="G9"/>
  <c r="K41"/>
  <c r="K20"/>
  <c r="M40"/>
  <c r="L19"/>
  <c r="K40"/>
  <c r="J19"/>
  <c r="M39"/>
  <c r="K18"/>
  <c r="K39"/>
  <c r="G6"/>
  <c r="L38"/>
  <c r="G5"/>
  <c r="J38"/>
  <c r="K16"/>
  <c r="L37"/>
  <c r="V25" s="1"/>
  <c r="L15"/>
  <c r="O31"/>
  <c r="I31"/>
  <c r="O25"/>
  <c r="I25"/>
  <c r="Q3"/>
  <c r="P3" s="1"/>
  <c r="J3"/>
  <c r="J25" s="1"/>
  <c r="M38"/>
  <c r="J17"/>
  <c r="K26"/>
  <c r="T26" s="1"/>
  <c r="U26" s="1"/>
  <c r="L4"/>
  <c r="Q8"/>
  <c r="P8" s="1"/>
  <c r="K9"/>
  <c r="J8"/>
  <c r="J30" s="1"/>
  <c r="Q30" s="1"/>
  <c r="Q28"/>
  <c r="R28" s="1"/>
  <c r="F7"/>
  <c r="I7" s="1"/>
  <c r="Q5"/>
  <c r="P5" s="1"/>
  <c r="L5"/>
  <c r="Q26"/>
  <c r="P26" s="1"/>
  <c r="K4"/>
  <c r="Q9"/>
  <c r="P9" s="1"/>
  <c r="Q4"/>
  <c r="U27"/>
  <c r="W6"/>
  <c r="K25"/>
  <c r="T25" s="1"/>
  <c r="U25" s="1"/>
  <c r="T8"/>
  <c r="K29"/>
  <c r="T29" s="1"/>
  <c r="U29" s="1"/>
  <c r="W5"/>
  <c r="K28"/>
  <c r="T28" s="1"/>
  <c r="S28" s="1"/>
  <c r="W4"/>
  <c r="R26"/>
  <c r="P31"/>
  <c r="R30"/>
  <c r="P27"/>
  <c r="J10"/>
  <c r="J11" s="1"/>
  <c r="J33" s="1"/>
  <c r="Q6"/>
  <c r="P6" s="1"/>
  <c r="L25"/>
  <c r="W25" s="1"/>
  <c r="I37"/>
  <c r="V29"/>
  <c r="V27"/>
  <c r="L10"/>
  <c r="L32" s="1"/>
  <c r="T4"/>
  <c r="U4" s="1"/>
  <c r="Q25"/>
  <c r="R25" s="1"/>
  <c r="I43"/>
  <c r="G1" i="3"/>
  <c r="H51" i="4"/>
  <c r="S26"/>
  <c r="E85"/>
  <c r="F85"/>
  <c r="I20"/>
  <c r="I30" s="1"/>
  <c r="I42" s="1"/>
  <c r="O8"/>
  <c r="I16"/>
  <c r="O4"/>
  <c r="X3"/>
  <c r="R3"/>
  <c r="V28"/>
  <c r="V26"/>
  <c r="S27"/>
  <c r="R31"/>
  <c r="R27"/>
  <c r="U28"/>
  <c r="I18"/>
  <c r="I28" s="1"/>
  <c r="I40" s="1"/>
  <c r="O6"/>
  <c r="R9"/>
  <c r="R8"/>
  <c r="X7"/>
  <c r="V7"/>
  <c r="X6"/>
  <c r="V6"/>
  <c r="R6"/>
  <c r="X5"/>
  <c r="V5"/>
  <c r="R5"/>
  <c r="X4"/>
  <c r="V4"/>
  <c r="R4"/>
  <c r="P4"/>
  <c r="F81"/>
  <c r="U8"/>
  <c r="S8"/>
  <c r="S7"/>
  <c r="S6"/>
  <c r="S5"/>
  <c r="S4"/>
  <c r="E83"/>
  <c r="F83"/>
  <c r="X25"/>
  <c r="S25"/>
  <c r="O30"/>
  <c r="I26" l="1"/>
  <c r="O26" s="1"/>
  <c r="I19"/>
  <c r="I29" s="1"/>
  <c r="O7"/>
  <c r="K31"/>
  <c r="T31" s="1"/>
  <c r="T9"/>
  <c r="I17"/>
  <c r="I27" s="1"/>
  <c r="O5"/>
  <c r="L30"/>
  <c r="W30" s="1"/>
  <c r="W8"/>
  <c r="J29"/>
  <c r="Q29" s="1"/>
  <c r="Q7"/>
  <c r="L31"/>
  <c r="W31" s="1"/>
  <c r="W9"/>
  <c r="U30"/>
  <c r="P28"/>
  <c r="S29"/>
  <c r="S3"/>
  <c r="K10"/>
  <c r="J32"/>
  <c r="O28"/>
  <c r="P25"/>
  <c r="L11"/>
  <c r="L33" s="1"/>
  <c r="H1" i="3"/>
  <c r="I51" i="4"/>
  <c r="E84"/>
  <c r="F84"/>
  <c r="T15"/>
  <c r="F5" i="2" s="1"/>
  <c r="R15" i="4"/>
  <c r="D5" i="2" s="1"/>
  <c r="S15" i="4"/>
  <c r="T17"/>
  <c r="R17"/>
  <c r="S17"/>
  <c r="E86"/>
  <c r="F86"/>
  <c r="E82"/>
  <c r="F82"/>
  <c r="R13"/>
  <c r="D3" i="2" s="1"/>
  <c r="S13" i="4"/>
  <c r="E3" i="2" s="1"/>
  <c r="T13" i="4"/>
  <c r="F3" i="2" s="1"/>
  <c r="E5"/>
  <c r="K11" i="4" l="1"/>
  <c r="K33" s="1"/>
  <c r="K32"/>
  <c r="X31"/>
  <c r="V31"/>
  <c r="P29"/>
  <c r="R29"/>
  <c r="X30"/>
  <c r="V30"/>
  <c r="O27"/>
  <c r="I39"/>
  <c r="U31"/>
  <c r="S31"/>
  <c r="O29"/>
  <c r="I41"/>
  <c r="I38"/>
  <c r="V9"/>
  <c r="X9"/>
  <c r="P7"/>
  <c r="R7"/>
  <c r="V8"/>
  <c r="X8"/>
  <c r="U9"/>
  <c r="S9"/>
  <c r="I1" i="3"/>
  <c r="J51" i="4"/>
  <c r="S16"/>
  <c r="E6" i="2" s="1"/>
  <c r="T16" i="4"/>
  <c r="F6" i="2" s="1"/>
  <c r="R16" i="4"/>
  <c r="D6" i="2" s="1"/>
  <c r="S14" i="4"/>
  <c r="E4" i="2" s="1"/>
  <c r="T14" i="4"/>
  <c r="F4" i="2" s="1"/>
  <c r="R14" i="4"/>
  <c r="D4" i="2" s="1"/>
  <c r="S18" i="4"/>
  <c r="E8" i="2" s="1"/>
  <c r="T18" i="4"/>
  <c r="F8" i="2" s="1"/>
  <c r="R18" i="4"/>
  <c r="D8" i="2" s="1"/>
  <c r="F7"/>
  <c r="D7"/>
  <c r="E7"/>
  <c r="J1" i="3" l="1"/>
  <c r="K51" i="4"/>
  <c r="K1" i="3" l="1"/>
  <c r="L51" i="4"/>
  <c r="L1" i="3" l="1"/>
  <c r="M51" i="4"/>
  <c r="M1" i="3" l="1"/>
  <c r="N51" i="4"/>
  <c r="N1" i="3" l="1"/>
  <c r="O51" i="4"/>
  <c r="O1" i="3" l="1"/>
  <c r="P51" i="4"/>
  <c r="P1" i="3" l="1"/>
  <c r="Q51" i="4"/>
  <c r="Q1" i="3" l="1"/>
  <c r="R51" i="4"/>
  <c r="R1" i="3" l="1"/>
  <c r="S51" i="4"/>
  <c r="S1" i="3" l="1"/>
  <c r="T51" i="4"/>
  <c r="T1" i="3" l="1"/>
  <c r="U51" i="4"/>
  <c r="U1" i="3" l="1"/>
  <c r="V51" i="4"/>
  <c r="V1" i="3" l="1"/>
  <c r="W51" i="4"/>
  <c r="W1" i="3" l="1"/>
  <c r="X51" i="4"/>
  <c r="X1" i="3" l="1"/>
  <c r="Y51" i="4"/>
  <c r="Y1" i="3" l="1"/>
  <c r="Z51" i="4"/>
  <c r="Z1" i="3" l="1"/>
  <c r="AA51" i="4"/>
  <c r="AA1" i="3" l="1"/>
  <c r="AB51" i="4"/>
  <c r="AB1" i="3" l="1"/>
  <c r="AC51" i="4"/>
  <c r="AC1" i="3" l="1"/>
  <c r="AD51" i="4"/>
  <c r="AD1" i="3" l="1"/>
  <c r="AE51" i="4"/>
  <c r="AE1" i="3" l="1"/>
  <c r="AF51" i="4"/>
  <c r="AF1" i="3" l="1"/>
  <c r="AG51" i="4"/>
  <c r="AG1" i="3" l="1"/>
  <c r="AH51" i="4"/>
  <c r="AH1" i="3" l="1"/>
  <c r="AI51" i="4"/>
  <c r="AI1" i="3" l="1"/>
  <c r="AJ51" i="4"/>
  <c r="AJ1" i="3" l="1"/>
  <c r="AL51" i="4" s="1"/>
  <c r="AK51"/>
</calcChain>
</file>

<file path=xl/sharedStrings.xml><?xml version="1.0" encoding="utf-8"?>
<sst xmlns="http://schemas.openxmlformats.org/spreadsheetml/2006/main" count="60" uniqueCount="37">
  <si>
    <t>#</t>
  </si>
  <si>
    <t>Label</t>
  </si>
  <si>
    <t>%FSR</t>
  </si>
  <si>
    <t>Unit</t>
  </si>
  <si>
    <t>Measurements</t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</si>
  <si>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Min</t>
    </r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</si>
  <si>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</si>
  <si>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Mean</t>
  </si>
  <si>
    <t>FW</t>
  </si>
  <si>
    <t>Offset</t>
  </si>
  <si>
    <t>Delta</t>
  </si>
  <si>
    <t>IR</t>
  </si>
  <si>
    <t>Note: test time ~4min/unit; 3hrs/lot; 30min/sample</t>
  </si>
  <si>
    <t>#/samples=</t>
  </si>
  <si>
    <t>StDev</t>
  </si>
  <si>
    <t>Level</t>
  </si>
  <si>
    <t>Rise</t>
  </si>
  <si>
    <t>Droop</t>
  </si>
  <si>
    <t>Dynamic Range</t>
  </si>
  <si>
    <t>kLux</t>
  </si>
  <si>
    <t>Solar kLux</t>
  </si>
  <si>
    <t>Graph Sigma</t>
  </si>
  <si>
    <t>10%+3s</t>
  </si>
  <si>
    <t>10%-3s</t>
  </si>
  <si>
    <t>50%-3s</t>
  </si>
  <si>
    <t>50%+3s</t>
  </si>
  <si>
    <t>150%-3s</t>
  </si>
  <si>
    <t>150%+3s</t>
  </si>
  <si>
    <t>26-3s</t>
  </si>
  <si>
    <t>26+3s</t>
  </si>
  <si>
    <t>128-3s</t>
  </si>
  <si>
    <t>128+3s</t>
  </si>
  <si>
    <t>383-3s</t>
  </si>
  <si>
    <t>383+3s</t>
  </si>
  <si>
    <t>#/samples</t>
  </si>
  <si>
    <t>Proximity Ambient Rejection C2</t>
  </si>
  <si>
    <t>Proximity Ambient Rejection Constant IR Power: C2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</si>
</sst>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0.0%"/>
    <numFmt numFmtId="166" formatCode="0.000%"/>
    <numFmt numFmtId="167" formatCode="0.0"/>
  </numFmts>
  <fonts count="3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0" xfId="0" applyFont="1" applyAlignment="1">
      <alignment horizontal="left"/>
    </xf>
    <xf numFmtId="0" fontId="0" fillId="2" borderId="1" xfId="0" applyFill="1" applyBorder="1" applyAlignment="1">
      <alignment horizontal="right"/>
    </xf>
    <xf numFmtId="2" fontId="0" fillId="2" borderId="1" xfId="0" applyNumberFormat="1" applyFill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164" fontId="0" fillId="0" borderId="0" xfId="0" applyNumberFormat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166" fontId="0" fillId="0" borderId="0" xfId="0" applyNumberFormat="1"/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/>
    <xf numFmtId="0" fontId="0" fillId="0" borderId="9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0" xfId="0" applyAlignment="1">
      <alignment horizontal="center" vertical="top"/>
    </xf>
    <xf numFmtId="2" fontId="0" fillId="0" borderId="0" xfId="0" applyNumberFormat="1"/>
    <xf numFmtId="2" fontId="0" fillId="0" borderId="0" xfId="0" applyNumberFormat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0" xfId="0" applyAlignment="1">
      <alignment vertical="top"/>
    </xf>
    <xf numFmtId="9" fontId="0" fillId="0" borderId="0" xfId="0" applyNumberFormat="1" applyBorder="1" applyAlignment="1">
      <alignment vertical="top"/>
    </xf>
    <xf numFmtId="0" fontId="0" fillId="0" borderId="5" xfId="0" quotePrefix="1" applyBorder="1" applyAlignment="1">
      <alignment horizontal="center"/>
    </xf>
    <xf numFmtId="9" fontId="0" fillId="0" borderId="6" xfId="0" applyNumberFormat="1" applyBorder="1"/>
    <xf numFmtId="0" fontId="0" fillId="0" borderId="7" xfId="0" quotePrefix="1" applyBorder="1" applyAlignment="1">
      <alignment horizontal="center"/>
    </xf>
    <xf numFmtId="164" fontId="0" fillId="0" borderId="11" xfId="0" applyNumberFormat="1" applyBorder="1"/>
    <xf numFmtId="164" fontId="0" fillId="0" borderId="0" xfId="0" applyNumberFormat="1" applyBorder="1"/>
    <xf numFmtId="164" fontId="0" fillId="0" borderId="12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0" fontId="0" fillId="0" borderId="5" xfId="0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0" fillId="0" borderId="18" xfId="0" applyBorder="1"/>
    <xf numFmtId="0" fontId="0" fillId="0" borderId="21" xfId="0" applyBorder="1"/>
    <xf numFmtId="0" fontId="0" fillId="3" borderId="1" xfId="0" applyFill="1" applyBorder="1"/>
    <xf numFmtId="165" fontId="0" fillId="3" borderId="1" xfId="0" applyNumberFormat="1" applyFont="1" applyFill="1" applyBorder="1" applyAlignment="1">
      <alignment horizontal="center"/>
    </xf>
    <xf numFmtId="9" fontId="0" fillId="0" borderId="0" xfId="0" applyNumberFormat="1" applyBorder="1" applyAlignment="1">
      <alignment horizontal="center" vertical="top"/>
    </xf>
    <xf numFmtId="9" fontId="0" fillId="0" borderId="0" xfId="0" applyNumberFormat="1" applyBorder="1" applyAlignment="1">
      <alignment horizontal="center" vertical="top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9" fontId="0" fillId="0" borderId="2" xfId="0" applyNumberFormat="1" applyBorder="1" applyAlignment="1">
      <alignment horizontal="center" vertical="top"/>
    </xf>
    <xf numFmtId="9" fontId="0" fillId="0" borderId="13" xfId="0" applyNumberFormat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14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0" xfId="0" applyAlignment="1">
      <alignment horizontal="center"/>
    </xf>
    <xf numFmtId="9" fontId="0" fillId="0" borderId="17" xfId="0" applyNumberFormat="1" applyBorder="1" applyAlignment="1">
      <alignment horizontal="right"/>
    </xf>
    <xf numFmtId="9" fontId="0" fillId="0" borderId="0" xfId="0" applyNumberFormat="1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20" xfId="0" applyBorder="1" applyAlignment="1">
      <alignment horizontal="right"/>
    </xf>
    <xf numFmtId="9" fontId="0" fillId="0" borderId="1" xfId="0" applyNumberFormat="1" applyBorder="1" applyAlignment="1">
      <alignment horizontal="center" vertical="top"/>
    </xf>
    <xf numFmtId="0" fontId="0" fillId="0" borderId="0" xfId="0" applyNumberFormat="1" applyAlignment="1">
      <alignment horizontal="center" vertical="top"/>
    </xf>
    <xf numFmtId="9" fontId="0" fillId="0" borderId="0" xfId="0" applyNumberFormat="1" applyAlignment="1">
      <alignment horizontal="center" vertical="top"/>
    </xf>
    <xf numFmtId="0" fontId="0" fillId="0" borderId="0" xfId="0" quotePrefix="1" applyBorder="1" applyAlignment="1">
      <alignment horizontal="center"/>
    </xf>
    <xf numFmtId="9" fontId="0" fillId="0" borderId="0" xfId="0" applyNumberFormat="1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Fill="1" applyBorder="1"/>
    <xf numFmtId="9" fontId="0" fillId="0" borderId="0" xfId="0" applyNumberFormat="1" applyFill="1" applyBorder="1" applyAlignment="1">
      <alignment horizontal="center" vertical="top"/>
    </xf>
    <xf numFmtId="0" fontId="0" fillId="0" borderId="0" xfId="0" applyFill="1" applyBorder="1"/>
    <xf numFmtId="165" fontId="0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right"/>
    </xf>
    <xf numFmtId="0" fontId="0" fillId="0" borderId="26" xfId="0" applyBorder="1" applyAlignment="1">
      <alignment horizontal="center"/>
    </xf>
    <xf numFmtId="2" fontId="0" fillId="2" borderId="25" xfId="0" applyNumberFormat="1" applyFill="1" applyBorder="1"/>
    <xf numFmtId="0" fontId="0" fillId="3" borderId="26" xfId="0" applyFill="1" applyBorder="1" applyAlignment="1">
      <alignment horizontal="center"/>
    </xf>
    <xf numFmtId="2" fontId="0" fillId="2" borderId="27" xfId="0" applyNumberFormat="1" applyFill="1" applyBorder="1"/>
    <xf numFmtId="9" fontId="0" fillId="0" borderId="28" xfId="0" applyNumberFormat="1" applyBorder="1" applyAlignment="1">
      <alignment horizontal="center" vertical="top"/>
    </xf>
    <xf numFmtId="0" fontId="0" fillId="0" borderId="29" xfId="0" applyBorder="1"/>
    <xf numFmtId="165" fontId="0" fillId="0" borderId="29" xfId="0" applyNumberFormat="1" applyFont="1" applyBorder="1" applyAlignment="1">
      <alignment horizontal="center"/>
    </xf>
    <xf numFmtId="0" fontId="0" fillId="0" borderId="30" xfId="0" applyBorder="1" applyAlignment="1">
      <alignment horizontal="center"/>
    </xf>
  </cellXfs>
  <cellStyles count="1">
    <cellStyle name="Normal" xfId="0" builtinId="0"/>
  </cellStyles>
  <dxfs count="28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ProxAR `38:C2</a:t>
            </a:r>
          </a:p>
        </c:rich>
      </c:tx>
      <c:layout/>
    </c:title>
    <c:plotArea>
      <c:layout/>
      <c:scatterChart>
        <c:scatterStyle val="lineMarker"/>
        <c:ser>
          <c:idx val="1"/>
          <c:order val="0"/>
          <c:tx>
            <c:strRef>
              <c:f>Calculations!$Q$1</c:f>
              <c:strCache>
                <c:ptCount val="1"/>
                <c:pt idx="0">
                  <c:v>75%</c:v>
                </c:pt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Calculations!$Q$2:$Q$9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4.6772875816993457E-2</c:v>
                </c:pt>
                <c:pt idx="2">
                  <c:v>6.6952614379084952E-2</c:v>
                </c:pt>
                <c:pt idx="3">
                  <c:v>7.5490196078431382E-2</c:v>
                </c:pt>
                <c:pt idx="4">
                  <c:v>7.8417755991285407E-2</c:v>
                </c:pt>
                <c:pt idx="5">
                  <c:v>7.7668845315904164E-2</c:v>
                </c:pt>
                <c:pt idx="6">
                  <c:v>7.0356753812636161E-2</c:v>
                </c:pt>
                <c:pt idx="7">
                  <c:v>4.0536492374727673E-2</c:v>
                </c:pt>
              </c:numCache>
            </c:numRef>
          </c:yVal>
        </c:ser>
        <c:ser>
          <c:idx val="3"/>
          <c:order val="1"/>
          <c:tx>
            <c:strRef>
              <c:f>Calculations!$S$1</c:f>
              <c:strCache>
                <c:ptCount val="1"/>
                <c:pt idx="0">
                  <c:v>50%-3s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5.0650907105040804E-3</c:v>
                </c:pt>
                <c:pt idx="2">
                  <c:v>7.4345214915239946E-3</c:v>
                </c:pt>
                <c:pt idx="3">
                  <c:v>8.5251243521836523E-3</c:v>
                </c:pt>
                <c:pt idx="4">
                  <c:v>9.0233292241040514E-3</c:v>
                </c:pt>
                <c:pt idx="5">
                  <c:v>9.7786510654027103E-3</c:v>
                </c:pt>
                <c:pt idx="6">
                  <c:v>1.025571569311199E-2</c:v>
                </c:pt>
                <c:pt idx="7">
                  <c:v>1.0686015610419083E-2</c:v>
                </c:pt>
              </c:numCache>
            </c:numRef>
          </c:yVal>
        </c:ser>
        <c:ser>
          <c:idx val="4"/>
          <c:order val="2"/>
          <c:tx>
            <c:strRef>
              <c:f>Calculations!$T$1</c:f>
              <c:strCache>
                <c:ptCount val="1"/>
                <c:pt idx="0">
                  <c:v>50%</c:v>
                </c:pt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Calculations!$T$2:$T$9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3.5634531590413923E-2</c:v>
                </c:pt>
                <c:pt idx="2">
                  <c:v>5.0367647058823517E-2</c:v>
                </c:pt>
                <c:pt idx="3">
                  <c:v>5.7352941176470579E-2</c:v>
                </c:pt>
                <c:pt idx="4">
                  <c:v>6.2009803921568629E-2</c:v>
                </c:pt>
                <c:pt idx="5">
                  <c:v>6.5958605664488024E-2</c:v>
                </c:pt>
                <c:pt idx="6">
                  <c:v>7.0098039215686275E-2</c:v>
                </c:pt>
                <c:pt idx="7">
                  <c:v>7.2412854030501073E-2</c:v>
                </c:pt>
              </c:numCache>
            </c:numRef>
          </c:yVal>
        </c:ser>
        <c:ser>
          <c:idx val="5"/>
          <c:order val="3"/>
          <c:tx>
            <c:strRef>
              <c:f>Calculations!$U$1</c:f>
              <c:strCache>
                <c:ptCount val="1"/>
                <c:pt idx="0">
                  <c:v>50%+3s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Calculations!$U$2:$U$9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6.6203972470323766E-2</c:v>
                </c:pt>
                <c:pt idx="2">
                  <c:v>9.3300772626123046E-2</c:v>
                </c:pt>
                <c:pt idx="3">
                  <c:v>0.10618075800075751</c:v>
                </c:pt>
                <c:pt idx="4">
                  <c:v>0.11499627861903321</c:v>
                </c:pt>
                <c:pt idx="5">
                  <c:v>0.12213856026357334</c:v>
                </c:pt>
                <c:pt idx="6">
                  <c:v>0.12994036273826057</c:v>
                </c:pt>
                <c:pt idx="7">
                  <c:v>0.13413969245058305</c:v>
                </c:pt>
              </c:numCache>
            </c:numRef>
          </c:yVal>
        </c:ser>
        <c:ser>
          <c:idx val="7"/>
          <c:order val="4"/>
          <c:tx>
            <c:strRef>
              <c:f>Calculations!$W$1</c:f>
              <c:strCache>
                <c:ptCount val="1"/>
                <c:pt idx="0">
                  <c:v>25%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Calculations!$W$2:$W$9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3.2952069716775612E-2</c:v>
                </c:pt>
                <c:pt idx="2">
                  <c:v>4.6160130718954251E-2</c:v>
                </c:pt>
                <c:pt idx="3">
                  <c:v>5.3690087145969505E-2</c:v>
                </c:pt>
                <c:pt idx="4">
                  <c:v>5.799291938997822E-2</c:v>
                </c:pt>
                <c:pt idx="5">
                  <c:v>6.3017429193899785E-2</c:v>
                </c:pt>
                <c:pt idx="6">
                  <c:v>6.7116013071895436E-2</c:v>
                </c:pt>
                <c:pt idx="7">
                  <c:v>7.0506535947712418E-2</c:v>
                </c:pt>
              </c:numCache>
            </c:numRef>
          </c:yVal>
        </c:ser>
        <c:axId val="87055744"/>
        <c:axId val="57667968"/>
      </c:scatterChart>
      <c:valAx>
        <c:axId val="870557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/>
                  <a:t>Ambient (%/IR FSR) </a:t>
                </a:r>
                <a:endParaRPr lang="en-US"/>
              </a:p>
            </c:rich>
          </c:tx>
          <c:layout/>
        </c:title>
        <c:numFmt formatCode="0%" sourceLinked="0"/>
        <c:tickLblPos val="nextTo"/>
        <c:crossAx val="57667968"/>
        <c:crosses val="autoZero"/>
        <c:crossBetween val="midCat"/>
      </c:valAx>
      <c:valAx>
        <c:axId val="576679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/>
                  <a:t>Prox Delta (%FSR)</a:t>
                </a:r>
                <a:endParaRPr lang="en-US" sz="1000"/>
              </a:p>
            </c:rich>
          </c:tx>
          <c:layout/>
        </c:title>
        <c:numFmt formatCode="0%" sourceLinked="0"/>
        <c:tickLblPos val="nextTo"/>
        <c:crossAx val="870557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ProxAR `38:C2</a:t>
            </a:r>
            <a:endParaRPr lang="en-US"/>
          </a:p>
        </c:rich>
      </c:tx>
      <c:layout>
        <c:manualLayout>
          <c:xMode val="edge"/>
          <c:yMode val="edge"/>
          <c:x val="0.36170099203509132"/>
          <c:y val="2.7722770836372711E-2"/>
        </c:manualLayout>
      </c:layout>
    </c:title>
    <c:plotArea>
      <c:layout/>
      <c:scatterChart>
        <c:scatterStyle val="lineMarker"/>
        <c:ser>
          <c:idx val="1"/>
          <c:order val="0"/>
          <c:tx>
            <c:strRef>
              <c:f>Calculations!$Q$23</c:f>
              <c:strCache>
                <c:ptCount val="1"/>
                <c:pt idx="0">
                  <c:v>191</c:v>
                </c:pt>
              </c:strCache>
            </c:strRef>
          </c:tx>
          <c:marker>
            <c:symbol val="none"/>
          </c:marker>
          <c:xVal>
            <c:numRef>
              <c:f>Calculations!$O$24:$O$31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11.653543307086615</c:v>
                </c:pt>
                <c:pt idx="2">
                  <c:v>17.742782152230969</c:v>
                </c:pt>
                <c:pt idx="3">
                  <c:v>23.72703412073491</c:v>
                </c:pt>
                <c:pt idx="4">
                  <c:v>28.608923884514439</c:v>
                </c:pt>
                <c:pt idx="5">
                  <c:v>35.275590551181104</c:v>
                </c:pt>
                <c:pt idx="6">
                  <c:v>43.779527559055126</c:v>
                </c:pt>
                <c:pt idx="7">
                  <c:v>54.278215223097106</c:v>
                </c:pt>
              </c:numCache>
            </c:numRef>
          </c:xVal>
          <c:yVal>
            <c:numRef>
              <c:f>Calculations!$Q$24:$Q$31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11.927083333333332</c:v>
                </c:pt>
                <c:pt idx="2">
                  <c:v>17.072916666666664</c:v>
                </c:pt>
                <c:pt idx="3">
                  <c:v>19.250000000000004</c:v>
                </c:pt>
                <c:pt idx="4">
                  <c:v>19.996527777777779</c:v>
                </c:pt>
                <c:pt idx="5">
                  <c:v>19.805555555555561</c:v>
                </c:pt>
                <c:pt idx="6">
                  <c:v>17.940972222222221</c:v>
                </c:pt>
                <c:pt idx="7">
                  <c:v>10.336805555555557</c:v>
                </c:pt>
              </c:numCache>
            </c:numRef>
          </c:yVal>
        </c:ser>
        <c:ser>
          <c:idx val="3"/>
          <c:order val="1"/>
          <c:tx>
            <c:strRef>
              <c:f>Calculations!$S$23</c:f>
              <c:strCache>
                <c:ptCount val="1"/>
                <c:pt idx="0">
                  <c:v>128-3s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Calculations!$O$24:$O$31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11.653543307086615</c:v>
                </c:pt>
                <c:pt idx="2">
                  <c:v>17.742782152230969</c:v>
                </c:pt>
                <c:pt idx="3">
                  <c:v>23.72703412073491</c:v>
                </c:pt>
                <c:pt idx="4">
                  <c:v>28.608923884514439</c:v>
                </c:pt>
                <c:pt idx="5">
                  <c:v>35.275590551181104</c:v>
                </c:pt>
                <c:pt idx="6">
                  <c:v>43.779527559055126</c:v>
                </c:pt>
                <c:pt idx="7">
                  <c:v>54.278215223097106</c:v>
                </c:pt>
              </c:numCache>
            </c:numRef>
          </c:xVal>
          <c:yVal>
            <c:numRef>
              <c:f>Calculations!$S$24:$S$31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1.2915981311785405</c:v>
                </c:pt>
                <c:pt idx="2">
                  <c:v>1.8958029803386189</c:v>
                </c:pt>
                <c:pt idx="3">
                  <c:v>2.1739067098068308</c:v>
                </c:pt>
                <c:pt idx="4">
                  <c:v>2.3009489521465323</c:v>
                </c:pt>
                <c:pt idx="5">
                  <c:v>2.4935560216776906</c:v>
                </c:pt>
                <c:pt idx="6">
                  <c:v>2.6152075017435585</c:v>
                </c:pt>
                <c:pt idx="7">
                  <c:v>2.7249339806568678</c:v>
                </c:pt>
              </c:numCache>
            </c:numRef>
          </c:yVal>
        </c:ser>
        <c:ser>
          <c:idx val="4"/>
          <c:order val="2"/>
          <c:tx>
            <c:strRef>
              <c:f>Calculations!$T$23</c:f>
              <c:strCache>
                <c:ptCount val="1"/>
                <c:pt idx="0">
                  <c:v>128</c:v>
                </c:pt>
              </c:strCache>
            </c:strRef>
          </c:tx>
          <c:marker>
            <c:symbol val="none"/>
          </c:marker>
          <c:xVal>
            <c:numRef>
              <c:f>Calculations!$O$24:$O$31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11.653543307086615</c:v>
                </c:pt>
                <c:pt idx="2">
                  <c:v>17.742782152230969</c:v>
                </c:pt>
                <c:pt idx="3">
                  <c:v>23.72703412073491</c:v>
                </c:pt>
                <c:pt idx="4">
                  <c:v>28.608923884514439</c:v>
                </c:pt>
                <c:pt idx="5">
                  <c:v>35.275590551181104</c:v>
                </c:pt>
                <c:pt idx="6">
                  <c:v>43.779527559055126</c:v>
                </c:pt>
                <c:pt idx="7">
                  <c:v>54.278215223097106</c:v>
                </c:pt>
              </c:numCache>
            </c:numRef>
          </c:xVal>
          <c:yVal>
            <c:numRef>
              <c:f>Calculations!$T$24:$T$31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9.08680555555555</c:v>
                </c:pt>
                <c:pt idx="2">
                  <c:v>12.843749999999996</c:v>
                </c:pt>
                <c:pt idx="3">
                  <c:v>14.624999999999998</c:v>
                </c:pt>
                <c:pt idx="4">
                  <c:v>15.8125</c:v>
                </c:pt>
                <c:pt idx="5">
                  <c:v>16.819444444444446</c:v>
                </c:pt>
                <c:pt idx="6">
                  <c:v>17.875</c:v>
                </c:pt>
                <c:pt idx="7">
                  <c:v>18.465277777777775</c:v>
                </c:pt>
              </c:numCache>
            </c:numRef>
          </c:yVal>
        </c:ser>
        <c:ser>
          <c:idx val="5"/>
          <c:order val="3"/>
          <c:tx>
            <c:strRef>
              <c:f>Calculations!$U$23</c:f>
              <c:strCache>
                <c:ptCount val="1"/>
                <c:pt idx="0">
                  <c:v>128+3s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Calculations!$O$24:$O$31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11.653543307086615</c:v>
                </c:pt>
                <c:pt idx="2">
                  <c:v>17.742782152230969</c:v>
                </c:pt>
                <c:pt idx="3">
                  <c:v>23.72703412073491</c:v>
                </c:pt>
                <c:pt idx="4">
                  <c:v>28.608923884514439</c:v>
                </c:pt>
                <c:pt idx="5">
                  <c:v>35.275590551181104</c:v>
                </c:pt>
                <c:pt idx="6">
                  <c:v>43.779527559055126</c:v>
                </c:pt>
                <c:pt idx="7">
                  <c:v>54.278215223097106</c:v>
                </c:pt>
              </c:numCache>
            </c:numRef>
          </c:xVal>
          <c:yVal>
            <c:numRef>
              <c:f>Calculations!$U$24:$U$31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16.882012979932561</c:v>
                </c:pt>
                <c:pt idx="2">
                  <c:v>23.791697019661374</c:v>
                </c:pt>
                <c:pt idx="3">
                  <c:v>27.076093290193164</c:v>
                </c:pt>
                <c:pt idx="4">
                  <c:v>29.324051047853466</c:v>
                </c:pt>
                <c:pt idx="5">
                  <c:v>31.145332867211202</c:v>
                </c:pt>
                <c:pt idx="6">
                  <c:v>33.134792498256445</c:v>
                </c:pt>
                <c:pt idx="7">
                  <c:v>34.205621574898686</c:v>
                </c:pt>
              </c:numCache>
            </c:numRef>
          </c:yVal>
        </c:ser>
        <c:ser>
          <c:idx val="7"/>
          <c:order val="4"/>
          <c:tx>
            <c:strRef>
              <c:f>Calculations!$W$23</c:f>
              <c:strCache>
                <c:ptCount val="1"/>
                <c:pt idx="0">
                  <c:v>64</c:v>
                </c:pt>
              </c:strCache>
            </c:strRef>
          </c:tx>
          <c:marker>
            <c:symbol val="none"/>
          </c:marker>
          <c:xVal>
            <c:numRef>
              <c:f>Calculations!$O$24:$O$31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11.653543307086615</c:v>
                </c:pt>
                <c:pt idx="2">
                  <c:v>17.742782152230969</c:v>
                </c:pt>
                <c:pt idx="3">
                  <c:v>23.72703412073491</c:v>
                </c:pt>
                <c:pt idx="4">
                  <c:v>28.608923884514439</c:v>
                </c:pt>
                <c:pt idx="5">
                  <c:v>35.275590551181104</c:v>
                </c:pt>
                <c:pt idx="6">
                  <c:v>43.779527559055126</c:v>
                </c:pt>
                <c:pt idx="7">
                  <c:v>54.278215223097106</c:v>
                </c:pt>
              </c:numCache>
            </c:numRef>
          </c:xVal>
          <c:yVal>
            <c:numRef>
              <c:f>Calculations!$W$24:$W$31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8.4027777777777803</c:v>
                </c:pt>
                <c:pt idx="2">
                  <c:v>11.770833333333334</c:v>
                </c:pt>
                <c:pt idx="3">
                  <c:v>13.690972222222223</c:v>
                </c:pt>
                <c:pt idx="4">
                  <c:v>14.788194444444446</c:v>
                </c:pt>
                <c:pt idx="5">
                  <c:v>16.069444444444446</c:v>
                </c:pt>
                <c:pt idx="6">
                  <c:v>17.114583333333336</c:v>
                </c:pt>
                <c:pt idx="7">
                  <c:v>17.979166666666668</c:v>
                </c:pt>
              </c:numCache>
            </c:numRef>
          </c:yVal>
        </c:ser>
        <c:axId val="58658176"/>
        <c:axId val="60909056"/>
      </c:scatterChart>
      <c:valAx>
        <c:axId val="586581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/>
                  <a:t>Ambient (kLux Solar) </a:t>
                </a:r>
              </a:p>
            </c:rich>
          </c:tx>
          <c:layout/>
        </c:title>
        <c:numFmt formatCode="#,##0.0" sourceLinked="0"/>
        <c:tickLblPos val="nextTo"/>
        <c:crossAx val="60909056"/>
        <c:crosses val="autoZero"/>
        <c:crossBetween val="midCat"/>
      </c:valAx>
      <c:valAx>
        <c:axId val="609090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/>
                  <a:t>Prox Delta (LSBs)</a:t>
                </a:r>
              </a:p>
            </c:rich>
          </c:tx>
          <c:layout/>
        </c:title>
        <c:numFmt formatCode="#,##0.0" sourceLinked="0"/>
        <c:tickLblPos val="nextTo"/>
        <c:crossAx val="586581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Prox</a:t>
            </a:r>
            <a:r>
              <a:rPr lang="en-US" baseline="0"/>
              <a:t>AR `38:C2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Calculations!$P$1</c:f>
              <c:strCache>
                <c:ptCount val="1"/>
                <c:pt idx="0">
                  <c:v>10%-3s</c:v>
                </c:pt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Calculations!$P$2:$P$9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4.1279657876741968E-2</c:v>
                </c:pt>
                <c:pt idx="2">
                  <c:v>6.0955063606630763E-2</c:v>
                </c:pt>
                <c:pt idx="3">
                  <c:v>6.8371334710515472E-2</c:v>
                </c:pt>
                <c:pt idx="4">
                  <c:v>6.6443644362912488E-2</c:v>
                </c:pt>
                <c:pt idx="5">
                  <c:v>5.4515511442069051E-2</c:v>
                </c:pt>
                <c:pt idx="6">
                  <c:v>3.6582782610614373E-2</c:v>
                </c:pt>
                <c:pt idx="7">
                  <c:v>-1.9332913434369436E-2</c:v>
                </c:pt>
              </c:numCache>
            </c:numRef>
          </c:yVal>
        </c:ser>
        <c:ser>
          <c:idx val="1"/>
          <c:order val="1"/>
          <c:tx>
            <c:strRef>
              <c:f>Calculations!$Q$1</c:f>
              <c:strCache>
                <c:ptCount val="1"/>
                <c:pt idx="0">
                  <c:v>75%</c:v>
                </c:pt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Calculations!$Q$2:$Q$9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4.6772875816993457E-2</c:v>
                </c:pt>
                <c:pt idx="2">
                  <c:v>6.6952614379084952E-2</c:v>
                </c:pt>
                <c:pt idx="3">
                  <c:v>7.5490196078431382E-2</c:v>
                </c:pt>
                <c:pt idx="4">
                  <c:v>7.8417755991285407E-2</c:v>
                </c:pt>
                <c:pt idx="5">
                  <c:v>7.7668845315904164E-2</c:v>
                </c:pt>
                <c:pt idx="6">
                  <c:v>7.0356753812636161E-2</c:v>
                </c:pt>
                <c:pt idx="7">
                  <c:v>4.0536492374727673E-2</c:v>
                </c:pt>
              </c:numCache>
            </c:numRef>
          </c:yVal>
        </c:ser>
        <c:ser>
          <c:idx val="2"/>
          <c:order val="2"/>
          <c:tx>
            <c:strRef>
              <c:f>Calculations!$R$1</c:f>
              <c:strCache>
                <c:ptCount val="1"/>
                <c:pt idx="0">
                  <c:v>10%+3s</c:v>
                </c:pt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Calculations!$R$2:$R$9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5.2266093757244947E-2</c:v>
                </c:pt>
                <c:pt idx="2">
                  <c:v>7.295016515153914E-2</c:v>
                </c:pt>
                <c:pt idx="3">
                  <c:v>8.2609057446347292E-2</c:v>
                </c:pt>
                <c:pt idx="4">
                  <c:v>9.0391867619658325E-2</c:v>
                </c:pt>
                <c:pt idx="5">
                  <c:v>0.10082217918973928</c:v>
                </c:pt>
                <c:pt idx="6">
                  <c:v>0.10413072501465795</c:v>
                </c:pt>
                <c:pt idx="7">
                  <c:v>0.10040589818382478</c:v>
                </c:pt>
              </c:numCache>
            </c:numRef>
          </c:yVal>
        </c:ser>
        <c:ser>
          <c:idx val="3"/>
          <c:order val="3"/>
          <c:tx>
            <c:strRef>
              <c:f>Calculations!$S$1</c:f>
              <c:strCache>
                <c:ptCount val="1"/>
                <c:pt idx="0">
                  <c:v>50%-3s</c:v>
                </c:pt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5.0650907105040804E-3</c:v>
                </c:pt>
                <c:pt idx="2">
                  <c:v>7.4345214915239946E-3</c:v>
                </c:pt>
                <c:pt idx="3">
                  <c:v>8.5251243521836523E-3</c:v>
                </c:pt>
                <c:pt idx="4">
                  <c:v>9.0233292241040514E-3</c:v>
                </c:pt>
                <c:pt idx="5">
                  <c:v>9.7786510654027103E-3</c:v>
                </c:pt>
                <c:pt idx="6">
                  <c:v>1.025571569311199E-2</c:v>
                </c:pt>
                <c:pt idx="7">
                  <c:v>1.0686015610419083E-2</c:v>
                </c:pt>
              </c:numCache>
            </c:numRef>
          </c:yVal>
        </c:ser>
        <c:ser>
          <c:idx val="4"/>
          <c:order val="4"/>
          <c:tx>
            <c:strRef>
              <c:f>Calculations!$T$1</c:f>
              <c:strCache>
                <c:ptCount val="1"/>
                <c:pt idx="0">
                  <c:v>50%</c:v>
                </c:pt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Calculations!$T$2:$T$9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3.5634531590413923E-2</c:v>
                </c:pt>
                <c:pt idx="2">
                  <c:v>5.0367647058823517E-2</c:v>
                </c:pt>
                <c:pt idx="3">
                  <c:v>5.7352941176470579E-2</c:v>
                </c:pt>
                <c:pt idx="4">
                  <c:v>6.2009803921568629E-2</c:v>
                </c:pt>
                <c:pt idx="5">
                  <c:v>6.5958605664488024E-2</c:v>
                </c:pt>
                <c:pt idx="6">
                  <c:v>7.0098039215686275E-2</c:v>
                </c:pt>
                <c:pt idx="7">
                  <c:v>7.2412854030501073E-2</c:v>
                </c:pt>
              </c:numCache>
            </c:numRef>
          </c:yVal>
        </c:ser>
        <c:ser>
          <c:idx val="5"/>
          <c:order val="5"/>
          <c:tx>
            <c:strRef>
              <c:f>Calculations!$U$1</c:f>
              <c:strCache>
                <c:ptCount val="1"/>
                <c:pt idx="0">
                  <c:v>50%+3s</c:v>
                </c:pt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Calculations!$U$2:$U$9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6.6203972470323766E-2</c:v>
                </c:pt>
                <c:pt idx="2">
                  <c:v>9.3300772626123046E-2</c:v>
                </c:pt>
                <c:pt idx="3">
                  <c:v>0.10618075800075751</c:v>
                </c:pt>
                <c:pt idx="4">
                  <c:v>0.11499627861903321</c:v>
                </c:pt>
                <c:pt idx="5">
                  <c:v>0.12213856026357334</c:v>
                </c:pt>
                <c:pt idx="6">
                  <c:v>0.12994036273826057</c:v>
                </c:pt>
                <c:pt idx="7">
                  <c:v>0.13413969245058305</c:v>
                </c:pt>
              </c:numCache>
            </c:numRef>
          </c:yVal>
        </c:ser>
        <c:ser>
          <c:idx val="6"/>
          <c:order val="6"/>
          <c:tx>
            <c:strRef>
              <c:f>Calculations!$V$1</c:f>
              <c:strCache>
                <c:ptCount val="1"/>
                <c:pt idx="0">
                  <c:v>150%-3s</c:v>
                </c:pt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Calculations!$V$2:$V$9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4.6960485403433061E-3</c:v>
                </c:pt>
                <c:pt idx="2">
                  <c:v>6.7035330845178279E-3</c:v>
                </c:pt>
                <c:pt idx="3">
                  <c:v>7.8613619201913162E-3</c:v>
                </c:pt>
                <c:pt idx="4">
                  <c:v>8.3213681326111469E-3</c:v>
                </c:pt>
                <c:pt idx="5">
                  <c:v>9.2759375382222287E-3</c:v>
                </c:pt>
                <c:pt idx="6">
                  <c:v>9.8892210697309468E-3</c:v>
                </c:pt>
                <c:pt idx="7">
                  <c:v>1.0288405476427009E-2</c:v>
                </c:pt>
              </c:numCache>
            </c:numRef>
          </c:yVal>
        </c:ser>
        <c:ser>
          <c:idx val="7"/>
          <c:order val="7"/>
          <c:tx>
            <c:strRef>
              <c:f>Calculations!$W$1</c:f>
              <c:strCache>
                <c:ptCount val="1"/>
                <c:pt idx="0">
                  <c:v>25%</c:v>
                </c:pt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Calculations!$W$2:$W$9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3.2952069716775612E-2</c:v>
                </c:pt>
                <c:pt idx="2">
                  <c:v>4.6160130718954251E-2</c:v>
                </c:pt>
                <c:pt idx="3">
                  <c:v>5.3690087145969505E-2</c:v>
                </c:pt>
                <c:pt idx="4">
                  <c:v>5.799291938997822E-2</c:v>
                </c:pt>
                <c:pt idx="5">
                  <c:v>6.3017429193899785E-2</c:v>
                </c:pt>
                <c:pt idx="6">
                  <c:v>6.7116013071895436E-2</c:v>
                </c:pt>
                <c:pt idx="7">
                  <c:v>7.0506535947712418E-2</c:v>
                </c:pt>
              </c:numCache>
            </c:numRef>
          </c:yVal>
        </c:ser>
        <c:ser>
          <c:idx val="8"/>
          <c:order val="8"/>
          <c:tx>
            <c:strRef>
              <c:f>Calculations!$X$1</c:f>
              <c:strCache>
                <c:ptCount val="1"/>
                <c:pt idx="0">
                  <c:v>150%+3s</c:v>
                </c:pt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Calculations!$X$2:$X$9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6.1208090893207917E-2</c:v>
                </c:pt>
                <c:pt idx="2">
                  <c:v>8.5616728353390681E-2</c:v>
                </c:pt>
                <c:pt idx="3">
                  <c:v>9.95188123717477E-2</c:v>
                </c:pt>
                <c:pt idx="4">
                  <c:v>0.1076644706473453</c:v>
                </c:pt>
                <c:pt idx="5">
                  <c:v>0.11675892084957734</c:v>
                </c:pt>
                <c:pt idx="6">
                  <c:v>0.12434280507405993</c:v>
                </c:pt>
                <c:pt idx="7">
                  <c:v>0.13072466641899783</c:v>
                </c:pt>
              </c:numCache>
            </c:numRef>
          </c:yVal>
        </c:ser>
        <c:ser>
          <c:idx val="9"/>
          <c:order val="9"/>
          <c:tx>
            <c:strRef>
              <c:f>Calculations!$Y$1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Calculations!$Y$2:$Y$9</c:f>
              <c:numCache>
                <c:formatCode>0.000</c:formatCode>
                <c:ptCount val="8"/>
              </c:numCache>
            </c:numRef>
          </c:yVal>
        </c:ser>
        <c:ser>
          <c:idx val="10"/>
          <c:order val="10"/>
          <c:tx>
            <c:strRef>
              <c:f>Calculations!$Z$1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Calculations!$Z$2:$Z$9</c:f>
              <c:numCache>
                <c:formatCode>0.000</c:formatCode>
                <c:ptCount val="8"/>
              </c:numCache>
            </c:numRef>
          </c:yVal>
        </c:ser>
        <c:ser>
          <c:idx val="11"/>
          <c:order val="11"/>
          <c:tx>
            <c:strRef>
              <c:f>Calculations!$AA$1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Calculations!$AA$2:$AA$9</c:f>
              <c:numCache>
                <c:formatCode>0.000</c:formatCode>
                <c:ptCount val="8"/>
              </c:numCache>
            </c:numRef>
          </c:yVal>
        </c:ser>
        <c:axId val="71636480"/>
        <c:axId val="71638400"/>
      </c:scatterChart>
      <c:valAx>
        <c:axId val="716364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Ambient</a:t>
                </a:r>
                <a:r>
                  <a:rPr lang="en-US" baseline="0"/>
                  <a:t> (%/IR FSR)  </a:t>
                </a:r>
                <a:endParaRPr lang="en-US"/>
              </a:p>
            </c:rich>
          </c:tx>
          <c:layout/>
        </c:title>
        <c:numFmt formatCode="0%" sourceLinked="0"/>
        <c:tickLblPos val="nextTo"/>
        <c:crossAx val="71638400"/>
        <c:crosses val="autoZero"/>
        <c:crossBetween val="midCat"/>
      </c:valAx>
      <c:valAx>
        <c:axId val="716384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Prox Delta (%FSR)</a:t>
                </a:r>
              </a:p>
            </c:rich>
          </c:tx>
          <c:layout/>
        </c:title>
        <c:numFmt formatCode="0%" sourceLinked="0"/>
        <c:tickLblPos val="nextTo"/>
        <c:crossAx val="716364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ProxAR `38:C2</a:t>
            </a:r>
          </a:p>
        </c:rich>
      </c:tx>
      <c:layout/>
    </c:title>
    <c:plotArea>
      <c:layout/>
      <c:scatterChart>
        <c:scatterStyle val="lineMarker"/>
        <c:ser>
          <c:idx val="1"/>
          <c:order val="0"/>
          <c:tx>
            <c:strRef>
              <c:f>Calculations!$Q$1</c:f>
              <c:strCache>
                <c:ptCount val="1"/>
                <c:pt idx="0">
                  <c:v>75%</c:v>
                </c:pt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Calculations!$Q$2:$Q$9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4.6772875816993457E-2</c:v>
                </c:pt>
                <c:pt idx="2">
                  <c:v>6.6952614379084952E-2</c:v>
                </c:pt>
                <c:pt idx="3">
                  <c:v>7.5490196078431382E-2</c:v>
                </c:pt>
                <c:pt idx="4">
                  <c:v>7.8417755991285407E-2</c:v>
                </c:pt>
                <c:pt idx="5">
                  <c:v>7.7668845315904164E-2</c:v>
                </c:pt>
                <c:pt idx="6">
                  <c:v>7.0356753812636161E-2</c:v>
                </c:pt>
                <c:pt idx="7">
                  <c:v>4.0536492374727673E-2</c:v>
                </c:pt>
              </c:numCache>
            </c:numRef>
          </c:yVal>
        </c:ser>
        <c:ser>
          <c:idx val="3"/>
          <c:order val="1"/>
          <c:tx>
            <c:strRef>
              <c:f>Calculations!$S$1</c:f>
              <c:strCache>
                <c:ptCount val="1"/>
                <c:pt idx="0">
                  <c:v>50%-3s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5.0650907105040804E-3</c:v>
                </c:pt>
                <c:pt idx="2">
                  <c:v>7.4345214915239946E-3</c:v>
                </c:pt>
                <c:pt idx="3">
                  <c:v>8.5251243521836523E-3</c:v>
                </c:pt>
                <c:pt idx="4">
                  <c:v>9.0233292241040514E-3</c:v>
                </c:pt>
                <c:pt idx="5">
                  <c:v>9.7786510654027103E-3</c:v>
                </c:pt>
                <c:pt idx="6">
                  <c:v>1.025571569311199E-2</c:v>
                </c:pt>
                <c:pt idx="7">
                  <c:v>1.0686015610419083E-2</c:v>
                </c:pt>
              </c:numCache>
            </c:numRef>
          </c:yVal>
        </c:ser>
        <c:ser>
          <c:idx val="4"/>
          <c:order val="2"/>
          <c:tx>
            <c:strRef>
              <c:f>Calculations!$T$1</c:f>
              <c:strCache>
                <c:ptCount val="1"/>
                <c:pt idx="0">
                  <c:v>50%</c:v>
                </c:pt>
              </c:strCache>
            </c:strRef>
          </c:tx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Calculations!$T$2:$T$9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3.5634531590413923E-2</c:v>
                </c:pt>
                <c:pt idx="2">
                  <c:v>5.0367647058823517E-2</c:v>
                </c:pt>
                <c:pt idx="3">
                  <c:v>5.7352941176470579E-2</c:v>
                </c:pt>
                <c:pt idx="4">
                  <c:v>6.2009803921568629E-2</c:v>
                </c:pt>
                <c:pt idx="5">
                  <c:v>6.5958605664488024E-2</c:v>
                </c:pt>
                <c:pt idx="6">
                  <c:v>7.0098039215686275E-2</c:v>
                </c:pt>
                <c:pt idx="7">
                  <c:v>7.2412854030501073E-2</c:v>
                </c:pt>
              </c:numCache>
            </c:numRef>
          </c:yVal>
        </c:ser>
        <c:ser>
          <c:idx val="5"/>
          <c:order val="3"/>
          <c:tx>
            <c:strRef>
              <c:f>Calculations!$U$1</c:f>
              <c:strCache>
                <c:ptCount val="1"/>
                <c:pt idx="0">
                  <c:v>50%+3s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Calculations!$U$2:$U$9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6.6203972470323766E-2</c:v>
                </c:pt>
                <c:pt idx="2">
                  <c:v>9.3300772626123046E-2</c:v>
                </c:pt>
                <c:pt idx="3">
                  <c:v>0.10618075800075751</c:v>
                </c:pt>
                <c:pt idx="4">
                  <c:v>0.11499627861903321</c:v>
                </c:pt>
                <c:pt idx="5">
                  <c:v>0.12213856026357334</c:v>
                </c:pt>
                <c:pt idx="6">
                  <c:v>0.12994036273826057</c:v>
                </c:pt>
                <c:pt idx="7">
                  <c:v>0.13413969245058305</c:v>
                </c:pt>
              </c:numCache>
            </c:numRef>
          </c:yVal>
        </c:ser>
        <c:ser>
          <c:idx val="7"/>
          <c:order val="4"/>
          <c:tx>
            <c:strRef>
              <c:f>Calculations!$W$1</c:f>
              <c:strCache>
                <c:ptCount val="1"/>
                <c:pt idx="0">
                  <c:v>25%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0.1942257217847769</c:v>
                </c:pt>
                <c:pt idx="2">
                  <c:v>0.29571303587051617</c:v>
                </c:pt>
                <c:pt idx="3">
                  <c:v>0.39545056867891515</c:v>
                </c:pt>
                <c:pt idx="4">
                  <c:v>0.47681539807524065</c:v>
                </c:pt>
                <c:pt idx="5">
                  <c:v>0.5879265091863517</c:v>
                </c:pt>
                <c:pt idx="6">
                  <c:v>0.72965879265091871</c:v>
                </c:pt>
                <c:pt idx="7">
                  <c:v>0.9046369203849518</c:v>
                </c:pt>
              </c:numCache>
            </c:numRef>
          </c:xVal>
          <c:yVal>
            <c:numRef>
              <c:f>Calculations!$W$2:$W$9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3.2952069716775612E-2</c:v>
                </c:pt>
                <c:pt idx="2">
                  <c:v>4.6160130718954251E-2</c:v>
                </c:pt>
                <c:pt idx="3">
                  <c:v>5.3690087145969505E-2</c:v>
                </c:pt>
                <c:pt idx="4">
                  <c:v>5.799291938997822E-2</c:v>
                </c:pt>
                <c:pt idx="5">
                  <c:v>6.3017429193899785E-2</c:v>
                </c:pt>
                <c:pt idx="6">
                  <c:v>6.7116013071895436E-2</c:v>
                </c:pt>
                <c:pt idx="7">
                  <c:v>7.0506535947712418E-2</c:v>
                </c:pt>
              </c:numCache>
            </c:numRef>
          </c:yVal>
        </c:ser>
        <c:axId val="71708672"/>
        <c:axId val="71710592"/>
      </c:scatterChart>
      <c:valAx>
        <c:axId val="71708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/>
                  <a:t>Ambient (%/IR FSR) </a:t>
                </a:r>
                <a:endParaRPr lang="en-US"/>
              </a:p>
            </c:rich>
          </c:tx>
          <c:layout/>
        </c:title>
        <c:numFmt formatCode="0%" sourceLinked="0"/>
        <c:tickLblPos val="nextTo"/>
        <c:crossAx val="71710592"/>
        <c:crosses val="autoZero"/>
        <c:crossBetween val="midCat"/>
      </c:valAx>
      <c:valAx>
        <c:axId val="717105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/>
                  <a:t>Prox Delta (%FSR)</a:t>
                </a:r>
                <a:endParaRPr lang="en-US" sz="1000"/>
              </a:p>
            </c:rich>
          </c:tx>
          <c:layout/>
        </c:title>
        <c:numFmt formatCode="0%" sourceLinked="0"/>
        <c:tickLblPos val="nextTo"/>
        <c:crossAx val="717086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ProxAR `38:C2</a:t>
            </a:r>
            <a:endParaRPr lang="en-US"/>
          </a:p>
        </c:rich>
      </c:tx>
      <c:layout>
        <c:manualLayout>
          <c:xMode val="edge"/>
          <c:yMode val="edge"/>
          <c:x val="0.36170099203509132"/>
          <c:y val="2.7722770836372711E-2"/>
        </c:manualLayout>
      </c:layout>
    </c:title>
    <c:plotArea>
      <c:layout/>
      <c:scatterChart>
        <c:scatterStyle val="lineMarker"/>
        <c:ser>
          <c:idx val="1"/>
          <c:order val="0"/>
          <c:tx>
            <c:strRef>
              <c:f>Calculations!$Q$23</c:f>
              <c:strCache>
                <c:ptCount val="1"/>
                <c:pt idx="0">
                  <c:v>191</c:v>
                </c:pt>
              </c:strCache>
            </c:strRef>
          </c:tx>
          <c:marker>
            <c:symbol val="none"/>
          </c:marker>
          <c:xVal>
            <c:numRef>
              <c:f>Calculations!$O$24:$O$31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11.653543307086615</c:v>
                </c:pt>
                <c:pt idx="2">
                  <c:v>17.742782152230969</c:v>
                </c:pt>
                <c:pt idx="3">
                  <c:v>23.72703412073491</c:v>
                </c:pt>
                <c:pt idx="4">
                  <c:v>28.608923884514439</c:v>
                </c:pt>
                <c:pt idx="5">
                  <c:v>35.275590551181104</c:v>
                </c:pt>
                <c:pt idx="6">
                  <c:v>43.779527559055126</c:v>
                </c:pt>
                <c:pt idx="7">
                  <c:v>54.278215223097106</c:v>
                </c:pt>
              </c:numCache>
            </c:numRef>
          </c:xVal>
          <c:yVal>
            <c:numRef>
              <c:f>Calculations!$Q$24:$Q$31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11.927083333333332</c:v>
                </c:pt>
                <c:pt idx="2">
                  <c:v>17.072916666666664</c:v>
                </c:pt>
                <c:pt idx="3">
                  <c:v>19.250000000000004</c:v>
                </c:pt>
                <c:pt idx="4">
                  <c:v>19.996527777777779</c:v>
                </c:pt>
                <c:pt idx="5">
                  <c:v>19.805555555555561</c:v>
                </c:pt>
                <c:pt idx="6">
                  <c:v>17.940972222222221</c:v>
                </c:pt>
                <c:pt idx="7">
                  <c:v>10.336805555555557</c:v>
                </c:pt>
              </c:numCache>
            </c:numRef>
          </c:yVal>
        </c:ser>
        <c:ser>
          <c:idx val="3"/>
          <c:order val="1"/>
          <c:tx>
            <c:strRef>
              <c:f>Calculations!$S$23</c:f>
              <c:strCache>
                <c:ptCount val="1"/>
                <c:pt idx="0">
                  <c:v>128-3s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Calculations!$O$24:$O$31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11.653543307086615</c:v>
                </c:pt>
                <c:pt idx="2">
                  <c:v>17.742782152230969</c:v>
                </c:pt>
                <c:pt idx="3">
                  <c:v>23.72703412073491</c:v>
                </c:pt>
                <c:pt idx="4">
                  <c:v>28.608923884514439</c:v>
                </c:pt>
                <c:pt idx="5">
                  <c:v>35.275590551181104</c:v>
                </c:pt>
                <c:pt idx="6">
                  <c:v>43.779527559055126</c:v>
                </c:pt>
                <c:pt idx="7">
                  <c:v>54.278215223097106</c:v>
                </c:pt>
              </c:numCache>
            </c:numRef>
          </c:xVal>
          <c:yVal>
            <c:numRef>
              <c:f>Calculations!$S$24:$S$31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1.2915981311785405</c:v>
                </c:pt>
                <c:pt idx="2">
                  <c:v>1.8958029803386189</c:v>
                </c:pt>
                <c:pt idx="3">
                  <c:v>2.1739067098068308</c:v>
                </c:pt>
                <c:pt idx="4">
                  <c:v>2.3009489521465323</c:v>
                </c:pt>
                <c:pt idx="5">
                  <c:v>2.4935560216776906</c:v>
                </c:pt>
                <c:pt idx="6">
                  <c:v>2.6152075017435585</c:v>
                </c:pt>
                <c:pt idx="7">
                  <c:v>2.7249339806568678</c:v>
                </c:pt>
              </c:numCache>
            </c:numRef>
          </c:yVal>
        </c:ser>
        <c:ser>
          <c:idx val="4"/>
          <c:order val="2"/>
          <c:tx>
            <c:strRef>
              <c:f>Calculations!$T$23</c:f>
              <c:strCache>
                <c:ptCount val="1"/>
                <c:pt idx="0">
                  <c:v>128</c:v>
                </c:pt>
              </c:strCache>
            </c:strRef>
          </c:tx>
          <c:marker>
            <c:symbol val="none"/>
          </c:marker>
          <c:xVal>
            <c:numRef>
              <c:f>Calculations!$O$24:$O$31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11.653543307086615</c:v>
                </c:pt>
                <c:pt idx="2">
                  <c:v>17.742782152230969</c:v>
                </c:pt>
                <c:pt idx="3">
                  <c:v>23.72703412073491</c:v>
                </c:pt>
                <c:pt idx="4">
                  <c:v>28.608923884514439</c:v>
                </c:pt>
                <c:pt idx="5">
                  <c:v>35.275590551181104</c:v>
                </c:pt>
                <c:pt idx="6">
                  <c:v>43.779527559055126</c:v>
                </c:pt>
                <c:pt idx="7">
                  <c:v>54.278215223097106</c:v>
                </c:pt>
              </c:numCache>
            </c:numRef>
          </c:xVal>
          <c:yVal>
            <c:numRef>
              <c:f>Calculations!$T$24:$T$31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9.08680555555555</c:v>
                </c:pt>
                <c:pt idx="2">
                  <c:v>12.843749999999996</c:v>
                </c:pt>
                <c:pt idx="3">
                  <c:v>14.624999999999998</c:v>
                </c:pt>
                <c:pt idx="4">
                  <c:v>15.8125</c:v>
                </c:pt>
                <c:pt idx="5">
                  <c:v>16.819444444444446</c:v>
                </c:pt>
                <c:pt idx="6">
                  <c:v>17.875</c:v>
                </c:pt>
                <c:pt idx="7">
                  <c:v>18.465277777777775</c:v>
                </c:pt>
              </c:numCache>
            </c:numRef>
          </c:yVal>
        </c:ser>
        <c:ser>
          <c:idx val="5"/>
          <c:order val="3"/>
          <c:tx>
            <c:strRef>
              <c:f>Calculations!$U$23</c:f>
              <c:strCache>
                <c:ptCount val="1"/>
                <c:pt idx="0">
                  <c:v>128+3s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Calculations!$O$24:$O$31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11.653543307086615</c:v>
                </c:pt>
                <c:pt idx="2">
                  <c:v>17.742782152230969</c:v>
                </c:pt>
                <c:pt idx="3">
                  <c:v>23.72703412073491</c:v>
                </c:pt>
                <c:pt idx="4">
                  <c:v>28.608923884514439</c:v>
                </c:pt>
                <c:pt idx="5">
                  <c:v>35.275590551181104</c:v>
                </c:pt>
                <c:pt idx="6">
                  <c:v>43.779527559055126</c:v>
                </c:pt>
                <c:pt idx="7">
                  <c:v>54.278215223097106</c:v>
                </c:pt>
              </c:numCache>
            </c:numRef>
          </c:xVal>
          <c:yVal>
            <c:numRef>
              <c:f>Calculations!$U$24:$U$31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16.882012979932561</c:v>
                </c:pt>
                <c:pt idx="2">
                  <c:v>23.791697019661374</c:v>
                </c:pt>
                <c:pt idx="3">
                  <c:v>27.076093290193164</c:v>
                </c:pt>
                <c:pt idx="4">
                  <c:v>29.324051047853466</c:v>
                </c:pt>
                <c:pt idx="5">
                  <c:v>31.145332867211202</c:v>
                </c:pt>
                <c:pt idx="6">
                  <c:v>33.134792498256445</c:v>
                </c:pt>
                <c:pt idx="7">
                  <c:v>34.205621574898686</c:v>
                </c:pt>
              </c:numCache>
            </c:numRef>
          </c:yVal>
        </c:ser>
        <c:ser>
          <c:idx val="7"/>
          <c:order val="4"/>
          <c:tx>
            <c:strRef>
              <c:f>Calculations!$W$23</c:f>
              <c:strCache>
                <c:ptCount val="1"/>
                <c:pt idx="0">
                  <c:v>64</c:v>
                </c:pt>
              </c:strCache>
            </c:strRef>
          </c:tx>
          <c:marker>
            <c:symbol val="none"/>
          </c:marker>
          <c:xVal>
            <c:numRef>
              <c:f>Calculations!$O$24:$O$31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11.653543307086615</c:v>
                </c:pt>
                <c:pt idx="2">
                  <c:v>17.742782152230969</c:v>
                </c:pt>
                <c:pt idx="3">
                  <c:v>23.72703412073491</c:v>
                </c:pt>
                <c:pt idx="4">
                  <c:v>28.608923884514439</c:v>
                </c:pt>
                <c:pt idx="5">
                  <c:v>35.275590551181104</c:v>
                </c:pt>
                <c:pt idx="6">
                  <c:v>43.779527559055126</c:v>
                </c:pt>
                <c:pt idx="7">
                  <c:v>54.278215223097106</c:v>
                </c:pt>
              </c:numCache>
            </c:numRef>
          </c:xVal>
          <c:yVal>
            <c:numRef>
              <c:f>Calculations!$W$24:$W$31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8.4027777777777803</c:v>
                </c:pt>
                <c:pt idx="2">
                  <c:v>11.770833333333334</c:v>
                </c:pt>
                <c:pt idx="3">
                  <c:v>13.690972222222223</c:v>
                </c:pt>
                <c:pt idx="4">
                  <c:v>14.788194444444446</c:v>
                </c:pt>
                <c:pt idx="5">
                  <c:v>16.069444444444446</c:v>
                </c:pt>
                <c:pt idx="6">
                  <c:v>17.114583333333336</c:v>
                </c:pt>
                <c:pt idx="7">
                  <c:v>17.979166666666668</c:v>
                </c:pt>
              </c:numCache>
            </c:numRef>
          </c:yVal>
        </c:ser>
        <c:axId val="71731072"/>
        <c:axId val="71778304"/>
      </c:scatterChart>
      <c:valAx>
        <c:axId val="717310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/>
                  <a:t>Ambient (kLux Solar) </a:t>
                </a:r>
              </a:p>
            </c:rich>
          </c:tx>
          <c:layout/>
        </c:title>
        <c:numFmt formatCode="#,##0.0" sourceLinked="0"/>
        <c:tickLblPos val="nextTo"/>
        <c:crossAx val="71778304"/>
        <c:crosses val="autoZero"/>
        <c:crossBetween val="midCat"/>
      </c:valAx>
      <c:valAx>
        <c:axId val="717783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/>
                  <a:t>Prox Delta (LSBs)</a:t>
                </a:r>
              </a:p>
            </c:rich>
          </c:tx>
          <c:layout/>
        </c:title>
        <c:numFmt formatCode="#,##0.0" sourceLinked="0"/>
        <c:tickLblPos val="nextTo"/>
        <c:crossAx val="717310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9525</xdr:rowOff>
    </xdr:from>
    <xdr:to>
      <xdr:col>8</xdr:col>
      <xdr:colOff>254453</xdr:colOff>
      <xdr:row>25</xdr:row>
      <xdr:rowOff>91168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457200</xdr:colOff>
      <xdr:row>11</xdr:row>
      <xdr:rowOff>0</xdr:rowOff>
    </xdr:from>
    <xdr:to>
      <xdr:col>16</xdr:col>
      <xdr:colOff>540203</xdr:colOff>
      <xdr:row>25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15875</xdr:colOff>
      <xdr:row>1</xdr:row>
      <xdr:rowOff>13607</xdr:rowOff>
    </xdr:from>
    <xdr:to>
      <xdr:col>36</xdr:col>
      <xdr:colOff>294821</xdr:colOff>
      <xdr:row>15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16</xdr:row>
      <xdr:rowOff>0</xdr:rowOff>
    </xdr:from>
    <xdr:to>
      <xdr:col>36</xdr:col>
      <xdr:colOff>278946</xdr:colOff>
      <xdr:row>30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31</xdr:row>
      <xdr:rowOff>0</xdr:rowOff>
    </xdr:from>
    <xdr:to>
      <xdr:col>36</xdr:col>
      <xdr:colOff>278946</xdr:colOff>
      <xdr:row>45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J30"/>
  <sheetViews>
    <sheetView showGridLines="0" tabSelected="1" workbookViewId="0">
      <selection activeCell="I5" sqref="I5"/>
    </sheetView>
  </sheetViews>
  <sheetFormatPr defaultRowHeight="15"/>
  <cols>
    <col min="1" max="1" width="4.5703125" bestFit="1" customWidth="1"/>
    <col min="2" max="2" width="18" customWidth="1"/>
    <col min="3" max="3" width="10.85546875" bestFit="1" customWidth="1"/>
    <col min="4" max="4" width="7.140625" bestFit="1" customWidth="1"/>
    <col min="5" max="5" width="8.28515625" bestFit="1" customWidth="1"/>
    <col min="6" max="6" width="7.42578125" bestFit="1" customWidth="1"/>
    <col min="7" max="7" width="5.7109375" bestFit="1" customWidth="1"/>
    <col min="8" max="8" width="10.28515625" customWidth="1"/>
    <col min="9" max="10" width="9.140625" style="5"/>
  </cols>
  <sheetData>
    <row r="1" spans="1:8">
      <c r="A1" s="88" t="s">
        <v>36</v>
      </c>
      <c r="B1" s="89"/>
      <c r="C1" s="89"/>
      <c r="D1" s="89"/>
      <c r="E1" s="89"/>
      <c r="F1" s="89"/>
      <c r="G1" s="90"/>
    </row>
    <row r="2" spans="1:8">
      <c r="A2" s="91" t="s">
        <v>0</v>
      </c>
      <c r="B2" s="59" t="s">
        <v>1</v>
      </c>
      <c r="C2" s="60"/>
      <c r="D2" s="87" t="s">
        <v>5</v>
      </c>
      <c r="E2" s="4" t="s">
        <v>7</v>
      </c>
      <c r="F2" s="87" t="s">
        <v>6</v>
      </c>
      <c r="G2" s="92" t="s">
        <v>3</v>
      </c>
    </row>
    <row r="3" spans="1:8">
      <c r="A3" s="93">
        <v>1</v>
      </c>
      <c r="B3" s="64">
        <f>Calculations!P13</f>
        <v>0.75</v>
      </c>
      <c r="C3" s="48" t="s">
        <v>16</v>
      </c>
      <c r="D3" s="8">
        <f>Calculations!R13</f>
        <v>5.837919739489876E-2</v>
      </c>
      <c r="E3" s="8">
        <f>Calculations!S13</f>
        <v>8.6002178649237482E-2</v>
      </c>
      <c r="F3" s="8">
        <f>Calculations!T13</f>
        <v>0.1136251599035762</v>
      </c>
      <c r="G3" s="92" t="s">
        <v>2</v>
      </c>
      <c r="H3" s="1"/>
    </row>
    <row r="4" spans="1:8">
      <c r="A4" s="93">
        <f>A3+0.01</f>
        <v>1.01</v>
      </c>
      <c r="B4" s="65"/>
      <c r="C4" s="48" t="s">
        <v>17</v>
      </c>
      <c r="D4" s="8">
        <f>Calculations!R14</f>
        <v>-5.7411460303640714E-2</v>
      </c>
      <c r="E4" s="8">
        <f>Calculations!S14</f>
        <v>4.5465686274509802E-2</v>
      </c>
      <c r="F4" s="8">
        <f>Calculations!T14</f>
        <v>0.14834283285266031</v>
      </c>
      <c r="G4" s="92" t="str">
        <f>G3</f>
        <v>%FSR</v>
      </c>
      <c r="H4" s="1"/>
    </row>
    <row r="5" spans="1:8" ht="15" customHeight="1">
      <c r="A5" s="93">
        <f>A4+0.01</f>
        <v>1.02</v>
      </c>
      <c r="B5" s="64">
        <f>Calculations!P15</f>
        <v>0.5</v>
      </c>
      <c r="C5" s="52" t="str">
        <f t="shared" ref="C5:C10" si="0">C3</f>
        <v>Rise</v>
      </c>
      <c r="D5" s="53">
        <f>Calculations!R15</f>
        <v>-5.1040822809662906E-2</v>
      </c>
      <c r="E5" s="53">
        <f>Calculations!S15</f>
        <v>7.2412854030501073E-2</v>
      </c>
      <c r="F5" s="53">
        <f>Calculations!T15</f>
        <v>0.19586653087066505</v>
      </c>
      <c r="G5" s="94" t="str">
        <f t="shared" ref="G5:G10" si="1">G4</f>
        <v>%FSR</v>
      </c>
    </row>
    <row r="6" spans="1:8">
      <c r="A6" s="93">
        <f>A5+0.01</f>
        <v>1.03</v>
      </c>
      <c r="B6" s="65"/>
      <c r="C6" s="48" t="str">
        <f t="shared" si="0"/>
        <v>Droop</v>
      </c>
      <c r="D6" s="8">
        <f>Calculations!R16</f>
        <v>0</v>
      </c>
      <c r="E6" s="8">
        <f>Calculations!S16</f>
        <v>0</v>
      </c>
      <c r="F6" s="8">
        <f>Calculations!T16</f>
        <v>0</v>
      </c>
      <c r="G6" s="92" t="str">
        <f t="shared" si="1"/>
        <v>%FSR</v>
      </c>
    </row>
    <row r="7" spans="1:8">
      <c r="A7" s="93">
        <f t="shared" ref="A7:A10" si="2">A6+0.01</f>
        <v>1.04</v>
      </c>
      <c r="B7" s="64">
        <f>Calculations!P17</f>
        <v>0.25</v>
      </c>
      <c r="C7" s="48" t="str">
        <f t="shared" si="0"/>
        <v>Rise</v>
      </c>
      <c r="D7" s="8">
        <f>Calculations!R17</f>
        <v>-4.9929724994858399E-2</v>
      </c>
      <c r="E7" s="8">
        <f>Calculations!S17</f>
        <v>7.0506535947712418E-2</v>
      </c>
      <c r="F7" s="8">
        <f>Calculations!T17</f>
        <v>0.19094279689028323</v>
      </c>
      <c r="G7" s="92" t="str">
        <f t="shared" si="1"/>
        <v>%FSR</v>
      </c>
    </row>
    <row r="8" spans="1:8" ht="15.75" thickBot="1">
      <c r="A8" s="95">
        <f t="shared" si="2"/>
        <v>1.05</v>
      </c>
      <c r="B8" s="96"/>
      <c r="C8" s="97" t="str">
        <f t="shared" si="0"/>
        <v>Droop</v>
      </c>
      <c r="D8" s="98">
        <f>Calculations!R18</f>
        <v>0</v>
      </c>
      <c r="E8" s="98">
        <f>Calculations!S18</f>
        <v>0</v>
      </c>
      <c r="F8" s="98">
        <f>Calculations!T18</f>
        <v>0</v>
      </c>
      <c r="G8" s="99" t="str">
        <f t="shared" si="1"/>
        <v>%FSR</v>
      </c>
    </row>
    <row r="9" spans="1:8">
      <c r="A9" s="82"/>
      <c r="B9" s="83"/>
      <c r="C9" s="84"/>
      <c r="D9" s="85"/>
      <c r="E9" s="85"/>
      <c r="F9" s="85"/>
      <c r="G9" s="86"/>
    </row>
    <row r="10" spans="1:8">
      <c r="A10" s="82"/>
      <c r="B10" s="83"/>
      <c r="C10" s="84"/>
      <c r="D10" s="85"/>
      <c r="E10" s="85"/>
      <c r="F10" s="85"/>
      <c r="G10" s="86"/>
    </row>
    <row r="29" spans="1:9">
      <c r="A29" s="61" t="s">
        <v>12</v>
      </c>
      <c r="B29" s="62"/>
      <c r="C29" s="62"/>
      <c r="D29" s="62"/>
      <c r="E29" s="62"/>
      <c r="F29" s="63"/>
      <c r="G29" s="25"/>
      <c r="H29" s="25"/>
      <c r="I29" s="25"/>
    </row>
    <row r="30" spans="1:9">
      <c r="A30" s="56" t="s">
        <v>13</v>
      </c>
      <c r="B30" s="57"/>
      <c r="C30" s="26">
        <f>Calculations!C14</f>
        <v>9</v>
      </c>
      <c r="D30" s="27"/>
      <c r="E30" s="27"/>
      <c r="F30" s="28"/>
    </row>
  </sheetData>
  <mergeCells count="8">
    <mergeCell ref="A30:B30"/>
    <mergeCell ref="A1:G1"/>
    <mergeCell ref="B2:C2"/>
    <mergeCell ref="A29:F29"/>
    <mergeCell ref="B3:B4"/>
    <mergeCell ref="B5:B6"/>
    <mergeCell ref="B7:B8"/>
    <mergeCell ref="B9:B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AL92"/>
  <sheetViews>
    <sheetView topLeftCell="N1" zoomScale="70" zoomScaleNormal="70" workbookViewId="0">
      <selection activeCell="X13" sqref="X13"/>
    </sheetView>
  </sheetViews>
  <sheetFormatPr defaultRowHeight="15"/>
  <cols>
    <col min="1" max="1" width="14.42578125" bestFit="1" customWidth="1"/>
    <col min="2" max="2" width="6" bestFit="1" customWidth="1"/>
    <col min="3" max="3" width="6.5703125" style="24" bestFit="1" customWidth="1"/>
    <col min="4" max="4" width="9.85546875" bestFit="1" customWidth="1"/>
    <col min="5" max="5" width="6.85546875" bestFit="1" customWidth="1"/>
    <col min="6" max="6" width="7.7109375" bestFit="1" customWidth="1"/>
    <col min="7" max="38" width="8.7109375" customWidth="1"/>
  </cols>
  <sheetData>
    <row r="1" spans="1:27">
      <c r="I1" s="69" t="s">
        <v>7</v>
      </c>
      <c r="J1" s="69"/>
      <c r="K1" s="69"/>
      <c r="L1" s="69"/>
      <c r="M1" s="9"/>
      <c r="O1" s="46" t="str">
        <f>I2</f>
        <v>IR</v>
      </c>
      <c r="P1" s="37" t="s">
        <v>23</v>
      </c>
      <c r="Q1" s="38">
        <f>J2</f>
        <v>0.75</v>
      </c>
      <c r="R1" s="39" t="s">
        <v>22</v>
      </c>
      <c r="S1" s="37" t="s">
        <v>24</v>
      </c>
      <c r="T1" s="38">
        <f>K2</f>
        <v>0.5</v>
      </c>
      <c r="U1" s="39" t="s">
        <v>25</v>
      </c>
      <c r="V1" s="37" t="s">
        <v>26</v>
      </c>
      <c r="W1" s="38">
        <f>L2</f>
        <v>0.25</v>
      </c>
      <c r="X1" s="39" t="s">
        <v>27</v>
      </c>
      <c r="Y1" s="79"/>
      <c r="Z1" s="80"/>
      <c r="AA1" s="79"/>
    </row>
    <row r="2" spans="1:27">
      <c r="F2" t="s">
        <v>11</v>
      </c>
      <c r="G2" t="s">
        <v>14</v>
      </c>
      <c r="I2" s="24" t="s">
        <v>11</v>
      </c>
      <c r="J2" s="6">
        <f>D53</f>
        <v>0.75</v>
      </c>
      <c r="K2" s="6">
        <f>D54</f>
        <v>0.5</v>
      </c>
      <c r="L2" s="6">
        <f>D55</f>
        <v>0.25</v>
      </c>
      <c r="M2" s="6"/>
      <c r="O2" s="32">
        <v>0</v>
      </c>
      <c r="P2" s="32">
        <f>O2</f>
        <v>0</v>
      </c>
      <c r="Q2" s="33">
        <f t="shared" ref="Q2:AA2" si="0">P2</f>
        <v>0</v>
      </c>
      <c r="R2" s="34">
        <f t="shared" si="0"/>
        <v>0</v>
      </c>
      <c r="S2" s="32">
        <f t="shared" si="0"/>
        <v>0</v>
      </c>
      <c r="T2" s="33">
        <f t="shared" si="0"/>
        <v>0</v>
      </c>
      <c r="U2" s="34">
        <f t="shared" si="0"/>
        <v>0</v>
      </c>
      <c r="V2" s="32">
        <f t="shared" si="0"/>
        <v>0</v>
      </c>
      <c r="W2" s="33">
        <f t="shared" si="0"/>
        <v>0</v>
      </c>
      <c r="X2" s="34">
        <f t="shared" si="0"/>
        <v>0</v>
      </c>
      <c r="Y2" s="33"/>
      <c r="Z2" s="33"/>
      <c r="AA2" s="33"/>
    </row>
    <row r="3" spans="1:27">
      <c r="F3" s="13">
        <f>E52</f>
        <v>0.1942257217847769</v>
      </c>
      <c r="G3" s="13">
        <f>F52</f>
        <v>5.56776993060274E-3</v>
      </c>
      <c r="I3" s="11">
        <f>F3</f>
        <v>0.1942257217847769</v>
      </c>
      <c r="J3" s="11">
        <f>E53</f>
        <v>4.6772875816993457E-2</v>
      </c>
      <c r="K3" s="11">
        <f>E54</f>
        <v>3.5634531590413923E-2</v>
      </c>
      <c r="L3" s="11">
        <f>E55</f>
        <v>3.2952069716775612E-2</v>
      </c>
      <c r="M3" s="11"/>
      <c r="O3" s="40">
        <f t="shared" ref="O3:O9" si="1">I3</f>
        <v>0.1942257217847769</v>
      </c>
      <c r="P3" s="40">
        <f t="shared" ref="P3:P9" si="2">Q3-$C$13*J15</f>
        <v>4.1279657876741968E-2</v>
      </c>
      <c r="Q3" s="41">
        <f t="shared" ref="Q3:Q9" si="3">J3</f>
        <v>4.6772875816993457E-2</v>
      </c>
      <c r="R3" s="42">
        <f t="shared" ref="R3:R9" si="4">Q3+$C$13*J15</f>
        <v>5.2266093757244947E-2</v>
      </c>
      <c r="S3" s="40">
        <f t="shared" ref="S3:S9" si="5">T3-$C$13*K15</f>
        <v>5.0650907105040804E-3</v>
      </c>
      <c r="T3" s="41">
        <f t="shared" ref="T3:T9" si="6">K3</f>
        <v>3.5634531590413923E-2</v>
      </c>
      <c r="U3" s="42">
        <f>T3+$C$13*K15</f>
        <v>6.6203972470323766E-2</v>
      </c>
      <c r="V3" s="40">
        <f t="shared" ref="V3:V9" si="7">W3-$C$13*L15</f>
        <v>4.6960485403433061E-3</v>
      </c>
      <c r="W3" s="41">
        <f t="shared" ref="W3:W9" si="8">L3</f>
        <v>3.2952069716775612E-2</v>
      </c>
      <c r="X3" s="42">
        <f t="shared" ref="X3:X9" si="9">W3+$C$13*L15</f>
        <v>6.1208090893207917E-2</v>
      </c>
      <c r="Y3" s="41"/>
      <c r="Z3" s="41"/>
      <c r="AA3" s="41"/>
    </row>
    <row r="4" spans="1:27">
      <c r="F4" s="13">
        <f>E56</f>
        <v>0.29571303587051617</v>
      </c>
      <c r="G4" s="13">
        <f>F56</f>
        <v>5.7203398209195351E-3</v>
      </c>
      <c r="I4" s="11">
        <f t="shared" ref="I4:I9" si="10">F4</f>
        <v>0.29571303587051617</v>
      </c>
      <c r="J4" s="11">
        <f>E57</f>
        <v>6.6952614379084952E-2</v>
      </c>
      <c r="K4" s="11">
        <f>E58</f>
        <v>5.0367647058823517E-2</v>
      </c>
      <c r="L4" s="11">
        <f>E59</f>
        <v>4.6160130718954251E-2</v>
      </c>
      <c r="M4" s="11"/>
      <c r="O4" s="40">
        <f t="shared" si="1"/>
        <v>0.29571303587051617</v>
      </c>
      <c r="P4" s="40">
        <f t="shared" si="2"/>
        <v>6.0955063606630763E-2</v>
      </c>
      <c r="Q4" s="41">
        <f t="shared" si="3"/>
        <v>6.6952614379084952E-2</v>
      </c>
      <c r="R4" s="42">
        <f t="shared" si="4"/>
        <v>7.295016515153914E-2</v>
      </c>
      <c r="S4" s="40">
        <f t="shared" si="5"/>
        <v>7.4345214915239946E-3</v>
      </c>
      <c r="T4" s="41">
        <f t="shared" si="6"/>
        <v>5.0367647058823517E-2</v>
      </c>
      <c r="U4" s="42">
        <f>T4+$C$13*K16</f>
        <v>9.3300772626123046E-2</v>
      </c>
      <c r="V4" s="40">
        <f t="shared" si="7"/>
        <v>6.7035330845178279E-3</v>
      </c>
      <c r="W4" s="41">
        <f t="shared" si="8"/>
        <v>4.6160130718954251E-2</v>
      </c>
      <c r="X4" s="42">
        <f t="shared" si="9"/>
        <v>8.5616728353390681E-2</v>
      </c>
      <c r="Y4" s="41"/>
      <c r="Z4" s="41"/>
      <c r="AA4" s="41"/>
    </row>
    <row r="5" spans="1:27">
      <c r="F5" s="13">
        <f>E60</f>
        <v>0.39545056867891515</v>
      </c>
      <c r="G5" s="13">
        <f>F60</f>
        <v>8.6055623678504035E-3</v>
      </c>
      <c r="I5" s="11">
        <f t="shared" si="10"/>
        <v>0.39545056867891515</v>
      </c>
      <c r="J5" s="11">
        <f>E61</f>
        <v>7.5490196078431382E-2</v>
      </c>
      <c r="K5" s="11">
        <f>E62</f>
        <v>5.7352941176470579E-2</v>
      </c>
      <c r="L5" s="11">
        <f>E63</f>
        <v>5.3690087145969505E-2</v>
      </c>
      <c r="M5" s="11"/>
      <c r="O5" s="40">
        <f t="shared" si="1"/>
        <v>0.39545056867891515</v>
      </c>
      <c r="P5" s="40">
        <f t="shared" si="2"/>
        <v>6.8371334710515472E-2</v>
      </c>
      <c r="Q5" s="41">
        <f t="shared" si="3"/>
        <v>7.5490196078431382E-2</v>
      </c>
      <c r="R5" s="42">
        <f t="shared" si="4"/>
        <v>8.2609057446347292E-2</v>
      </c>
      <c r="S5" s="40">
        <f t="shared" si="5"/>
        <v>8.5251243521836523E-3</v>
      </c>
      <c r="T5" s="41">
        <f t="shared" si="6"/>
        <v>5.7352941176470579E-2</v>
      </c>
      <c r="U5" s="42">
        <f t="shared" ref="U3:U9" si="11">T5+$C$13*K17</f>
        <v>0.10618075800075751</v>
      </c>
      <c r="V5" s="40">
        <f t="shared" si="7"/>
        <v>7.8613619201913162E-3</v>
      </c>
      <c r="W5" s="41">
        <f t="shared" si="8"/>
        <v>5.3690087145969505E-2</v>
      </c>
      <c r="X5" s="42">
        <f t="shared" si="9"/>
        <v>9.95188123717477E-2</v>
      </c>
      <c r="Y5" s="41"/>
      <c r="Z5" s="41"/>
      <c r="AA5" s="41"/>
    </row>
    <row r="6" spans="1:27">
      <c r="F6" s="13">
        <f>E64</f>
        <v>0.47681539807524065</v>
      </c>
      <c r="G6" s="13">
        <f>F64</f>
        <v>9.732543946319774E-3</v>
      </c>
      <c r="I6" s="11">
        <f t="shared" si="10"/>
        <v>0.47681539807524065</v>
      </c>
      <c r="J6" s="11">
        <f>E65</f>
        <v>7.8417755991285407E-2</v>
      </c>
      <c r="K6" s="11">
        <f>E66</f>
        <v>6.2009803921568629E-2</v>
      </c>
      <c r="L6" s="11">
        <f>E67</f>
        <v>5.799291938997822E-2</v>
      </c>
      <c r="M6" s="11"/>
      <c r="O6" s="40">
        <f t="shared" si="1"/>
        <v>0.47681539807524065</v>
      </c>
      <c r="P6" s="40">
        <f t="shared" si="2"/>
        <v>6.6443644362912488E-2</v>
      </c>
      <c r="Q6" s="41">
        <f t="shared" si="3"/>
        <v>7.8417755991285407E-2</v>
      </c>
      <c r="R6" s="42">
        <f t="shared" si="4"/>
        <v>9.0391867619658325E-2</v>
      </c>
      <c r="S6" s="40">
        <f t="shared" si="5"/>
        <v>9.0233292241040514E-3</v>
      </c>
      <c r="T6" s="41">
        <f t="shared" si="6"/>
        <v>6.2009803921568629E-2</v>
      </c>
      <c r="U6" s="42">
        <f t="shared" si="11"/>
        <v>0.11499627861903321</v>
      </c>
      <c r="V6" s="40">
        <f t="shared" si="7"/>
        <v>8.3213681326111469E-3</v>
      </c>
      <c r="W6" s="41">
        <f t="shared" si="8"/>
        <v>5.799291938997822E-2</v>
      </c>
      <c r="X6" s="42">
        <f t="shared" si="9"/>
        <v>0.1076644706473453</v>
      </c>
      <c r="Y6" s="41"/>
      <c r="Z6" s="41"/>
      <c r="AA6" s="41"/>
    </row>
    <row r="7" spans="1:27">
      <c r="F7" s="13">
        <f>E68</f>
        <v>0.5879265091863517</v>
      </c>
      <c r="G7" s="13">
        <f>F68</f>
        <v>1.0416343744348818E-2</v>
      </c>
      <c r="I7" s="11">
        <f t="shared" si="10"/>
        <v>0.5879265091863517</v>
      </c>
      <c r="J7" s="11">
        <f>E69</f>
        <v>7.7668845315904164E-2</v>
      </c>
      <c r="K7" s="11">
        <f>E70</f>
        <v>6.5958605664488024E-2</v>
      </c>
      <c r="L7" s="11">
        <f>E71</f>
        <v>6.3017429193899785E-2</v>
      </c>
      <c r="M7" s="11"/>
      <c r="O7" s="40">
        <f t="shared" si="1"/>
        <v>0.5879265091863517</v>
      </c>
      <c r="P7" s="40">
        <f t="shared" si="2"/>
        <v>5.4515511442069051E-2</v>
      </c>
      <c r="Q7" s="41">
        <f t="shared" si="3"/>
        <v>7.7668845315904164E-2</v>
      </c>
      <c r="R7" s="42">
        <f t="shared" si="4"/>
        <v>0.10082217918973928</v>
      </c>
      <c r="S7" s="40">
        <f t="shared" si="5"/>
        <v>9.7786510654027103E-3</v>
      </c>
      <c r="T7" s="41">
        <f t="shared" si="6"/>
        <v>6.5958605664488024E-2</v>
      </c>
      <c r="U7" s="42">
        <f t="shared" si="11"/>
        <v>0.12213856026357334</v>
      </c>
      <c r="V7" s="40">
        <f t="shared" si="7"/>
        <v>9.2759375382222287E-3</v>
      </c>
      <c r="W7" s="41">
        <f t="shared" si="8"/>
        <v>6.3017429193899785E-2</v>
      </c>
      <c r="X7" s="42">
        <f t="shared" si="9"/>
        <v>0.11675892084957734</v>
      </c>
      <c r="Y7" s="41"/>
      <c r="Z7" s="41"/>
      <c r="AA7" s="41"/>
    </row>
    <row r="8" spans="1:27">
      <c r="D8" s="6"/>
      <c r="F8" s="13">
        <f>E72</f>
        <v>0.72965879265091871</v>
      </c>
      <c r="G8" s="13">
        <f>F72</f>
        <v>1.2449912047907028E-2</v>
      </c>
      <c r="I8" s="11">
        <f t="shared" si="10"/>
        <v>0.72965879265091871</v>
      </c>
      <c r="J8" s="11">
        <f>E73</f>
        <v>7.0356753812636161E-2</v>
      </c>
      <c r="K8" s="11">
        <f>E74</f>
        <v>7.0098039215686275E-2</v>
      </c>
      <c r="L8" s="11">
        <f>E75</f>
        <v>6.7116013071895436E-2</v>
      </c>
      <c r="M8" s="11"/>
      <c r="O8" s="40">
        <f t="shared" si="1"/>
        <v>0.72965879265091871</v>
      </c>
      <c r="P8" s="40">
        <f t="shared" si="2"/>
        <v>3.6582782610614373E-2</v>
      </c>
      <c r="Q8" s="41">
        <f t="shared" si="3"/>
        <v>7.0356753812636161E-2</v>
      </c>
      <c r="R8" s="42">
        <f t="shared" si="4"/>
        <v>0.10413072501465795</v>
      </c>
      <c r="S8" s="40">
        <f t="shared" si="5"/>
        <v>1.025571569311199E-2</v>
      </c>
      <c r="T8" s="41">
        <f t="shared" si="6"/>
        <v>7.0098039215686275E-2</v>
      </c>
      <c r="U8" s="42">
        <f t="shared" si="11"/>
        <v>0.12994036273826057</v>
      </c>
      <c r="V8" s="40">
        <f t="shared" si="7"/>
        <v>9.8892210697309468E-3</v>
      </c>
      <c r="W8" s="41">
        <f t="shared" si="8"/>
        <v>6.7116013071895436E-2</v>
      </c>
      <c r="X8" s="42">
        <f t="shared" si="9"/>
        <v>0.12434280507405993</v>
      </c>
      <c r="Y8" s="41"/>
      <c r="Z8" s="41"/>
      <c r="AA8" s="41"/>
    </row>
    <row r="9" spans="1:27">
      <c r="D9" s="6"/>
      <c r="F9" s="13">
        <f>E76</f>
        <v>0.9046369203849518</v>
      </c>
      <c r="G9" s="13">
        <f>F76</f>
        <v>1.4435695538057772E-2</v>
      </c>
      <c r="I9" s="11">
        <f t="shared" si="10"/>
        <v>0.9046369203849518</v>
      </c>
      <c r="J9" s="11">
        <f>E77</f>
        <v>4.0536492374727673E-2</v>
      </c>
      <c r="K9" s="11">
        <f>E78</f>
        <v>7.2412854030501073E-2</v>
      </c>
      <c r="L9" s="11">
        <f>E79</f>
        <v>7.0506535947712418E-2</v>
      </c>
      <c r="M9" s="11"/>
      <c r="O9" s="43">
        <f t="shared" si="1"/>
        <v>0.9046369203849518</v>
      </c>
      <c r="P9" s="43">
        <f t="shared" si="2"/>
        <v>-1.9332913434369436E-2</v>
      </c>
      <c r="Q9" s="44">
        <f t="shared" si="3"/>
        <v>4.0536492374727673E-2</v>
      </c>
      <c r="R9" s="45">
        <f t="shared" si="4"/>
        <v>0.10040589818382478</v>
      </c>
      <c r="S9" s="43">
        <f t="shared" si="5"/>
        <v>1.0686015610419083E-2</v>
      </c>
      <c r="T9" s="44">
        <f t="shared" si="6"/>
        <v>7.2412854030501073E-2</v>
      </c>
      <c r="U9" s="45">
        <f t="shared" si="11"/>
        <v>0.13413969245058305</v>
      </c>
      <c r="V9" s="43">
        <f t="shared" si="7"/>
        <v>1.0288405476427009E-2</v>
      </c>
      <c r="W9" s="44">
        <f t="shared" si="8"/>
        <v>7.0506535947712418E-2</v>
      </c>
      <c r="X9" s="45">
        <f t="shared" si="9"/>
        <v>0.13072466641899783</v>
      </c>
      <c r="Y9" s="41"/>
      <c r="Z9" s="41"/>
      <c r="AA9" s="41"/>
    </row>
    <row r="10" spans="1:27" ht="15.75" thickBot="1">
      <c r="D10" s="6"/>
      <c r="I10" t="s">
        <v>16</v>
      </c>
      <c r="J10" s="11">
        <f>MAX(J3:J9)</f>
        <v>7.8417755991285407E-2</v>
      </c>
      <c r="K10" s="11">
        <f t="shared" ref="K10:M10" si="12">MAX(K3:K9)</f>
        <v>7.2412854030501073E-2</v>
      </c>
      <c r="L10" s="11">
        <f t="shared" si="12"/>
        <v>7.0506535947712418E-2</v>
      </c>
      <c r="M10" s="11"/>
    </row>
    <row r="11" spans="1:27">
      <c r="A11" s="67" t="s">
        <v>18</v>
      </c>
      <c r="B11" s="68"/>
      <c r="C11" s="49">
        <v>255</v>
      </c>
      <c r="I11" t="s">
        <v>17</v>
      </c>
      <c r="J11" s="11">
        <f>J10-J9</f>
        <v>3.7881263616557734E-2</v>
      </c>
      <c r="K11" s="11">
        <f t="shared" ref="K11:M11" si="13">K10-K9</f>
        <v>0</v>
      </c>
      <c r="L11" s="11">
        <f t="shared" si="13"/>
        <v>0</v>
      </c>
      <c r="M11" s="11"/>
      <c r="O11" s="58" t="s">
        <v>35</v>
      </c>
      <c r="P11" s="58"/>
      <c r="Q11" s="58"/>
      <c r="R11" s="58"/>
      <c r="S11" s="58"/>
      <c r="T11" s="58"/>
      <c r="U11" s="58"/>
    </row>
    <row r="12" spans="1:27">
      <c r="A12" s="70" t="s">
        <v>20</v>
      </c>
      <c r="B12" s="71"/>
      <c r="C12" s="50">
        <v>60</v>
      </c>
      <c r="O12" s="2" t="s">
        <v>0</v>
      </c>
      <c r="P12" s="59" t="s">
        <v>1</v>
      </c>
      <c r="Q12" s="60"/>
      <c r="R12" s="87" t="s">
        <v>5</v>
      </c>
      <c r="S12" s="4" t="s">
        <v>7</v>
      </c>
      <c r="T12" s="87" t="s">
        <v>6</v>
      </c>
      <c r="U12" s="4" t="s">
        <v>3</v>
      </c>
    </row>
    <row r="13" spans="1:27">
      <c r="A13" s="72" t="s">
        <v>21</v>
      </c>
      <c r="B13" s="73"/>
      <c r="C13" s="50">
        <v>1.5</v>
      </c>
      <c r="I13" s="69" t="s">
        <v>14</v>
      </c>
      <c r="J13" s="69"/>
      <c r="K13" s="69"/>
      <c r="L13" s="69"/>
      <c r="M13" s="9"/>
      <c r="O13" s="3">
        <v>1</v>
      </c>
      <c r="P13" s="76">
        <f>J2</f>
        <v>0.75</v>
      </c>
      <c r="Q13" s="48" t="s">
        <v>16</v>
      </c>
      <c r="R13" s="8">
        <f>E81-3*F81</f>
        <v>5.837919739489876E-2</v>
      </c>
      <c r="S13" s="8">
        <f>E81</f>
        <v>8.6002178649237482E-2</v>
      </c>
      <c r="T13" s="8">
        <f>E81+3*F81</f>
        <v>0.1136251599035762</v>
      </c>
      <c r="U13" s="4" t="s">
        <v>2</v>
      </c>
    </row>
    <row r="14" spans="1:27" ht="15.75" thickBot="1">
      <c r="A14" s="74" t="s">
        <v>34</v>
      </c>
      <c r="B14" s="75"/>
      <c r="C14" s="51">
        <f>COUNT(data0!E2:AJ2)</f>
        <v>9</v>
      </c>
      <c r="I14" s="24" t="str">
        <f>I2</f>
        <v>IR</v>
      </c>
      <c r="J14" s="6">
        <f t="shared" ref="J14:M14" si="14">J2</f>
        <v>0.75</v>
      </c>
      <c r="K14" s="6">
        <f t="shared" si="14"/>
        <v>0.5</v>
      </c>
      <c r="L14" s="6">
        <f t="shared" si="14"/>
        <v>0.25</v>
      </c>
      <c r="M14" s="6"/>
      <c r="O14" s="3">
        <f>O13+0.01</f>
        <v>1.01</v>
      </c>
      <c r="P14" s="76"/>
      <c r="Q14" s="48" t="s">
        <v>17</v>
      </c>
      <c r="R14" s="8">
        <f t="shared" ref="R14:R20" si="15">E82-3*F82</f>
        <v>-5.7411460303640714E-2</v>
      </c>
      <c r="S14" s="8">
        <f t="shared" ref="S14:S20" si="16">E82</f>
        <v>4.5465686274509802E-2</v>
      </c>
      <c r="T14" s="8">
        <f t="shared" ref="T14:T20" si="17">E82+3*F82</f>
        <v>0.14834283285266031</v>
      </c>
      <c r="U14" s="4" t="str">
        <f>U13</f>
        <v>%FSR</v>
      </c>
    </row>
    <row r="15" spans="1:27">
      <c r="D15" s="6"/>
      <c r="I15" s="11">
        <f t="shared" ref="I15:I21" si="18">I3</f>
        <v>0.1942257217847769</v>
      </c>
      <c r="J15" s="11">
        <f>F53</f>
        <v>3.6621452935009951E-3</v>
      </c>
      <c r="K15" s="11">
        <f>F54</f>
        <v>2.037962725327323E-2</v>
      </c>
      <c r="L15" s="11">
        <f>F55</f>
        <v>1.8837347450954871E-2</v>
      </c>
      <c r="M15" s="11"/>
      <c r="O15" s="3">
        <f>O14+0.01</f>
        <v>1.02</v>
      </c>
      <c r="P15" s="76">
        <f>K2</f>
        <v>0.5</v>
      </c>
      <c r="Q15" s="48" t="str">
        <f t="shared" ref="Q15:Q20" si="19">Q13</f>
        <v>Rise</v>
      </c>
      <c r="R15" s="8">
        <f t="shared" si="15"/>
        <v>-5.1040822809662906E-2</v>
      </c>
      <c r="S15" s="8">
        <f t="shared" si="16"/>
        <v>7.2412854030501073E-2</v>
      </c>
      <c r="T15" s="8">
        <f t="shared" si="17"/>
        <v>0.19586653087066505</v>
      </c>
      <c r="U15" s="4" t="str">
        <f t="shared" ref="U15:U20" si="20">U14</f>
        <v>%FSR</v>
      </c>
    </row>
    <row r="16" spans="1:27">
      <c r="I16" s="11">
        <f t="shared" si="18"/>
        <v>0.29571303587051617</v>
      </c>
      <c r="J16" s="11">
        <f>F57</f>
        <v>3.9983671816361255E-3</v>
      </c>
      <c r="K16" s="11">
        <f>F58</f>
        <v>2.8622083711533016E-2</v>
      </c>
      <c r="L16" s="11">
        <f>F59</f>
        <v>2.6304398422957617E-2</v>
      </c>
      <c r="M16" s="11"/>
      <c r="O16" s="3">
        <f>O15+0.01</f>
        <v>1.03</v>
      </c>
      <c r="P16" s="76"/>
      <c r="Q16" s="48" t="str">
        <f t="shared" si="19"/>
        <v>Droop</v>
      </c>
      <c r="R16" s="8">
        <f t="shared" si="15"/>
        <v>0</v>
      </c>
      <c r="S16" s="8">
        <f t="shared" si="16"/>
        <v>0</v>
      </c>
      <c r="T16" s="8">
        <f t="shared" si="17"/>
        <v>0</v>
      </c>
      <c r="U16" s="4" t="str">
        <f t="shared" si="20"/>
        <v>%FSR</v>
      </c>
    </row>
    <row r="17" spans="4:27">
      <c r="D17" s="6"/>
      <c r="I17" s="11">
        <f t="shared" si="18"/>
        <v>0.39545056867891515</v>
      </c>
      <c r="J17" s="11">
        <f>F61</f>
        <v>4.7459075786106079E-3</v>
      </c>
      <c r="K17" s="11">
        <f>F62</f>
        <v>3.2551877882857953E-2</v>
      </c>
      <c r="L17" s="11">
        <f>F63</f>
        <v>3.0552483483852123E-2</v>
      </c>
      <c r="M17" s="11"/>
      <c r="O17" s="3">
        <f t="shared" ref="O17:O20" si="21">O16+0.01</f>
        <v>1.04</v>
      </c>
      <c r="P17" s="76">
        <f>L2</f>
        <v>0.25</v>
      </c>
      <c r="Q17" s="48" t="str">
        <f t="shared" si="19"/>
        <v>Rise</v>
      </c>
      <c r="R17" s="8">
        <f t="shared" si="15"/>
        <v>-4.9929724994858399E-2</v>
      </c>
      <c r="S17" s="8">
        <f t="shared" si="16"/>
        <v>7.0506535947712418E-2</v>
      </c>
      <c r="T17" s="8">
        <f t="shared" si="17"/>
        <v>0.19094279689028323</v>
      </c>
      <c r="U17" s="4" t="str">
        <f t="shared" si="20"/>
        <v>%FSR</v>
      </c>
    </row>
    <row r="18" spans="4:27">
      <c r="D18" s="6"/>
      <c r="I18" s="11">
        <f t="shared" si="18"/>
        <v>0.47681539807524065</v>
      </c>
      <c r="J18" s="11">
        <f>F65</f>
        <v>7.9827410855819476E-3</v>
      </c>
      <c r="K18" s="11">
        <f>F66</f>
        <v>3.5324316464976385E-2</v>
      </c>
      <c r="L18" s="11">
        <f>F67</f>
        <v>3.3114367504911382E-2</v>
      </c>
      <c r="M18" s="11"/>
      <c r="O18" s="3">
        <f t="shared" si="21"/>
        <v>1.05</v>
      </c>
      <c r="P18" s="76"/>
      <c r="Q18" s="48" t="str">
        <f t="shared" si="19"/>
        <v>Droop</v>
      </c>
      <c r="R18" s="8">
        <f t="shared" si="15"/>
        <v>0</v>
      </c>
      <c r="S18" s="8">
        <f t="shared" si="16"/>
        <v>0</v>
      </c>
      <c r="T18" s="8">
        <f t="shared" si="17"/>
        <v>0</v>
      </c>
      <c r="U18" s="4" t="str">
        <f t="shared" si="20"/>
        <v>%FSR</v>
      </c>
    </row>
    <row r="19" spans="4:27">
      <c r="D19" s="6"/>
      <c r="I19" s="11">
        <f t="shared" si="18"/>
        <v>0.5879265091863517</v>
      </c>
      <c r="J19" s="11">
        <f>F69</f>
        <v>1.5435555915890077E-2</v>
      </c>
      <c r="K19" s="11">
        <f>F70</f>
        <v>3.7453303066056876E-2</v>
      </c>
      <c r="L19" s="11">
        <f>F71</f>
        <v>3.582766110378504E-2</v>
      </c>
      <c r="M19" s="11"/>
      <c r="O19" s="82"/>
      <c r="P19" s="83"/>
      <c r="Q19" s="84"/>
      <c r="R19" s="85"/>
      <c r="S19" s="85"/>
      <c r="T19" s="85"/>
      <c r="U19" s="86"/>
    </row>
    <row r="20" spans="4:27">
      <c r="D20" s="6"/>
      <c r="I20" s="11">
        <f t="shared" si="18"/>
        <v>0.72965879265091871</v>
      </c>
      <c r="J20" s="11">
        <f>F73</f>
        <v>2.2515980801347858E-2</v>
      </c>
      <c r="K20" s="11">
        <f>F74</f>
        <v>3.9894882348382857E-2</v>
      </c>
      <c r="L20" s="11">
        <f>F75</f>
        <v>3.8151194668109657E-2</v>
      </c>
      <c r="M20" s="11"/>
      <c r="O20" s="82"/>
      <c r="P20" s="83"/>
      <c r="Q20" s="84"/>
      <c r="R20" s="85"/>
      <c r="S20" s="85"/>
      <c r="T20" s="85"/>
      <c r="U20" s="86"/>
    </row>
    <row r="21" spans="4:27">
      <c r="I21" s="11">
        <f t="shared" si="18"/>
        <v>0.9046369203849518</v>
      </c>
      <c r="J21" s="11">
        <f>F77</f>
        <v>3.9912937206064737E-2</v>
      </c>
      <c r="K21" s="11">
        <f>F78</f>
        <v>4.1151225613387993E-2</v>
      </c>
      <c r="L21" s="11">
        <f>F79</f>
        <v>4.0145420314190272E-2</v>
      </c>
      <c r="M21" s="11"/>
    </row>
    <row r="22" spans="4:27">
      <c r="D22" s="6"/>
    </row>
    <row r="23" spans="4:27">
      <c r="I23" s="69" t="str">
        <f>I1</f>
        <v>Mean</v>
      </c>
      <c r="J23" s="69"/>
      <c r="K23" s="69"/>
      <c r="L23" s="69"/>
      <c r="M23" s="9"/>
      <c r="O23" s="46" t="str">
        <f>I24</f>
        <v>kLux</v>
      </c>
      <c r="P23" s="37" t="s">
        <v>28</v>
      </c>
      <c r="Q23" s="47">
        <f>J24</f>
        <v>191.25</v>
      </c>
      <c r="R23" s="39" t="s">
        <v>29</v>
      </c>
      <c r="S23" s="37" t="s">
        <v>30</v>
      </c>
      <c r="T23" s="47">
        <f>K24</f>
        <v>127.5</v>
      </c>
      <c r="U23" s="39" t="s">
        <v>31</v>
      </c>
      <c r="V23" s="37" t="s">
        <v>32</v>
      </c>
      <c r="W23" s="47">
        <f>L24</f>
        <v>63.75</v>
      </c>
      <c r="X23" s="39" t="s">
        <v>33</v>
      </c>
      <c r="Y23" s="79"/>
      <c r="Z23" s="81"/>
      <c r="AA23" s="79"/>
    </row>
    <row r="24" spans="4:27">
      <c r="I24" s="24" t="s">
        <v>19</v>
      </c>
      <c r="J24" s="21">
        <f>J2*$C$11</f>
        <v>191.25</v>
      </c>
      <c r="K24" s="21">
        <f t="shared" ref="J24:M33" si="22">K2*$C$11</f>
        <v>127.5</v>
      </c>
      <c r="L24" s="21">
        <f t="shared" si="22"/>
        <v>63.75</v>
      </c>
      <c r="M24" s="21"/>
      <c r="O24" s="32">
        <v>0</v>
      </c>
      <c r="P24" s="32">
        <f>O24</f>
        <v>0</v>
      </c>
      <c r="Q24" s="33">
        <f t="shared" ref="Q24:AA24" si="23">P24</f>
        <v>0</v>
      </c>
      <c r="R24" s="34">
        <f t="shared" si="23"/>
        <v>0</v>
      </c>
      <c r="S24" s="32">
        <f t="shared" si="23"/>
        <v>0</v>
      </c>
      <c r="T24" s="33">
        <f t="shared" si="23"/>
        <v>0</v>
      </c>
      <c r="U24" s="34">
        <f t="shared" si="23"/>
        <v>0</v>
      </c>
      <c r="V24" s="32">
        <f t="shared" si="23"/>
        <v>0</v>
      </c>
      <c r="W24" s="33">
        <f t="shared" si="23"/>
        <v>0</v>
      </c>
      <c r="X24" s="34">
        <f t="shared" si="23"/>
        <v>0</v>
      </c>
      <c r="Y24" s="33"/>
      <c r="Z24" s="33"/>
      <c r="AA24" s="33"/>
    </row>
    <row r="25" spans="4:27">
      <c r="I25" s="21">
        <f>I15*$C$12</f>
        <v>11.653543307086615</v>
      </c>
      <c r="J25" s="21">
        <f>J3*$C$11</f>
        <v>11.927083333333332</v>
      </c>
      <c r="K25" s="21">
        <f t="shared" si="22"/>
        <v>9.08680555555555</v>
      </c>
      <c r="L25" s="21">
        <f t="shared" si="22"/>
        <v>8.4027777777777803</v>
      </c>
      <c r="M25" s="21"/>
      <c r="O25" s="40">
        <f t="shared" ref="O25:O31" si="24">I25</f>
        <v>11.653543307086615</v>
      </c>
      <c r="P25" s="40">
        <f t="shared" ref="P25:P31" si="25">Q25-$C$13*J37</f>
        <v>10.526312758569201</v>
      </c>
      <c r="Q25" s="41">
        <f t="shared" ref="Q25:Q31" si="26">J25</f>
        <v>11.927083333333332</v>
      </c>
      <c r="R25" s="42">
        <f t="shared" ref="R25:R31" si="27">Q25+$C$13*J37</f>
        <v>13.327853908097463</v>
      </c>
      <c r="S25" s="40">
        <f t="shared" ref="S25:S31" si="28">T25-$C$13*K37</f>
        <v>1.2915981311785405</v>
      </c>
      <c r="T25" s="41">
        <f t="shared" ref="T25:T31" si="29">K25</f>
        <v>9.08680555555555</v>
      </c>
      <c r="U25" s="42">
        <f t="shared" ref="U25:U31" si="30">T25+$C$13*K37</f>
        <v>16.882012979932561</v>
      </c>
      <c r="V25" s="40">
        <f t="shared" ref="V25:V31" si="31">W25-$C$13*L37</f>
        <v>1.1974923777875421</v>
      </c>
      <c r="W25" s="41">
        <f t="shared" ref="W25:W31" si="32">L25</f>
        <v>8.4027777777777803</v>
      </c>
      <c r="X25" s="42">
        <f t="shared" ref="X25:X31" si="33">W25+$C$13*L37</f>
        <v>15.608063177768019</v>
      </c>
      <c r="Y25" s="41"/>
      <c r="Z25" s="41"/>
      <c r="AA25" s="41"/>
    </row>
    <row r="26" spans="4:27">
      <c r="I26" s="21">
        <f>I16*$C$12</f>
        <v>17.742782152230969</v>
      </c>
      <c r="J26" s="21">
        <f>J4*$C$11</f>
        <v>17.072916666666664</v>
      </c>
      <c r="K26" s="21">
        <f t="shared" si="22"/>
        <v>12.843749999999996</v>
      </c>
      <c r="L26" s="21">
        <f t="shared" si="22"/>
        <v>11.770833333333334</v>
      </c>
      <c r="M26" s="21"/>
      <c r="O26" s="40">
        <f t="shared" si="24"/>
        <v>17.742782152230969</v>
      </c>
      <c r="P26" s="40">
        <f t="shared" si="25"/>
        <v>15.543541219690846</v>
      </c>
      <c r="Q26" s="41">
        <f t="shared" si="26"/>
        <v>17.072916666666664</v>
      </c>
      <c r="R26" s="42">
        <f t="shared" si="27"/>
        <v>18.602292113642484</v>
      </c>
      <c r="S26" s="40">
        <f t="shared" si="28"/>
        <v>1.8958029803386189</v>
      </c>
      <c r="T26" s="41">
        <f t="shared" si="29"/>
        <v>12.843749999999996</v>
      </c>
      <c r="U26" s="42">
        <f t="shared" si="30"/>
        <v>23.791697019661374</v>
      </c>
      <c r="V26" s="40">
        <f t="shared" si="31"/>
        <v>1.7094009365520453</v>
      </c>
      <c r="W26" s="41">
        <f t="shared" si="32"/>
        <v>11.770833333333334</v>
      </c>
      <c r="X26" s="42">
        <f t="shared" si="33"/>
        <v>21.832265730114621</v>
      </c>
      <c r="Y26" s="41"/>
      <c r="Z26" s="41"/>
      <c r="AA26" s="41"/>
    </row>
    <row r="27" spans="4:27">
      <c r="D27" s="6"/>
      <c r="I27" s="21">
        <f t="shared" ref="I25:I31" si="34">I17*$C$12</f>
        <v>23.72703412073491</v>
      </c>
      <c r="J27" s="21">
        <f>J5*$C$11</f>
        <v>19.250000000000004</v>
      </c>
      <c r="K27" s="21">
        <f t="shared" si="22"/>
        <v>14.624999999999998</v>
      </c>
      <c r="L27" s="21">
        <f t="shared" si="22"/>
        <v>13.690972222222223</v>
      </c>
      <c r="M27" s="21"/>
      <c r="O27" s="40">
        <f t="shared" si="24"/>
        <v>23.72703412073491</v>
      </c>
      <c r="P27" s="40">
        <f t="shared" si="25"/>
        <v>17.434690351181445</v>
      </c>
      <c r="Q27" s="41">
        <f t="shared" si="26"/>
        <v>19.250000000000004</v>
      </c>
      <c r="R27" s="42">
        <f t="shared" si="27"/>
        <v>21.065309648818562</v>
      </c>
      <c r="S27" s="40">
        <f t="shared" si="28"/>
        <v>2.1739067098068308</v>
      </c>
      <c r="T27" s="41">
        <f t="shared" si="29"/>
        <v>14.624999999999998</v>
      </c>
      <c r="U27" s="42">
        <f t="shared" si="30"/>
        <v>27.076093290193164</v>
      </c>
      <c r="V27" s="40">
        <f t="shared" si="31"/>
        <v>2.0046472896487852</v>
      </c>
      <c r="W27" s="41">
        <f t="shared" si="32"/>
        <v>13.690972222222223</v>
      </c>
      <c r="X27" s="42">
        <f t="shared" si="33"/>
        <v>25.377297154795663</v>
      </c>
      <c r="Y27" s="41"/>
      <c r="Z27" s="41"/>
      <c r="AA27" s="41"/>
    </row>
    <row r="28" spans="4:27">
      <c r="D28" s="6"/>
      <c r="I28" s="21">
        <f t="shared" si="34"/>
        <v>28.608923884514439</v>
      </c>
      <c r="J28" s="21">
        <f>J6*$C$11</f>
        <v>19.996527777777779</v>
      </c>
      <c r="K28" s="21">
        <f t="shared" si="22"/>
        <v>15.8125</v>
      </c>
      <c r="L28" s="21">
        <f t="shared" si="22"/>
        <v>14.788194444444446</v>
      </c>
      <c r="M28" s="21"/>
      <c r="O28" s="40">
        <f t="shared" si="24"/>
        <v>28.608923884514439</v>
      </c>
      <c r="P28" s="40">
        <f t="shared" si="25"/>
        <v>16.943129312542684</v>
      </c>
      <c r="Q28" s="41">
        <f t="shared" si="26"/>
        <v>19.996527777777779</v>
      </c>
      <c r="R28" s="42">
        <f t="shared" si="27"/>
        <v>23.049926243012873</v>
      </c>
      <c r="S28" s="40">
        <f t="shared" si="28"/>
        <v>2.3009489521465323</v>
      </c>
      <c r="T28" s="41">
        <f t="shared" si="29"/>
        <v>15.8125</v>
      </c>
      <c r="U28" s="42">
        <f t="shared" si="30"/>
        <v>29.324051047853466</v>
      </c>
      <c r="V28" s="40">
        <f t="shared" si="31"/>
        <v>2.1219488738158425</v>
      </c>
      <c r="W28" s="41">
        <f t="shared" si="32"/>
        <v>14.788194444444446</v>
      </c>
      <c r="X28" s="42">
        <f t="shared" si="33"/>
        <v>27.45444001507305</v>
      </c>
      <c r="Y28" s="41"/>
      <c r="Z28" s="41"/>
      <c r="AA28" s="41"/>
    </row>
    <row r="29" spans="4:27">
      <c r="D29" s="6"/>
      <c r="I29" s="21">
        <f t="shared" si="34"/>
        <v>35.275590551181104</v>
      </c>
      <c r="J29" s="21">
        <f>J7*$C$11</f>
        <v>19.805555555555561</v>
      </c>
      <c r="K29" s="21">
        <f t="shared" si="22"/>
        <v>16.819444444444446</v>
      </c>
      <c r="L29" s="21">
        <f t="shared" si="22"/>
        <v>16.069444444444446</v>
      </c>
      <c r="M29" s="21"/>
      <c r="O29" s="40">
        <f t="shared" si="24"/>
        <v>35.275590551181104</v>
      </c>
      <c r="P29" s="40">
        <f t="shared" si="25"/>
        <v>13.901455417727608</v>
      </c>
      <c r="Q29" s="41">
        <f t="shared" si="26"/>
        <v>19.805555555555561</v>
      </c>
      <c r="R29" s="42">
        <f t="shared" si="27"/>
        <v>25.709655693383514</v>
      </c>
      <c r="S29" s="40">
        <f t="shared" si="28"/>
        <v>2.4935560216776906</v>
      </c>
      <c r="T29" s="41">
        <f t="shared" si="29"/>
        <v>16.819444444444446</v>
      </c>
      <c r="U29" s="42">
        <f t="shared" si="30"/>
        <v>31.145332867211202</v>
      </c>
      <c r="V29" s="40">
        <f t="shared" si="31"/>
        <v>2.3653640722466669</v>
      </c>
      <c r="W29" s="41">
        <f t="shared" si="32"/>
        <v>16.069444444444446</v>
      </c>
      <c r="X29" s="42">
        <f t="shared" si="33"/>
        <v>29.773524816642226</v>
      </c>
      <c r="Y29" s="41"/>
      <c r="Z29" s="41"/>
      <c r="AA29" s="41"/>
    </row>
    <row r="30" spans="4:27">
      <c r="D30" s="6"/>
      <c r="I30" s="21">
        <f t="shared" si="34"/>
        <v>43.779527559055126</v>
      </c>
      <c r="J30" s="21">
        <f>J8*$C$11</f>
        <v>17.940972222222221</v>
      </c>
      <c r="K30" s="21">
        <f t="shared" si="22"/>
        <v>17.875</v>
      </c>
      <c r="L30" s="21">
        <f t="shared" si="22"/>
        <v>17.114583333333336</v>
      </c>
      <c r="M30" s="21"/>
      <c r="O30" s="40">
        <f t="shared" si="24"/>
        <v>43.779527559055126</v>
      </c>
      <c r="P30" s="40">
        <f t="shared" si="25"/>
        <v>9.3286095657066657</v>
      </c>
      <c r="Q30" s="41">
        <f t="shared" si="26"/>
        <v>17.940972222222221</v>
      </c>
      <c r="R30" s="42">
        <f t="shared" si="27"/>
        <v>26.553334878737779</v>
      </c>
      <c r="S30" s="40">
        <f t="shared" si="28"/>
        <v>2.6152075017435585</v>
      </c>
      <c r="T30" s="41">
        <f t="shared" si="29"/>
        <v>17.875</v>
      </c>
      <c r="U30" s="42">
        <f t="shared" si="30"/>
        <v>33.134792498256445</v>
      </c>
      <c r="V30" s="40">
        <f t="shared" si="31"/>
        <v>2.5217513727813916</v>
      </c>
      <c r="W30" s="41">
        <f t="shared" si="32"/>
        <v>17.114583333333336</v>
      </c>
      <c r="X30" s="42">
        <f t="shared" si="33"/>
        <v>31.70741529388528</v>
      </c>
      <c r="Y30" s="41"/>
      <c r="Z30" s="41"/>
      <c r="AA30" s="41"/>
    </row>
    <row r="31" spans="4:27">
      <c r="I31" s="21">
        <f>I21*$C$12</f>
        <v>54.278215223097106</v>
      </c>
      <c r="J31" s="21">
        <f>J9*$C$11</f>
        <v>10.336805555555557</v>
      </c>
      <c r="K31" s="21">
        <f>K9*$C$11</f>
        <v>18.465277777777775</v>
      </c>
      <c r="L31" s="21">
        <f t="shared" si="22"/>
        <v>17.979166666666668</v>
      </c>
      <c r="M31" s="21"/>
      <c r="O31" s="43">
        <f t="shared" si="24"/>
        <v>54.278215223097106</v>
      </c>
      <c r="P31" s="43">
        <f t="shared" si="25"/>
        <v>-4.9298929257642037</v>
      </c>
      <c r="Q31" s="44">
        <f t="shared" si="26"/>
        <v>10.336805555555557</v>
      </c>
      <c r="R31" s="45">
        <f t="shared" si="27"/>
        <v>25.603504036875318</v>
      </c>
      <c r="S31" s="43">
        <f t="shared" si="28"/>
        <v>2.7249339806568678</v>
      </c>
      <c r="T31" s="44">
        <f t="shared" si="29"/>
        <v>18.465277777777775</v>
      </c>
      <c r="U31" s="45">
        <f t="shared" si="30"/>
        <v>34.205621574898686</v>
      </c>
      <c r="V31" s="43">
        <f t="shared" si="31"/>
        <v>2.6235433964888877</v>
      </c>
      <c r="W31" s="44">
        <f t="shared" si="32"/>
        <v>17.979166666666668</v>
      </c>
      <c r="X31" s="45">
        <f t="shared" si="33"/>
        <v>33.334789936844444</v>
      </c>
      <c r="Y31" s="41"/>
      <c r="Z31" s="41"/>
      <c r="AA31" s="41"/>
    </row>
    <row r="32" spans="4:27">
      <c r="I32" s="21" t="s">
        <v>16</v>
      </c>
      <c r="J32" s="21">
        <f t="shared" si="22"/>
        <v>19.996527777777779</v>
      </c>
      <c r="K32" s="21">
        <f t="shared" si="22"/>
        <v>18.465277777777775</v>
      </c>
      <c r="L32" s="21">
        <f t="shared" si="22"/>
        <v>17.979166666666668</v>
      </c>
      <c r="M32" s="21"/>
    </row>
    <row r="33" spans="4:13">
      <c r="I33" s="21" t="s">
        <v>17</v>
      </c>
      <c r="J33" s="21">
        <f t="shared" si="22"/>
        <v>9.6597222222222214</v>
      </c>
      <c r="K33" s="21">
        <f t="shared" si="22"/>
        <v>0</v>
      </c>
      <c r="L33" s="21">
        <f t="shared" si="22"/>
        <v>0</v>
      </c>
      <c r="M33" s="21"/>
    </row>
    <row r="34" spans="4:13">
      <c r="I34" s="21"/>
      <c r="J34" s="21"/>
      <c r="K34" s="21"/>
      <c r="L34" s="21"/>
      <c r="M34" s="21"/>
    </row>
    <row r="35" spans="4:13">
      <c r="I35" s="69" t="str">
        <f>I13</f>
        <v>StDev</v>
      </c>
      <c r="J35" s="69"/>
      <c r="K35" s="69"/>
      <c r="L35" s="69"/>
      <c r="M35" s="69"/>
    </row>
    <row r="36" spans="4:13">
      <c r="I36" s="24" t="s">
        <v>19</v>
      </c>
      <c r="J36" s="21">
        <f t="shared" ref="J36:M43" si="35">J14*$C$11</f>
        <v>191.25</v>
      </c>
      <c r="K36" s="21">
        <f t="shared" si="35"/>
        <v>127.5</v>
      </c>
      <c r="L36" s="21">
        <f t="shared" si="35"/>
        <v>63.75</v>
      </c>
      <c r="M36" s="21">
        <f t="shared" si="35"/>
        <v>0</v>
      </c>
    </row>
    <row r="37" spans="4:13">
      <c r="I37" s="21">
        <f>I25</f>
        <v>11.653543307086615</v>
      </c>
      <c r="J37" s="21">
        <f t="shared" si="35"/>
        <v>0.9338470498427538</v>
      </c>
      <c r="K37" s="21">
        <f t="shared" si="35"/>
        <v>5.1968049495846733</v>
      </c>
      <c r="L37" s="21">
        <f t="shared" si="35"/>
        <v>4.8035235999934924</v>
      </c>
      <c r="M37" s="21">
        <f t="shared" si="35"/>
        <v>0</v>
      </c>
    </row>
    <row r="38" spans="4:13">
      <c r="I38" s="21">
        <f t="shared" ref="I38:I43" si="36">I26</f>
        <v>17.742782152230969</v>
      </c>
      <c r="J38" s="21">
        <f t="shared" si="35"/>
        <v>1.019583631317212</v>
      </c>
      <c r="K38" s="21">
        <f t="shared" si="35"/>
        <v>7.2986313464409189</v>
      </c>
      <c r="L38" s="21">
        <f t="shared" si="35"/>
        <v>6.7076215978541924</v>
      </c>
      <c r="M38" s="21">
        <f t="shared" si="35"/>
        <v>0</v>
      </c>
    </row>
    <row r="39" spans="4:13">
      <c r="I39" s="21">
        <f t="shared" si="36"/>
        <v>23.72703412073491</v>
      </c>
      <c r="J39" s="21">
        <f t="shared" si="35"/>
        <v>1.2102064325457049</v>
      </c>
      <c r="K39" s="21">
        <f t="shared" si="35"/>
        <v>8.3007288601287783</v>
      </c>
      <c r="L39" s="21">
        <f t="shared" si="35"/>
        <v>7.7908832883822914</v>
      </c>
      <c r="M39" s="21">
        <f t="shared" si="35"/>
        <v>0</v>
      </c>
    </row>
    <row r="40" spans="4:13">
      <c r="I40" s="21">
        <f t="shared" si="36"/>
        <v>28.608923884514439</v>
      </c>
      <c r="J40" s="21">
        <f t="shared" si="35"/>
        <v>2.0355989768233966</v>
      </c>
      <c r="K40" s="21">
        <f t="shared" si="35"/>
        <v>9.0077006985689785</v>
      </c>
      <c r="L40" s="21">
        <f t="shared" si="35"/>
        <v>8.4441637137524026</v>
      </c>
      <c r="M40" s="21">
        <f t="shared" si="35"/>
        <v>0</v>
      </c>
    </row>
    <row r="41" spans="4:13">
      <c r="I41" s="21">
        <f t="shared" si="36"/>
        <v>35.275590551181104</v>
      </c>
      <c r="J41" s="21">
        <f t="shared" si="35"/>
        <v>3.9360667585519695</v>
      </c>
      <c r="K41" s="21">
        <f t="shared" si="35"/>
        <v>9.5505922818445033</v>
      </c>
      <c r="L41" s="21">
        <f t="shared" si="35"/>
        <v>9.1360535814651858</v>
      </c>
      <c r="M41" s="21">
        <f t="shared" si="35"/>
        <v>0</v>
      </c>
    </row>
    <row r="42" spans="4:13">
      <c r="I42" s="21">
        <f t="shared" si="36"/>
        <v>43.779527559055126</v>
      </c>
      <c r="J42" s="21">
        <f t="shared" si="35"/>
        <v>5.7415751043437036</v>
      </c>
      <c r="K42" s="21">
        <f t="shared" si="35"/>
        <v>10.173194998837628</v>
      </c>
      <c r="L42" s="21">
        <f t="shared" si="35"/>
        <v>9.7285546403679621</v>
      </c>
      <c r="M42" s="21">
        <f t="shared" si="35"/>
        <v>0</v>
      </c>
    </row>
    <row r="43" spans="4:13">
      <c r="I43" s="21">
        <f t="shared" si="36"/>
        <v>54.278215223097106</v>
      </c>
      <c r="J43" s="21">
        <f t="shared" si="35"/>
        <v>10.177798987546508</v>
      </c>
      <c r="K43" s="21">
        <f t="shared" si="35"/>
        <v>10.493562531413938</v>
      </c>
      <c r="L43" s="21">
        <f t="shared" si="35"/>
        <v>10.23708218011852</v>
      </c>
      <c r="M43" s="21">
        <f t="shared" si="35"/>
        <v>0</v>
      </c>
    </row>
    <row r="44" spans="4:13">
      <c r="I44" s="21"/>
      <c r="J44" s="21"/>
      <c r="K44" s="21"/>
      <c r="L44" s="21"/>
      <c r="M44" s="21"/>
    </row>
    <row r="45" spans="4:13">
      <c r="I45" s="21"/>
      <c r="J45" s="21"/>
      <c r="K45" s="21"/>
      <c r="L45" s="21"/>
      <c r="M45" s="21"/>
    </row>
    <row r="46" spans="4:13">
      <c r="D46" s="6"/>
    </row>
    <row r="47" spans="4:13">
      <c r="D47" s="6"/>
    </row>
    <row r="48" spans="4:13">
      <c r="D48" s="6"/>
    </row>
    <row r="49" spans="1:38">
      <c r="D49" s="6"/>
    </row>
    <row r="51" spans="1:38">
      <c r="B51" s="24" t="s">
        <v>8</v>
      </c>
      <c r="C51" s="24" t="s">
        <v>9</v>
      </c>
      <c r="D51" s="9">
        <f>data0!A1</f>
        <v>0</v>
      </c>
      <c r="E51" s="9" t="s">
        <v>7</v>
      </c>
      <c r="F51" s="9" t="s">
        <v>14</v>
      </c>
      <c r="G51">
        <f>data0!E1</f>
        <v>0</v>
      </c>
      <c r="H51">
        <f>data0!F1</f>
        <v>1</v>
      </c>
      <c r="I51">
        <f>data0!G1</f>
        <v>2</v>
      </c>
      <c r="J51">
        <f>data0!H1</f>
        <v>3</v>
      </c>
      <c r="K51">
        <f>data0!I1</f>
        <v>4</v>
      </c>
      <c r="L51">
        <f>data0!J1</f>
        <v>5</v>
      </c>
      <c r="M51">
        <f>data0!K1</f>
        <v>6</v>
      </c>
      <c r="N51">
        <f>data0!L1</f>
        <v>7</v>
      </c>
      <c r="O51">
        <f>data0!M1</f>
        <v>8</v>
      </c>
      <c r="P51">
        <f>data0!N1</f>
        <v>9</v>
      </c>
      <c r="Q51">
        <f>data0!O1</f>
        <v>10</v>
      </c>
      <c r="R51">
        <f>data0!P1</f>
        <v>11</v>
      </c>
      <c r="S51">
        <f>data0!Q1</f>
        <v>12</v>
      </c>
      <c r="T51">
        <f>data0!R1</f>
        <v>13</v>
      </c>
      <c r="U51">
        <f>data0!S1</f>
        <v>14</v>
      </c>
      <c r="V51">
        <f>data0!T1</f>
        <v>15</v>
      </c>
      <c r="W51">
        <f>data0!U1</f>
        <v>16</v>
      </c>
      <c r="X51">
        <f>data0!V1</f>
        <v>17</v>
      </c>
      <c r="Y51">
        <f>data0!W1</f>
        <v>18</v>
      </c>
      <c r="Z51">
        <f>data0!X1</f>
        <v>19</v>
      </c>
      <c r="AA51">
        <f>data0!Y1</f>
        <v>20</v>
      </c>
      <c r="AB51">
        <f>data0!Z1</f>
        <v>21</v>
      </c>
      <c r="AC51">
        <f>data0!AA1</f>
        <v>22</v>
      </c>
      <c r="AD51">
        <f>data0!AB1</f>
        <v>23</v>
      </c>
      <c r="AE51">
        <f>data0!AC1</f>
        <v>24</v>
      </c>
      <c r="AF51">
        <f>data0!AD1</f>
        <v>25</v>
      </c>
      <c r="AG51">
        <f>data0!AE1</f>
        <v>26</v>
      </c>
      <c r="AH51">
        <f>data0!AF1</f>
        <v>27</v>
      </c>
      <c r="AI51">
        <f>data0!AG1</f>
        <v>28</v>
      </c>
      <c r="AJ51">
        <f>data0!AH1</f>
        <v>29</v>
      </c>
      <c r="AK51">
        <f>data0!AI1</f>
        <v>30</v>
      </c>
      <c r="AL51">
        <f>data0!AJ1</f>
        <v>31</v>
      </c>
    </row>
    <row r="52" spans="1:38">
      <c r="A52" s="66" t="s">
        <v>10</v>
      </c>
      <c r="B52" s="66">
        <v>13</v>
      </c>
      <c r="C52" s="66">
        <v>0</v>
      </c>
      <c r="D52" s="54">
        <v>0.2</v>
      </c>
      <c r="E52" s="11">
        <f>AVERAGE(G52:AL52)</f>
        <v>0.1942257217847769</v>
      </c>
      <c r="F52" s="11">
        <f>STDEV(G52:AL52)</f>
        <v>5.56776993060274E-3</v>
      </c>
      <c r="G52" s="30">
        <f>data0!E6</f>
        <v>0.1889763779527559</v>
      </c>
      <c r="H52" s="30">
        <f>data0!F6</f>
        <v>0.19685039370078741</v>
      </c>
      <c r="I52" s="30"/>
      <c r="J52" s="30">
        <f>data0!H6</f>
        <v>0.1889763779527559</v>
      </c>
      <c r="K52" s="30">
        <f>data0!I6</f>
        <v>0.1889763779527559</v>
      </c>
      <c r="L52" s="30">
        <f>data0!J6</f>
        <v>0.19685039370078741</v>
      </c>
      <c r="M52" s="30">
        <f>data0!K6</f>
        <v>0.20472440944881889</v>
      </c>
      <c r="N52" s="30">
        <f>data0!L6</f>
        <v>0.19685039370078741</v>
      </c>
      <c r="O52" s="30">
        <f>data0!M6</f>
        <v>0.19685039370078741</v>
      </c>
      <c r="P52" s="30">
        <f>data0!N6</f>
        <v>0.1889763779527559</v>
      </c>
    </row>
    <row r="53" spans="1:38">
      <c r="A53" s="66"/>
      <c r="B53" s="66"/>
      <c r="C53" s="66"/>
      <c r="D53" s="55">
        <v>0.75</v>
      </c>
      <c r="E53" s="11">
        <f>AVERAGE(G53:AL53)</f>
        <v>4.6772875816993457E-2</v>
      </c>
      <c r="F53" s="11">
        <f>STDEV(G53:AL53)</f>
        <v>3.6621452935009951E-3</v>
      </c>
      <c r="G53" s="31">
        <f>data0!E7-data0!E$3</f>
        <v>4.1789215686274472E-2</v>
      </c>
      <c r="H53" s="31">
        <f>data0!F7-data0!F$3</f>
        <v>4.2034313725490158E-2</v>
      </c>
      <c r="I53" s="31"/>
      <c r="J53" s="31">
        <f>data0!H7-data0!H$3</f>
        <v>4.7303921568627394E-2</v>
      </c>
      <c r="K53" s="31">
        <f>data0!I7-data0!I$3</f>
        <v>4.7058823529411709E-2</v>
      </c>
      <c r="L53" s="31">
        <f>data0!J7-data0!J$3</f>
        <v>4.7671568627451033E-2</v>
      </c>
      <c r="M53" s="31">
        <f>data0!K7-data0!K$3</f>
        <v>4.4117647058823484E-2</v>
      </c>
      <c r="N53" s="31">
        <f>data0!L7-data0!L$3</f>
        <v>4.7426470588235348E-2</v>
      </c>
      <c r="O53" s="31">
        <f>data0!M7-data0!M$3</f>
        <v>5.2573529411764741E-2</v>
      </c>
      <c r="P53" s="31">
        <f>data0!N7-data0!N$3</f>
        <v>5.0980392156862786E-2</v>
      </c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</row>
    <row r="54" spans="1:38">
      <c r="A54" s="66"/>
      <c r="B54" s="66"/>
      <c r="C54" s="29">
        <v>2</v>
      </c>
      <c r="D54" s="55">
        <v>0.5</v>
      </c>
      <c r="E54" s="11">
        <f t="shared" ref="E54:E56" si="37">AVERAGE(G54:AL54)</f>
        <v>3.5634531590413923E-2</v>
      </c>
      <c r="F54" s="11">
        <f t="shared" ref="F54:F56" si="38">STDEV(G54:AL54)</f>
        <v>2.037962725327323E-2</v>
      </c>
      <c r="G54" s="31">
        <f>data0!F8-data0!F$4</f>
        <v>4.3627450980392113E-2</v>
      </c>
      <c r="H54" s="31">
        <f>data0!G8-data0!G$4</f>
        <v>0</v>
      </c>
      <c r="I54" s="31"/>
      <c r="J54" s="31">
        <f>data0!I8-data0!I$4</f>
        <v>4.3014705882352899E-2</v>
      </c>
      <c r="K54" s="31">
        <f>data0!J8-data0!J$4</f>
        <v>4.2769607843137214E-2</v>
      </c>
      <c r="L54" s="31">
        <f>data0!K8-data0!K$4</f>
        <v>4.4975490196078383E-2</v>
      </c>
      <c r="M54" s="31">
        <f>data0!L8-data0!L$4</f>
        <v>4.6446078431372606E-2</v>
      </c>
      <c r="N54" s="31">
        <f>data0!M8-data0!M$4</f>
        <v>4.9509803921568563E-2</v>
      </c>
      <c r="O54" s="31">
        <f>data0!N8-data0!N$4</f>
        <v>5.0367647058823517E-2</v>
      </c>
      <c r="P54" s="31">
        <f>data0!O8-data0!O$4</f>
        <v>0</v>
      </c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</row>
    <row r="55" spans="1:38">
      <c r="A55" s="66"/>
      <c r="B55" s="66"/>
      <c r="C55" s="29">
        <v>4</v>
      </c>
      <c r="D55" s="55">
        <v>0.25</v>
      </c>
      <c r="E55" s="11">
        <f t="shared" si="37"/>
        <v>3.2952069716775612E-2</v>
      </c>
      <c r="F55" s="11">
        <f t="shared" si="38"/>
        <v>1.8837347450954871E-2</v>
      </c>
      <c r="G55" s="31">
        <f>data0!F9-data0!F$5</f>
        <v>3.7867647058823561E-2</v>
      </c>
      <c r="H55" s="31">
        <f>data0!G9-data0!G$5</f>
        <v>0</v>
      </c>
      <c r="I55" s="31"/>
      <c r="J55" s="31">
        <f>data0!I9-data0!I$5</f>
        <v>4.1666666666666685E-2</v>
      </c>
      <c r="K55" s="31">
        <f>data0!J9-data0!J$5</f>
        <v>4.325980392156864E-2</v>
      </c>
      <c r="L55" s="31">
        <f>data0!K9-data0!K$5</f>
        <v>3.9583333333333359E-2</v>
      </c>
      <c r="M55" s="31">
        <f>data0!L9-data0!L$5</f>
        <v>4.4975490196078438E-2</v>
      </c>
      <c r="N55" s="31">
        <f>data0!M9-data0!M$5</f>
        <v>4.5098039215686281E-2</v>
      </c>
      <c r="O55" s="31">
        <f>data0!N9-data0!N$5</f>
        <v>4.4117647058823539E-2</v>
      </c>
      <c r="P55" s="31">
        <f>data0!O9-data0!O$5</f>
        <v>0</v>
      </c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</row>
    <row r="56" spans="1:38">
      <c r="A56" s="66"/>
      <c r="B56" s="66">
        <v>7</v>
      </c>
      <c r="C56" s="66">
        <v>0</v>
      </c>
      <c r="D56" s="54">
        <v>0.3</v>
      </c>
      <c r="E56" s="11">
        <f t="shared" si="37"/>
        <v>0.29571303587051617</v>
      </c>
      <c r="F56" s="11">
        <f t="shared" si="38"/>
        <v>5.7203398209195351E-3</v>
      </c>
      <c r="G56" s="30">
        <f>data0!E10</f>
        <v>0.29133858267716534</v>
      </c>
      <c r="H56" s="30">
        <f>data0!F10</f>
        <v>0.29133858267716534</v>
      </c>
      <c r="I56" s="31"/>
      <c r="J56" s="30">
        <f>data0!H10</f>
        <v>0.29133858267716534</v>
      </c>
      <c r="K56" s="30">
        <f>data0!I10</f>
        <v>0.29133858267716534</v>
      </c>
      <c r="L56" s="30">
        <f>data0!J10</f>
        <v>0.29921259842519687</v>
      </c>
      <c r="M56" s="30">
        <f>data0!K10</f>
        <v>0.30708661417322836</v>
      </c>
      <c r="N56" s="30">
        <f>data0!L10</f>
        <v>0.29921259842519687</v>
      </c>
      <c r="O56" s="30">
        <f>data0!M10</f>
        <v>0.29921259842519687</v>
      </c>
      <c r="P56" s="30">
        <f>data0!N10</f>
        <v>0.29133858267716534</v>
      </c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</row>
    <row r="57" spans="1:38">
      <c r="A57" s="66"/>
      <c r="B57" s="66"/>
      <c r="C57" s="66"/>
      <c r="D57" s="55">
        <f>D53</f>
        <v>0.75</v>
      </c>
      <c r="E57" s="11">
        <f>AVERAGE(G57:AL57)</f>
        <v>6.6952614379084952E-2</v>
      </c>
      <c r="F57" s="11">
        <f>STDEV(G57:AL57)</f>
        <v>3.9983671816361255E-3</v>
      </c>
      <c r="G57" s="31">
        <f>data0!E11-data0!E$3</f>
        <v>5.7352941176470607E-2</v>
      </c>
      <c r="H57" s="31">
        <f>data0!F11-data0!F$3</f>
        <v>6.6666666666666652E-2</v>
      </c>
      <c r="I57" s="31"/>
      <c r="J57" s="31">
        <f>data0!H11-data0!H$3</f>
        <v>6.8995098039215663E-2</v>
      </c>
      <c r="K57" s="31">
        <f>data0!I11-data0!I$3</f>
        <v>6.9485294117647034E-2</v>
      </c>
      <c r="L57" s="31">
        <f>data0!J11-data0!J$3</f>
        <v>6.9730392156862719E-2</v>
      </c>
      <c r="M57" s="31">
        <f>data0!K11-data0!K$3</f>
        <v>6.4705882352941169E-2</v>
      </c>
      <c r="N57" s="31">
        <f>data0!L11-data0!L$3</f>
        <v>7.0098039215686248E-2</v>
      </c>
      <c r="O57" s="31">
        <f>data0!M11-data0!M$3</f>
        <v>6.8504901960784292E-2</v>
      </c>
      <c r="P57" s="31">
        <f>data0!N11-data0!N$3</f>
        <v>6.703431372549018E-2</v>
      </c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</row>
    <row r="58" spans="1:38">
      <c r="A58" s="66"/>
      <c r="B58" s="66"/>
      <c r="C58" s="29">
        <v>2</v>
      </c>
      <c r="D58" s="55">
        <f t="shared" ref="D58:D59" si="39">D54</f>
        <v>0.5</v>
      </c>
      <c r="E58" s="11">
        <f t="shared" ref="E58:E61" si="40">AVERAGE(G58:AL58)</f>
        <v>5.0367647058823517E-2</v>
      </c>
      <c r="F58" s="11">
        <f t="shared" ref="F58:F60" si="41">STDEV(G58:AL58)</f>
        <v>2.8622083711533016E-2</v>
      </c>
      <c r="G58" s="31">
        <f>data0!F12-data0!F$4</f>
        <v>6.3970588235294112E-2</v>
      </c>
      <c r="H58" s="31">
        <f>data0!G12-data0!G$4</f>
        <v>0</v>
      </c>
      <c r="I58" s="31"/>
      <c r="J58" s="31">
        <f>data0!I12-data0!I$4</f>
        <v>6.2990196078431371E-2</v>
      </c>
      <c r="K58" s="31">
        <f>data0!J12-data0!J$4</f>
        <v>6.4705882352941169E-2</v>
      </c>
      <c r="L58" s="31">
        <f>data0!K12-data0!K$4</f>
        <v>6.1519607843137258E-2</v>
      </c>
      <c r="M58" s="31">
        <f>data0!L12-data0!L$4</f>
        <v>6.4950980392156854E-2</v>
      </c>
      <c r="N58" s="31">
        <f>data0!M12-data0!M$4</f>
        <v>6.7769607843137236E-2</v>
      </c>
      <c r="O58" s="31">
        <f>data0!N12-data0!N$4</f>
        <v>6.7401960784313653E-2</v>
      </c>
      <c r="P58" s="31">
        <f>data0!O12-data0!O$4</f>
        <v>0</v>
      </c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</row>
    <row r="59" spans="1:38">
      <c r="A59" s="66"/>
      <c r="B59" s="66"/>
      <c r="C59" s="29">
        <v>4</v>
      </c>
      <c r="D59" s="55">
        <f t="shared" si="39"/>
        <v>0.25</v>
      </c>
      <c r="E59" s="11">
        <f t="shared" si="40"/>
        <v>4.6160130718954251E-2</v>
      </c>
      <c r="F59" s="11">
        <f t="shared" si="41"/>
        <v>2.6304398422957617E-2</v>
      </c>
      <c r="G59" s="31">
        <f>data0!F13-data0!F$5</f>
        <v>5.8700980392156876E-2</v>
      </c>
      <c r="H59" s="31">
        <f>data0!G13-data0!G$5</f>
        <v>0</v>
      </c>
      <c r="I59" s="31"/>
      <c r="J59" s="31">
        <f>data0!I13-data0!I$5</f>
        <v>5.9803921568627461E-2</v>
      </c>
      <c r="K59" s="31">
        <f>data0!J13-data0!J$5</f>
        <v>6.3480392156862742E-2</v>
      </c>
      <c r="L59" s="31">
        <f>data0!K13-data0!K$5</f>
        <v>5.4044117647058798E-2</v>
      </c>
      <c r="M59" s="31">
        <f>data0!L13-data0!L$5</f>
        <v>6.1887254901960786E-2</v>
      </c>
      <c r="N59" s="31">
        <f>data0!M13-data0!M$5</f>
        <v>6.0049019607843146E-2</v>
      </c>
      <c r="O59" s="31">
        <f>data0!N13-data0!N$5</f>
        <v>5.7475490196078449E-2</v>
      </c>
      <c r="P59" s="31">
        <f>data0!O13-data0!O$5</f>
        <v>0</v>
      </c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</row>
    <row r="60" spans="1:38">
      <c r="A60" s="66"/>
      <c r="B60" s="66">
        <v>5</v>
      </c>
      <c r="C60" s="66">
        <v>0</v>
      </c>
      <c r="D60" s="54">
        <v>0.4</v>
      </c>
      <c r="E60" s="11">
        <f t="shared" si="40"/>
        <v>0.39545056867891515</v>
      </c>
      <c r="F60" s="11">
        <f t="shared" si="41"/>
        <v>8.6055623678504035E-3</v>
      </c>
      <c r="G60" s="30">
        <f>data0!E14</f>
        <v>0.38582677165354329</v>
      </c>
      <c r="H60" s="30">
        <f>data0!F14</f>
        <v>0.39370078740157483</v>
      </c>
      <c r="I60" s="31"/>
      <c r="J60" s="30">
        <f>data0!H14</f>
        <v>0.39370078740157483</v>
      </c>
      <c r="K60" s="30">
        <f>data0!I14</f>
        <v>0.38582677165354329</v>
      </c>
      <c r="L60" s="30">
        <f>data0!J14</f>
        <v>0.40157480314960631</v>
      </c>
      <c r="M60" s="30">
        <f>data0!K14</f>
        <v>0.40944881889763779</v>
      </c>
      <c r="N60" s="30">
        <f>data0!L14</f>
        <v>0.40157480314960631</v>
      </c>
      <c r="O60" s="30">
        <f>data0!M14</f>
        <v>0.40157480314960631</v>
      </c>
      <c r="P60" s="30">
        <f>data0!N14</f>
        <v>0.38582677165354329</v>
      </c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</row>
    <row r="61" spans="1:38">
      <c r="A61" s="66"/>
      <c r="B61" s="66"/>
      <c r="C61" s="66"/>
      <c r="D61" s="55">
        <f>D57</f>
        <v>0.75</v>
      </c>
      <c r="E61" s="11">
        <f t="shared" si="40"/>
        <v>7.5490196078431382E-2</v>
      </c>
      <c r="F61" s="11">
        <f>STDEV(G61:AL61)</f>
        <v>4.7459075786106079E-3</v>
      </c>
      <c r="G61" s="31">
        <f>data0!E15-data0!E$3</f>
        <v>6.7647058823529393E-2</v>
      </c>
      <c r="H61" s="31">
        <f>data0!F15-data0!F$3</f>
        <v>7.5367647058823484E-2</v>
      </c>
      <c r="I61" s="31"/>
      <c r="J61" s="31">
        <f>data0!H15-data0!H$3</f>
        <v>7.7818627450980338E-2</v>
      </c>
      <c r="K61" s="31">
        <f>data0!I15-data0!I$3</f>
        <v>7.8799019607843079E-2</v>
      </c>
      <c r="L61" s="31">
        <f>data0!J15-data0!J$3</f>
        <v>8.1617647058823573E-2</v>
      </c>
      <c r="M61" s="31">
        <f>data0!K15-data0!K$3</f>
        <v>7.0833333333333304E-2</v>
      </c>
      <c r="N61" s="31">
        <f>data0!L15-data0!L$3</f>
        <v>7.9779411764705932E-2</v>
      </c>
      <c r="O61" s="31">
        <f>data0!M15-data0!M$3</f>
        <v>7.6838235294117707E-2</v>
      </c>
      <c r="P61" s="31">
        <f>data0!N15-data0!N$3</f>
        <v>7.0710784313725572E-2</v>
      </c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</row>
    <row r="62" spans="1:38">
      <c r="A62" s="66"/>
      <c r="B62" s="66"/>
      <c r="C62" s="29">
        <v>2</v>
      </c>
      <c r="D62" s="55">
        <f t="shared" ref="D62:D63" si="42">D58</f>
        <v>0.5</v>
      </c>
      <c r="E62" s="11">
        <f>AVERAGE(G62:AL62)</f>
        <v>5.7352941176470579E-2</v>
      </c>
      <c r="F62" s="11">
        <f>STDEV(G62:AL62)</f>
        <v>3.2551877882857953E-2</v>
      </c>
      <c r="G62" s="31">
        <f>data0!F16-data0!F$4</f>
        <v>7.4387254901960742E-2</v>
      </c>
      <c r="H62" s="31">
        <f>data0!G16-data0!G$4</f>
        <v>0</v>
      </c>
      <c r="I62" s="31"/>
      <c r="J62" s="31">
        <f>data0!I16-data0!I$4</f>
        <v>7.3651960784313686E-2</v>
      </c>
      <c r="K62" s="31">
        <f>data0!J16-data0!J$4</f>
        <v>7.4632352941176539E-2</v>
      </c>
      <c r="L62" s="31">
        <f>data0!K16-data0!K$4</f>
        <v>6.9975490196078405E-2</v>
      </c>
      <c r="M62" s="31">
        <f>data0!L16-data0!L$4</f>
        <v>7.5122549019607798E-2</v>
      </c>
      <c r="N62" s="31">
        <f>data0!M16-data0!M$4</f>
        <v>7.4877450980392113E-2</v>
      </c>
      <c r="O62" s="31">
        <f>data0!N16-data0!N$4</f>
        <v>7.3529411764705899E-2</v>
      </c>
      <c r="P62" s="31">
        <f>data0!O16-data0!O$4</f>
        <v>0</v>
      </c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</row>
    <row r="63" spans="1:38">
      <c r="A63" s="66"/>
      <c r="B63" s="66"/>
      <c r="C63" s="29">
        <v>4</v>
      </c>
      <c r="D63" s="55">
        <f t="shared" si="42"/>
        <v>0.25</v>
      </c>
      <c r="E63" s="11">
        <f t="shared" ref="E63:E66" si="43">AVERAGE(G63:AL63)</f>
        <v>5.3690087145969505E-2</v>
      </c>
      <c r="F63" s="11">
        <f t="shared" ref="F63:F66" si="44">STDEV(G63:AL63)</f>
        <v>3.0552483483852123E-2</v>
      </c>
      <c r="G63" s="31">
        <f>data0!F17-data0!F$5</f>
        <v>6.678921568627455E-2</v>
      </c>
      <c r="H63" s="31">
        <f>data0!G17-data0!G$5</f>
        <v>0</v>
      </c>
      <c r="I63" s="31"/>
      <c r="J63" s="31">
        <f>data0!I17-data0!I$5</f>
        <v>6.8749999999999978E-2</v>
      </c>
      <c r="K63" s="31">
        <f>data0!J17-data0!J$5</f>
        <v>7.2794117647058842E-2</v>
      </c>
      <c r="L63" s="31">
        <f>data0!K17-data0!K$5</f>
        <v>6.5563725490196068E-2</v>
      </c>
      <c r="M63" s="31">
        <f>data0!L17-data0!L$5</f>
        <v>7.1936274509803944E-2</v>
      </c>
      <c r="N63" s="31">
        <f>data0!M17-data0!M$5</f>
        <v>7.1446078431372517E-2</v>
      </c>
      <c r="O63" s="31">
        <f>data0!N17-data0!N$5</f>
        <v>6.5931372549019651E-2</v>
      </c>
      <c r="P63" s="31">
        <f>data0!O17-data0!O$5</f>
        <v>0</v>
      </c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</row>
    <row r="64" spans="1:38">
      <c r="A64" s="66"/>
      <c r="B64" s="66">
        <v>4</v>
      </c>
      <c r="C64" s="66">
        <v>0</v>
      </c>
      <c r="D64" s="54">
        <v>0.5</v>
      </c>
      <c r="E64" s="11">
        <f t="shared" si="43"/>
        <v>0.47681539807524065</v>
      </c>
      <c r="F64" s="11">
        <f t="shared" si="44"/>
        <v>9.732543946319774E-3</v>
      </c>
      <c r="G64" s="30">
        <f>data0!E18</f>
        <v>0.46456692913385828</v>
      </c>
      <c r="H64" s="30">
        <f>data0!F18</f>
        <v>0.47244094488188976</v>
      </c>
      <c r="I64" s="31"/>
      <c r="J64" s="30">
        <f>data0!H18</f>
        <v>0.47244094488188976</v>
      </c>
      <c r="K64" s="30">
        <f>data0!I18</f>
        <v>0.46456692913385828</v>
      </c>
      <c r="L64" s="30">
        <f>data0!J18</f>
        <v>0.48818897637795278</v>
      </c>
      <c r="M64" s="30">
        <f>data0!K18</f>
        <v>0.48818897637795278</v>
      </c>
      <c r="N64" s="30">
        <f>data0!L18</f>
        <v>0.48031496062992124</v>
      </c>
      <c r="O64" s="30">
        <f>data0!M18</f>
        <v>0.48818897637795278</v>
      </c>
      <c r="P64" s="30">
        <f>data0!N18</f>
        <v>0.47244094488188976</v>
      </c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</row>
    <row r="65" spans="1:38">
      <c r="A65" s="66"/>
      <c r="B65" s="66"/>
      <c r="C65" s="66"/>
      <c r="D65" s="55">
        <f>D61</f>
        <v>0.75</v>
      </c>
      <c r="E65" s="11">
        <f t="shared" si="43"/>
        <v>7.8417755991285407E-2</v>
      </c>
      <c r="F65" s="11">
        <f t="shared" si="44"/>
        <v>7.9827410855819476E-3</v>
      </c>
      <c r="G65" s="31">
        <f>data0!E19-data0!E$3</f>
        <v>6.5808823529411753E-2</v>
      </c>
      <c r="H65" s="31">
        <f>data0!F19-data0!F$3</f>
        <v>7.8676470588235348E-2</v>
      </c>
      <c r="I65" s="31"/>
      <c r="J65" s="31">
        <f>data0!H19-data0!H$3</f>
        <v>6.6544117647058809E-2</v>
      </c>
      <c r="K65" s="31">
        <f>data0!I19-data0!I$3</f>
        <v>8.2720588235294046E-2</v>
      </c>
      <c r="L65" s="31">
        <f>data0!J19-data0!J$3</f>
        <v>8.4313725490196112E-2</v>
      </c>
      <c r="M65" s="31">
        <f>data0!K19-data0!K$3</f>
        <v>7.3406862745098E-2</v>
      </c>
      <c r="N65" s="31">
        <f>data0!L19-data0!L$3</f>
        <v>8.7254901960784337E-2</v>
      </c>
      <c r="O65" s="31">
        <f>data0!M19-data0!M$3</f>
        <v>8.4313725490196112E-2</v>
      </c>
      <c r="P65" s="31">
        <f>data0!N19-data0!N$3</f>
        <v>8.2720588235294157E-2</v>
      </c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</row>
    <row r="66" spans="1:38">
      <c r="A66" s="66"/>
      <c r="B66" s="66"/>
      <c r="C66" s="29">
        <v>2</v>
      </c>
      <c r="D66" s="55">
        <f t="shared" ref="D66:D67" si="45">D62</f>
        <v>0.5</v>
      </c>
      <c r="E66" s="11">
        <f t="shared" si="43"/>
        <v>6.2009803921568629E-2</v>
      </c>
      <c r="F66" s="11">
        <f t="shared" si="44"/>
        <v>3.5324316464976385E-2</v>
      </c>
      <c r="G66" s="31">
        <f>data0!F20-data0!F$4</f>
        <v>8.0759803921568674E-2</v>
      </c>
      <c r="H66" s="31">
        <f>data0!G20-data0!G$4</f>
        <v>0</v>
      </c>
      <c r="I66" s="31"/>
      <c r="J66" s="31">
        <f>data0!I20-data0!I$4</f>
        <v>7.6960784313725439E-2</v>
      </c>
      <c r="K66" s="31">
        <f>data0!J20-data0!J$4</f>
        <v>8.2598039215686314E-2</v>
      </c>
      <c r="L66" s="31">
        <f>data0!K20-data0!K$4</f>
        <v>7.2426470588235259E-2</v>
      </c>
      <c r="M66" s="31">
        <f>data0!L20-data0!L$4</f>
        <v>8.4436274509803955E-2</v>
      </c>
      <c r="N66" s="31">
        <f>data0!M20-data0!M$4</f>
        <v>8.1250000000000044E-2</v>
      </c>
      <c r="O66" s="31">
        <f>data0!N20-data0!N$4</f>
        <v>7.9656862745098034E-2</v>
      </c>
      <c r="P66" s="31">
        <f>data0!O20-data0!O$4</f>
        <v>0</v>
      </c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</row>
    <row r="67" spans="1:38">
      <c r="A67" s="66"/>
      <c r="B67" s="66"/>
      <c r="C67" s="29">
        <v>4</v>
      </c>
      <c r="D67" s="55">
        <f t="shared" si="45"/>
        <v>0.25</v>
      </c>
      <c r="E67" s="11">
        <f>AVERAGE(G67:AL67)</f>
        <v>5.799291938997822E-2</v>
      </c>
      <c r="F67" s="11">
        <f>STDEV(G67:AL67)</f>
        <v>3.3114367504911382E-2</v>
      </c>
      <c r="G67" s="31">
        <f>data0!F21-data0!F$5</f>
        <v>7.2794117647058842E-2</v>
      </c>
      <c r="H67" s="31">
        <f>data0!G21-data0!G$5</f>
        <v>0</v>
      </c>
      <c r="I67" s="31"/>
      <c r="J67" s="31">
        <f>data0!I21-data0!I$5</f>
        <v>7.2794117647058842E-2</v>
      </c>
      <c r="K67" s="31">
        <f>data0!J21-data0!J$5</f>
        <v>7.585784313725491E-2</v>
      </c>
      <c r="L67" s="31">
        <f>data0!K21-data0!K$5</f>
        <v>6.7647058823529393E-2</v>
      </c>
      <c r="M67" s="31">
        <f>data0!L21-data0!L$5</f>
        <v>8.1495098039215674E-2</v>
      </c>
      <c r="N67" s="31">
        <f>data0!M21-data0!M$5</f>
        <v>7.8676470588235292E-2</v>
      </c>
      <c r="O67" s="31">
        <f>data0!N21-data0!N$5</f>
        <v>7.2671568627451E-2</v>
      </c>
      <c r="P67" s="31">
        <f>data0!O21-data0!O$5</f>
        <v>0</v>
      </c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</row>
    <row r="68" spans="1:38">
      <c r="A68" s="66"/>
      <c r="B68" s="66">
        <v>2</v>
      </c>
      <c r="C68" s="66">
        <v>0</v>
      </c>
      <c r="D68" s="54">
        <v>0.6</v>
      </c>
      <c r="E68" s="11">
        <f t="shared" ref="E68:E71" si="46">AVERAGE(G68:AL68)</f>
        <v>0.5879265091863517</v>
      </c>
      <c r="F68" s="11">
        <f t="shared" ref="F68:F71" si="47">STDEV(G68:AL68)</f>
        <v>1.0416343744348818E-2</v>
      </c>
      <c r="G68" s="30">
        <f>data0!E22</f>
        <v>0.57480314960629919</v>
      </c>
      <c r="H68" s="30">
        <f>data0!F22</f>
        <v>0.58267716535433067</v>
      </c>
      <c r="I68" s="31"/>
      <c r="J68" s="30">
        <f>data0!H22</f>
        <v>0.58267716535433067</v>
      </c>
      <c r="K68" s="30">
        <f>data0!I22</f>
        <v>0.57480314960629919</v>
      </c>
      <c r="L68" s="30">
        <f>data0!J22</f>
        <v>0.59842519685039375</v>
      </c>
      <c r="M68" s="30">
        <f>data0!K22</f>
        <v>0.59842519685039375</v>
      </c>
      <c r="N68" s="30">
        <f>data0!L22</f>
        <v>0.59842519685039375</v>
      </c>
      <c r="O68" s="30">
        <f>data0!M22</f>
        <v>0.59842519685039375</v>
      </c>
      <c r="P68" s="30">
        <f>data0!N22</f>
        <v>0.58267716535433067</v>
      </c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</row>
    <row r="69" spans="1:38">
      <c r="A69" s="66"/>
      <c r="B69" s="66"/>
      <c r="C69" s="66"/>
      <c r="D69" s="55">
        <f>D65</f>
        <v>0.75</v>
      </c>
      <c r="E69" s="11">
        <f t="shared" si="46"/>
        <v>7.7668845315904164E-2</v>
      </c>
      <c r="F69" s="11">
        <f t="shared" si="47"/>
        <v>1.5435555915890077E-2</v>
      </c>
      <c r="G69" s="31">
        <f>data0!E23-data0!E$3</f>
        <v>4.3259803921568585E-2</v>
      </c>
      <c r="H69" s="31">
        <f>data0!F23-data0!F$3</f>
        <v>8.468137254901964E-2</v>
      </c>
      <c r="I69" s="31"/>
      <c r="J69" s="31">
        <f>data0!H23-data0!H$3</f>
        <v>6.25E-2</v>
      </c>
      <c r="K69" s="31">
        <f>data0!I23-data0!I$3</f>
        <v>8.333333333333337E-2</v>
      </c>
      <c r="L69" s="31">
        <f>data0!J23-data0!J$3</f>
        <v>8.7500000000000022E-2</v>
      </c>
      <c r="M69" s="31">
        <f>data0!K23-data0!K$3</f>
        <v>8.333333333333337E-2</v>
      </c>
      <c r="N69" s="31">
        <f>data0!L23-data0!L$3</f>
        <v>9.1053921568627461E-2</v>
      </c>
      <c r="O69" s="31">
        <f>data0!M23-data0!M$3</f>
        <v>8.7622549019607865E-2</v>
      </c>
      <c r="P69" s="31">
        <f>data0!N23-data0!N$3</f>
        <v>7.5735294117647123E-2</v>
      </c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</row>
    <row r="70" spans="1:38">
      <c r="A70" s="66"/>
      <c r="B70" s="66"/>
      <c r="C70" s="29">
        <v>2</v>
      </c>
      <c r="D70" s="55">
        <f t="shared" ref="D70:D71" si="48">D66</f>
        <v>0.5</v>
      </c>
      <c r="E70" s="11">
        <f t="shared" si="46"/>
        <v>6.5958605664488024E-2</v>
      </c>
      <c r="F70" s="11">
        <f t="shared" si="47"/>
        <v>3.7453303066056876E-2</v>
      </c>
      <c r="G70" s="31">
        <f>data0!F24-data0!F$4</f>
        <v>8.4436274509803955E-2</v>
      </c>
      <c r="H70" s="31">
        <f>data0!G24-data0!G$4</f>
        <v>0</v>
      </c>
      <c r="I70" s="31"/>
      <c r="J70" s="31">
        <f>data0!I24-data0!I$4</f>
        <v>8.333333333333337E-2</v>
      </c>
      <c r="K70" s="31">
        <f>data0!J24-data0!J$4</f>
        <v>8.333333333333337E-2</v>
      </c>
      <c r="L70" s="31">
        <f>data0!K24-data0!K$4</f>
        <v>8.1249999999999933E-2</v>
      </c>
      <c r="M70" s="31">
        <f>data0!L24-data0!L$4</f>
        <v>8.7622549019607865E-2</v>
      </c>
      <c r="N70" s="31">
        <f>data0!M24-data0!M$4</f>
        <v>8.7745098039215708E-2</v>
      </c>
      <c r="O70" s="31">
        <f>data0!N24-data0!N$4</f>
        <v>8.5906862745098012E-2</v>
      </c>
      <c r="P70" s="31">
        <f>data0!O24-data0!O$4</f>
        <v>0</v>
      </c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</row>
    <row r="71" spans="1:38">
      <c r="A71" s="66"/>
      <c r="B71" s="66"/>
      <c r="C71" s="29">
        <v>4</v>
      </c>
      <c r="D71" s="55">
        <f t="shared" si="48"/>
        <v>0.25</v>
      </c>
      <c r="E71" s="11">
        <f t="shared" si="46"/>
        <v>6.3017429193899785E-2</v>
      </c>
      <c r="F71" s="11">
        <f t="shared" si="47"/>
        <v>3.582766110378504E-2</v>
      </c>
      <c r="G71" s="31">
        <f>data0!F25-data0!F$5</f>
        <v>8.0024509803921562E-2</v>
      </c>
      <c r="H71" s="31">
        <f>data0!G25-data0!G$5</f>
        <v>0</v>
      </c>
      <c r="I71" s="31"/>
      <c r="J71" s="31">
        <f>data0!I25-data0!I$5</f>
        <v>7.9901960784313719E-2</v>
      </c>
      <c r="K71" s="31">
        <f>data0!J25-data0!J$5</f>
        <v>8.2843137254902E-2</v>
      </c>
      <c r="L71" s="31">
        <f>data0!K25-data0!K$5</f>
        <v>7.5490196078431382E-2</v>
      </c>
      <c r="M71" s="31">
        <f>data0!L25-data0!L$5</f>
        <v>8.5049019607843168E-2</v>
      </c>
      <c r="N71" s="31">
        <f>data0!M25-data0!M$5</f>
        <v>8.3210784313725472E-2</v>
      </c>
      <c r="O71" s="31">
        <f>data0!N25-data0!N$5</f>
        <v>8.0637254901960775E-2</v>
      </c>
      <c r="P71" s="31">
        <f>data0!O25-data0!O$5</f>
        <v>0</v>
      </c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</row>
    <row r="72" spans="1:38">
      <c r="A72" s="66"/>
      <c r="B72" s="66">
        <v>1</v>
      </c>
      <c r="C72" s="66">
        <v>0</v>
      </c>
      <c r="D72" s="54">
        <v>0.7</v>
      </c>
      <c r="E72" s="11">
        <f>AVERAGE(G72:AL72)</f>
        <v>0.72965879265091871</v>
      </c>
      <c r="F72" s="11">
        <f>STDEV(G72:AL72)</f>
        <v>1.2449912047907028E-2</v>
      </c>
      <c r="G72" s="30">
        <f>data0!E26</f>
        <v>0.71653543307086609</v>
      </c>
      <c r="H72" s="30">
        <f>data0!F26</f>
        <v>0.71653543307086609</v>
      </c>
      <c r="I72" s="31"/>
      <c r="J72" s="30">
        <f>data0!H26</f>
        <v>0.72440944881889768</v>
      </c>
      <c r="K72" s="30">
        <f>data0!I26</f>
        <v>0.71653543307086609</v>
      </c>
      <c r="L72" s="30">
        <f>data0!J26</f>
        <v>0.74803149606299213</v>
      </c>
      <c r="M72" s="30">
        <f>data0!K26</f>
        <v>0.74015748031496065</v>
      </c>
      <c r="N72" s="30">
        <f>data0!L26</f>
        <v>0.74015748031496065</v>
      </c>
      <c r="O72" s="30">
        <f>data0!M26</f>
        <v>0.74015748031496065</v>
      </c>
      <c r="P72" s="30">
        <f>data0!N26</f>
        <v>0.72440944881889768</v>
      </c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</row>
    <row r="73" spans="1:38">
      <c r="A73" s="66"/>
      <c r="B73" s="66"/>
      <c r="C73" s="66"/>
      <c r="D73" s="55">
        <f>D69</f>
        <v>0.75</v>
      </c>
      <c r="E73" s="11">
        <f t="shared" ref="E73:E76" si="49">AVERAGE(G73:AL73)</f>
        <v>7.0356753812636161E-2</v>
      </c>
      <c r="F73" s="11">
        <f t="shared" ref="F73:F76" si="50">STDEV(G73:AL73)</f>
        <v>2.2515980801347858E-2</v>
      </c>
      <c r="G73" s="31">
        <f>data0!E27-data0!E$3</f>
        <v>4.7303921568627394E-2</v>
      </c>
      <c r="H73" s="31">
        <f>data0!F27-data0!F$3</f>
        <v>6.6666666666666652E-2</v>
      </c>
      <c r="I73" s="31"/>
      <c r="J73" s="31">
        <f>data0!H27-data0!H$3</f>
        <v>3.5539215686274495E-2</v>
      </c>
      <c r="K73" s="31">
        <f>data0!I27-data0!I$3</f>
        <v>8.9338235294117663E-2</v>
      </c>
      <c r="L73" s="31">
        <f>data0!J27-data0!J$3</f>
        <v>9.4852941176470584E-2</v>
      </c>
      <c r="M73" s="31">
        <f>data0!K27-data0!K$3</f>
        <v>8.6151960784313752E-2</v>
      </c>
      <c r="N73" s="31">
        <f>data0!L27-data0!L$3</f>
        <v>9.7794117647058809E-2</v>
      </c>
      <c r="O73" s="31">
        <f>data0!M27-data0!M$3</f>
        <v>6.0906862745098045E-2</v>
      </c>
      <c r="P73" s="31">
        <f>data0!N27-data0!N$3</f>
        <v>5.4656862745098067E-2</v>
      </c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</row>
    <row r="74" spans="1:38">
      <c r="A74" s="66"/>
      <c r="B74" s="66"/>
      <c r="C74" s="29">
        <v>2</v>
      </c>
      <c r="D74" s="55">
        <f t="shared" ref="D74:D75" si="51">D70</f>
        <v>0.5</v>
      </c>
      <c r="E74" s="11">
        <f t="shared" si="49"/>
        <v>7.0098039215686275E-2</v>
      </c>
      <c r="F74" s="11">
        <f t="shared" si="50"/>
        <v>3.9894882348382857E-2</v>
      </c>
      <c r="G74" s="31">
        <f>data0!F28-data0!F$4</f>
        <v>8.7254901960784337E-2</v>
      </c>
      <c r="H74" s="31">
        <f>data0!G28-data0!G$4</f>
        <v>0</v>
      </c>
      <c r="I74" s="31"/>
      <c r="J74" s="31">
        <f>data0!I28-data0!I$4</f>
        <v>8.8357843137254921E-2</v>
      </c>
      <c r="K74" s="31">
        <f>data0!J28-data0!J$4</f>
        <v>9.3382352941176472E-2</v>
      </c>
      <c r="L74" s="31">
        <f>data0!K28-data0!K$4</f>
        <v>8.3333333333333259E-2</v>
      </c>
      <c r="M74" s="31">
        <f>data0!L28-data0!L$4</f>
        <v>9.4117647058823528E-2</v>
      </c>
      <c r="N74" s="31">
        <f>data0!M28-data0!M$4</f>
        <v>9.0686274509803932E-2</v>
      </c>
      <c r="O74" s="31">
        <f>data0!N28-data0!N$4</f>
        <v>9.3749999999999944E-2</v>
      </c>
      <c r="P74" s="31">
        <f>data0!O28-data0!O$4</f>
        <v>0</v>
      </c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</row>
    <row r="75" spans="1:38">
      <c r="A75" s="66"/>
      <c r="B75" s="66"/>
      <c r="C75" s="29">
        <v>4</v>
      </c>
      <c r="D75" s="55">
        <f t="shared" si="51"/>
        <v>0.25</v>
      </c>
      <c r="E75" s="11">
        <f t="shared" si="49"/>
        <v>6.7116013071895436E-2</v>
      </c>
      <c r="F75" s="11">
        <f t="shared" si="50"/>
        <v>3.8151194668109657E-2</v>
      </c>
      <c r="G75" s="31">
        <f>data0!F29-data0!F$5</f>
        <v>8.4558823529411797E-2</v>
      </c>
      <c r="H75" s="31">
        <f>data0!G29-data0!G$5</f>
        <v>0</v>
      </c>
      <c r="I75" s="31"/>
      <c r="J75" s="31">
        <f>data0!I29-data0!I$5</f>
        <v>8.3333333333333315E-2</v>
      </c>
      <c r="K75" s="31">
        <f>data0!J29-data0!J$5</f>
        <v>8.7990196078431393E-2</v>
      </c>
      <c r="L75" s="31">
        <f>data0!K29-data0!K$5</f>
        <v>8.1372549019607832E-2</v>
      </c>
      <c r="M75" s="31">
        <f>data0!L29-data0!L$5</f>
        <v>8.9828431372549034E-2</v>
      </c>
      <c r="N75" s="31">
        <f>data0!M29-data0!M$5</f>
        <v>8.8602941176470607E-2</v>
      </c>
      <c r="O75" s="31">
        <f>data0!N29-data0!N$5</f>
        <v>8.8357843137254921E-2</v>
      </c>
      <c r="P75" s="31">
        <f>data0!O29-data0!O$5</f>
        <v>0</v>
      </c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</row>
    <row r="76" spans="1:38">
      <c r="A76" s="66"/>
      <c r="B76" s="66">
        <v>0</v>
      </c>
      <c r="C76" s="66">
        <v>0</v>
      </c>
      <c r="D76" s="54">
        <v>0.9</v>
      </c>
      <c r="E76" s="11">
        <f t="shared" si="49"/>
        <v>0.9046369203849518</v>
      </c>
      <c r="F76" s="11">
        <f t="shared" si="50"/>
        <v>1.4435695538057772E-2</v>
      </c>
      <c r="G76" s="30">
        <f>data0!E30</f>
        <v>0.88976377952755903</v>
      </c>
      <c r="H76" s="30">
        <f>data0!F30</f>
        <v>0.88976377952755903</v>
      </c>
      <c r="I76" s="31"/>
      <c r="J76" s="30">
        <f>data0!H30</f>
        <v>0.89763779527559051</v>
      </c>
      <c r="K76" s="30">
        <f>data0!I30</f>
        <v>0.88976377952755903</v>
      </c>
      <c r="L76" s="30">
        <f>data0!J30</f>
        <v>0.92125984251968507</v>
      </c>
      <c r="M76" s="30">
        <f>data0!K30</f>
        <v>0.92125984251968507</v>
      </c>
      <c r="N76" s="30">
        <f>data0!L30</f>
        <v>0.91338582677165359</v>
      </c>
      <c r="O76" s="30">
        <f>data0!M30</f>
        <v>0.92125984251968507</v>
      </c>
      <c r="P76" s="30">
        <f>data0!N30</f>
        <v>0.89763779527559051</v>
      </c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</row>
    <row r="77" spans="1:38">
      <c r="A77" s="66"/>
      <c r="B77" s="66"/>
      <c r="C77" s="66"/>
      <c r="D77" s="55">
        <f>D73</f>
        <v>0.75</v>
      </c>
      <c r="E77" s="11">
        <f>AVERAGE(G77:AL77)</f>
        <v>4.0536492374727673E-2</v>
      </c>
      <c r="F77" s="11">
        <f>STDEV(G77:AL77)</f>
        <v>3.9912937206064737E-2</v>
      </c>
      <c r="G77" s="31">
        <f>data0!E31-data0!E$3</f>
        <v>5.759803921568607E-3</v>
      </c>
      <c r="H77" s="31">
        <f>data0!F31-data0!F$3</f>
        <v>7.0098039215686248E-2</v>
      </c>
      <c r="I77" s="31"/>
      <c r="J77" s="31">
        <f>data0!H31-data0!H$3</f>
        <v>-5.1470588235293935E-3</v>
      </c>
      <c r="K77" s="31">
        <f>data0!I31-data0!I$3</f>
        <v>6.4583333333333326E-2</v>
      </c>
      <c r="L77" s="31">
        <f>data0!J31-data0!J$3</f>
        <v>4.166666666666663E-2</v>
      </c>
      <c r="M77" s="31">
        <f>data0!K31-data0!K$3</f>
        <v>9.1544117647058831E-2</v>
      </c>
      <c r="N77" s="31">
        <f>data0!L31-data0!L$3</f>
        <v>7.9656862745098089E-2</v>
      </c>
      <c r="O77" s="31">
        <f>data0!M31-data0!M$3</f>
        <v>3.8235294117647034E-2</v>
      </c>
      <c r="P77" s="31">
        <f>data0!N31-data0!N$3</f>
        <v>-2.1568627450980316E-2</v>
      </c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</row>
    <row r="78" spans="1:38">
      <c r="A78" s="66"/>
      <c r="B78" s="66"/>
      <c r="C78" s="29">
        <v>2</v>
      </c>
      <c r="D78" s="55">
        <f t="shared" ref="D78:D79" si="52">D74</f>
        <v>0.5</v>
      </c>
      <c r="E78" s="11">
        <f t="shared" ref="E78:E79" si="53">AVERAGE(G78:AL78)</f>
        <v>7.2412854030501073E-2</v>
      </c>
      <c r="F78" s="11">
        <f t="shared" ref="F78:F79" si="54">STDEV(G78:AL78)</f>
        <v>4.1151225613387993E-2</v>
      </c>
      <c r="G78" s="31">
        <f>data0!F32-data0!F$4</f>
        <v>9.1666666666666674E-2</v>
      </c>
      <c r="H78" s="31">
        <f>data0!G32-data0!G$4</f>
        <v>0</v>
      </c>
      <c r="I78" s="31"/>
      <c r="J78" s="31">
        <f>data0!I32-data0!I$4</f>
        <v>8.9950980392156876E-2</v>
      </c>
      <c r="K78" s="31">
        <f>data0!J32-data0!J$4</f>
        <v>9.3995098039215685E-2</v>
      </c>
      <c r="L78" s="31">
        <f>data0!K32-data0!K$4</f>
        <v>8.8112745098039236E-2</v>
      </c>
      <c r="M78" s="31">
        <f>data0!L32-data0!L$4</f>
        <v>9.5220588235294112E-2</v>
      </c>
      <c r="N78" s="31">
        <f>data0!M32-data0!M$4</f>
        <v>9.6200980392156854E-2</v>
      </c>
      <c r="O78" s="31">
        <f>data0!N32-data0!N$4</f>
        <v>9.6568627450980327E-2</v>
      </c>
      <c r="P78" s="31">
        <f>data0!O32-data0!O$4</f>
        <v>0</v>
      </c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</row>
    <row r="79" spans="1:38">
      <c r="A79" s="66"/>
      <c r="B79" s="66"/>
      <c r="C79" s="29">
        <v>4</v>
      </c>
      <c r="D79" s="55">
        <f t="shared" si="52"/>
        <v>0.25</v>
      </c>
      <c r="E79" s="11">
        <f t="shared" si="53"/>
        <v>7.0506535947712418E-2</v>
      </c>
      <c r="F79" s="11">
        <f t="shared" si="54"/>
        <v>4.0145420314190272E-2</v>
      </c>
      <c r="G79" s="31">
        <f>data0!F33-data0!F$5</f>
        <v>8.8602941176470607E-2</v>
      </c>
      <c r="H79" s="31">
        <f>data0!G33-data0!G$5</f>
        <v>0</v>
      </c>
      <c r="I79" s="31"/>
      <c r="J79" s="31">
        <f>data0!I33-data0!I$5</f>
        <v>8.7990196078431393E-2</v>
      </c>
      <c r="K79" s="31">
        <f>data0!J33-data0!J$5</f>
        <v>9.3382352941176472E-2</v>
      </c>
      <c r="L79" s="31">
        <f>data0!K33-data0!K$5</f>
        <v>8.3700980392156843E-2</v>
      </c>
      <c r="M79" s="31">
        <f>data0!L33-data0!L$5</f>
        <v>9.6568627450980382E-2</v>
      </c>
      <c r="N79" s="31">
        <f>data0!M33-data0!M$5</f>
        <v>9.3504901960784315E-2</v>
      </c>
      <c r="O79" s="31">
        <f>data0!N33-data0!N$5</f>
        <v>9.0808823529411775E-2</v>
      </c>
      <c r="P79" s="31">
        <f>data0!O33-data0!O$5</f>
        <v>0</v>
      </c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</row>
    <row r="80" spans="1:38">
      <c r="A80" s="35"/>
      <c r="B80" s="35"/>
      <c r="C80" s="35"/>
      <c r="D80" s="54"/>
      <c r="E80" s="11"/>
      <c r="F80" s="1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</row>
    <row r="81" spans="2:16">
      <c r="B81" s="78">
        <v>0.75</v>
      </c>
      <c r="C81" s="77">
        <f>C76</f>
        <v>0</v>
      </c>
      <c r="D81" s="35" t="s">
        <v>16</v>
      </c>
      <c r="E81" s="11">
        <f>AVERAGE(G81:AL81)</f>
        <v>8.6002178649237482E-2</v>
      </c>
      <c r="F81" s="11">
        <f t="shared" ref="F81:F83" si="55">STDEV(G81:AL81)</f>
        <v>9.2076604181129066E-3</v>
      </c>
      <c r="G81" s="30">
        <f>MAX(G53,G57,G61,G65,G69,G73,G77)</f>
        <v>6.7647058823529393E-2</v>
      </c>
      <c r="H81" s="30">
        <f>MAX(H53,H57,H61,H65,H69,H73,H77)</f>
        <v>8.468137254901964E-2</v>
      </c>
      <c r="I81" s="30"/>
      <c r="J81" s="30">
        <f t="shared" ref="J81:P81" si="56">MAX(J53,J57,J61,J65,J69,J73,J77)</f>
        <v>7.7818627450980338E-2</v>
      </c>
      <c r="K81" s="30">
        <f t="shared" si="56"/>
        <v>8.9338235294117663E-2</v>
      </c>
      <c r="L81" s="30">
        <f t="shared" si="56"/>
        <v>9.4852941176470584E-2</v>
      </c>
      <c r="M81" s="30">
        <f t="shared" si="56"/>
        <v>9.1544117647058831E-2</v>
      </c>
      <c r="N81" s="30">
        <f t="shared" si="56"/>
        <v>9.7794117647058809E-2</v>
      </c>
      <c r="O81" s="30">
        <f t="shared" si="56"/>
        <v>8.7622549019607865E-2</v>
      </c>
      <c r="P81" s="30">
        <f t="shared" si="56"/>
        <v>8.2720588235294157E-2</v>
      </c>
    </row>
    <row r="82" spans="2:16">
      <c r="B82" s="66"/>
      <c r="C82" s="77"/>
      <c r="D82" s="35" t="s">
        <v>17</v>
      </c>
      <c r="E82" s="11">
        <f t="shared" ref="E82" si="57">AVERAGE(G82:AL82)</f>
        <v>4.5465686274509802E-2</v>
      </c>
      <c r="F82" s="11">
        <f t="shared" ref="F82" si="58">STDEV(G82:AL82)</f>
        <v>3.4292382192716839E-2</v>
      </c>
      <c r="G82" s="30">
        <f>G81-G77</f>
        <v>6.1887254901960786E-2</v>
      </c>
      <c r="H82" s="30">
        <f>H81-H77</f>
        <v>1.4583333333333393E-2</v>
      </c>
      <c r="I82" s="30"/>
      <c r="J82" s="30">
        <f>J81-J77</f>
        <v>8.2965686274509731E-2</v>
      </c>
      <c r="K82" s="30">
        <f t="shared" ref="J82:P82" si="59">K81-K77</f>
        <v>2.4754901960784337E-2</v>
      </c>
      <c r="L82" s="30">
        <f t="shared" si="59"/>
        <v>5.3186274509803955E-2</v>
      </c>
      <c r="M82" s="30">
        <f t="shared" si="59"/>
        <v>0</v>
      </c>
      <c r="N82" s="30">
        <f t="shared" si="59"/>
        <v>1.813725490196072E-2</v>
      </c>
      <c r="O82" s="30">
        <f t="shared" si="59"/>
        <v>4.9387254901960831E-2</v>
      </c>
      <c r="P82" s="30">
        <f t="shared" si="59"/>
        <v>0.10428921568627447</v>
      </c>
    </row>
    <row r="83" spans="2:16">
      <c r="B83" s="78">
        <v>0.5</v>
      </c>
      <c r="C83" s="77">
        <f>C78</f>
        <v>2</v>
      </c>
      <c r="D83" t="str">
        <f>D81</f>
        <v>Rise</v>
      </c>
      <c r="E83" s="11">
        <f t="shared" ref="E81:E83" si="60">AVERAGE(G83:AL83)</f>
        <v>7.2412854030501073E-2</v>
      </c>
      <c r="F83" s="11">
        <f t="shared" si="55"/>
        <v>4.1151225613387993E-2</v>
      </c>
      <c r="G83" s="30">
        <f>MAX(G54,G58,G62,G66,G70,G74,G78)</f>
        <v>9.1666666666666674E-2</v>
      </c>
      <c r="H83" s="30">
        <f>MAX(H54,H58,H62,H66,H70,H74,H78)</f>
        <v>0</v>
      </c>
      <c r="I83" s="30"/>
      <c r="J83" s="30">
        <f t="shared" ref="J83:P83" si="61">MAX(J54,J58,J62,J66,J70,J74,J78)</f>
        <v>8.9950980392156876E-2</v>
      </c>
      <c r="K83" s="30">
        <f t="shared" si="61"/>
        <v>9.3995098039215685E-2</v>
      </c>
      <c r="L83" s="30">
        <f t="shared" si="61"/>
        <v>8.8112745098039236E-2</v>
      </c>
      <c r="M83" s="30">
        <f t="shared" si="61"/>
        <v>9.5220588235294112E-2</v>
      </c>
      <c r="N83" s="30">
        <f t="shared" si="61"/>
        <v>9.6200980392156854E-2</v>
      </c>
      <c r="O83" s="30">
        <f t="shared" si="61"/>
        <v>9.6568627450980327E-2</v>
      </c>
      <c r="P83" s="30">
        <f t="shared" si="61"/>
        <v>0</v>
      </c>
    </row>
    <row r="84" spans="2:16">
      <c r="B84" s="78"/>
      <c r="C84" s="77"/>
      <c r="D84" t="str">
        <f t="shared" ref="D84:D86" si="62">D82</f>
        <v>Droop</v>
      </c>
      <c r="E84" s="11">
        <f t="shared" ref="E84:E86" si="63">AVERAGE(G84:AL84)</f>
        <v>0</v>
      </c>
      <c r="F84" s="11">
        <f t="shared" ref="F84:F86" si="64">STDEV(G84:AL84)</f>
        <v>0</v>
      </c>
      <c r="G84" s="30">
        <f>G83-G78</f>
        <v>0</v>
      </c>
      <c r="H84" s="30">
        <f>H83-H78</f>
        <v>0</v>
      </c>
      <c r="I84" s="30"/>
      <c r="J84" s="30">
        <f t="shared" ref="J84:P84" si="65">J83-J78</f>
        <v>0</v>
      </c>
      <c r="K84" s="30">
        <f t="shared" si="65"/>
        <v>0</v>
      </c>
      <c r="L84" s="30">
        <f t="shared" si="65"/>
        <v>0</v>
      </c>
      <c r="M84" s="30">
        <f t="shared" si="65"/>
        <v>0</v>
      </c>
      <c r="N84" s="30">
        <f t="shared" si="65"/>
        <v>0</v>
      </c>
      <c r="O84" s="30">
        <f t="shared" si="65"/>
        <v>0</v>
      </c>
      <c r="P84" s="30">
        <f t="shared" si="65"/>
        <v>0</v>
      </c>
    </row>
    <row r="85" spans="2:16">
      <c r="B85" s="78">
        <v>0.25</v>
      </c>
      <c r="C85" s="77">
        <f>C79</f>
        <v>4</v>
      </c>
      <c r="D85" t="str">
        <f t="shared" si="62"/>
        <v>Rise</v>
      </c>
      <c r="E85" s="11">
        <f t="shared" si="63"/>
        <v>7.0506535947712418E-2</v>
      </c>
      <c r="F85" s="11">
        <f t="shared" si="64"/>
        <v>4.0145420314190272E-2</v>
      </c>
      <c r="G85" s="30">
        <f>MAX(G55,G59,G63,G67,G71,G75,G79)</f>
        <v>8.8602941176470607E-2</v>
      </c>
      <c r="H85" s="30">
        <f>MAX(H55,H59,H63,H67,H71,H75,H79)</f>
        <v>0</v>
      </c>
      <c r="I85" s="30"/>
      <c r="J85" s="30">
        <f t="shared" ref="J85:P85" si="66">MAX(J55,J59,J63,J67,J71,J75,J79)</f>
        <v>8.7990196078431393E-2</v>
      </c>
      <c r="K85" s="30">
        <f t="shared" si="66"/>
        <v>9.3382352941176472E-2</v>
      </c>
      <c r="L85" s="30">
        <f t="shared" si="66"/>
        <v>8.3700980392156843E-2</v>
      </c>
      <c r="M85" s="30">
        <f t="shared" si="66"/>
        <v>9.6568627450980382E-2</v>
      </c>
      <c r="N85" s="30">
        <f t="shared" si="66"/>
        <v>9.3504901960784315E-2</v>
      </c>
      <c r="O85" s="30">
        <f t="shared" si="66"/>
        <v>9.0808823529411775E-2</v>
      </c>
      <c r="P85" s="30">
        <f t="shared" si="66"/>
        <v>0</v>
      </c>
    </row>
    <row r="86" spans="2:16">
      <c r="B86" s="78"/>
      <c r="C86" s="77"/>
      <c r="D86" t="str">
        <f t="shared" si="62"/>
        <v>Droop</v>
      </c>
      <c r="E86" s="11">
        <f t="shared" si="63"/>
        <v>0</v>
      </c>
      <c r="F86" s="11">
        <f t="shared" si="64"/>
        <v>0</v>
      </c>
      <c r="G86" s="30">
        <f>G85-G79</f>
        <v>0</v>
      </c>
      <c r="H86" s="30">
        <f>H85-H79</f>
        <v>0</v>
      </c>
      <c r="I86" s="30"/>
      <c r="J86" s="30">
        <f t="shared" ref="J86:P86" si="67">J85-J79</f>
        <v>0</v>
      </c>
      <c r="K86" s="30">
        <f t="shared" si="67"/>
        <v>0</v>
      </c>
      <c r="L86" s="30">
        <f t="shared" si="67"/>
        <v>0</v>
      </c>
      <c r="M86" s="30">
        <f t="shared" si="67"/>
        <v>0</v>
      </c>
      <c r="N86" s="30">
        <f t="shared" si="67"/>
        <v>0</v>
      </c>
      <c r="O86" s="30">
        <f t="shared" si="67"/>
        <v>0</v>
      </c>
      <c r="P86" s="30">
        <f t="shared" si="67"/>
        <v>0</v>
      </c>
    </row>
    <row r="87" spans="2:16" s="9" customFormat="1"/>
    <row r="88" spans="2:16" s="9" customFormat="1"/>
    <row r="89" spans="2:16">
      <c r="D89" s="6"/>
    </row>
    <row r="90" spans="2:16">
      <c r="C90" s="35"/>
      <c r="D90" s="6"/>
      <c r="E90" s="11"/>
      <c r="F90" s="11"/>
    </row>
    <row r="91" spans="2:16">
      <c r="C91" s="35"/>
      <c r="D91" s="6"/>
      <c r="E91" s="11"/>
      <c r="F91" s="11"/>
    </row>
    <row r="92" spans="2:16">
      <c r="C92" s="35"/>
      <c r="D92" s="6"/>
      <c r="E92" s="11"/>
      <c r="F92" s="11"/>
    </row>
  </sheetData>
  <mergeCells count="35">
    <mergeCell ref="B81:B82"/>
    <mergeCell ref="B83:B84"/>
    <mergeCell ref="B85:B86"/>
    <mergeCell ref="C85:C86"/>
    <mergeCell ref="P17:P18"/>
    <mergeCell ref="P19:P20"/>
    <mergeCell ref="C81:C82"/>
    <mergeCell ref="C83:C84"/>
    <mergeCell ref="I23:L23"/>
    <mergeCell ref="O11:U11"/>
    <mergeCell ref="P12:Q12"/>
    <mergeCell ref="P13:P14"/>
    <mergeCell ref="P15:P16"/>
    <mergeCell ref="I1:L1"/>
    <mergeCell ref="I13:L13"/>
    <mergeCell ref="A11:B11"/>
    <mergeCell ref="A12:B12"/>
    <mergeCell ref="I35:M35"/>
    <mergeCell ref="A13:B13"/>
    <mergeCell ref="A14:B14"/>
    <mergeCell ref="A52:A79"/>
    <mergeCell ref="B52:B55"/>
    <mergeCell ref="C52:C53"/>
    <mergeCell ref="B56:B59"/>
    <mergeCell ref="C56:C57"/>
    <mergeCell ref="B60:B63"/>
    <mergeCell ref="C60:C61"/>
    <mergeCell ref="B64:B67"/>
    <mergeCell ref="C64:C65"/>
    <mergeCell ref="B68:B71"/>
    <mergeCell ref="B72:B75"/>
    <mergeCell ref="C72:C73"/>
    <mergeCell ref="B76:B79"/>
    <mergeCell ref="C76:C77"/>
    <mergeCell ref="C68:C69"/>
  </mergeCells>
  <pageMargins left="0.7" right="0.7" top="0.75" bottom="0.75" header="0.3" footer="0.3"/>
  <pageSetup orientation="portrait" r:id="rId1"/>
  <ignoredErrors>
    <ignoredError sqref="C14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BA41"/>
  <sheetViews>
    <sheetView zoomScale="70" zoomScaleNormal="70" workbookViewId="0">
      <selection activeCell="R42" sqref="R42"/>
    </sheetView>
  </sheetViews>
  <sheetFormatPr defaultRowHeight="15"/>
  <cols>
    <col min="1" max="1" width="14.42578125" bestFit="1" customWidth="1"/>
    <col min="2" max="2" width="4.28515625" bestFit="1" customWidth="1"/>
    <col min="3" max="3" width="6.5703125" style="10" bestFit="1" customWidth="1"/>
    <col min="4" max="4" width="9.85546875" bestFit="1" customWidth="1"/>
    <col min="5" max="5" width="5.42578125" style="11" customWidth="1"/>
    <col min="6" max="36" width="5.42578125" customWidth="1"/>
    <col min="37" max="37" width="2.28515625" customWidth="1"/>
    <col min="38" max="38" width="7.140625" style="5" bestFit="1" customWidth="1"/>
    <col min="39" max="39" width="8" style="5" bestFit="1" customWidth="1"/>
    <col min="40" max="40" width="7.42578125" style="5" bestFit="1" customWidth="1"/>
    <col min="41" max="41" width="5.85546875" style="5" bestFit="1" customWidth="1"/>
    <col min="43" max="43" width="10" bestFit="1" customWidth="1"/>
    <col min="44" max="46" width="7.28515625" bestFit="1" customWidth="1"/>
    <col min="47" max="51" width="7.85546875" bestFit="1" customWidth="1"/>
    <col min="52" max="52" width="7.7109375" bestFit="1" customWidth="1"/>
    <col min="54" max="57" width="6.5703125" customWidth="1"/>
    <col min="58" max="62" width="7.7109375" customWidth="1"/>
    <col min="63" max="63" width="7.140625" customWidth="1"/>
  </cols>
  <sheetData>
    <row r="1" spans="1:53">
      <c r="A1" s="9"/>
      <c r="B1" s="10" t="s">
        <v>8</v>
      </c>
      <c r="C1" s="10" t="s">
        <v>9</v>
      </c>
      <c r="D1" t="s">
        <v>15</v>
      </c>
      <c r="E1" s="12">
        <v>0</v>
      </c>
      <c r="F1" s="5">
        <f>E1+1</f>
        <v>1</v>
      </c>
      <c r="G1" s="5">
        <f t="shared" ref="G1:AJ1" si="0">F1+1</f>
        <v>2</v>
      </c>
      <c r="H1" s="5">
        <f t="shared" si="0"/>
        <v>3</v>
      </c>
      <c r="I1" s="5">
        <f t="shared" si="0"/>
        <v>4</v>
      </c>
      <c r="J1" s="5">
        <f t="shared" si="0"/>
        <v>5</v>
      </c>
      <c r="K1" s="5">
        <f t="shared" si="0"/>
        <v>6</v>
      </c>
      <c r="L1" s="5">
        <f t="shared" si="0"/>
        <v>7</v>
      </c>
      <c r="M1" s="5">
        <f t="shared" si="0"/>
        <v>8</v>
      </c>
      <c r="N1" s="5">
        <f t="shared" si="0"/>
        <v>9</v>
      </c>
      <c r="O1" s="5">
        <f t="shared" si="0"/>
        <v>10</v>
      </c>
      <c r="P1" s="5">
        <f t="shared" si="0"/>
        <v>11</v>
      </c>
      <c r="Q1" s="5">
        <f t="shared" si="0"/>
        <v>12</v>
      </c>
      <c r="R1" s="5">
        <f t="shared" si="0"/>
        <v>13</v>
      </c>
      <c r="S1" s="5">
        <f t="shared" si="0"/>
        <v>14</v>
      </c>
      <c r="T1" s="5">
        <f t="shared" si="0"/>
        <v>15</v>
      </c>
      <c r="U1" s="5">
        <f t="shared" si="0"/>
        <v>16</v>
      </c>
      <c r="V1" s="5">
        <f t="shared" si="0"/>
        <v>17</v>
      </c>
      <c r="W1" s="5">
        <f t="shared" si="0"/>
        <v>18</v>
      </c>
      <c r="X1" s="5">
        <f t="shared" si="0"/>
        <v>19</v>
      </c>
      <c r="Y1" s="5">
        <f t="shared" si="0"/>
        <v>20</v>
      </c>
      <c r="Z1" s="5">
        <f t="shared" si="0"/>
        <v>21</v>
      </c>
      <c r="AA1" s="5">
        <f t="shared" si="0"/>
        <v>22</v>
      </c>
      <c r="AB1" s="5">
        <f t="shared" si="0"/>
        <v>23</v>
      </c>
      <c r="AC1" s="5">
        <f t="shared" si="0"/>
        <v>24</v>
      </c>
      <c r="AD1" s="5">
        <f t="shared" si="0"/>
        <v>25</v>
      </c>
      <c r="AE1" s="5">
        <f t="shared" si="0"/>
        <v>26</v>
      </c>
      <c r="AF1" s="5">
        <f t="shared" si="0"/>
        <v>27</v>
      </c>
      <c r="AG1" s="5">
        <f t="shared" si="0"/>
        <v>28</v>
      </c>
      <c r="AH1" s="5">
        <f t="shared" si="0"/>
        <v>29</v>
      </c>
      <c r="AI1" s="5">
        <f t="shared" si="0"/>
        <v>30</v>
      </c>
      <c r="AJ1" s="5">
        <f t="shared" si="0"/>
        <v>31</v>
      </c>
      <c r="AK1" s="5"/>
      <c r="AZ1" s="9"/>
    </row>
    <row r="2" spans="1:53">
      <c r="A2" s="66" t="s">
        <v>4</v>
      </c>
      <c r="B2" s="66">
        <v>0.10236220472440945</v>
      </c>
      <c r="C2" s="66">
        <v>0</v>
      </c>
      <c r="D2" s="54">
        <v>0</v>
      </c>
      <c r="E2" s="19">
        <v>0.11023622047244094</v>
      </c>
      <c r="F2" s="19">
        <v>0.11811023622047244</v>
      </c>
      <c r="G2" s="19"/>
      <c r="H2" s="19">
        <v>0.11023622047244094</v>
      </c>
      <c r="I2" s="19">
        <v>0.11023622047244094</v>
      </c>
      <c r="J2" s="19">
        <v>0.11811023622047244</v>
      </c>
      <c r="K2" s="19">
        <v>0.11811023622047244</v>
      </c>
      <c r="L2" s="19">
        <v>0.11811023622047244</v>
      </c>
      <c r="M2" s="19">
        <v>0.11811023622047244</v>
      </c>
      <c r="N2" s="19">
        <v>0.11023622047244094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L2" s="7"/>
      <c r="AM2" s="7"/>
      <c r="AN2" s="7"/>
      <c r="AO2" s="7"/>
      <c r="AR2" s="14"/>
      <c r="AS2" s="14"/>
      <c r="AT2" s="14"/>
      <c r="AZ2" s="9"/>
      <c r="BA2" s="11"/>
    </row>
    <row r="3" spans="1:53">
      <c r="A3" s="66"/>
      <c r="B3" s="66"/>
      <c r="C3" s="66"/>
      <c r="D3" s="55">
        <v>0.75</v>
      </c>
      <c r="E3" s="19">
        <v>0.71825980392156863</v>
      </c>
      <c r="F3" s="19">
        <v>0.72352941176470587</v>
      </c>
      <c r="G3" s="19"/>
      <c r="H3" s="19">
        <v>0.74522058823529413</v>
      </c>
      <c r="I3" s="19">
        <v>0.68566176470588236</v>
      </c>
      <c r="J3" s="19">
        <v>0.7262254901960784</v>
      </c>
      <c r="K3" s="19">
        <v>0.72083333333333333</v>
      </c>
      <c r="L3" s="19">
        <v>0.72316176470588234</v>
      </c>
      <c r="M3" s="19">
        <v>0.72647058823529409</v>
      </c>
      <c r="N3" s="19">
        <v>0.7009803921568627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L3" s="7"/>
      <c r="AM3" s="7"/>
      <c r="AN3" s="7"/>
      <c r="AO3" s="7"/>
      <c r="AQ3" s="6"/>
      <c r="AR3" s="13"/>
      <c r="AS3" s="13"/>
      <c r="AT3" s="13"/>
      <c r="AZ3" s="9"/>
    </row>
    <row r="4" spans="1:53">
      <c r="A4" s="66"/>
      <c r="B4" s="66"/>
      <c r="C4" s="29">
        <v>2</v>
      </c>
      <c r="D4" s="55">
        <v>0.5</v>
      </c>
      <c r="E4" s="19">
        <v>0.48504901960784313</v>
      </c>
      <c r="F4" s="19">
        <v>0.50110294117647058</v>
      </c>
      <c r="G4" s="19"/>
      <c r="H4" s="19">
        <v>0.54007352941176467</v>
      </c>
      <c r="I4" s="19">
        <v>0.46605392156862746</v>
      </c>
      <c r="J4" s="19">
        <v>0.50600490196078429</v>
      </c>
      <c r="K4" s="19">
        <v>0.49460784313725492</v>
      </c>
      <c r="L4" s="19">
        <v>0.50281862745098038</v>
      </c>
      <c r="M4" s="19">
        <v>0.49926470588235294</v>
      </c>
      <c r="N4" s="19">
        <v>0.4814950980392157</v>
      </c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L4" s="7"/>
      <c r="AM4" s="7"/>
      <c r="AN4" s="7"/>
      <c r="AO4" s="7"/>
      <c r="AQ4" s="6"/>
      <c r="AR4" s="13"/>
      <c r="AS4" s="13"/>
      <c r="AT4" s="13"/>
      <c r="AZ4" s="9"/>
    </row>
    <row r="5" spans="1:53">
      <c r="A5" s="66"/>
      <c r="B5" s="66"/>
      <c r="C5" s="17">
        <v>4</v>
      </c>
      <c r="D5" s="55">
        <v>0.25</v>
      </c>
      <c r="E5" s="19">
        <v>0.26568627450980392</v>
      </c>
      <c r="F5" s="19">
        <v>0.27095588235294116</v>
      </c>
      <c r="G5" s="19"/>
      <c r="H5" s="19">
        <v>0.31348039215686274</v>
      </c>
      <c r="I5" s="19">
        <v>0.25159313725490196</v>
      </c>
      <c r="J5" s="19">
        <v>0.27120098039215684</v>
      </c>
      <c r="K5" s="19">
        <v>0.26715686274509803</v>
      </c>
      <c r="L5" s="19">
        <v>0.26825980392156862</v>
      </c>
      <c r="M5" s="19">
        <v>0.28137254901960784</v>
      </c>
      <c r="N5" s="19">
        <v>0.25575980392156861</v>
      </c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L5" s="7"/>
      <c r="AM5" s="7"/>
      <c r="AN5" s="7"/>
      <c r="AO5" s="7"/>
      <c r="AQ5" s="6"/>
      <c r="AR5" s="13"/>
      <c r="AS5" s="13"/>
      <c r="AT5" s="13"/>
      <c r="AZ5" s="9"/>
    </row>
    <row r="6" spans="1:53">
      <c r="A6" s="66"/>
      <c r="B6" s="66">
        <v>0.1889763779527559</v>
      </c>
      <c r="C6" s="66">
        <v>0</v>
      </c>
      <c r="D6" s="54">
        <v>0.2</v>
      </c>
      <c r="E6" s="19">
        <v>0.1889763779527559</v>
      </c>
      <c r="F6" s="19">
        <v>0.19685039370078741</v>
      </c>
      <c r="G6" s="19"/>
      <c r="H6" s="19">
        <v>0.1889763779527559</v>
      </c>
      <c r="I6" s="19">
        <v>0.1889763779527559</v>
      </c>
      <c r="J6" s="19">
        <v>0.19685039370078741</v>
      </c>
      <c r="K6" s="19">
        <v>0.20472440944881889</v>
      </c>
      <c r="L6" s="19">
        <v>0.19685039370078741</v>
      </c>
      <c r="M6" s="19">
        <v>0.19685039370078741</v>
      </c>
      <c r="N6" s="19">
        <v>0.1889763779527559</v>
      </c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L6" s="7"/>
      <c r="AM6" s="7"/>
      <c r="AN6" s="7"/>
      <c r="AO6" s="7"/>
      <c r="AZ6" s="9"/>
    </row>
    <row r="7" spans="1:53">
      <c r="A7" s="66"/>
      <c r="B7" s="66"/>
      <c r="C7" s="66"/>
      <c r="D7" s="55">
        <f>D3</f>
        <v>0.75</v>
      </c>
      <c r="E7" s="19">
        <v>0.7600490196078431</v>
      </c>
      <c r="F7" s="19">
        <v>0.76556372549019602</v>
      </c>
      <c r="G7" s="19"/>
      <c r="H7" s="19">
        <v>0.79252450980392153</v>
      </c>
      <c r="I7" s="19">
        <v>0.73272058823529407</v>
      </c>
      <c r="J7" s="19">
        <v>0.77389705882352944</v>
      </c>
      <c r="K7" s="19">
        <v>0.76495098039215681</v>
      </c>
      <c r="L7" s="19">
        <v>0.77058823529411768</v>
      </c>
      <c r="M7" s="19">
        <v>0.77904411764705883</v>
      </c>
      <c r="N7" s="19">
        <v>0.75196078431372548</v>
      </c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L7" s="7"/>
      <c r="AM7" s="7"/>
      <c r="AN7" s="7"/>
      <c r="AO7" s="7"/>
      <c r="AQ7" s="69"/>
      <c r="AR7" s="69"/>
      <c r="AS7" s="69"/>
      <c r="AT7" s="69"/>
      <c r="AU7" s="69"/>
      <c r="AV7" s="69"/>
      <c r="AW7" s="69"/>
      <c r="AX7" s="69"/>
      <c r="AY7" s="69"/>
      <c r="AZ7" s="9"/>
    </row>
    <row r="8" spans="1:53">
      <c r="A8" s="66"/>
      <c r="B8" s="66"/>
      <c r="C8" s="29">
        <v>2</v>
      </c>
      <c r="D8" s="55">
        <f t="shared" ref="D8:D9" si="1">D4</f>
        <v>0.5</v>
      </c>
      <c r="E8" s="19">
        <v>0.52732843137254903</v>
      </c>
      <c r="F8" s="19">
        <v>0.5447303921568627</v>
      </c>
      <c r="G8" s="19"/>
      <c r="H8" s="19">
        <v>0.58725490196078434</v>
      </c>
      <c r="I8" s="19">
        <v>0.50906862745098036</v>
      </c>
      <c r="J8" s="19">
        <v>0.54877450980392151</v>
      </c>
      <c r="K8" s="19">
        <v>0.5395833333333333</v>
      </c>
      <c r="L8" s="19">
        <v>0.54926470588235299</v>
      </c>
      <c r="M8" s="19">
        <v>0.54877450980392151</v>
      </c>
      <c r="N8" s="19">
        <v>0.53186274509803921</v>
      </c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L8" s="7"/>
      <c r="AM8" s="7"/>
      <c r="AN8" s="7"/>
      <c r="AO8" s="7"/>
      <c r="AR8" s="6"/>
      <c r="AS8" s="13"/>
      <c r="AT8" s="13"/>
      <c r="AU8" s="13"/>
      <c r="AV8" s="13"/>
      <c r="AW8" s="13"/>
      <c r="AX8" s="13"/>
      <c r="AY8" s="13"/>
      <c r="AZ8" s="15"/>
    </row>
    <row r="9" spans="1:53">
      <c r="A9" s="66"/>
      <c r="B9" s="66"/>
      <c r="C9" s="29">
        <v>4</v>
      </c>
      <c r="D9" s="55">
        <f t="shared" si="1"/>
        <v>0.25</v>
      </c>
      <c r="E9" s="19">
        <v>0.30600490196078434</v>
      </c>
      <c r="F9" s="19">
        <v>0.30882352941176472</v>
      </c>
      <c r="G9" s="19"/>
      <c r="H9" s="19">
        <v>0.35857843137254902</v>
      </c>
      <c r="I9" s="19">
        <v>0.29325980392156864</v>
      </c>
      <c r="J9" s="19">
        <v>0.31446078431372548</v>
      </c>
      <c r="K9" s="19">
        <v>0.30674019607843139</v>
      </c>
      <c r="L9" s="19">
        <v>0.31323529411764706</v>
      </c>
      <c r="M9" s="19">
        <v>0.32647058823529412</v>
      </c>
      <c r="N9" s="19">
        <v>0.29987745098039215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L9" s="7"/>
      <c r="AM9" s="7"/>
      <c r="AN9" s="7"/>
      <c r="AO9" s="7"/>
      <c r="AQ9" s="6"/>
      <c r="AR9" s="6"/>
      <c r="AS9" s="13"/>
      <c r="AT9" s="13"/>
      <c r="AU9" s="13"/>
      <c r="AV9" s="13"/>
      <c r="AW9" s="13"/>
      <c r="AX9" s="13"/>
      <c r="AY9" s="13"/>
      <c r="AZ9" s="13"/>
    </row>
    <row r="10" spans="1:53">
      <c r="A10" s="66"/>
      <c r="B10" s="66">
        <v>0.29133858267716534</v>
      </c>
      <c r="C10" s="66">
        <v>0</v>
      </c>
      <c r="D10" s="54">
        <v>0.3</v>
      </c>
      <c r="E10" s="19">
        <v>0.29133858267716534</v>
      </c>
      <c r="F10" s="19">
        <v>0.29133858267716534</v>
      </c>
      <c r="G10" s="19"/>
      <c r="H10" s="19">
        <v>0.29133858267716534</v>
      </c>
      <c r="I10" s="19">
        <v>0.29133858267716534</v>
      </c>
      <c r="J10" s="19">
        <v>0.29921259842519687</v>
      </c>
      <c r="K10" s="19">
        <v>0.30708661417322836</v>
      </c>
      <c r="L10" s="19">
        <v>0.29921259842519687</v>
      </c>
      <c r="M10" s="19">
        <v>0.29921259842519687</v>
      </c>
      <c r="N10" s="19">
        <v>0.29133858267716534</v>
      </c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L10" s="7"/>
      <c r="AM10" s="7"/>
      <c r="AN10" s="7"/>
      <c r="AO10" s="7"/>
      <c r="AQ10" s="6"/>
      <c r="AR10" s="6"/>
      <c r="AS10" s="13"/>
      <c r="AT10" s="13"/>
      <c r="AU10" s="13"/>
      <c r="AV10" s="13"/>
      <c r="AW10" s="13"/>
      <c r="AX10" s="13"/>
      <c r="AY10" s="13"/>
      <c r="AZ10" s="13"/>
    </row>
    <row r="11" spans="1:53">
      <c r="A11" s="66"/>
      <c r="B11" s="66"/>
      <c r="C11" s="66"/>
      <c r="D11" s="55">
        <f>D7</f>
        <v>0.75</v>
      </c>
      <c r="E11" s="19">
        <v>0.77561274509803924</v>
      </c>
      <c r="F11" s="19">
        <v>0.79019607843137252</v>
      </c>
      <c r="G11" s="19"/>
      <c r="H11" s="19">
        <v>0.8142156862745098</v>
      </c>
      <c r="I11" s="19">
        <v>0.75514705882352939</v>
      </c>
      <c r="J11" s="19">
        <v>0.79595588235294112</v>
      </c>
      <c r="K11" s="19">
        <v>0.78553921568627449</v>
      </c>
      <c r="L11" s="19">
        <v>0.79325980392156858</v>
      </c>
      <c r="M11" s="19">
        <v>0.79497549019607838</v>
      </c>
      <c r="N11" s="19">
        <v>0.76801470588235288</v>
      </c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L11" s="7"/>
      <c r="AM11" s="7"/>
      <c r="AN11" s="7"/>
      <c r="AO11" s="7"/>
      <c r="AQ11" s="6"/>
      <c r="AR11" s="6"/>
      <c r="AS11" s="13"/>
      <c r="AT11" s="13"/>
      <c r="AU11" s="13"/>
      <c r="AV11" s="13"/>
      <c r="AW11" s="13"/>
      <c r="AX11" s="13"/>
      <c r="AY11" s="13"/>
      <c r="AZ11" s="13"/>
    </row>
    <row r="12" spans="1:53">
      <c r="A12" s="66"/>
      <c r="B12" s="66"/>
      <c r="C12" s="29">
        <v>2</v>
      </c>
      <c r="D12" s="55">
        <f t="shared" ref="D12:D13" si="2">D8</f>
        <v>0.5</v>
      </c>
      <c r="E12" s="19">
        <v>0.54656862745098034</v>
      </c>
      <c r="F12" s="19">
        <v>0.5650735294117647</v>
      </c>
      <c r="G12" s="19"/>
      <c r="H12" s="19">
        <v>0.60612745098039211</v>
      </c>
      <c r="I12" s="19">
        <v>0.52904411764705883</v>
      </c>
      <c r="J12" s="19">
        <v>0.57071078431372546</v>
      </c>
      <c r="K12" s="19">
        <v>0.55612745098039218</v>
      </c>
      <c r="L12" s="19">
        <v>0.56776960784313724</v>
      </c>
      <c r="M12" s="19">
        <v>0.56703431372549018</v>
      </c>
      <c r="N12" s="19">
        <v>0.54889705882352935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L12" s="7"/>
      <c r="AM12" s="7"/>
      <c r="AN12" s="7"/>
      <c r="AO12" s="7"/>
      <c r="AQ12" s="6"/>
      <c r="AR12" s="6"/>
      <c r="AS12" s="13"/>
      <c r="AT12" s="13"/>
      <c r="AU12" s="13"/>
      <c r="AV12" s="13"/>
      <c r="AW12" s="13"/>
      <c r="AX12" s="13"/>
      <c r="AY12" s="13"/>
      <c r="AZ12" s="13"/>
    </row>
    <row r="13" spans="1:53">
      <c r="A13" s="66"/>
      <c r="B13" s="66"/>
      <c r="C13" s="29">
        <v>4</v>
      </c>
      <c r="D13" s="55">
        <f t="shared" si="2"/>
        <v>0.25</v>
      </c>
      <c r="E13" s="19">
        <v>0.32169117647058826</v>
      </c>
      <c r="F13" s="19">
        <v>0.32965686274509803</v>
      </c>
      <c r="G13" s="19"/>
      <c r="H13" s="19">
        <v>0.37524509803921569</v>
      </c>
      <c r="I13" s="19">
        <v>0.31139705882352942</v>
      </c>
      <c r="J13" s="19">
        <v>0.33468137254901958</v>
      </c>
      <c r="K13" s="19">
        <v>0.32120098039215683</v>
      </c>
      <c r="L13" s="19">
        <v>0.3301470588235294</v>
      </c>
      <c r="M13" s="19">
        <v>0.34142156862745099</v>
      </c>
      <c r="N13" s="19">
        <v>0.31323529411764706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L13" s="7"/>
      <c r="AM13" s="7"/>
      <c r="AN13" s="7"/>
      <c r="AO13" s="7"/>
      <c r="AQ13" s="6"/>
      <c r="AR13" s="13"/>
      <c r="AS13" s="13"/>
      <c r="AT13" s="13"/>
      <c r="AU13" s="13"/>
      <c r="AV13" s="13"/>
      <c r="AW13" s="13"/>
      <c r="AX13" s="13"/>
      <c r="AY13" s="13"/>
      <c r="AZ13" s="9"/>
    </row>
    <row r="14" spans="1:53">
      <c r="A14" s="66"/>
      <c r="B14" s="66">
        <v>0.39370078740157483</v>
      </c>
      <c r="C14" s="66">
        <v>0</v>
      </c>
      <c r="D14" s="54">
        <v>0.4</v>
      </c>
      <c r="E14" s="19">
        <v>0.38582677165354329</v>
      </c>
      <c r="F14" s="19">
        <v>0.39370078740157483</v>
      </c>
      <c r="G14" s="19"/>
      <c r="H14" s="19">
        <v>0.39370078740157483</v>
      </c>
      <c r="I14" s="19">
        <v>0.38582677165354329</v>
      </c>
      <c r="J14" s="19">
        <v>0.40157480314960631</v>
      </c>
      <c r="K14" s="19">
        <v>0.40944881889763779</v>
      </c>
      <c r="L14" s="19">
        <v>0.40157480314960631</v>
      </c>
      <c r="M14" s="19">
        <v>0.40157480314960631</v>
      </c>
      <c r="N14" s="19">
        <v>0.38582677165354329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L14" s="7"/>
      <c r="AM14" s="7"/>
      <c r="AN14" s="7"/>
      <c r="AO14" s="7"/>
      <c r="AQ14" s="69"/>
      <c r="AR14" s="69"/>
      <c r="AS14" s="69"/>
      <c r="AT14" s="69"/>
      <c r="AU14" s="69"/>
      <c r="AV14" s="69"/>
      <c r="AW14" s="69"/>
      <c r="AX14" s="69"/>
      <c r="AY14" s="69"/>
      <c r="AZ14" s="9"/>
    </row>
    <row r="15" spans="1:53">
      <c r="A15" s="66"/>
      <c r="B15" s="66"/>
      <c r="C15" s="66"/>
      <c r="D15" s="55">
        <f>D11</f>
        <v>0.75</v>
      </c>
      <c r="E15" s="19">
        <v>0.78590686274509802</v>
      </c>
      <c r="F15" s="19">
        <v>0.79889705882352935</v>
      </c>
      <c r="G15" s="19"/>
      <c r="H15" s="19">
        <v>0.82303921568627447</v>
      </c>
      <c r="I15" s="19">
        <v>0.76446078431372544</v>
      </c>
      <c r="J15" s="19">
        <v>0.80784313725490198</v>
      </c>
      <c r="K15" s="19">
        <v>0.79166666666666663</v>
      </c>
      <c r="L15" s="19">
        <v>0.80294117647058827</v>
      </c>
      <c r="M15" s="19">
        <v>0.8033088235294118</v>
      </c>
      <c r="N15" s="19">
        <v>0.77169117647058827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L15" s="7"/>
      <c r="AM15" s="7"/>
      <c r="AN15" s="7"/>
      <c r="AO15" s="7"/>
      <c r="AR15" s="13"/>
      <c r="AS15" s="13"/>
      <c r="AT15" s="13"/>
      <c r="AU15" s="13"/>
      <c r="AV15" s="13"/>
      <c r="AW15" s="13"/>
      <c r="AX15" s="13"/>
      <c r="AZ15" s="9"/>
    </row>
    <row r="16" spans="1:53">
      <c r="A16" s="66"/>
      <c r="B16" s="66"/>
      <c r="C16" s="29">
        <v>2</v>
      </c>
      <c r="D16" s="55">
        <f t="shared" ref="D16:D17" si="3">D12</f>
        <v>0.5</v>
      </c>
      <c r="E16" s="19">
        <v>0.55637254901960786</v>
      </c>
      <c r="F16" s="19">
        <v>0.57549019607843133</v>
      </c>
      <c r="G16" s="19"/>
      <c r="H16" s="19">
        <v>0.61433823529411768</v>
      </c>
      <c r="I16" s="19">
        <v>0.53970588235294115</v>
      </c>
      <c r="J16" s="19">
        <v>0.58063725490196083</v>
      </c>
      <c r="K16" s="19">
        <v>0.56458333333333333</v>
      </c>
      <c r="L16" s="19">
        <v>0.57794117647058818</v>
      </c>
      <c r="M16" s="19">
        <v>0.57414215686274506</v>
      </c>
      <c r="N16" s="19">
        <v>0.5550245098039216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L16" s="7"/>
      <c r="AM16" s="7"/>
      <c r="AN16" s="7"/>
      <c r="AO16" s="7"/>
      <c r="AR16" s="16"/>
      <c r="AS16" s="16"/>
      <c r="AT16" s="16"/>
      <c r="AU16" s="16"/>
      <c r="AV16" s="16"/>
      <c r="AW16" s="16"/>
      <c r="AX16" s="16"/>
      <c r="AY16" s="15"/>
      <c r="AZ16" s="9"/>
    </row>
    <row r="17" spans="1:52">
      <c r="A17" s="66"/>
      <c r="B17" s="66"/>
      <c r="C17" s="29">
        <v>4</v>
      </c>
      <c r="D17" s="55">
        <f t="shared" si="3"/>
        <v>0.25</v>
      </c>
      <c r="E17" s="19">
        <v>0.33333333333333331</v>
      </c>
      <c r="F17" s="19">
        <v>0.33774509803921571</v>
      </c>
      <c r="G17" s="19"/>
      <c r="H17" s="19">
        <v>0.38443627450980394</v>
      </c>
      <c r="I17" s="19">
        <v>0.32034313725490193</v>
      </c>
      <c r="J17" s="19">
        <v>0.34399509803921569</v>
      </c>
      <c r="K17" s="19">
        <v>0.3327205882352941</v>
      </c>
      <c r="L17" s="19">
        <v>0.34019607843137256</v>
      </c>
      <c r="M17" s="19">
        <v>0.35281862745098036</v>
      </c>
      <c r="N17" s="19">
        <v>0.32169117647058826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L17" s="7"/>
      <c r="AM17" s="7"/>
      <c r="AN17" s="7"/>
      <c r="AO17" s="7"/>
      <c r="AQ17" s="6"/>
      <c r="AR17" s="13"/>
      <c r="AS17" s="13"/>
      <c r="AT17" s="13"/>
      <c r="AU17" s="13"/>
      <c r="AV17" s="13"/>
      <c r="AW17" s="13"/>
      <c r="AX17" s="13"/>
      <c r="AY17" s="13"/>
      <c r="AZ17" s="9"/>
    </row>
    <row r="18" spans="1:52">
      <c r="A18" s="66"/>
      <c r="B18" s="66">
        <v>0.48031496062992124</v>
      </c>
      <c r="C18" s="66">
        <v>0</v>
      </c>
      <c r="D18" s="54">
        <v>0.5</v>
      </c>
      <c r="E18" s="19">
        <v>0.46456692913385828</v>
      </c>
      <c r="F18" s="19">
        <v>0.47244094488188976</v>
      </c>
      <c r="G18" s="19"/>
      <c r="H18" s="19">
        <v>0.47244094488188976</v>
      </c>
      <c r="I18" s="19">
        <v>0.46456692913385828</v>
      </c>
      <c r="J18" s="19">
        <v>0.48818897637795278</v>
      </c>
      <c r="K18" s="19">
        <v>0.48818897637795278</v>
      </c>
      <c r="L18" s="19">
        <v>0.48031496062992124</v>
      </c>
      <c r="M18" s="19">
        <v>0.48818897637795278</v>
      </c>
      <c r="N18" s="19">
        <v>0.47244094488188976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L18" s="7"/>
      <c r="AM18" s="7"/>
      <c r="AN18" s="7"/>
      <c r="AO18" s="7"/>
      <c r="AQ18" s="6"/>
      <c r="AR18" s="13"/>
      <c r="AS18" s="13"/>
      <c r="AT18" s="13"/>
      <c r="AU18" s="13"/>
      <c r="AV18" s="13"/>
      <c r="AW18" s="13"/>
      <c r="AX18" s="13"/>
      <c r="AY18" s="13"/>
      <c r="AZ18" s="9"/>
    </row>
    <row r="19" spans="1:52">
      <c r="A19" s="66"/>
      <c r="B19" s="66"/>
      <c r="C19" s="66"/>
      <c r="D19" s="55">
        <f>D15</f>
        <v>0.75</v>
      </c>
      <c r="E19" s="19">
        <v>0.78406862745098038</v>
      </c>
      <c r="F19" s="19">
        <v>0.80220588235294121</v>
      </c>
      <c r="G19" s="19"/>
      <c r="H19" s="19">
        <v>0.81176470588235294</v>
      </c>
      <c r="I19" s="19">
        <v>0.76838235294117641</v>
      </c>
      <c r="J19" s="19">
        <v>0.81053921568627452</v>
      </c>
      <c r="K19" s="19">
        <v>0.79424019607843133</v>
      </c>
      <c r="L19" s="19">
        <v>0.81041666666666667</v>
      </c>
      <c r="M19" s="19">
        <v>0.8107843137254902</v>
      </c>
      <c r="N19" s="19">
        <v>0.78370098039215685</v>
      </c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L19" s="7"/>
      <c r="AM19" s="7"/>
      <c r="AN19" s="7"/>
      <c r="AO19" s="7"/>
      <c r="AQ19" s="6"/>
      <c r="AR19" s="13"/>
      <c r="AS19" s="13"/>
      <c r="AT19" s="13"/>
      <c r="AU19" s="13"/>
      <c r="AV19" s="13"/>
      <c r="AW19" s="13"/>
      <c r="AX19" s="13"/>
      <c r="AY19" s="13"/>
      <c r="AZ19" s="9"/>
    </row>
    <row r="20" spans="1:52">
      <c r="A20" s="66"/>
      <c r="B20" s="66"/>
      <c r="C20" s="29">
        <v>2</v>
      </c>
      <c r="D20" s="55">
        <f t="shared" ref="D20:D21" si="4">D16</f>
        <v>0.5</v>
      </c>
      <c r="E20" s="19">
        <v>0.55796568627450982</v>
      </c>
      <c r="F20" s="19">
        <v>0.58186274509803926</v>
      </c>
      <c r="G20" s="19"/>
      <c r="H20" s="19">
        <v>0.61960784313725492</v>
      </c>
      <c r="I20" s="19">
        <v>0.5430147058823529</v>
      </c>
      <c r="J20" s="19">
        <v>0.58860294117647061</v>
      </c>
      <c r="K20" s="19">
        <v>0.56703431372549018</v>
      </c>
      <c r="L20" s="19">
        <v>0.58725490196078434</v>
      </c>
      <c r="M20" s="19">
        <v>0.58051470588235299</v>
      </c>
      <c r="N20" s="19">
        <v>0.56115196078431373</v>
      </c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L20" s="7"/>
      <c r="AM20" s="7"/>
      <c r="AN20" s="7"/>
      <c r="AO20" s="7"/>
      <c r="AQ20" s="6"/>
      <c r="AR20" s="13"/>
      <c r="AS20" s="13"/>
      <c r="AT20" s="13"/>
      <c r="AU20" s="13"/>
      <c r="AV20" s="13"/>
      <c r="AW20" s="13"/>
      <c r="AX20" s="13"/>
      <c r="AY20" s="13"/>
      <c r="AZ20" s="9"/>
    </row>
    <row r="21" spans="1:52">
      <c r="A21" s="66"/>
      <c r="B21" s="66"/>
      <c r="C21" s="29">
        <v>4</v>
      </c>
      <c r="D21" s="55">
        <f t="shared" si="4"/>
        <v>0.25</v>
      </c>
      <c r="E21" s="19">
        <v>0.33688725490196075</v>
      </c>
      <c r="F21" s="19">
        <v>0.34375</v>
      </c>
      <c r="G21" s="19"/>
      <c r="H21" s="19">
        <v>0.39044117647058824</v>
      </c>
      <c r="I21" s="19">
        <v>0.3243872549019608</v>
      </c>
      <c r="J21" s="19">
        <v>0.34705882352941175</v>
      </c>
      <c r="K21" s="19">
        <v>0.33480392156862743</v>
      </c>
      <c r="L21" s="19">
        <v>0.34975490196078429</v>
      </c>
      <c r="M21" s="19">
        <v>0.36004901960784313</v>
      </c>
      <c r="N21" s="19">
        <v>0.32843137254901961</v>
      </c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L21" s="7"/>
      <c r="AM21" s="7"/>
      <c r="AN21" s="7"/>
      <c r="AO21" s="7"/>
      <c r="AZ21" s="9"/>
    </row>
    <row r="22" spans="1:52">
      <c r="A22" s="66"/>
      <c r="B22" s="66">
        <v>0.59055118110236215</v>
      </c>
      <c r="C22" s="66">
        <v>0</v>
      </c>
      <c r="D22" s="54">
        <v>0.6</v>
      </c>
      <c r="E22" s="19">
        <v>0.57480314960629919</v>
      </c>
      <c r="F22" s="19">
        <v>0.58267716535433067</v>
      </c>
      <c r="G22" s="19"/>
      <c r="H22" s="19">
        <v>0.58267716535433067</v>
      </c>
      <c r="I22" s="19">
        <v>0.57480314960629919</v>
      </c>
      <c r="J22" s="19">
        <v>0.59842519685039375</v>
      </c>
      <c r="K22" s="19">
        <v>0.59842519685039375</v>
      </c>
      <c r="L22" s="19">
        <v>0.59842519685039375</v>
      </c>
      <c r="M22" s="19">
        <v>0.59842519685039375</v>
      </c>
      <c r="N22" s="19">
        <v>0.58267716535433067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L22" s="7"/>
      <c r="AM22" s="7"/>
      <c r="AN22" s="7"/>
      <c r="AO22" s="7"/>
      <c r="AZ22" s="9"/>
    </row>
    <row r="23" spans="1:52">
      <c r="A23" s="66"/>
      <c r="B23" s="66"/>
      <c r="C23" s="66"/>
      <c r="D23" s="55">
        <f>D19</f>
        <v>0.75</v>
      </c>
      <c r="E23" s="19">
        <v>0.76151960784313721</v>
      </c>
      <c r="F23" s="19">
        <v>0.80821078431372551</v>
      </c>
      <c r="G23" s="19"/>
      <c r="H23" s="19">
        <v>0.80772058823529413</v>
      </c>
      <c r="I23" s="19">
        <v>0.76899509803921573</v>
      </c>
      <c r="J23" s="19">
        <v>0.81372549019607843</v>
      </c>
      <c r="K23" s="19">
        <v>0.8041666666666667</v>
      </c>
      <c r="L23" s="19">
        <v>0.8142156862745098</v>
      </c>
      <c r="M23" s="19">
        <v>0.81409313725490196</v>
      </c>
      <c r="N23" s="19">
        <v>0.77671568627450982</v>
      </c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L23" s="7"/>
      <c r="AM23" s="7"/>
      <c r="AN23" s="7"/>
      <c r="AO23" s="7"/>
      <c r="AQ23" s="12"/>
      <c r="AR23" s="22"/>
      <c r="AS23" s="22"/>
      <c r="AT23" s="22"/>
      <c r="AU23" s="22"/>
      <c r="AV23" s="22"/>
      <c r="AW23" s="22"/>
      <c r="AX23" s="22"/>
      <c r="AY23" s="22"/>
      <c r="AZ23" s="18"/>
    </row>
    <row r="24" spans="1:52">
      <c r="A24" s="66"/>
      <c r="B24" s="66"/>
      <c r="C24" s="29">
        <v>2</v>
      </c>
      <c r="D24" s="55">
        <f t="shared" ref="D24:D25" si="5">D20</f>
        <v>0.5</v>
      </c>
      <c r="E24" s="19">
        <v>0.5642156862745098</v>
      </c>
      <c r="F24" s="19">
        <v>0.58553921568627454</v>
      </c>
      <c r="G24" s="19"/>
      <c r="H24" s="19">
        <v>0.6215686274509804</v>
      </c>
      <c r="I24" s="19">
        <v>0.54938725490196083</v>
      </c>
      <c r="J24" s="19">
        <v>0.58933823529411766</v>
      </c>
      <c r="K24" s="19">
        <v>0.57585784313725485</v>
      </c>
      <c r="L24" s="19">
        <v>0.59044117647058825</v>
      </c>
      <c r="M24" s="19">
        <v>0.58700980392156865</v>
      </c>
      <c r="N24" s="19">
        <v>0.56740196078431371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L24" s="7"/>
      <c r="AM24" s="7"/>
      <c r="AN24" s="7"/>
      <c r="AO24" s="7"/>
      <c r="AQ24" s="23"/>
      <c r="AS24" s="21"/>
      <c r="AT24" s="21"/>
      <c r="AU24" s="21"/>
      <c r="AV24" s="21"/>
      <c r="AW24" s="21"/>
      <c r="AX24" s="21"/>
      <c r="AY24" s="21"/>
      <c r="AZ24" s="21"/>
    </row>
    <row r="25" spans="1:52">
      <c r="A25" s="66"/>
      <c r="B25" s="66"/>
      <c r="C25" s="29">
        <v>4</v>
      </c>
      <c r="D25" s="55">
        <f t="shared" si="5"/>
        <v>0.25</v>
      </c>
      <c r="E25" s="19">
        <v>0.3446078431372549</v>
      </c>
      <c r="F25" s="19">
        <v>0.35098039215686272</v>
      </c>
      <c r="G25" s="19"/>
      <c r="H25" s="19">
        <v>0.39399509803921567</v>
      </c>
      <c r="I25" s="19">
        <v>0.33149509803921567</v>
      </c>
      <c r="J25" s="19">
        <v>0.35404411764705884</v>
      </c>
      <c r="K25" s="19">
        <v>0.34264705882352942</v>
      </c>
      <c r="L25" s="19">
        <v>0.35330882352941179</v>
      </c>
      <c r="M25" s="19">
        <v>0.36458333333333331</v>
      </c>
      <c r="N25" s="19">
        <v>0.33639705882352938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L25" s="7"/>
      <c r="AM25" s="7"/>
      <c r="AN25" s="7"/>
      <c r="AO25" s="7"/>
      <c r="AQ25" s="23"/>
      <c r="AS25" s="21"/>
      <c r="AT25" s="21"/>
      <c r="AU25" s="21"/>
      <c r="AV25" s="21"/>
      <c r="AW25" s="21"/>
      <c r="AX25" s="21"/>
      <c r="AY25" s="21"/>
      <c r="AZ25" s="21"/>
    </row>
    <row r="26" spans="1:52">
      <c r="A26" s="66"/>
      <c r="B26" s="66">
        <v>0.74015748031496065</v>
      </c>
      <c r="C26" s="66">
        <v>0</v>
      </c>
      <c r="D26" s="54">
        <v>0.7</v>
      </c>
      <c r="E26" s="20">
        <v>0.71653543307086609</v>
      </c>
      <c r="F26" s="20">
        <v>0.71653543307086609</v>
      </c>
      <c r="G26" s="19"/>
      <c r="H26" s="19">
        <v>0.72440944881889768</v>
      </c>
      <c r="I26" s="19">
        <v>0.71653543307086609</v>
      </c>
      <c r="J26" s="19">
        <v>0.74803149606299213</v>
      </c>
      <c r="K26" s="19">
        <v>0.74015748031496065</v>
      </c>
      <c r="L26" s="19">
        <v>0.74015748031496065</v>
      </c>
      <c r="M26" s="19">
        <v>0.74015748031496065</v>
      </c>
      <c r="N26" s="19">
        <v>0.72440944881889768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L26" s="7"/>
      <c r="AM26" s="7"/>
      <c r="AN26" s="7"/>
      <c r="AO26" s="7"/>
      <c r="AQ26" s="23"/>
      <c r="AS26" s="21"/>
      <c r="AT26" s="21"/>
      <c r="AU26" s="21"/>
      <c r="AV26" s="21"/>
      <c r="AW26" s="21"/>
      <c r="AX26" s="21"/>
      <c r="AY26" s="21"/>
      <c r="AZ26" s="21"/>
    </row>
    <row r="27" spans="1:52">
      <c r="A27" s="66"/>
      <c r="B27" s="66"/>
      <c r="C27" s="66"/>
      <c r="D27" s="55">
        <f>D23</f>
        <v>0.75</v>
      </c>
      <c r="E27" s="20">
        <v>0.76556372549019602</v>
      </c>
      <c r="F27" s="20">
        <v>0.79019607843137252</v>
      </c>
      <c r="G27" s="19"/>
      <c r="H27" s="19">
        <v>0.78075980392156863</v>
      </c>
      <c r="I27" s="19">
        <v>0.77500000000000002</v>
      </c>
      <c r="J27" s="19">
        <v>0.82107843137254899</v>
      </c>
      <c r="K27" s="19">
        <v>0.80698529411764708</v>
      </c>
      <c r="L27" s="19">
        <v>0.82095588235294115</v>
      </c>
      <c r="M27" s="19">
        <v>0.78737745098039214</v>
      </c>
      <c r="N27" s="19">
        <v>0.75563725490196076</v>
      </c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L27" s="7"/>
      <c r="AM27" s="7"/>
      <c r="AN27" s="7"/>
      <c r="AO27" s="7"/>
      <c r="AQ27" s="23"/>
      <c r="AS27" s="21"/>
      <c r="AT27" s="21"/>
      <c r="AU27" s="21"/>
      <c r="AV27" s="21"/>
      <c r="AW27" s="21"/>
      <c r="AX27" s="21"/>
      <c r="AY27" s="21"/>
      <c r="AZ27" s="21"/>
    </row>
    <row r="28" spans="1:52">
      <c r="A28" s="66"/>
      <c r="B28" s="66"/>
      <c r="C28" s="29">
        <v>2</v>
      </c>
      <c r="D28" s="55">
        <f t="shared" ref="D28:D29" si="6">D24</f>
        <v>0.5</v>
      </c>
      <c r="E28" s="20">
        <v>0.57009803921568625</v>
      </c>
      <c r="F28" s="20">
        <v>0.58835784313725492</v>
      </c>
      <c r="G28" s="19"/>
      <c r="H28" s="19">
        <v>0.62855392156862744</v>
      </c>
      <c r="I28" s="19">
        <v>0.55441176470588238</v>
      </c>
      <c r="J28" s="19">
        <v>0.59938725490196076</v>
      </c>
      <c r="K28" s="19">
        <v>0.57794117647058818</v>
      </c>
      <c r="L28" s="19">
        <v>0.59693627450980391</v>
      </c>
      <c r="M28" s="19">
        <v>0.58995098039215688</v>
      </c>
      <c r="N28" s="19">
        <v>0.57524509803921564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L28" s="7"/>
      <c r="AM28" s="7"/>
      <c r="AN28" s="7"/>
      <c r="AO28" s="7"/>
      <c r="AZ28" s="9"/>
    </row>
    <row r="29" spans="1:52">
      <c r="A29" s="66"/>
      <c r="B29" s="66"/>
      <c r="C29" s="29">
        <v>4</v>
      </c>
      <c r="D29" s="55">
        <f t="shared" si="6"/>
        <v>0.25</v>
      </c>
      <c r="E29" s="20">
        <v>0.34950980392156861</v>
      </c>
      <c r="F29" s="20">
        <v>0.35551470588235295</v>
      </c>
      <c r="G29" s="19"/>
      <c r="H29" s="19">
        <v>0.40269607843137256</v>
      </c>
      <c r="I29" s="19">
        <v>0.33492647058823527</v>
      </c>
      <c r="J29" s="19">
        <v>0.35919117647058824</v>
      </c>
      <c r="K29" s="19">
        <v>0.34852941176470587</v>
      </c>
      <c r="L29" s="19">
        <v>0.35808823529411765</v>
      </c>
      <c r="M29" s="19">
        <v>0.36997549019607845</v>
      </c>
      <c r="N29" s="19">
        <v>0.34411764705882353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L29" s="7"/>
      <c r="AM29" s="7"/>
      <c r="AN29" s="7"/>
      <c r="AO29" s="7"/>
      <c r="AZ29" s="9"/>
    </row>
    <row r="30" spans="1:52">
      <c r="A30" s="66"/>
      <c r="B30" s="66">
        <v>0.91338582677165359</v>
      </c>
      <c r="C30" s="66">
        <v>0</v>
      </c>
      <c r="D30" s="54">
        <v>0.9</v>
      </c>
      <c r="E30" s="20">
        <v>0.88976377952755903</v>
      </c>
      <c r="F30" s="20">
        <v>0.88976377952755903</v>
      </c>
      <c r="G30" s="19"/>
      <c r="H30" s="19">
        <v>0.89763779527559051</v>
      </c>
      <c r="I30" s="19">
        <v>0.88976377952755903</v>
      </c>
      <c r="J30" s="19">
        <v>0.92125984251968507</v>
      </c>
      <c r="K30" s="19">
        <v>0.92125984251968507</v>
      </c>
      <c r="L30" s="19">
        <v>0.91338582677165359</v>
      </c>
      <c r="M30" s="19">
        <v>0.92125984251968507</v>
      </c>
      <c r="N30" s="19">
        <v>0.89763779527559051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L30" s="7"/>
      <c r="AM30" s="7"/>
      <c r="AN30" s="7"/>
      <c r="AO30" s="7"/>
      <c r="AZ30" s="9"/>
    </row>
    <row r="31" spans="1:52">
      <c r="A31" s="66"/>
      <c r="B31" s="66"/>
      <c r="C31" s="66"/>
      <c r="D31" s="55">
        <f>D27</f>
        <v>0.75</v>
      </c>
      <c r="E31" s="20">
        <v>0.72401960784313724</v>
      </c>
      <c r="F31" s="20">
        <v>0.79362745098039211</v>
      </c>
      <c r="G31" s="19"/>
      <c r="H31" s="19">
        <v>0.74007352941176474</v>
      </c>
      <c r="I31" s="19">
        <v>0.75024509803921569</v>
      </c>
      <c r="J31" s="19">
        <v>0.76789215686274503</v>
      </c>
      <c r="K31" s="19">
        <v>0.81237745098039216</v>
      </c>
      <c r="L31" s="19">
        <v>0.80281862745098043</v>
      </c>
      <c r="M31" s="19">
        <v>0.76470588235294112</v>
      </c>
      <c r="N31" s="19">
        <v>0.67941176470588238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L31" s="7"/>
      <c r="AM31" s="7"/>
      <c r="AN31" s="7"/>
      <c r="AO31" s="7"/>
      <c r="AZ31" s="9"/>
    </row>
    <row r="32" spans="1:52">
      <c r="A32" s="66"/>
      <c r="B32" s="66"/>
      <c r="C32" s="29">
        <v>2</v>
      </c>
      <c r="D32" s="55">
        <f t="shared" ref="D32:D33" si="7">D28</f>
        <v>0.5</v>
      </c>
      <c r="E32" s="20">
        <v>0.57794117647058818</v>
      </c>
      <c r="F32" s="20">
        <v>0.59276960784313726</v>
      </c>
      <c r="G32" s="19"/>
      <c r="H32" s="19">
        <v>0.63406862745098036</v>
      </c>
      <c r="I32" s="19">
        <v>0.55600490196078434</v>
      </c>
      <c r="J32" s="19">
        <v>0.6</v>
      </c>
      <c r="K32" s="19">
        <v>0.58272058823529416</v>
      </c>
      <c r="L32" s="19">
        <v>0.59803921568627449</v>
      </c>
      <c r="M32" s="19">
        <v>0.5954656862745098</v>
      </c>
      <c r="N32" s="19">
        <v>0.57806372549019602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L32" s="7"/>
      <c r="AM32" s="7"/>
      <c r="AN32" s="7"/>
      <c r="AO32" s="7"/>
      <c r="AZ32" s="9"/>
    </row>
    <row r="33" spans="1:52">
      <c r="A33" s="66"/>
      <c r="B33" s="66"/>
      <c r="C33" s="29">
        <v>4</v>
      </c>
      <c r="D33" s="55">
        <f t="shared" si="7"/>
        <v>0.25</v>
      </c>
      <c r="E33" s="20">
        <v>0.35343137254901963</v>
      </c>
      <c r="F33" s="20">
        <v>0.35955882352941176</v>
      </c>
      <c r="G33" s="19"/>
      <c r="H33" s="19">
        <v>0.4079656862745098</v>
      </c>
      <c r="I33" s="19">
        <v>0.33958333333333335</v>
      </c>
      <c r="J33" s="19">
        <v>0.36458333333333331</v>
      </c>
      <c r="K33" s="19">
        <v>0.35085784313725488</v>
      </c>
      <c r="L33" s="19">
        <v>0.364828431372549</v>
      </c>
      <c r="M33" s="19">
        <v>0.37487745098039216</v>
      </c>
      <c r="N33" s="19">
        <v>0.34656862745098038</v>
      </c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L33" s="7"/>
      <c r="AM33" s="7"/>
      <c r="AN33" s="7"/>
      <c r="AO33" s="7"/>
      <c r="AZ33" s="9"/>
    </row>
    <row r="34" spans="1:52">
      <c r="A34" s="66"/>
      <c r="B34" s="35"/>
      <c r="C34" s="29"/>
      <c r="D34" s="36"/>
      <c r="E34" s="20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L34" s="7"/>
      <c r="AM34" s="7"/>
      <c r="AN34" s="7"/>
      <c r="AO34" s="7"/>
      <c r="AQ34" s="9"/>
      <c r="AR34" s="9"/>
      <c r="AS34" s="9"/>
      <c r="AT34" s="9"/>
      <c r="AU34" s="9"/>
      <c r="AV34" s="9"/>
      <c r="AW34" s="9"/>
      <c r="AX34" s="9"/>
      <c r="AY34" s="9"/>
      <c r="AZ34" s="9"/>
    </row>
    <row r="35" spans="1:52">
      <c r="A35" s="66"/>
      <c r="B35" s="35"/>
      <c r="C35" s="29"/>
      <c r="D35" s="36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L35" s="7"/>
      <c r="AM35" s="7"/>
      <c r="AN35" s="7"/>
      <c r="AO35" s="7"/>
      <c r="AQ35" s="9"/>
      <c r="AR35" s="9"/>
      <c r="AS35" s="9"/>
      <c r="AT35" s="9"/>
      <c r="AU35" s="9"/>
      <c r="AV35" s="9"/>
      <c r="AW35" s="9"/>
      <c r="AX35" s="9"/>
      <c r="AY35" s="9"/>
      <c r="AZ35" s="9"/>
    </row>
    <row r="36" spans="1:52">
      <c r="A36" s="66"/>
      <c r="B36" s="35"/>
      <c r="C36" s="35"/>
      <c r="D36" s="36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L36" s="7"/>
      <c r="AM36" s="7"/>
      <c r="AN36" s="7"/>
      <c r="AO36" s="7"/>
      <c r="AQ36" s="9"/>
      <c r="AR36" s="9"/>
      <c r="AS36" s="9"/>
      <c r="AT36" s="9"/>
      <c r="AU36" s="9"/>
      <c r="AV36" s="9"/>
      <c r="AW36" s="9"/>
      <c r="AX36" s="9"/>
      <c r="AY36" s="9"/>
      <c r="AZ36" s="9"/>
    </row>
    <row r="37" spans="1:52">
      <c r="A37" s="66"/>
      <c r="B37" s="35"/>
      <c r="C37" s="35"/>
      <c r="D37" s="36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L37" s="7"/>
      <c r="AM37" s="7"/>
      <c r="AN37" s="7"/>
      <c r="AO37" s="7"/>
      <c r="AQ37" s="9"/>
      <c r="AR37" s="9"/>
      <c r="AS37" s="9"/>
      <c r="AT37" s="9"/>
      <c r="AU37" s="9"/>
      <c r="AV37" s="9"/>
      <c r="AW37" s="9"/>
      <c r="AX37" s="9"/>
      <c r="AY37" s="9"/>
      <c r="AZ37" s="9"/>
    </row>
    <row r="38" spans="1:52">
      <c r="A38" s="66"/>
      <c r="B38" s="35"/>
      <c r="C38" s="35"/>
      <c r="D38" s="36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L38" s="7"/>
      <c r="AM38" s="7"/>
      <c r="AN38" s="7"/>
      <c r="AO38" s="7"/>
      <c r="AQ38" s="9"/>
      <c r="AR38" s="9"/>
      <c r="AS38" s="9"/>
      <c r="AT38" s="9"/>
      <c r="AU38" s="9"/>
      <c r="AV38" s="9"/>
      <c r="AW38" s="9"/>
      <c r="AX38" s="9"/>
      <c r="AY38" s="9"/>
      <c r="AZ38" s="9"/>
    </row>
    <row r="39" spans="1:52">
      <c r="A39" s="66"/>
      <c r="B39" s="35"/>
      <c r="C39" s="29"/>
      <c r="D39" s="36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L39" s="7"/>
      <c r="AM39" s="7"/>
      <c r="AN39" s="7"/>
      <c r="AO39" s="7"/>
      <c r="AQ39" s="9"/>
      <c r="AR39" s="9"/>
      <c r="AS39" s="9"/>
      <c r="AT39" s="9"/>
      <c r="AU39" s="9"/>
      <c r="AV39" s="9"/>
      <c r="AW39" s="9"/>
      <c r="AX39" s="9"/>
      <c r="AY39" s="9"/>
      <c r="AZ39" s="9"/>
    </row>
    <row r="40" spans="1:52">
      <c r="A40" s="66"/>
      <c r="B40" s="35"/>
      <c r="C40" s="29"/>
      <c r="D40" s="36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L40" s="7"/>
      <c r="AM40" s="7"/>
      <c r="AN40" s="7"/>
      <c r="AO40" s="7"/>
      <c r="AQ40" s="9"/>
      <c r="AR40" s="9"/>
      <c r="AS40" s="9"/>
      <c r="AT40" s="9"/>
      <c r="AU40" s="9"/>
      <c r="AV40" s="9"/>
      <c r="AW40" s="9"/>
      <c r="AX40" s="9"/>
      <c r="AY40" s="9"/>
      <c r="AZ40" s="9"/>
    </row>
    <row r="41" spans="1:52">
      <c r="A41" s="9"/>
      <c r="B41" s="9"/>
      <c r="C41" s="9"/>
      <c r="D41" s="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9"/>
      <c r="AL41" s="9"/>
      <c r="AM41" s="9"/>
      <c r="AN41" s="9"/>
      <c r="AO41" s="9"/>
    </row>
  </sheetData>
  <mergeCells count="19">
    <mergeCell ref="B30:B33"/>
    <mergeCell ref="C30:C31"/>
    <mergeCell ref="B22:B25"/>
    <mergeCell ref="C22:C23"/>
    <mergeCell ref="B26:B29"/>
    <mergeCell ref="C26:C27"/>
    <mergeCell ref="A2:A40"/>
    <mergeCell ref="AQ7:AY7"/>
    <mergeCell ref="AQ14:AY14"/>
    <mergeCell ref="B2:B5"/>
    <mergeCell ref="C2:C3"/>
    <mergeCell ref="B6:B9"/>
    <mergeCell ref="C6:C7"/>
    <mergeCell ref="B10:B13"/>
    <mergeCell ref="C10:C11"/>
    <mergeCell ref="B14:B17"/>
    <mergeCell ref="C14:C15"/>
    <mergeCell ref="B18:B21"/>
    <mergeCell ref="C18:C19"/>
  </mergeCells>
  <pageMargins left="0.7" right="0.7" top="0.75" bottom="0.75" header="0.3" footer="0.3"/>
  <pageSetup paperSize="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Summary</vt:lpstr>
      <vt:lpstr>Calculations</vt:lpstr>
      <vt:lpstr>data0</vt:lpstr>
      <vt:lpstr>data0!Print_Area</vt:lpstr>
      <vt:lpstr>Summary!Print_Area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2012-02-17T02:31:58Z</dcterms:modified>
</cp:coreProperties>
</file>